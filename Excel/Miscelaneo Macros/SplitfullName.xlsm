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wtwonline.sharepoint.com/sites/tctnonclient_GralRetMex/Administracin Clientes/CONSAR/Mayo 2024/"/>
    </mc:Choice>
  </mc:AlternateContent>
  <xr:revisionPtr revIDLastSave="0" documentId="8_{CE1FB9F1-8F2E-42DD-BC99-077D2D9DEDB0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Sheet1" sheetId="1" r:id="rId1"/>
    <sheet name="Sheet2" sheetId="7" r:id="rId2"/>
    <sheet name="Sheet4" sheetId="6" r:id="rId3"/>
    <sheet name="Info Demográfica" sheetId="5" r:id="rId4"/>
    <sheet name="Listas" sheetId="3" r:id="rId5"/>
  </sheets>
  <functionGroups builtInGroupCount="19"/>
  <definedNames>
    <definedName name="_xlnm._FilterDatabase" localSheetId="0" hidden="1">Sheet1!$B$18:$P$2293</definedName>
    <definedName name="ANTv">Sheet4!$O$8:$O$345</definedName>
    <definedName name="Basegrupov">Sheet4!$C$8:$C$345</definedName>
    <definedName name="BaseIMSSv">Sheet4!$L$8:$L$345</definedName>
    <definedName name="BaseSalMin">Sheet4!$P$8:$P$345</definedName>
    <definedName name="BaseSbgrpv">Sheet4!$D$8:$D$345</definedName>
    <definedName name="Edadv">Sheet4!$N$8:$N$345</definedName>
    <definedName name="_xlnm.Print_Area" localSheetId="3">'Info Demográfica'!$B$3:$K$32</definedName>
    <definedName name="salminv">Sheet4!$P$8:$P$345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5" l="1"/>
  <c r="J3" i="5"/>
  <c r="P8" i="6"/>
  <c r="N8" i="6"/>
  <c r="N9" i="6"/>
  <c r="D9" i="5"/>
  <c r="J16" i="5" a="1"/>
  <c r="J16" i="5" s="1"/>
  <c r="D7" i="5"/>
  <c r="F11" i="5"/>
  <c r="D8" i="5" s="1"/>
  <c r="H1" i="7" a="1"/>
  <c r="G1" i="7" a="1"/>
  <c r="F1" i="7" a="1"/>
  <c r="H1" i="7" l="1"/>
  <c r="G1" i="7"/>
  <c r="F1" i="7"/>
  <c r="L7" i="5"/>
  <c r="L9" i="5" s="1"/>
  <c r="N205" i="6"/>
  <c r="O205" i="6"/>
  <c r="P205" i="6"/>
  <c r="R205" i="6"/>
  <c r="S205" i="6"/>
  <c r="N206" i="6"/>
  <c r="O206" i="6"/>
  <c r="P206" i="6"/>
  <c r="R206" i="6"/>
  <c r="S206" i="6"/>
  <c r="N207" i="6"/>
  <c r="O207" i="6"/>
  <c r="P207" i="6"/>
  <c r="R207" i="6"/>
  <c r="S207" i="6"/>
  <c r="N208" i="6"/>
  <c r="O208" i="6"/>
  <c r="P208" i="6"/>
  <c r="R208" i="6"/>
  <c r="S208" i="6"/>
  <c r="N209" i="6"/>
  <c r="O209" i="6"/>
  <c r="P209" i="6"/>
  <c r="R209" i="6"/>
  <c r="S209" i="6"/>
  <c r="N210" i="6"/>
  <c r="O210" i="6"/>
  <c r="P210" i="6"/>
  <c r="R210" i="6"/>
  <c r="S210" i="6"/>
  <c r="N211" i="6"/>
  <c r="O211" i="6"/>
  <c r="P211" i="6"/>
  <c r="R211" i="6"/>
  <c r="S211" i="6"/>
  <c r="N212" i="6"/>
  <c r="O212" i="6"/>
  <c r="P212" i="6"/>
  <c r="R212" i="6"/>
  <c r="S212" i="6"/>
  <c r="N213" i="6"/>
  <c r="O213" i="6"/>
  <c r="P213" i="6"/>
  <c r="R213" i="6"/>
  <c r="S213" i="6"/>
  <c r="N214" i="6"/>
  <c r="O214" i="6"/>
  <c r="P214" i="6"/>
  <c r="R214" i="6"/>
  <c r="S214" i="6"/>
  <c r="N215" i="6"/>
  <c r="O215" i="6"/>
  <c r="P215" i="6"/>
  <c r="R215" i="6"/>
  <c r="S215" i="6"/>
  <c r="N216" i="6"/>
  <c r="O216" i="6"/>
  <c r="P216" i="6"/>
  <c r="R216" i="6"/>
  <c r="S216" i="6"/>
  <c r="N217" i="6"/>
  <c r="O217" i="6"/>
  <c r="P217" i="6"/>
  <c r="R217" i="6"/>
  <c r="S217" i="6"/>
  <c r="N218" i="6"/>
  <c r="O218" i="6"/>
  <c r="P218" i="6"/>
  <c r="R218" i="6"/>
  <c r="S218" i="6"/>
  <c r="N219" i="6"/>
  <c r="O219" i="6"/>
  <c r="P219" i="6"/>
  <c r="R219" i="6"/>
  <c r="S219" i="6"/>
  <c r="N220" i="6"/>
  <c r="O220" i="6"/>
  <c r="P220" i="6"/>
  <c r="R220" i="6"/>
  <c r="S220" i="6"/>
  <c r="N221" i="6"/>
  <c r="O221" i="6"/>
  <c r="P221" i="6"/>
  <c r="R221" i="6"/>
  <c r="S221" i="6"/>
  <c r="N222" i="6"/>
  <c r="O222" i="6"/>
  <c r="P222" i="6"/>
  <c r="R222" i="6"/>
  <c r="S222" i="6"/>
  <c r="N223" i="6"/>
  <c r="O223" i="6"/>
  <c r="P223" i="6"/>
  <c r="R223" i="6"/>
  <c r="S223" i="6"/>
  <c r="N224" i="6"/>
  <c r="O224" i="6"/>
  <c r="P224" i="6"/>
  <c r="R224" i="6"/>
  <c r="S224" i="6"/>
  <c r="N225" i="6"/>
  <c r="O225" i="6"/>
  <c r="P225" i="6"/>
  <c r="R225" i="6"/>
  <c r="S225" i="6"/>
  <c r="N226" i="6"/>
  <c r="O226" i="6"/>
  <c r="P226" i="6"/>
  <c r="R226" i="6"/>
  <c r="S226" i="6"/>
  <c r="N227" i="6"/>
  <c r="O227" i="6"/>
  <c r="P227" i="6"/>
  <c r="R227" i="6"/>
  <c r="S227" i="6"/>
  <c r="N228" i="6"/>
  <c r="O228" i="6"/>
  <c r="P228" i="6"/>
  <c r="R228" i="6"/>
  <c r="S228" i="6"/>
  <c r="N229" i="6"/>
  <c r="O229" i="6"/>
  <c r="P229" i="6"/>
  <c r="R229" i="6"/>
  <c r="S229" i="6"/>
  <c r="N230" i="6"/>
  <c r="O230" i="6"/>
  <c r="P230" i="6"/>
  <c r="R230" i="6"/>
  <c r="S230" i="6"/>
  <c r="N231" i="6"/>
  <c r="O231" i="6"/>
  <c r="P231" i="6"/>
  <c r="R231" i="6"/>
  <c r="S231" i="6"/>
  <c r="N232" i="6"/>
  <c r="O232" i="6"/>
  <c r="P232" i="6"/>
  <c r="R232" i="6"/>
  <c r="S232" i="6"/>
  <c r="N233" i="6"/>
  <c r="O233" i="6"/>
  <c r="P233" i="6"/>
  <c r="R233" i="6"/>
  <c r="S233" i="6"/>
  <c r="N234" i="6"/>
  <c r="O234" i="6"/>
  <c r="P234" i="6"/>
  <c r="R234" i="6"/>
  <c r="S234" i="6"/>
  <c r="N235" i="6"/>
  <c r="O235" i="6"/>
  <c r="P235" i="6"/>
  <c r="R235" i="6"/>
  <c r="S235" i="6"/>
  <c r="N236" i="6"/>
  <c r="O236" i="6"/>
  <c r="P236" i="6"/>
  <c r="R236" i="6"/>
  <c r="S236" i="6"/>
  <c r="N237" i="6"/>
  <c r="O237" i="6"/>
  <c r="P237" i="6"/>
  <c r="R237" i="6"/>
  <c r="S237" i="6"/>
  <c r="N238" i="6"/>
  <c r="O238" i="6"/>
  <c r="P238" i="6"/>
  <c r="R238" i="6"/>
  <c r="S238" i="6"/>
  <c r="N239" i="6"/>
  <c r="O239" i="6"/>
  <c r="P239" i="6"/>
  <c r="R239" i="6"/>
  <c r="S239" i="6"/>
  <c r="N240" i="6"/>
  <c r="O240" i="6"/>
  <c r="P240" i="6"/>
  <c r="R240" i="6"/>
  <c r="S240" i="6"/>
  <c r="N241" i="6"/>
  <c r="O241" i="6"/>
  <c r="P241" i="6"/>
  <c r="R241" i="6"/>
  <c r="S241" i="6"/>
  <c r="N242" i="6"/>
  <c r="O242" i="6"/>
  <c r="P242" i="6"/>
  <c r="R242" i="6"/>
  <c r="S242" i="6"/>
  <c r="N243" i="6"/>
  <c r="O243" i="6"/>
  <c r="P243" i="6"/>
  <c r="R243" i="6"/>
  <c r="S243" i="6"/>
  <c r="N244" i="6"/>
  <c r="O244" i="6"/>
  <c r="P244" i="6"/>
  <c r="R244" i="6"/>
  <c r="S244" i="6"/>
  <c r="N245" i="6"/>
  <c r="O245" i="6"/>
  <c r="P245" i="6"/>
  <c r="R245" i="6"/>
  <c r="S245" i="6"/>
  <c r="N246" i="6"/>
  <c r="O246" i="6"/>
  <c r="P246" i="6"/>
  <c r="R246" i="6"/>
  <c r="S246" i="6"/>
  <c r="N247" i="6"/>
  <c r="O247" i="6"/>
  <c r="P247" i="6"/>
  <c r="R247" i="6"/>
  <c r="S247" i="6"/>
  <c r="N248" i="6"/>
  <c r="O248" i="6"/>
  <c r="P248" i="6"/>
  <c r="R248" i="6"/>
  <c r="S248" i="6"/>
  <c r="N249" i="6"/>
  <c r="O249" i="6"/>
  <c r="P249" i="6"/>
  <c r="R249" i="6"/>
  <c r="S249" i="6"/>
  <c r="N250" i="6"/>
  <c r="O250" i="6"/>
  <c r="P250" i="6"/>
  <c r="R250" i="6"/>
  <c r="S250" i="6"/>
  <c r="N251" i="6"/>
  <c r="O251" i="6"/>
  <c r="P251" i="6"/>
  <c r="R251" i="6"/>
  <c r="S251" i="6"/>
  <c r="N252" i="6"/>
  <c r="O252" i="6"/>
  <c r="P252" i="6"/>
  <c r="R252" i="6"/>
  <c r="S252" i="6"/>
  <c r="N253" i="6"/>
  <c r="O253" i="6"/>
  <c r="P253" i="6"/>
  <c r="R253" i="6"/>
  <c r="S253" i="6"/>
  <c r="N254" i="6"/>
  <c r="O254" i="6"/>
  <c r="P254" i="6"/>
  <c r="R254" i="6"/>
  <c r="S254" i="6"/>
  <c r="N255" i="6"/>
  <c r="O255" i="6"/>
  <c r="P255" i="6"/>
  <c r="R255" i="6"/>
  <c r="S255" i="6"/>
  <c r="N256" i="6"/>
  <c r="O256" i="6"/>
  <c r="P256" i="6"/>
  <c r="R256" i="6"/>
  <c r="S256" i="6"/>
  <c r="N257" i="6"/>
  <c r="O257" i="6"/>
  <c r="P257" i="6"/>
  <c r="R257" i="6"/>
  <c r="S257" i="6"/>
  <c r="N258" i="6"/>
  <c r="O258" i="6"/>
  <c r="P258" i="6"/>
  <c r="R258" i="6"/>
  <c r="S258" i="6"/>
  <c r="N259" i="6"/>
  <c r="O259" i="6"/>
  <c r="P259" i="6"/>
  <c r="R259" i="6"/>
  <c r="S259" i="6"/>
  <c r="N260" i="6"/>
  <c r="O260" i="6"/>
  <c r="P260" i="6"/>
  <c r="R260" i="6"/>
  <c r="S260" i="6"/>
  <c r="N261" i="6"/>
  <c r="O261" i="6"/>
  <c r="P261" i="6"/>
  <c r="R261" i="6"/>
  <c r="S261" i="6"/>
  <c r="N262" i="6"/>
  <c r="O262" i="6"/>
  <c r="P262" i="6"/>
  <c r="R262" i="6"/>
  <c r="S262" i="6"/>
  <c r="N263" i="6"/>
  <c r="O263" i="6"/>
  <c r="P263" i="6"/>
  <c r="R263" i="6"/>
  <c r="S263" i="6"/>
  <c r="N264" i="6"/>
  <c r="O264" i="6"/>
  <c r="P264" i="6"/>
  <c r="R264" i="6"/>
  <c r="S264" i="6"/>
  <c r="N265" i="6"/>
  <c r="O265" i="6"/>
  <c r="P265" i="6"/>
  <c r="R265" i="6"/>
  <c r="S265" i="6"/>
  <c r="N266" i="6"/>
  <c r="O266" i="6"/>
  <c r="P266" i="6"/>
  <c r="R266" i="6"/>
  <c r="S266" i="6"/>
  <c r="N267" i="6"/>
  <c r="O267" i="6"/>
  <c r="P267" i="6"/>
  <c r="R267" i="6"/>
  <c r="S267" i="6"/>
  <c r="N268" i="6"/>
  <c r="O268" i="6"/>
  <c r="P268" i="6"/>
  <c r="R268" i="6"/>
  <c r="S268" i="6"/>
  <c r="N269" i="6"/>
  <c r="O269" i="6"/>
  <c r="P269" i="6"/>
  <c r="R269" i="6"/>
  <c r="S269" i="6"/>
  <c r="N270" i="6"/>
  <c r="O270" i="6"/>
  <c r="P270" i="6"/>
  <c r="R270" i="6"/>
  <c r="S270" i="6"/>
  <c r="N271" i="6"/>
  <c r="O271" i="6"/>
  <c r="P271" i="6"/>
  <c r="R271" i="6"/>
  <c r="S271" i="6"/>
  <c r="N272" i="6"/>
  <c r="O272" i="6"/>
  <c r="P272" i="6"/>
  <c r="R272" i="6"/>
  <c r="S272" i="6"/>
  <c r="N273" i="6"/>
  <c r="O273" i="6"/>
  <c r="P273" i="6"/>
  <c r="R273" i="6"/>
  <c r="S273" i="6"/>
  <c r="N274" i="6"/>
  <c r="O274" i="6"/>
  <c r="P274" i="6"/>
  <c r="R274" i="6"/>
  <c r="S274" i="6"/>
  <c r="N275" i="6"/>
  <c r="O275" i="6"/>
  <c r="P275" i="6"/>
  <c r="R275" i="6"/>
  <c r="S275" i="6"/>
  <c r="N276" i="6"/>
  <c r="O276" i="6"/>
  <c r="P276" i="6"/>
  <c r="R276" i="6"/>
  <c r="S276" i="6"/>
  <c r="N277" i="6"/>
  <c r="O277" i="6"/>
  <c r="P277" i="6"/>
  <c r="R277" i="6"/>
  <c r="S277" i="6"/>
  <c r="N278" i="6"/>
  <c r="O278" i="6"/>
  <c r="P278" i="6"/>
  <c r="R278" i="6"/>
  <c r="S278" i="6"/>
  <c r="N279" i="6"/>
  <c r="O279" i="6"/>
  <c r="P279" i="6"/>
  <c r="R279" i="6"/>
  <c r="S279" i="6"/>
  <c r="N280" i="6"/>
  <c r="O280" i="6"/>
  <c r="P280" i="6"/>
  <c r="R280" i="6"/>
  <c r="S280" i="6"/>
  <c r="N281" i="6"/>
  <c r="O281" i="6"/>
  <c r="P281" i="6"/>
  <c r="R281" i="6"/>
  <c r="S281" i="6"/>
  <c r="N282" i="6"/>
  <c r="O282" i="6"/>
  <c r="P282" i="6"/>
  <c r="R282" i="6"/>
  <c r="S282" i="6"/>
  <c r="N283" i="6"/>
  <c r="O283" i="6"/>
  <c r="P283" i="6"/>
  <c r="R283" i="6"/>
  <c r="S283" i="6"/>
  <c r="N284" i="6"/>
  <c r="O284" i="6"/>
  <c r="P284" i="6"/>
  <c r="R284" i="6"/>
  <c r="S284" i="6"/>
  <c r="N285" i="6"/>
  <c r="O285" i="6"/>
  <c r="P285" i="6"/>
  <c r="R285" i="6"/>
  <c r="S285" i="6"/>
  <c r="N286" i="6"/>
  <c r="O286" i="6"/>
  <c r="P286" i="6"/>
  <c r="R286" i="6"/>
  <c r="S286" i="6"/>
  <c r="N287" i="6"/>
  <c r="O287" i="6"/>
  <c r="P287" i="6"/>
  <c r="R287" i="6"/>
  <c r="S287" i="6"/>
  <c r="N288" i="6"/>
  <c r="O288" i="6"/>
  <c r="P288" i="6"/>
  <c r="R288" i="6"/>
  <c r="S288" i="6"/>
  <c r="N289" i="6"/>
  <c r="O289" i="6"/>
  <c r="P289" i="6"/>
  <c r="R289" i="6"/>
  <c r="S289" i="6"/>
  <c r="N290" i="6"/>
  <c r="O290" i="6"/>
  <c r="P290" i="6"/>
  <c r="R290" i="6"/>
  <c r="S290" i="6"/>
  <c r="N291" i="6"/>
  <c r="O291" i="6"/>
  <c r="P291" i="6"/>
  <c r="R291" i="6"/>
  <c r="S291" i="6"/>
  <c r="N292" i="6"/>
  <c r="O292" i="6"/>
  <c r="P292" i="6"/>
  <c r="R292" i="6"/>
  <c r="S292" i="6"/>
  <c r="N293" i="6"/>
  <c r="O293" i="6"/>
  <c r="P293" i="6"/>
  <c r="R293" i="6"/>
  <c r="S293" i="6"/>
  <c r="N294" i="6"/>
  <c r="O294" i="6"/>
  <c r="P294" i="6"/>
  <c r="R294" i="6"/>
  <c r="S294" i="6"/>
  <c r="N295" i="6"/>
  <c r="O295" i="6"/>
  <c r="P295" i="6"/>
  <c r="R295" i="6"/>
  <c r="S295" i="6"/>
  <c r="N296" i="6"/>
  <c r="O296" i="6"/>
  <c r="P296" i="6"/>
  <c r="R296" i="6"/>
  <c r="S296" i="6"/>
  <c r="N297" i="6"/>
  <c r="O297" i="6"/>
  <c r="P297" i="6"/>
  <c r="R297" i="6"/>
  <c r="S297" i="6"/>
  <c r="N298" i="6"/>
  <c r="O298" i="6"/>
  <c r="P298" i="6"/>
  <c r="R298" i="6"/>
  <c r="S298" i="6"/>
  <c r="N299" i="6"/>
  <c r="O299" i="6"/>
  <c r="P299" i="6"/>
  <c r="R299" i="6"/>
  <c r="S299" i="6"/>
  <c r="N300" i="6"/>
  <c r="O300" i="6"/>
  <c r="P300" i="6"/>
  <c r="R300" i="6"/>
  <c r="S300" i="6"/>
  <c r="N301" i="6"/>
  <c r="O301" i="6"/>
  <c r="P301" i="6"/>
  <c r="R301" i="6"/>
  <c r="S301" i="6"/>
  <c r="N302" i="6"/>
  <c r="O302" i="6"/>
  <c r="P302" i="6"/>
  <c r="R302" i="6"/>
  <c r="S302" i="6"/>
  <c r="N303" i="6"/>
  <c r="O303" i="6"/>
  <c r="P303" i="6"/>
  <c r="R303" i="6"/>
  <c r="S303" i="6"/>
  <c r="N304" i="6"/>
  <c r="O304" i="6"/>
  <c r="P304" i="6"/>
  <c r="R304" i="6"/>
  <c r="S304" i="6"/>
  <c r="N305" i="6"/>
  <c r="O305" i="6"/>
  <c r="P305" i="6"/>
  <c r="R305" i="6"/>
  <c r="S305" i="6"/>
  <c r="N306" i="6"/>
  <c r="O306" i="6"/>
  <c r="P306" i="6"/>
  <c r="R306" i="6"/>
  <c r="S306" i="6"/>
  <c r="N307" i="6"/>
  <c r="O307" i="6"/>
  <c r="P307" i="6"/>
  <c r="R307" i="6"/>
  <c r="S307" i="6"/>
  <c r="N308" i="6"/>
  <c r="O308" i="6"/>
  <c r="P308" i="6"/>
  <c r="R308" i="6"/>
  <c r="S308" i="6"/>
  <c r="N309" i="6"/>
  <c r="O309" i="6"/>
  <c r="P309" i="6"/>
  <c r="R309" i="6"/>
  <c r="S309" i="6"/>
  <c r="N310" i="6"/>
  <c r="O310" i="6"/>
  <c r="P310" i="6"/>
  <c r="R310" i="6"/>
  <c r="S310" i="6"/>
  <c r="N311" i="6"/>
  <c r="O311" i="6"/>
  <c r="P311" i="6"/>
  <c r="R311" i="6"/>
  <c r="S311" i="6"/>
  <c r="N312" i="6"/>
  <c r="O312" i="6"/>
  <c r="P312" i="6"/>
  <c r="R312" i="6"/>
  <c r="S312" i="6"/>
  <c r="N313" i="6"/>
  <c r="O313" i="6"/>
  <c r="P313" i="6"/>
  <c r="R313" i="6"/>
  <c r="S313" i="6"/>
  <c r="N314" i="6"/>
  <c r="O314" i="6"/>
  <c r="P314" i="6"/>
  <c r="R314" i="6"/>
  <c r="S314" i="6"/>
  <c r="N315" i="6"/>
  <c r="O315" i="6"/>
  <c r="P315" i="6"/>
  <c r="R315" i="6"/>
  <c r="S315" i="6"/>
  <c r="N316" i="6"/>
  <c r="O316" i="6"/>
  <c r="P316" i="6"/>
  <c r="R316" i="6"/>
  <c r="S316" i="6"/>
  <c r="N317" i="6"/>
  <c r="O317" i="6"/>
  <c r="P317" i="6"/>
  <c r="R317" i="6"/>
  <c r="S317" i="6"/>
  <c r="N318" i="6"/>
  <c r="O318" i="6"/>
  <c r="P318" i="6"/>
  <c r="R318" i="6"/>
  <c r="S318" i="6"/>
  <c r="N319" i="6"/>
  <c r="O319" i="6"/>
  <c r="P319" i="6"/>
  <c r="R319" i="6"/>
  <c r="S319" i="6"/>
  <c r="N320" i="6"/>
  <c r="O320" i="6"/>
  <c r="P320" i="6"/>
  <c r="R320" i="6"/>
  <c r="S320" i="6"/>
  <c r="N321" i="6"/>
  <c r="O321" i="6"/>
  <c r="P321" i="6"/>
  <c r="R321" i="6"/>
  <c r="S321" i="6"/>
  <c r="N322" i="6"/>
  <c r="O322" i="6"/>
  <c r="P322" i="6"/>
  <c r="R322" i="6"/>
  <c r="S322" i="6"/>
  <c r="N323" i="6"/>
  <c r="O323" i="6"/>
  <c r="P323" i="6"/>
  <c r="R323" i="6"/>
  <c r="S323" i="6"/>
  <c r="N324" i="6"/>
  <c r="O324" i="6"/>
  <c r="P324" i="6"/>
  <c r="R324" i="6"/>
  <c r="S324" i="6"/>
  <c r="N325" i="6"/>
  <c r="O325" i="6"/>
  <c r="P325" i="6"/>
  <c r="R325" i="6"/>
  <c r="S325" i="6"/>
  <c r="N326" i="6"/>
  <c r="O326" i="6"/>
  <c r="P326" i="6"/>
  <c r="R326" i="6"/>
  <c r="S326" i="6"/>
  <c r="N327" i="6"/>
  <c r="O327" i="6"/>
  <c r="P327" i="6"/>
  <c r="R327" i="6"/>
  <c r="S327" i="6"/>
  <c r="N328" i="6"/>
  <c r="O328" i="6"/>
  <c r="P328" i="6"/>
  <c r="R328" i="6"/>
  <c r="S328" i="6"/>
  <c r="N329" i="6"/>
  <c r="O329" i="6"/>
  <c r="P329" i="6"/>
  <c r="R329" i="6"/>
  <c r="S329" i="6"/>
  <c r="N330" i="6"/>
  <c r="O330" i="6"/>
  <c r="P330" i="6"/>
  <c r="R330" i="6"/>
  <c r="S330" i="6"/>
  <c r="N331" i="6"/>
  <c r="O331" i="6"/>
  <c r="P331" i="6"/>
  <c r="R331" i="6"/>
  <c r="S331" i="6"/>
  <c r="N332" i="6"/>
  <c r="O332" i="6"/>
  <c r="P332" i="6"/>
  <c r="R332" i="6"/>
  <c r="S332" i="6"/>
  <c r="N333" i="6"/>
  <c r="O333" i="6"/>
  <c r="P333" i="6"/>
  <c r="R333" i="6"/>
  <c r="S333" i="6"/>
  <c r="N334" i="6"/>
  <c r="O334" i="6"/>
  <c r="P334" i="6"/>
  <c r="R334" i="6"/>
  <c r="S334" i="6"/>
  <c r="N335" i="6"/>
  <c r="O335" i="6"/>
  <c r="P335" i="6"/>
  <c r="R335" i="6"/>
  <c r="S335" i="6"/>
  <c r="N336" i="6"/>
  <c r="O336" i="6"/>
  <c r="P336" i="6"/>
  <c r="R336" i="6"/>
  <c r="S336" i="6"/>
  <c r="N337" i="6"/>
  <c r="O337" i="6"/>
  <c r="P337" i="6"/>
  <c r="R337" i="6"/>
  <c r="S337" i="6"/>
  <c r="N338" i="6"/>
  <c r="O338" i="6"/>
  <c r="P338" i="6"/>
  <c r="R338" i="6"/>
  <c r="S338" i="6"/>
  <c r="N339" i="6"/>
  <c r="O339" i="6"/>
  <c r="P339" i="6"/>
  <c r="R339" i="6"/>
  <c r="S339" i="6"/>
  <c r="N340" i="6"/>
  <c r="O340" i="6"/>
  <c r="P340" i="6"/>
  <c r="R340" i="6"/>
  <c r="S340" i="6"/>
  <c r="N341" i="6"/>
  <c r="O341" i="6"/>
  <c r="P341" i="6"/>
  <c r="R341" i="6"/>
  <c r="S341" i="6"/>
  <c r="N342" i="6"/>
  <c r="O342" i="6"/>
  <c r="P342" i="6"/>
  <c r="R342" i="6"/>
  <c r="S342" i="6"/>
  <c r="N343" i="6"/>
  <c r="O343" i="6"/>
  <c r="P343" i="6"/>
  <c r="R343" i="6"/>
  <c r="S343" i="6"/>
  <c r="N344" i="6"/>
  <c r="O344" i="6"/>
  <c r="P344" i="6"/>
  <c r="R344" i="6"/>
  <c r="S344" i="6"/>
  <c r="N345" i="6"/>
  <c r="O345" i="6"/>
  <c r="P345" i="6"/>
  <c r="R345" i="6"/>
  <c r="S345" i="6"/>
  <c r="R9" i="6"/>
  <c r="S9" i="6"/>
  <c r="R10" i="6"/>
  <c r="S10" i="6"/>
  <c r="R11" i="6"/>
  <c r="S11" i="6"/>
  <c r="R12" i="6"/>
  <c r="S12" i="6"/>
  <c r="R13" i="6"/>
  <c r="S13" i="6"/>
  <c r="R14" i="6"/>
  <c r="S14" i="6"/>
  <c r="R15" i="6"/>
  <c r="S15" i="6"/>
  <c r="R16" i="6"/>
  <c r="S16" i="6"/>
  <c r="R17" i="6"/>
  <c r="S17" i="6"/>
  <c r="R18" i="6"/>
  <c r="S18" i="6"/>
  <c r="R19" i="6"/>
  <c r="S19" i="6"/>
  <c r="R20" i="6"/>
  <c r="S20" i="6"/>
  <c r="R21" i="6"/>
  <c r="S21" i="6"/>
  <c r="R22" i="6"/>
  <c r="S22" i="6"/>
  <c r="R23" i="6"/>
  <c r="S23" i="6"/>
  <c r="R24" i="6"/>
  <c r="S24" i="6"/>
  <c r="R25" i="6"/>
  <c r="S25" i="6"/>
  <c r="R26" i="6"/>
  <c r="S26" i="6"/>
  <c r="R27" i="6"/>
  <c r="S27" i="6"/>
  <c r="R28" i="6"/>
  <c r="S28" i="6"/>
  <c r="R29" i="6"/>
  <c r="S29" i="6"/>
  <c r="R30" i="6"/>
  <c r="S30" i="6"/>
  <c r="R31" i="6"/>
  <c r="S31" i="6"/>
  <c r="R32" i="6"/>
  <c r="S32" i="6"/>
  <c r="R33" i="6"/>
  <c r="S33" i="6"/>
  <c r="R34" i="6"/>
  <c r="S34" i="6"/>
  <c r="R35" i="6"/>
  <c r="S35" i="6"/>
  <c r="R36" i="6"/>
  <c r="S36" i="6"/>
  <c r="R37" i="6"/>
  <c r="S37" i="6"/>
  <c r="R38" i="6"/>
  <c r="S38" i="6"/>
  <c r="R39" i="6"/>
  <c r="S39" i="6"/>
  <c r="R40" i="6"/>
  <c r="S40" i="6"/>
  <c r="R41" i="6"/>
  <c r="S41" i="6"/>
  <c r="R42" i="6"/>
  <c r="S42" i="6"/>
  <c r="R43" i="6"/>
  <c r="S43" i="6"/>
  <c r="R44" i="6"/>
  <c r="S44" i="6"/>
  <c r="R45" i="6"/>
  <c r="S45" i="6"/>
  <c r="R46" i="6"/>
  <c r="S46" i="6"/>
  <c r="R47" i="6"/>
  <c r="S47" i="6"/>
  <c r="R48" i="6"/>
  <c r="S48" i="6"/>
  <c r="R49" i="6"/>
  <c r="S49" i="6"/>
  <c r="R50" i="6"/>
  <c r="S50" i="6"/>
  <c r="R51" i="6"/>
  <c r="S51" i="6"/>
  <c r="R52" i="6"/>
  <c r="S52" i="6"/>
  <c r="R53" i="6"/>
  <c r="S53" i="6"/>
  <c r="R54" i="6"/>
  <c r="S54" i="6"/>
  <c r="R55" i="6"/>
  <c r="S55" i="6"/>
  <c r="R56" i="6"/>
  <c r="S56" i="6"/>
  <c r="R57" i="6"/>
  <c r="S57" i="6"/>
  <c r="R58" i="6"/>
  <c r="S58" i="6"/>
  <c r="R59" i="6"/>
  <c r="S59" i="6"/>
  <c r="R60" i="6"/>
  <c r="S60" i="6"/>
  <c r="R61" i="6"/>
  <c r="S61" i="6"/>
  <c r="R62" i="6"/>
  <c r="S62" i="6"/>
  <c r="R63" i="6"/>
  <c r="S63" i="6"/>
  <c r="R64" i="6"/>
  <c r="S64" i="6"/>
  <c r="R65" i="6"/>
  <c r="S65" i="6"/>
  <c r="R66" i="6"/>
  <c r="S66" i="6"/>
  <c r="R67" i="6"/>
  <c r="S67" i="6"/>
  <c r="R68" i="6"/>
  <c r="S68" i="6"/>
  <c r="R69" i="6"/>
  <c r="S69" i="6"/>
  <c r="R70" i="6"/>
  <c r="S70" i="6"/>
  <c r="R71" i="6"/>
  <c r="S71" i="6"/>
  <c r="R72" i="6"/>
  <c r="S72" i="6"/>
  <c r="R73" i="6"/>
  <c r="S73" i="6"/>
  <c r="R74" i="6"/>
  <c r="S74" i="6"/>
  <c r="R75" i="6"/>
  <c r="S75" i="6"/>
  <c r="R76" i="6"/>
  <c r="S76" i="6"/>
  <c r="R77" i="6"/>
  <c r="S77" i="6"/>
  <c r="R78" i="6"/>
  <c r="S78" i="6"/>
  <c r="R79" i="6"/>
  <c r="S79" i="6"/>
  <c r="R80" i="6"/>
  <c r="S80" i="6"/>
  <c r="R81" i="6"/>
  <c r="S81" i="6"/>
  <c r="R82" i="6"/>
  <c r="S82" i="6"/>
  <c r="R83" i="6"/>
  <c r="S83" i="6"/>
  <c r="R84" i="6"/>
  <c r="S84" i="6"/>
  <c r="R85" i="6"/>
  <c r="S85" i="6"/>
  <c r="R86" i="6"/>
  <c r="S86" i="6"/>
  <c r="R87" i="6"/>
  <c r="S87" i="6"/>
  <c r="R88" i="6"/>
  <c r="S88" i="6"/>
  <c r="R89" i="6"/>
  <c r="S89" i="6"/>
  <c r="R90" i="6"/>
  <c r="S90" i="6"/>
  <c r="R91" i="6"/>
  <c r="S91" i="6"/>
  <c r="R92" i="6"/>
  <c r="S92" i="6"/>
  <c r="R93" i="6"/>
  <c r="S93" i="6"/>
  <c r="R94" i="6"/>
  <c r="S94" i="6"/>
  <c r="R95" i="6"/>
  <c r="S95" i="6"/>
  <c r="R96" i="6"/>
  <c r="S96" i="6"/>
  <c r="R97" i="6"/>
  <c r="S97" i="6"/>
  <c r="R98" i="6"/>
  <c r="S98" i="6"/>
  <c r="R99" i="6"/>
  <c r="S99" i="6"/>
  <c r="R100" i="6"/>
  <c r="S100" i="6"/>
  <c r="R101" i="6"/>
  <c r="S101" i="6"/>
  <c r="R102" i="6"/>
  <c r="S102" i="6"/>
  <c r="R103" i="6"/>
  <c r="S103" i="6"/>
  <c r="R104" i="6"/>
  <c r="S104" i="6"/>
  <c r="R105" i="6"/>
  <c r="S105" i="6"/>
  <c r="R106" i="6"/>
  <c r="S106" i="6"/>
  <c r="R107" i="6"/>
  <c r="S107" i="6"/>
  <c r="R108" i="6"/>
  <c r="S108" i="6"/>
  <c r="R109" i="6"/>
  <c r="S109" i="6"/>
  <c r="R110" i="6"/>
  <c r="S110" i="6"/>
  <c r="R111" i="6"/>
  <c r="S111" i="6"/>
  <c r="R112" i="6"/>
  <c r="S112" i="6"/>
  <c r="R113" i="6"/>
  <c r="S113" i="6"/>
  <c r="R114" i="6"/>
  <c r="S114" i="6"/>
  <c r="R115" i="6"/>
  <c r="S115" i="6"/>
  <c r="R116" i="6"/>
  <c r="S116" i="6"/>
  <c r="R117" i="6"/>
  <c r="S117" i="6"/>
  <c r="R118" i="6"/>
  <c r="S118" i="6"/>
  <c r="R119" i="6"/>
  <c r="S119" i="6"/>
  <c r="R120" i="6"/>
  <c r="S120" i="6"/>
  <c r="R121" i="6"/>
  <c r="S121" i="6"/>
  <c r="R122" i="6"/>
  <c r="S122" i="6"/>
  <c r="R123" i="6"/>
  <c r="S123" i="6"/>
  <c r="R124" i="6"/>
  <c r="S124" i="6"/>
  <c r="R125" i="6"/>
  <c r="S125" i="6"/>
  <c r="R126" i="6"/>
  <c r="S126" i="6"/>
  <c r="R127" i="6"/>
  <c r="S127" i="6"/>
  <c r="R128" i="6"/>
  <c r="S128" i="6"/>
  <c r="R129" i="6"/>
  <c r="S129" i="6"/>
  <c r="R130" i="6"/>
  <c r="S130" i="6"/>
  <c r="R131" i="6"/>
  <c r="S131" i="6"/>
  <c r="R132" i="6"/>
  <c r="S132" i="6"/>
  <c r="R133" i="6"/>
  <c r="S133" i="6"/>
  <c r="R134" i="6"/>
  <c r="S134" i="6"/>
  <c r="R135" i="6"/>
  <c r="S135" i="6"/>
  <c r="R136" i="6"/>
  <c r="S136" i="6"/>
  <c r="R137" i="6"/>
  <c r="S137" i="6"/>
  <c r="R138" i="6"/>
  <c r="S138" i="6"/>
  <c r="R139" i="6"/>
  <c r="S139" i="6"/>
  <c r="R140" i="6"/>
  <c r="S140" i="6"/>
  <c r="R141" i="6"/>
  <c r="S141" i="6"/>
  <c r="R142" i="6"/>
  <c r="S142" i="6"/>
  <c r="R143" i="6"/>
  <c r="S143" i="6"/>
  <c r="R144" i="6"/>
  <c r="S144" i="6"/>
  <c r="R145" i="6"/>
  <c r="S145" i="6"/>
  <c r="R146" i="6"/>
  <c r="S146" i="6"/>
  <c r="R147" i="6"/>
  <c r="S147" i="6"/>
  <c r="R148" i="6"/>
  <c r="S148" i="6"/>
  <c r="R149" i="6"/>
  <c r="S149" i="6"/>
  <c r="R150" i="6"/>
  <c r="S150" i="6"/>
  <c r="R151" i="6"/>
  <c r="S151" i="6"/>
  <c r="R152" i="6"/>
  <c r="S152" i="6"/>
  <c r="R153" i="6"/>
  <c r="S153" i="6"/>
  <c r="R154" i="6"/>
  <c r="S154" i="6"/>
  <c r="R155" i="6"/>
  <c r="S155" i="6"/>
  <c r="R156" i="6"/>
  <c r="S156" i="6"/>
  <c r="R157" i="6"/>
  <c r="S157" i="6"/>
  <c r="R158" i="6"/>
  <c r="S158" i="6"/>
  <c r="R159" i="6"/>
  <c r="S159" i="6"/>
  <c r="R160" i="6"/>
  <c r="S160" i="6"/>
  <c r="R161" i="6"/>
  <c r="S161" i="6"/>
  <c r="R162" i="6"/>
  <c r="S162" i="6"/>
  <c r="R163" i="6"/>
  <c r="S163" i="6"/>
  <c r="R164" i="6"/>
  <c r="S164" i="6"/>
  <c r="R165" i="6"/>
  <c r="S165" i="6"/>
  <c r="R166" i="6"/>
  <c r="S166" i="6"/>
  <c r="R167" i="6"/>
  <c r="S167" i="6"/>
  <c r="R168" i="6"/>
  <c r="S168" i="6"/>
  <c r="R169" i="6"/>
  <c r="S169" i="6"/>
  <c r="R170" i="6"/>
  <c r="S170" i="6"/>
  <c r="R171" i="6"/>
  <c r="S171" i="6"/>
  <c r="R172" i="6"/>
  <c r="S172" i="6"/>
  <c r="R173" i="6"/>
  <c r="S173" i="6"/>
  <c r="R174" i="6"/>
  <c r="S174" i="6"/>
  <c r="R175" i="6"/>
  <c r="S175" i="6"/>
  <c r="R176" i="6"/>
  <c r="S176" i="6"/>
  <c r="R177" i="6"/>
  <c r="S177" i="6"/>
  <c r="R178" i="6"/>
  <c r="S178" i="6"/>
  <c r="R179" i="6"/>
  <c r="S179" i="6"/>
  <c r="R180" i="6"/>
  <c r="S180" i="6"/>
  <c r="R181" i="6"/>
  <c r="S181" i="6"/>
  <c r="R182" i="6"/>
  <c r="S182" i="6"/>
  <c r="R183" i="6"/>
  <c r="S183" i="6"/>
  <c r="R184" i="6"/>
  <c r="S184" i="6"/>
  <c r="R185" i="6"/>
  <c r="S185" i="6"/>
  <c r="R186" i="6"/>
  <c r="S186" i="6"/>
  <c r="R187" i="6"/>
  <c r="S187" i="6"/>
  <c r="R188" i="6"/>
  <c r="S188" i="6"/>
  <c r="R189" i="6"/>
  <c r="S189" i="6"/>
  <c r="R190" i="6"/>
  <c r="S190" i="6"/>
  <c r="R191" i="6"/>
  <c r="S191" i="6"/>
  <c r="R192" i="6"/>
  <c r="S192" i="6"/>
  <c r="R193" i="6"/>
  <c r="S193" i="6"/>
  <c r="R194" i="6"/>
  <c r="S194" i="6"/>
  <c r="R195" i="6"/>
  <c r="S195" i="6"/>
  <c r="R196" i="6"/>
  <c r="S196" i="6"/>
  <c r="R197" i="6"/>
  <c r="S197" i="6"/>
  <c r="R198" i="6"/>
  <c r="S198" i="6"/>
  <c r="R199" i="6"/>
  <c r="S199" i="6"/>
  <c r="R200" i="6"/>
  <c r="S200" i="6"/>
  <c r="R201" i="6"/>
  <c r="S201" i="6"/>
  <c r="R202" i="6"/>
  <c r="S202" i="6"/>
  <c r="R203" i="6"/>
  <c r="S203" i="6"/>
  <c r="R204" i="6"/>
  <c r="S204" i="6"/>
  <c r="O9" i="6"/>
  <c r="P9" i="6"/>
  <c r="N10" i="6"/>
  <c r="O10" i="6"/>
  <c r="P10" i="6"/>
  <c r="N11" i="6"/>
  <c r="O11" i="6"/>
  <c r="P11" i="6"/>
  <c r="N12" i="6"/>
  <c r="O12" i="6"/>
  <c r="P12" i="6"/>
  <c r="N13" i="6"/>
  <c r="O13" i="6"/>
  <c r="P13" i="6"/>
  <c r="N14" i="6"/>
  <c r="O14" i="6"/>
  <c r="P14" i="6"/>
  <c r="N15" i="6"/>
  <c r="O15" i="6"/>
  <c r="P15" i="6"/>
  <c r="N16" i="6"/>
  <c r="O16" i="6"/>
  <c r="P16" i="6"/>
  <c r="N17" i="6"/>
  <c r="O17" i="6"/>
  <c r="P17" i="6"/>
  <c r="N18" i="6"/>
  <c r="O18" i="6"/>
  <c r="P18" i="6"/>
  <c r="N19" i="6"/>
  <c r="O19" i="6"/>
  <c r="P19" i="6"/>
  <c r="N20" i="6"/>
  <c r="O20" i="6"/>
  <c r="P20" i="6"/>
  <c r="N21" i="6"/>
  <c r="O21" i="6"/>
  <c r="P21" i="6"/>
  <c r="N22" i="6"/>
  <c r="O22" i="6"/>
  <c r="P22" i="6"/>
  <c r="N23" i="6"/>
  <c r="O23" i="6"/>
  <c r="P23" i="6"/>
  <c r="N24" i="6"/>
  <c r="O24" i="6"/>
  <c r="P24" i="6"/>
  <c r="N25" i="6"/>
  <c r="O25" i="6"/>
  <c r="P25" i="6"/>
  <c r="N26" i="6"/>
  <c r="O26" i="6"/>
  <c r="P26" i="6"/>
  <c r="N27" i="6"/>
  <c r="O27" i="6"/>
  <c r="P27" i="6"/>
  <c r="N28" i="6"/>
  <c r="O28" i="6"/>
  <c r="P28" i="6"/>
  <c r="N29" i="6"/>
  <c r="O29" i="6"/>
  <c r="P29" i="6"/>
  <c r="N30" i="6"/>
  <c r="O30" i="6"/>
  <c r="P30" i="6"/>
  <c r="N31" i="6"/>
  <c r="O31" i="6"/>
  <c r="P31" i="6"/>
  <c r="N32" i="6"/>
  <c r="O32" i="6"/>
  <c r="P32" i="6"/>
  <c r="N33" i="6"/>
  <c r="O33" i="6"/>
  <c r="P33" i="6"/>
  <c r="N34" i="6"/>
  <c r="O34" i="6"/>
  <c r="P34" i="6"/>
  <c r="N35" i="6"/>
  <c r="O35" i="6"/>
  <c r="P35" i="6"/>
  <c r="N36" i="6"/>
  <c r="O36" i="6"/>
  <c r="P36" i="6"/>
  <c r="N37" i="6"/>
  <c r="O37" i="6"/>
  <c r="P37" i="6"/>
  <c r="N38" i="6"/>
  <c r="O38" i="6"/>
  <c r="P38" i="6"/>
  <c r="N39" i="6"/>
  <c r="O39" i="6"/>
  <c r="P39" i="6"/>
  <c r="N40" i="6"/>
  <c r="O40" i="6"/>
  <c r="P40" i="6"/>
  <c r="N41" i="6"/>
  <c r="O41" i="6"/>
  <c r="P41" i="6"/>
  <c r="N42" i="6"/>
  <c r="O42" i="6"/>
  <c r="P42" i="6"/>
  <c r="N43" i="6"/>
  <c r="O43" i="6"/>
  <c r="P43" i="6"/>
  <c r="N44" i="6"/>
  <c r="O44" i="6"/>
  <c r="P44" i="6"/>
  <c r="N45" i="6"/>
  <c r="O45" i="6"/>
  <c r="P45" i="6"/>
  <c r="N46" i="6"/>
  <c r="O46" i="6"/>
  <c r="P46" i="6"/>
  <c r="N47" i="6"/>
  <c r="O47" i="6"/>
  <c r="P47" i="6"/>
  <c r="N48" i="6"/>
  <c r="O48" i="6"/>
  <c r="P48" i="6"/>
  <c r="N49" i="6"/>
  <c r="O49" i="6"/>
  <c r="P49" i="6"/>
  <c r="N50" i="6"/>
  <c r="O50" i="6"/>
  <c r="P50" i="6"/>
  <c r="N51" i="6"/>
  <c r="O51" i="6"/>
  <c r="P51" i="6"/>
  <c r="N52" i="6"/>
  <c r="O52" i="6"/>
  <c r="P52" i="6"/>
  <c r="N53" i="6"/>
  <c r="O53" i="6"/>
  <c r="P53" i="6"/>
  <c r="N54" i="6"/>
  <c r="O54" i="6"/>
  <c r="P54" i="6"/>
  <c r="N55" i="6"/>
  <c r="O55" i="6"/>
  <c r="P55" i="6"/>
  <c r="N56" i="6"/>
  <c r="O56" i="6"/>
  <c r="P56" i="6"/>
  <c r="N57" i="6"/>
  <c r="O57" i="6"/>
  <c r="P57" i="6"/>
  <c r="N58" i="6"/>
  <c r="O58" i="6"/>
  <c r="P58" i="6"/>
  <c r="N59" i="6"/>
  <c r="O59" i="6"/>
  <c r="P59" i="6"/>
  <c r="N60" i="6"/>
  <c r="O60" i="6"/>
  <c r="P60" i="6"/>
  <c r="N61" i="6"/>
  <c r="O61" i="6"/>
  <c r="P61" i="6"/>
  <c r="N62" i="6"/>
  <c r="O62" i="6"/>
  <c r="P62" i="6"/>
  <c r="N63" i="6"/>
  <c r="O63" i="6"/>
  <c r="P63" i="6"/>
  <c r="N64" i="6"/>
  <c r="O64" i="6"/>
  <c r="P64" i="6"/>
  <c r="N65" i="6"/>
  <c r="O65" i="6"/>
  <c r="P65" i="6"/>
  <c r="N66" i="6"/>
  <c r="O66" i="6"/>
  <c r="P66" i="6"/>
  <c r="N67" i="6"/>
  <c r="O67" i="6"/>
  <c r="P67" i="6"/>
  <c r="N68" i="6"/>
  <c r="O68" i="6"/>
  <c r="P68" i="6"/>
  <c r="N69" i="6"/>
  <c r="O69" i="6"/>
  <c r="P69" i="6"/>
  <c r="N70" i="6"/>
  <c r="O70" i="6"/>
  <c r="P70" i="6"/>
  <c r="N71" i="6"/>
  <c r="O71" i="6"/>
  <c r="P71" i="6"/>
  <c r="N72" i="6"/>
  <c r="O72" i="6"/>
  <c r="P72" i="6"/>
  <c r="N73" i="6"/>
  <c r="O73" i="6"/>
  <c r="P73" i="6"/>
  <c r="N74" i="6"/>
  <c r="O74" i="6"/>
  <c r="P74" i="6"/>
  <c r="N75" i="6"/>
  <c r="O75" i="6"/>
  <c r="P75" i="6"/>
  <c r="N76" i="6"/>
  <c r="O76" i="6"/>
  <c r="P76" i="6"/>
  <c r="N77" i="6"/>
  <c r="O77" i="6"/>
  <c r="P77" i="6"/>
  <c r="N78" i="6"/>
  <c r="O78" i="6"/>
  <c r="P78" i="6"/>
  <c r="N79" i="6"/>
  <c r="O79" i="6"/>
  <c r="P79" i="6"/>
  <c r="N80" i="6"/>
  <c r="O80" i="6"/>
  <c r="P80" i="6"/>
  <c r="N81" i="6"/>
  <c r="O81" i="6"/>
  <c r="P81" i="6"/>
  <c r="N82" i="6"/>
  <c r="O82" i="6"/>
  <c r="P82" i="6"/>
  <c r="N83" i="6"/>
  <c r="O83" i="6"/>
  <c r="P83" i="6"/>
  <c r="N84" i="6"/>
  <c r="O84" i="6"/>
  <c r="P84" i="6"/>
  <c r="N85" i="6"/>
  <c r="O85" i="6"/>
  <c r="P85" i="6"/>
  <c r="N86" i="6"/>
  <c r="O86" i="6"/>
  <c r="P86" i="6"/>
  <c r="N87" i="6"/>
  <c r="O87" i="6"/>
  <c r="P87" i="6"/>
  <c r="N88" i="6"/>
  <c r="O88" i="6"/>
  <c r="P88" i="6"/>
  <c r="N89" i="6"/>
  <c r="O89" i="6"/>
  <c r="P89" i="6"/>
  <c r="N90" i="6"/>
  <c r="O90" i="6"/>
  <c r="P90" i="6"/>
  <c r="N91" i="6"/>
  <c r="O91" i="6"/>
  <c r="P91" i="6"/>
  <c r="N92" i="6"/>
  <c r="O92" i="6"/>
  <c r="P92" i="6"/>
  <c r="N93" i="6"/>
  <c r="O93" i="6"/>
  <c r="P93" i="6"/>
  <c r="N94" i="6"/>
  <c r="O94" i="6"/>
  <c r="P94" i="6"/>
  <c r="N95" i="6"/>
  <c r="O95" i="6"/>
  <c r="P95" i="6"/>
  <c r="N96" i="6"/>
  <c r="O96" i="6"/>
  <c r="P96" i="6"/>
  <c r="N97" i="6"/>
  <c r="O97" i="6"/>
  <c r="P97" i="6"/>
  <c r="N98" i="6"/>
  <c r="O98" i="6"/>
  <c r="P98" i="6"/>
  <c r="N99" i="6"/>
  <c r="O99" i="6"/>
  <c r="P99" i="6"/>
  <c r="N100" i="6"/>
  <c r="O100" i="6"/>
  <c r="P100" i="6"/>
  <c r="N101" i="6"/>
  <c r="O101" i="6"/>
  <c r="P101" i="6"/>
  <c r="N102" i="6"/>
  <c r="O102" i="6"/>
  <c r="P102" i="6"/>
  <c r="N103" i="6"/>
  <c r="O103" i="6"/>
  <c r="P103" i="6"/>
  <c r="N104" i="6"/>
  <c r="O104" i="6"/>
  <c r="P104" i="6"/>
  <c r="N105" i="6"/>
  <c r="O105" i="6"/>
  <c r="P105" i="6"/>
  <c r="N106" i="6"/>
  <c r="O106" i="6"/>
  <c r="P106" i="6"/>
  <c r="N107" i="6"/>
  <c r="O107" i="6"/>
  <c r="P107" i="6"/>
  <c r="N108" i="6"/>
  <c r="O108" i="6"/>
  <c r="P108" i="6"/>
  <c r="N109" i="6"/>
  <c r="O109" i="6"/>
  <c r="P109" i="6"/>
  <c r="N110" i="6"/>
  <c r="O110" i="6"/>
  <c r="P110" i="6"/>
  <c r="N111" i="6"/>
  <c r="O111" i="6"/>
  <c r="P111" i="6"/>
  <c r="N112" i="6"/>
  <c r="O112" i="6"/>
  <c r="P112" i="6"/>
  <c r="N113" i="6"/>
  <c r="O113" i="6"/>
  <c r="P113" i="6"/>
  <c r="N114" i="6"/>
  <c r="O114" i="6"/>
  <c r="P114" i="6"/>
  <c r="N115" i="6"/>
  <c r="O115" i="6"/>
  <c r="P115" i="6"/>
  <c r="N116" i="6"/>
  <c r="O116" i="6"/>
  <c r="P116" i="6"/>
  <c r="N117" i="6"/>
  <c r="O117" i="6"/>
  <c r="P117" i="6"/>
  <c r="N118" i="6"/>
  <c r="O118" i="6"/>
  <c r="P118" i="6"/>
  <c r="N119" i="6"/>
  <c r="O119" i="6"/>
  <c r="P119" i="6"/>
  <c r="N120" i="6"/>
  <c r="O120" i="6"/>
  <c r="P120" i="6"/>
  <c r="N121" i="6"/>
  <c r="O121" i="6"/>
  <c r="P121" i="6"/>
  <c r="N122" i="6"/>
  <c r="O122" i="6"/>
  <c r="P122" i="6"/>
  <c r="N123" i="6"/>
  <c r="O123" i="6"/>
  <c r="P123" i="6"/>
  <c r="N124" i="6"/>
  <c r="O124" i="6"/>
  <c r="P124" i="6"/>
  <c r="N125" i="6"/>
  <c r="O125" i="6"/>
  <c r="P125" i="6"/>
  <c r="N126" i="6"/>
  <c r="O126" i="6"/>
  <c r="P126" i="6"/>
  <c r="N127" i="6"/>
  <c r="O127" i="6"/>
  <c r="P127" i="6"/>
  <c r="N128" i="6"/>
  <c r="O128" i="6"/>
  <c r="P128" i="6"/>
  <c r="N129" i="6"/>
  <c r="O129" i="6"/>
  <c r="P129" i="6"/>
  <c r="N130" i="6"/>
  <c r="O130" i="6"/>
  <c r="P130" i="6"/>
  <c r="N131" i="6"/>
  <c r="O131" i="6"/>
  <c r="P131" i="6"/>
  <c r="N132" i="6"/>
  <c r="O132" i="6"/>
  <c r="P132" i="6"/>
  <c r="N133" i="6"/>
  <c r="O133" i="6"/>
  <c r="P133" i="6"/>
  <c r="N134" i="6"/>
  <c r="O134" i="6"/>
  <c r="P134" i="6"/>
  <c r="N135" i="6"/>
  <c r="O135" i="6"/>
  <c r="P135" i="6"/>
  <c r="N136" i="6"/>
  <c r="O136" i="6"/>
  <c r="P136" i="6"/>
  <c r="N137" i="6"/>
  <c r="O137" i="6"/>
  <c r="P137" i="6"/>
  <c r="N138" i="6"/>
  <c r="O138" i="6"/>
  <c r="P138" i="6"/>
  <c r="N139" i="6"/>
  <c r="O139" i="6"/>
  <c r="P139" i="6"/>
  <c r="N140" i="6"/>
  <c r="O140" i="6"/>
  <c r="P140" i="6"/>
  <c r="N141" i="6"/>
  <c r="O141" i="6"/>
  <c r="P141" i="6"/>
  <c r="N142" i="6"/>
  <c r="O142" i="6"/>
  <c r="P142" i="6"/>
  <c r="N143" i="6"/>
  <c r="O143" i="6"/>
  <c r="P143" i="6"/>
  <c r="N144" i="6"/>
  <c r="O144" i="6"/>
  <c r="P144" i="6"/>
  <c r="N145" i="6"/>
  <c r="O145" i="6"/>
  <c r="P145" i="6"/>
  <c r="N146" i="6"/>
  <c r="O146" i="6"/>
  <c r="P146" i="6"/>
  <c r="N147" i="6"/>
  <c r="O147" i="6"/>
  <c r="P147" i="6"/>
  <c r="N148" i="6"/>
  <c r="O148" i="6"/>
  <c r="P148" i="6"/>
  <c r="N149" i="6"/>
  <c r="O149" i="6"/>
  <c r="P149" i="6"/>
  <c r="N150" i="6"/>
  <c r="O150" i="6"/>
  <c r="P150" i="6"/>
  <c r="N151" i="6"/>
  <c r="O151" i="6"/>
  <c r="P151" i="6"/>
  <c r="N152" i="6"/>
  <c r="O152" i="6"/>
  <c r="P152" i="6"/>
  <c r="N153" i="6"/>
  <c r="O153" i="6"/>
  <c r="P153" i="6"/>
  <c r="N154" i="6"/>
  <c r="O154" i="6"/>
  <c r="P154" i="6"/>
  <c r="N155" i="6"/>
  <c r="O155" i="6"/>
  <c r="P155" i="6"/>
  <c r="N156" i="6"/>
  <c r="O156" i="6"/>
  <c r="P156" i="6"/>
  <c r="N157" i="6"/>
  <c r="O157" i="6"/>
  <c r="P157" i="6"/>
  <c r="N158" i="6"/>
  <c r="O158" i="6"/>
  <c r="P158" i="6"/>
  <c r="N159" i="6"/>
  <c r="O159" i="6"/>
  <c r="P159" i="6"/>
  <c r="N160" i="6"/>
  <c r="O160" i="6"/>
  <c r="P160" i="6"/>
  <c r="N161" i="6"/>
  <c r="O161" i="6"/>
  <c r="P161" i="6"/>
  <c r="N162" i="6"/>
  <c r="O162" i="6"/>
  <c r="P162" i="6"/>
  <c r="N163" i="6"/>
  <c r="O163" i="6"/>
  <c r="P163" i="6"/>
  <c r="N164" i="6"/>
  <c r="O164" i="6"/>
  <c r="P164" i="6"/>
  <c r="N165" i="6"/>
  <c r="O165" i="6"/>
  <c r="P165" i="6"/>
  <c r="N166" i="6"/>
  <c r="O166" i="6"/>
  <c r="P166" i="6"/>
  <c r="N167" i="6"/>
  <c r="O167" i="6"/>
  <c r="P167" i="6"/>
  <c r="N168" i="6"/>
  <c r="O168" i="6"/>
  <c r="P168" i="6"/>
  <c r="N169" i="6"/>
  <c r="O169" i="6"/>
  <c r="P169" i="6"/>
  <c r="N170" i="6"/>
  <c r="O170" i="6"/>
  <c r="P170" i="6"/>
  <c r="N171" i="6"/>
  <c r="O171" i="6"/>
  <c r="P171" i="6"/>
  <c r="N172" i="6"/>
  <c r="O172" i="6"/>
  <c r="P172" i="6"/>
  <c r="N173" i="6"/>
  <c r="O173" i="6"/>
  <c r="P173" i="6"/>
  <c r="N174" i="6"/>
  <c r="O174" i="6"/>
  <c r="P174" i="6"/>
  <c r="N175" i="6"/>
  <c r="O175" i="6"/>
  <c r="P175" i="6"/>
  <c r="N176" i="6"/>
  <c r="O176" i="6"/>
  <c r="P176" i="6"/>
  <c r="N177" i="6"/>
  <c r="O177" i="6"/>
  <c r="P177" i="6"/>
  <c r="N178" i="6"/>
  <c r="O178" i="6"/>
  <c r="P178" i="6"/>
  <c r="N179" i="6"/>
  <c r="O179" i="6"/>
  <c r="P179" i="6"/>
  <c r="N180" i="6"/>
  <c r="O180" i="6"/>
  <c r="P180" i="6"/>
  <c r="N181" i="6"/>
  <c r="O181" i="6"/>
  <c r="P181" i="6"/>
  <c r="N182" i="6"/>
  <c r="O182" i="6"/>
  <c r="P182" i="6"/>
  <c r="N183" i="6"/>
  <c r="O183" i="6"/>
  <c r="P183" i="6"/>
  <c r="N184" i="6"/>
  <c r="O184" i="6"/>
  <c r="P184" i="6"/>
  <c r="N185" i="6"/>
  <c r="O185" i="6"/>
  <c r="P185" i="6"/>
  <c r="N186" i="6"/>
  <c r="O186" i="6"/>
  <c r="P186" i="6"/>
  <c r="N187" i="6"/>
  <c r="O187" i="6"/>
  <c r="P187" i="6"/>
  <c r="N188" i="6"/>
  <c r="O188" i="6"/>
  <c r="P188" i="6"/>
  <c r="N189" i="6"/>
  <c r="O189" i="6"/>
  <c r="P189" i="6"/>
  <c r="N190" i="6"/>
  <c r="O190" i="6"/>
  <c r="P190" i="6"/>
  <c r="N191" i="6"/>
  <c r="O191" i="6"/>
  <c r="P191" i="6"/>
  <c r="N192" i="6"/>
  <c r="O192" i="6"/>
  <c r="P192" i="6"/>
  <c r="N193" i="6"/>
  <c r="O193" i="6"/>
  <c r="P193" i="6"/>
  <c r="N194" i="6"/>
  <c r="O194" i="6"/>
  <c r="P194" i="6"/>
  <c r="N195" i="6"/>
  <c r="O195" i="6"/>
  <c r="P195" i="6"/>
  <c r="N196" i="6"/>
  <c r="O196" i="6"/>
  <c r="P196" i="6"/>
  <c r="N197" i="6"/>
  <c r="O197" i="6"/>
  <c r="P197" i="6"/>
  <c r="N198" i="6"/>
  <c r="O198" i="6"/>
  <c r="P198" i="6"/>
  <c r="N199" i="6"/>
  <c r="O199" i="6"/>
  <c r="P199" i="6"/>
  <c r="N200" i="6"/>
  <c r="O200" i="6"/>
  <c r="P200" i="6"/>
  <c r="N201" i="6"/>
  <c r="O201" i="6"/>
  <c r="P201" i="6"/>
  <c r="N202" i="6"/>
  <c r="O202" i="6"/>
  <c r="P202" i="6"/>
  <c r="N203" i="6"/>
  <c r="O203" i="6"/>
  <c r="P203" i="6"/>
  <c r="N204" i="6"/>
  <c r="O204" i="6"/>
  <c r="P204" i="6"/>
  <c r="O8" i="6"/>
  <c r="R8" i="6"/>
  <c r="C5" i="5"/>
  <c r="S8" i="6"/>
  <c r="B18" i="5"/>
  <c r="C18" i="5" s="1"/>
  <c r="H17" i="5"/>
  <c r="I17" i="5" s="1"/>
  <c r="AD2" i="5"/>
  <c r="AD33" i="5" s="1"/>
  <c r="J25" i="5" l="1"/>
  <c r="J17" i="5"/>
  <c r="J22" i="5"/>
  <c r="D16" i="5"/>
  <c r="D17" i="5"/>
  <c r="D18" i="5"/>
  <c r="E17" i="5"/>
  <c r="E18" i="5"/>
  <c r="E16" i="5"/>
  <c r="R6" i="6"/>
  <c r="S6" i="6"/>
  <c r="B19" i="5"/>
  <c r="H18" i="5"/>
  <c r="AD4" i="5"/>
  <c r="AD5" i="5" s="1"/>
  <c r="AD6" i="5" s="1"/>
  <c r="AD7" i="5" s="1"/>
  <c r="AD8" i="5" s="1"/>
  <c r="AD9" i="5" s="1"/>
  <c r="AD10" i="5" s="1"/>
  <c r="AD11" i="5" s="1"/>
  <c r="AD13" i="5" s="1"/>
  <c r="AD14" i="5" s="1"/>
  <c r="AD15" i="5" s="1"/>
  <c r="AD16" i="5" s="1"/>
  <c r="AD17" i="5" s="1"/>
  <c r="AD18" i="5" s="1"/>
  <c r="AD19" i="5" s="1"/>
  <c r="AD20" i="5" s="1"/>
  <c r="AD21" i="5" s="1"/>
  <c r="AD22" i="5" s="1"/>
  <c r="AD23" i="5" s="1"/>
  <c r="AD24" i="5" s="1"/>
  <c r="AD25" i="5" s="1"/>
  <c r="AD26" i="5" s="1"/>
  <c r="AD27" i="5" s="1"/>
  <c r="AD28" i="5" s="1"/>
  <c r="AD29" i="5" s="1"/>
  <c r="AD30" i="5" s="1"/>
  <c r="AD31" i="5" s="1"/>
  <c r="AD32" i="5" s="1"/>
  <c r="D19" i="5" l="1"/>
  <c r="I18" i="5"/>
  <c r="C19" i="5"/>
  <c r="B20" i="5" l="1"/>
  <c r="E19" i="5"/>
  <c r="H19" i="5"/>
  <c r="J18" i="5"/>
  <c r="C20" i="5"/>
  <c r="B21" i="5" s="1"/>
  <c r="I19" i="5" l="1"/>
  <c r="H20" i="5" s="1"/>
  <c r="E20" i="5"/>
  <c r="D20" i="5"/>
  <c r="C21" i="5"/>
  <c r="B22" i="5" s="1"/>
  <c r="I20" i="5"/>
  <c r="H21" i="5" s="1"/>
  <c r="J20" i="5" l="1"/>
  <c r="E21" i="5"/>
  <c r="D21" i="5"/>
  <c r="J19" i="5"/>
  <c r="C22" i="5"/>
  <c r="B23" i="5" s="1"/>
  <c r="I21" i="5"/>
  <c r="J21" i="5" s="1"/>
  <c r="D22" i="5" l="1"/>
  <c r="E22" i="5"/>
  <c r="J23" i="5"/>
  <c r="C23" i="5"/>
  <c r="B24" i="5" s="1"/>
  <c r="D23" i="5" l="1"/>
  <c r="E23" i="5"/>
  <c r="C24" i="5"/>
  <c r="B25" i="5" s="1"/>
  <c r="E24" i="5" l="1"/>
  <c r="D24" i="5"/>
  <c r="C25" i="5"/>
  <c r="B26" i="5" s="1"/>
  <c r="D25" i="5" l="1"/>
  <c r="E25" i="5"/>
  <c r="E26" i="5"/>
  <c r="D26" i="5"/>
  <c r="D28" i="5" l="1"/>
  <c r="E28" i="5"/>
  <c r="D30" i="5"/>
  <c r="E30" i="5"/>
  <c r="F28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Chacon Guillaumin (Ben/Ret/ADM, Mexico City)</author>
  </authors>
  <commentList>
    <comment ref="DO18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Rodrigo Chacon Guillaumin (Ben/Ret/ADM, Mexico City):</t>
        </r>
        <r>
          <rPr>
            <sz val="9"/>
            <color indexed="81"/>
            <rFont val="Tahoma"/>
            <family val="2"/>
          </rPr>
          <t xml:space="preserve">
11 dígitos 
-Dígitos 1 y 2: aleatorios
-Dígitos 3 y 4: últimos dos dígitos del año de ingreso al IMSS (o       de entrada a la empresa)
-Dígitos 5 y 6: últimos dos dígitos del año de nacimiento
-Dígitos 7,8,9,10 y 11: aleatorios</t>
        </r>
      </text>
    </comment>
    <comment ref="DP1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Rodrigo Chacon Guillaumin (Ben/Ret/ADM, Mexico City):</t>
        </r>
        <r>
          <rPr>
            <sz val="9"/>
            <color indexed="81"/>
            <rFont val="Tahoma"/>
            <family val="2"/>
          </rPr>
          <t xml:space="preserve">
13 Caracteres alfanuméricos
(En general, aunque aplican algunas ecepciones)
-Caracter 1: primera letra del apellido paterno
-Caracter 2: primera vocal interna del apellido paterno
-Caracter 3:primera letra del apellido materno
-Caracter 4:primera letra del primer nombre
-Caracter 5 y 6: últimos dos dígitos del año de nacimiento.
-Caracter 7 y 8: dígitos del mes (entre 01 y 12)
-Caracter 9 y 10: dígitos del día (entre 01 y 31, según el mes)
-Caracter 11, 12 y 13: Homoclave</t>
        </r>
      </text>
    </comment>
    <comment ref="DQ18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Rodrigo Chacon Guillaumin (Ben/Ret/ADM, Mexico City):</t>
        </r>
        <r>
          <rPr>
            <sz val="9"/>
            <color indexed="81"/>
            <rFont val="Tahoma"/>
            <family val="2"/>
          </rPr>
          <t xml:space="preserve">
(En general, aunque aplican algunas ecepciones)
-Caracter 1: primera letra del apellido paterno
-Caracter 2: primera vocal interna del apellido paterno
-Caracter 3:primera letra del apellido materno
-Caracter 4:primera letra del primer nombre
-Caracter 5 y 6: últimos dos dígitos del año de nacimiento.
-Caracter 7 y 8: dígitos del mes (entre 01 y 12)
-Caracter 9 y 10: dígitos del día (entre 01 y 31, según el mes)
-Caracter 11: sexo (H o M)
-Caracter 12 y 13: dos caracteres correspondientes al estado de nacimiento.
-Caracter 14: primera consonante interna del apellido paterno
-Caracter 15: primera consonante interna del apellido materno.
-Caracter 16: primera consonante interna del primer nombre.
-Caracter 17 y 18: aleatorios.
Lso primeros 10 coinciden con el RFC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Tomás AS</author>
  </authors>
  <commentList>
    <comment ref="L7" authorId="0" shapeId="0" xr:uid="{00000000-0006-0000-0100-000001000000}">
      <text>
        <r>
          <rPr>
            <sz val="9"/>
            <color indexed="81"/>
            <rFont val="Tahoma"/>
            <family val="2"/>
          </rPr>
          <t xml:space="preserve">estimado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<sst xmlns="http://schemas.openxmlformats.org/spreadsheetml/2006/main" count="9080" uniqueCount="2707">
  <si>
    <t>Transformación de Datos para el Registro de Planes de Pensiones Ante la CONSAR</t>
  </si>
  <si>
    <t>Empresa:</t>
  </si>
  <si>
    <t>Bayer</t>
  </si>
  <si>
    <t>Domicilio (Estado):</t>
  </si>
  <si>
    <t>DISTRITO FEDERAL</t>
  </si>
  <si>
    <t xml:space="preserve">Año de Registro del Plan: </t>
  </si>
  <si>
    <t>Formato del Nombre:</t>
  </si>
  <si>
    <t>N/A/A</t>
  </si>
  <si>
    <t>Ingreso de Datos</t>
  </si>
  <si>
    <t>ZONA DE TRABAJO NOMBRE</t>
  </si>
  <si>
    <t>ZONA DE TRABAJAO CURP</t>
  </si>
  <si>
    <t>ZONA DE TRABAJO RFC</t>
  </si>
  <si>
    <t>ZONA DE TRABAJO No. SS</t>
  </si>
  <si>
    <t>DATOS PARA LA CONSAR</t>
  </si>
  <si>
    <t>Nombre</t>
  </si>
  <si>
    <t>W</t>
  </si>
  <si>
    <t>T</t>
  </si>
  <si>
    <t>9</t>
  </si>
  <si>
    <t>3</t>
  </si>
  <si>
    <t>0</t>
  </si>
  <si>
    <t>1</t>
  </si>
  <si>
    <t>H</t>
  </si>
  <si>
    <t>C</t>
  </si>
  <si>
    <t>D</t>
  </si>
  <si>
    <t>L</t>
  </si>
  <si>
    <t>R</t>
  </si>
  <si>
    <t>Z</t>
  </si>
  <si>
    <t>6</t>
  </si>
  <si>
    <t>IDNO</t>
  </si>
  <si>
    <t>Sex</t>
  </si>
  <si>
    <t>MB</t>
  </si>
  <si>
    <t>DB</t>
  </si>
  <si>
    <t>YB</t>
  </si>
  <si>
    <t>MH</t>
  </si>
  <si>
    <t>DH</t>
  </si>
  <si>
    <t>YH</t>
  </si>
  <si>
    <t>CURP</t>
  </si>
  <si>
    <t>RFC</t>
  </si>
  <si>
    <t>No. SS</t>
  </si>
  <si>
    <t>NAME</t>
  </si>
  <si>
    <t>Apellido Paterno</t>
  </si>
  <si>
    <t>Apellido Materno</t>
  </si>
  <si>
    <t>No.SS</t>
  </si>
  <si>
    <t>NSS</t>
  </si>
  <si>
    <t>Estatus laboral</t>
  </si>
  <si>
    <t>Nombre(s)</t>
  </si>
  <si>
    <t>Long IMSS</t>
  </si>
  <si>
    <t>Long RFC</t>
  </si>
  <si>
    <t>Long CURP</t>
  </si>
  <si>
    <t>Check RFC vs CURP</t>
  </si>
  <si>
    <t>Long Nombre</t>
  </si>
  <si>
    <t>Long Apellido Paterno</t>
  </si>
  <si>
    <t>Long Apellido Materno</t>
  </si>
  <si>
    <t>GABRIELA</t>
  </si>
  <si>
    <t>GUILLERMO</t>
  </si>
  <si>
    <t>RICARDO</t>
  </si>
  <si>
    <t>FRANCISCO</t>
  </si>
  <si>
    <t>RUBEN</t>
  </si>
  <si>
    <t>DANIEL</t>
  </si>
  <si>
    <t>ENRIQUE</t>
  </si>
  <si>
    <t>JOSE MANUEL</t>
  </si>
  <si>
    <t>FERNANDO</t>
  </si>
  <si>
    <t>JOSE LUIS</t>
  </si>
  <si>
    <t>PEDRO</t>
  </si>
  <si>
    <t>JUAN MANUEL</t>
  </si>
  <si>
    <t>MARCO ANTONIO</t>
  </si>
  <si>
    <t>RODRIGO</t>
  </si>
  <si>
    <t>ALFREDO</t>
  </si>
  <si>
    <t>MARIO</t>
  </si>
  <si>
    <t>ANTONIO</t>
  </si>
  <si>
    <t>DEL ANGEL</t>
  </si>
  <si>
    <t>HECTOR</t>
  </si>
  <si>
    <t>MIGUEL ANGEL</t>
  </si>
  <si>
    <t>JULIO CESAR</t>
  </si>
  <si>
    <t>JUAN CARLOS</t>
  </si>
  <si>
    <t>CESAR</t>
  </si>
  <si>
    <t>ALEJANDRO</t>
  </si>
  <si>
    <t>RAFAEL</t>
  </si>
  <si>
    <t>MARIA DEL CARMEN</t>
  </si>
  <si>
    <t>ARMANDO</t>
  </si>
  <si>
    <t>GUERRERO</t>
  </si>
  <si>
    <t>SERGIO</t>
  </si>
  <si>
    <t>ELIZABETH</t>
  </si>
  <si>
    <t>EDUARDO</t>
  </si>
  <si>
    <t>MARTIN</t>
  </si>
  <si>
    <t>OSCAR</t>
  </si>
  <si>
    <t>GILBERTO</t>
  </si>
  <si>
    <t>ROBERTO</t>
  </si>
  <si>
    <t>GABRIEL</t>
  </si>
  <si>
    <t>ALONSO</t>
  </si>
  <si>
    <t>EDGAR</t>
  </si>
  <si>
    <t>ROXANA</t>
  </si>
  <si>
    <t>MINERVA</t>
  </si>
  <si>
    <t>HIDALGO</t>
  </si>
  <si>
    <t>X</t>
  </si>
  <si>
    <t>ADAN</t>
  </si>
  <si>
    <t>IVAN</t>
  </si>
  <si>
    <t>SALVADOR</t>
  </si>
  <si>
    <t>DE LA FUENTE</t>
  </si>
  <si>
    <t>NOE</t>
  </si>
  <si>
    <t>ERICK</t>
  </si>
  <si>
    <t>Base Información Demográfica</t>
  </si>
  <si>
    <t>Fecha de Registro:</t>
  </si>
  <si>
    <t>Salario Mínimo:</t>
  </si>
  <si>
    <t>IGRP</t>
  </si>
  <si>
    <t>ISBGRP</t>
  </si>
  <si>
    <t>SEX</t>
  </si>
  <si>
    <t>MOB</t>
  </si>
  <si>
    <t>DOB</t>
  </si>
  <si>
    <t>YOB</t>
  </si>
  <si>
    <t>MOH</t>
  </si>
  <si>
    <t>DOH</t>
  </si>
  <si>
    <t>YOH</t>
  </si>
  <si>
    <t>YIMSS</t>
  </si>
  <si>
    <t xml:space="preserve">SUELDO BASE </t>
  </si>
  <si>
    <t>EDAD</t>
  </si>
  <si>
    <t>ANTIG</t>
  </si>
  <si>
    <t>Veces Salario/SalarioMin</t>
  </si>
  <si>
    <t>MAX &lt;=1997</t>
  </si>
  <si>
    <t>MAX &gt;1997</t>
  </si>
  <si>
    <t>Resumen de la información demográfica para la CONSAR</t>
  </si>
  <si>
    <t>Fecha Censo:</t>
  </si>
  <si>
    <t>Nombre:</t>
  </si>
  <si>
    <t>No. De Participantes:</t>
  </si>
  <si>
    <t>Nómina total:</t>
  </si>
  <si>
    <t>% del total de Trabajadores:</t>
  </si>
  <si>
    <t>Antig. Promedio:</t>
  </si>
  <si>
    <t>% que representa dicho monto de la nómina total*:</t>
  </si>
  <si>
    <t>No. De trabajadores que no participan en el plan:</t>
  </si>
  <si>
    <t>No. De Veces Sal Min</t>
  </si>
  <si>
    <t>IMSS</t>
  </si>
  <si>
    <t>Afore</t>
  </si>
  <si>
    <t>Edad</t>
  </si>
  <si>
    <t>No. De Empleados</t>
  </si>
  <si>
    <t>Edad Prom:</t>
  </si>
  <si>
    <t>Sueldo maximo</t>
  </si>
  <si>
    <t>Validación</t>
  </si>
  <si>
    <t>Base Consar:</t>
  </si>
  <si>
    <t>Datos:</t>
  </si>
  <si>
    <t>No. De Empl:</t>
  </si>
  <si>
    <t>Decisión</t>
  </si>
  <si>
    <t>Formato del Nombre</t>
  </si>
  <si>
    <t>ESTADO</t>
  </si>
  <si>
    <t>Sí</t>
  </si>
  <si>
    <t>A/A/N</t>
  </si>
  <si>
    <t>AGUASCALIENTES</t>
  </si>
  <si>
    <t>A</t>
  </si>
  <si>
    <t>No</t>
  </si>
  <si>
    <t>BAJA CALIFORNIA</t>
  </si>
  <si>
    <t>B</t>
  </si>
  <si>
    <t>BAJA CALIFORNIA SUR</t>
  </si>
  <si>
    <t>CAMPECHE</t>
  </si>
  <si>
    <t>CHIAPAS</t>
  </si>
  <si>
    <t>E</t>
  </si>
  <si>
    <t>CHIHUAHUA</t>
  </si>
  <si>
    <t>F</t>
  </si>
  <si>
    <t>COAHUILA</t>
  </si>
  <si>
    <t>G</t>
  </si>
  <si>
    <t>COLIMA</t>
  </si>
  <si>
    <t>I</t>
  </si>
  <si>
    <t>DURANGO</t>
  </si>
  <si>
    <t>J</t>
  </si>
  <si>
    <t>ESTADO DE MEXICO</t>
  </si>
  <si>
    <t>K</t>
  </si>
  <si>
    <t>GUANAJUATO</t>
  </si>
  <si>
    <t>M</t>
  </si>
  <si>
    <t>N</t>
  </si>
  <si>
    <t>JALISCO</t>
  </si>
  <si>
    <t>Ñ</t>
  </si>
  <si>
    <t>MICHOACAN</t>
  </si>
  <si>
    <t>O</t>
  </si>
  <si>
    <t>MORELOS</t>
  </si>
  <si>
    <t>P</t>
  </si>
  <si>
    <t>NAYARIT</t>
  </si>
  <si>
    <t>Q</t>
  </si>
  <si>
    <t>NUEVO LEON</t>
  </si>
  <si>
    <t>OAXACA</t>
  </si>
  <si>
    <t>S</t>
  </si>
  <si>
    <t>PUEBLA</t>
  </si>
  <si>
    <t>QUERETARO</t>
  </si>
  <si>
    <t>U</t>
  </si>
  <si>
    <t>QUINTANA ROO</t>
  </si>
  <si>
    <t>V</t>
  </si>
  <si>
    <t>SAN LUIS POTOSI</t>
  </si>
  <si>
    <t>SINALOA</t>
  </si>
  <si>
    <t>SONORA</t>
  </si>
  <si>
    <t>Y</t>
  </si>
  <si>
    <t>TABASCO</t>
  </si>
  <si>
    <t>TAMAULIPAS</t>
  </si>
  <si>
    <t>TLAXCALA</t>
  </si>
  <si>
    <t>VERACRUZ</t>
  </si>
  <si>
    <t>YUCATAN</t>
  </si>
  <si>
    <t>ZACATECAS</t>
  </si>
  <si>
    <t>RODRIGUEZ GONZALEZ ROBERTO</t>
  </si>
  <si>
    <t>CASTELL HUERTA LUIS MARIO</t>
  </si>
  <si>
    <t>ECHEVARRIA CASTILLO JOSE LUIS</t>
  </si>
  <si>
    <t>MENDOZA GARCIA ISRAEL AARON</t>
  </si>
  <si>
    <t>MILLAN GARZA JOSE</t>
  </si>
  <si>
    <t>CRUZ REYES GABINO</t>
  </si>
  <si>
    <t>SANCHEZ TRUJILLO RAMON</t>
  </si>
  <si>
    <t>GALVAN SALINAS CLAUDIO</t>
  </si>
  <si>
    <t>BANDA CAMPOS VICTOR MANUEL</t>
  </si>
  <si>
    <t>CARBAJAL MATA MARIA JOSEFINA</t>
  </si>
  <si>
    <t>SAAVEDRA CASTAÑEDA JUAN ANTONIO</t>
  </si>
  <si>
    <t>RODRIGUEZ HERNANDEZ MARISELA</t>
  </si>
  <si>
    <t>AGUILA COELLO MARIA TERESA</t>
  </si>
  <si>
    <t>PATIÑO CERVANTES JUAN ANTONIO</t>
  </si>
  <si>
    <t>JUAREZ MARTINEZ JOSE ANTONIO</t>
  </si>
  <si>
    <t>CUENCA ROSAS JOEL</t>
  </si>
  <si>
    <t>GARCIA DIAZ JOSE MANUEL</t>
  </si>
  <si>
    <t>LEDEZMA RAMIREZ JUAN</t>
  </si>
  <si>
    <t>MENDOZA DIAZ JOSE LUIS</t>
  </si>
  <si>
    <t>CERVANTES PEREZ HERLINDA</t>
  </si>
  <si>
    <t>BARRERA SANCHEZ FRANCISCO JAVIER</t>
  </si>
  <si>
    <t>GOMEZ FUENTES GUILLERMO</t>
  </si>
  <si>
    <t>CELIS TORRES ALFREDO</t>
  </si>
  <si>
    <t>ZAMORANO GARRIDO MIGUEL</t>
  </si>
  <si>
    <t>RIVERO CORONA ROBERTO</t>
  </si>
  <si>
    <t>ARIAS CUESTA JEAME ADRIANA</t>
  </si>
  <si>
    <t>MARCIAL CRUZ VICTOR SAMUEL</t>
  </si>
  <si>
    <t>REYES DOMINGUEZ GERARDO</t>
  </si>
  <si>
    <t>NUÑO VALDEZ MARTHA PATRICIA</t>
  </si>
  <si>
    <t>MANCILLA HERNANDEZ LUIS MANUEL</t>
  </si>
  <si>
    <t>GRANADOS MORALES HECTOR RAUL</t>
  </si>
  <si>
    <t>CARRERA CHAVEZ EVANGELINA</t>
  </si>
  <si>
    <t>MARTINEZ PEREZ GUILLERMO</t>
  </si>
  <si>
    <t>MUÑOZ RODRIGUEZ CARLOS RAFAEL</t>
  </si>
  <si>
    <t>CARRERA DIAZ MARIO GREGORIO</t>
  </si>
  <si>
    <t>CUEVAS ARCINAS GUADALUPE MIGUEL</t>
  </si>
  <si>
    <t>CASTAÑEDA GOMEZ JOSE MANUEL</t>
  </si>
  <si>
    <t>DIAZ ROBLES JOSE FERNANDO</t>
  </si>
  <si>
    <t>AÑORVE SANTIAGO JUAN MANUEL</t>
  </si>
  <si>
    <t>ROSCERO PEREZ JOSE JORGE</t>
  </si>
  <si>
    <t>REYES MEJIA ENRIQUE</t>
  </si>
  <si>
    <t>SERRANO SIFUENTES LAURA DIANA</t>
  </si>
  <si>
    <t>HERNANDEZ ALBINO GERARDO</t>
  </si>
  <si>
    <t>OLIVEROS AVENDAÑO VICTOR</t>
  </si>
  <si>
    <t>TAGLE CABRERA MARTIN EDUARDO</t>
  </si>
  <si>
    <t>PATIÑO GUERRERO JOSE CENEN</t>
  </si>
  <si>
    <t>LOPEZ BRAVO JOSE FERNANDO</t>
  </si>
  <si>
    <t>VALENCIA BARRON SERGIO</t>
  </si>
  <si>
    <t>GARCIA ROJAS ARIADNE ITZEL</t>
  </si>
  <si>
    <t>GUEVARA LEINES GERARDO</t>
  </si>
  <si>
    <t>RAMIREZ ESPINOZA LUIS ENRIQUE</t>
  </si>
  <si>
    <t>MARTINEZ HUITRON KARIN IVAN</t>
  </si>
  <si>
    <t>ISLAS BRIONES MARIA DEL ROCIO</t>
  </si>
  <si>
    <t>HERNANDEZ GARCIA JACOBO OLIVER</t>
  </si>
  <si>
    <t>SANCHEZ SAAVEDRA ALEJANDRO</t>
  </si>
  <si>
    <t>LOPEZ VILLAFUERTE ROBERTO</t>
  </si>
  <si>
    <t>PUEBLA DE PAZ GERARDO</t>
  </si>
  <si>
    <t>LIMON MARTINEZ OLIVER ALFREDO</t>
  </si>
  <si>
    <t>BARRIENTOS AGUILAR SAMUEL</t>
  </si>
  <si>
    <t>ZUÑIGA LINARES IVAN</t>
  </si>
  <si>
    <t>PIÑA DUARTE JORGE JAVIER</t>
  </si>
  <si>
    <t>LOZANO RODRIGUEZ INES</t>
  </si>
  <si>
    <t>RODRIGUEZ OCAMPO ANAYELI</t>
  </si>
  <si>
    <t>MANJARREZ ALVAREZ ROMAN JAVIER</t>
  </si>
  <si>
    <t>RIVERA LOPEZ MARIO</t>
  </si>
  <si>
    <t>MARTINEZ ALEGRIA SERGIO</t>
  </si>
  <si>
    <t>REYES RUIZ ALEJANDRO</t>
  </si>
  <si>
    <t>TORRES SANCHEZ RAFAEL</t>
  </si>
  <si>
    <t>REYNA TORRES UBALDO</t>
  </si>
  <si>
    <t>ZAMAYOA DIAZ MARIANO</t>
  </si>
  <si>
    <t>MORALES NOVOA WENDY ELIZABETH</t>
  </si>
  <si>
    <t>TAPIA CAMILO IVAN ELIAS</t>
  </si>
  <si>
    <t>CANO HERNANDEZ CINTHIA</t>
  </si>
  <si>
    <t>CASTILLO ZAYAS EDWIN TADEO</t>
  </si>
  <si>
    <t>GONZALEZ ARVIZU GUSTAVO</t>
  </si>
  <si>
    <t>GARCIA GONZALEZ VICTOR DANIEL</t>
  </si>
  <si>
    <t>CALVA MARTINEZ NOE</t>
  </si>
  <si>
    <t>MENDOZA URBAN EDGAR JESUS</t>
  </si>
  <si>
    <t>GOMEZ FERNANDEZ URIEL JOAB</t>
  </si>
  <si>
    <t>RAMOS GONZALEZ JULIO CESAR</t>
  </si>
  <si>
    <t>GONZALEZ MORALES MARTHA ELIA</t>
  </si>
  <si>
    <t>CAMPUZANO CASTANEDA MARTHA PATRICIA</t>
  </si>
  <si>
    <t>VASQUEZ ROSAS GILBERTO</t>
  </si>
  <si>
    <t>CORDERO PARAMO SERGIO</t>
  </si>
  <si>
    <t>PACHECO JAIMES ESTHELA</t>
  </si>
  <si>
    <t>MAZARIEGOS GUTIERREZ JULIO ANTONIO</t>
  </si>
  <si>
    <t>CRUZ VERGARA HUGO</t>
  </si>
  <si>
    <t>CISNEROS MIRANDA ADDI YIDDEL</t>
  </si>
  <si>
    <t>ESPINOZA GUIDO HORACIO</t>
  </si>
  <si>
    <t>TREJO RUBIO RICARDO</t>
  </si>
  <si>
    <t>DAVILA BAUTISTA ROBERTO CARLOS</t>
  </si>
  <si>
    <t>HERNANDEZ SANCHEZ HUGO SAUL</t>
  </si>
  <si>
    <t>PEREZ HERNANDEZ MARIO ISMAEL</t>
  </si>
  <si>
    <t>LUCARIO HERNANDEZ GREGORIO</t>
  </si>
  <si>
    <t>LEAL ARREDONDO ELIZABETH</t>
  </si>
  <si>
    <t>LOPEZ LEYVA MARCO ANTONIO</t>
  </si>
  <si>
    <t>MARTINEZ ESCANDON RICARDO JOAQUIN</t>
  </si>
  <si>
    <t>GUTIERREZ VELAZQUEZ EDGAR ABEL</t>
  </si>
  <si>
    <t>CANDIA ARREOLA RODOLFO</t>
  </si>
  <si>
    <t>VELAZQUEZ RAMIREZ SALVADOR</t>
  </si>
  <si>
    <t>SAN JUAN RAZO NALLELY LISBETH</t>
  </si>
  <si>
    <t>DIAZ CAMACHO SOFIA JAZMIN</t>
  </si>
  <si>
    <t>LOPEZ ALCAZAR JOSE LUIS</t>
  </si>
  <si>
    <t>ALCANTAR GALLOSO GIOVANNI ISRAEL</t>
  </si>
  <si>
    <t>GOMEZ GUTIERREZ KRIZIA TAMARA</t>
  </si>
  <si>
    <t>RODRIGUEZ RUIZ HECTOR</t>
  </si>
  <si>
    <t>RUIZ GARCIA CLAUDIA MARIANA</t>
  </si>
  <si>
    <t>LANDA CEBALLOS EFRAIN</t>
  </si>
  <si>
    <t>ARCE GARCIA ROXANA</t>
  </si>
  <si>
    <t>MIRANDA PORRAS ENRIQUE</t>
  </si>
  <si>
    <t>DIAZ VAZQUEZ JOSE EDGAR</t>
  </si>
  <si>
    <t>RANGEL MARTINEZ MARCOS ANTONIO</t>
  </si>
  <si>
    <t>LOPEZ CONTRERAS LUIS EDUARDO</t>
  </si>
  <si>
    <t>BENITEZ RODRIGUEZ ARMANDO</t>
  </si>
  <si>
    <t>LOPEZ MELENDEZ SILVIA MARISOL</t>
  </si>
  <si>
    <t>PEREZ DIAZ FRANCISCO</t>
  </si>
  <si>
    <t>BANCA CRUZ MARTIN</t>
  </si>
  <si>
    <t>ALTAMIRANO MIJANGOS RUBEN</t>
  </si>
  <si>
    <t>VELAZQUEZ SALMERON LUIS ANGEL</t>
  </si>
  <si>
    <t>ORTIZ REYNOSO URIEL AZEEM</t>
  </si>
  <si>
    <t>SIERRA HERNANDEZ CESAR</t>
  </si>
  <si>
    <t>CRUZ VALDOVINOS EMANUEL ALBERTO</t>
  </si>
  <si>
    <t>DIAZ ALVAREZ JUAN MANUEL</t>
  </si>
  <si>
    <t>SALINAS RIVERA GABRIEL</t>
  </si>
  <si>
    <t>ELIAS MORALES RICARDO BLADIMIR</t>
  </si>
  <si>
    <t>DAZA ALVA BRYAN</t>
  </si>
  <si>
    <t>DE JESUS HERNANDEZ ALONSO</t>
  </si>
  <si>
    <t>PIÑA SAN JUAN MARIO GABRIEL</t>
  </si>
  <si>
    <t>MORALES SANTIAGO MIGUEL ISRAEL</t>
  </si>
  <si>
    <t>CAMPOS ARAIZA GUALBERTO FRANCISCO</t>
  </si>
  <si>
    <t>MORENO ZAMORANO JORGE ALBERTO</t>
  </si>
  <si>
    <t>LEAL VILLARREAL PEDRO</t>
  </si>
  <si>
    <t>VALENCIA HERNANDEZ ALFREDO</t>
  </si>
  <si>
    <t>CHAVEZ GONZALEZ AURORA</t>
  </si>
  <si>
    <t>LUNA LOPEZ HUGO</t>
  </si>
  <si>
    <t>CEDILLO ESTRADA LUIS MIGUEL</t>
  </si>
  <si>
    <t>HERNANDEZ PACHECO FERNANDO</t>
  </si>
  <si>
    <t>OCHOA RAMOS LISBET</t>
  </si>
  <si>
    <t>TREJO ACEVEDO HUMBERTO</t>
  </si>
  <si>
    <t>ALVERDE ROJAS HECTOR GABRIEL</t>
  </si>
  <si>
    <t>RAMIREZ GARCIA OSCAR</t>
  </si>
  <si>
    <t>LANDA CRUZ ADRIAN</t>
  </si>
  <si>
    <t>BRIONES GARCIA STEPHANY</t>
  </si>
  <si>
    <t>SANABRIA VILLEGAS LUIS ALBERTO</t>
  </si>
  <si>
    <t>SANCHEZ ALVAREZ BRANDON ARTURO</t>
  </si>
  <si>
    <t>SALAZAR FLORES JOSE MANUEL</t>
  </si>
  <si>
    <t>SOSA DIAZ EDUARDO</t>
  </si>
  <si>
    <t>MEDINA RODRIGUEZ DANIEL ERNESTO</t>
  </si>
  <si>
    <t>MEJIA MARQUEZ NESTOR ARMANDO</t>
  </si>
  <si>
    <t>VEGA ROJO GUILLERMO</t>
  </si>
  <si>
    <t>FAJER CAIRE JOSE</t>
  </si>
  <si>
    <t>GONZALEZ HURTADO GABRIEL EDUARDO</t>
  </si>
  <si>
    <t>GARCIA REBOLLO GERARDO DANIEL</t>
  </si>
  <si>
    <t>TAPIA PERALTA LUIS ENRIQUE</t>
  </si>
  <si>
    <t>HERNANDEZ ORIJEL MARGARITA</t>
  </si>
  <si>
    <t>VELAZQUEZ VELAZQUEZ GERMAN</t>
  </si>
  <si>
    <t>PERALTA GOMEZ IVAN</t>
  </si>
  <si>
    <t>PATRICIO MARTINEZ PEDRO ALBERTO</t>
  </si>
  <si>
    <t>MIRELES ALCANTARA JAIR ALEJANDRO</t>
  </si>
  <si>
    <t>VAZQUEZ MALAGON BRENDA ARACELI</t>
  </si>
  <si>
    <t>QUIROZ RUIZ ELIAS</t>
  </si>
  <si>
    <t>MATIAS GRANADA INDALECIO TRINIDAD</t>
  </si>
  <si>
    <t>DEL ANGEL CRUZ EVER</t>
  </si>
  <si>
    <t>REYES VIDAL EDDY ANGEL</t>
  </si>
  <si>
    <t>MORENO JASSO DIEGO RAFAEL</t>
  </si>
  <si>
    <t>ESTRADA RODRIGUEZ LUIS ERNESTO</t>
  </si>
  <si>
    <t>CARDENAS VERGARA ADAN</t>
  </si>
  <si>
    <t>GOMEZ URIZA JUAN CARLOS</t>
  </si>
  <si>
    <t>ORTIZ ESCAMILLA ALEJANDRO</t>
  </si>
  <si>
    <t>SORIANO LUGO JOSE MANUEL</t>
  </si>
  <si>
    <t>MORENO SAYAGO ANA KAREN MARIBEL</t>
  </si>
  <si>
    <t>CHAVEZ GARCIA ANAISI</t>
  </si>
  <si>
    <t>LARA VILLALVA CYNTHIA</t>
  </si>
  <si>
    <t>BEATRIZ HERNANDEZ MARIA DEL CARMEN</t>
  </si>
  <si>
    <t>BRAVO DURAN ELSA VERONICA</t>
  </si>
  <si>
    <t>VAZQUEZ OLVERA MARIA DE LOURDES</t>
  </si>
  <si>
    <t>SOLIS GONZALEZ ANGELICA IVONNE</t>
  </si>
  <si>
    <t>HERNANDEZ CASTRO LISSET ANAHIS</t>
  </si>
  <si>
    <t>LOPEZ GONZALEZ NAYELI</t>
  </si>
  <si>
    <t>DE LA FUENTE ALVARADO ELVIA ITZEL</t>
  </si>
  <si>
    <t>ESPINOSA MARCIAL JOSE ALVARO</t>
  </si>
  <si>
    <t>ROMERO ORTIZ LEONOR</t>
  </si>
  <si>
    <t>FLORES DOMINGUEZ MIRYAM</t>
  </si>
  <si>
    <t>MARTINEZ BENITEZ JOSE GUADALUPE</t>
  </si>
  <si>
    <t>AVILA GARCIA MARIO GREGORIO</t>
  </si>
  <si>
    <t>MAFRA SANCHEZ JAVIER ALONSO</t>
  </si>
  <si>
    <t>BAUTISTA GUTIERREZ SAUL</t>
  </si>
  <si>
    <t>MARTINEZ PEREZ DANIEL</t>
  </si>
  <si>
    <t>MEZA VALLE NADIA ESTHER</t>
  </si>
  <si>
    <t>MORENO PEREZ RAFAEL</t>
  </si>
  <si>
    <t>IZARRARAS PICO ADRIAN</t>
  </si>
  <si>
    <t>REYES ALCANTARA JOSE DAVID</t>
  </si>
  <si>
    <t>HERNANDEZ MIRANDA EDGAR ALBERTO</t>
  </si>
  <si>
    <t>DOMINGUEZ VICTORIA ELIZABETH</t>
  </si>
  <si>
    <t>RABADAN CASTILLO ARACELI</t>
  </si>
  <si>
    <t>CARMONA ISLAS ROGELIO</t>
  </si>
  <si>
    <t>ANGUIANO PEÑA ERICK</t>
  </si>
  <si>
    <t>RODRIGUEZ TORRES JAVIER ERNESTO</t>
  </si>
  <si>
    <t>ESCOBAR TORRES JONATHAN FERNANDO</t>
  </si>
  <si>
    <t>MARQUEZ BARRERA EDGAR DAVID</t>
  </si>
  <si>
    <t>OLGUIN ESPINOZA JOSE CARLOS</t>
  </si>
  <si>
    <t>MACOCO MARTINEZ RODRIGO</t>
  </si>
  <si>
    <t>SANTILLAN GARCIA JONATHAN</t>
  </si>
  <si>
    <t>STEPHANY</t>
  </si>
  <si>
    <t>ELVIA ITZEL DE LA FUENTE ALVARADO</t>
  </si>
  <si>
    <t>LIZETH</t>
  </si>
  <si>
    <t>MENDOZA</t>
  </si>
  <si>
    <t>JUAREZ</t>
  </si>
  <si>
    <t>GARCIA</t>
  </si>
  <si>
    <t>CARRERA</t>
  </si>
  <si>
    <t>CUEVAS</t>
  </si>
  <si>
    <t>CASTANEDA</t>
  </si>
  <si>
    <t>DIAZ</t>
  </si>
  <si>
    <t>SERRANO</t>
  </si>
  <si>
    <t>LOPEZ</t>
  </si>
  <si>
    <t>RAMIREZ</t>
  </si>
  <si>
    <t>MARTINEZ</t>
  </si>
  <si>
    <t>HERNANDEZ</t>
  </si>
  <si>
    <t>MORALES</t>
  </si>
  <si>
    <t>TAPIA</t>
  </si>
  <si>
    <t>CASTILLO</t>
  </si>
  <si>
    <t>GOMEZ</t>
  </si>
  <si>
    <t>RAMOS</t>
  </si>
  <si>
    <t>GONZALEZ</t>
  </si>
  <si>
    <t>CISNEROS</t>
  </si>
  <si>
    <t>PEREZ</t>
  </si>
  <si>
    <t>GUTIERREZ</t>
  </si>
  <si>
    <t>RUIZ</t>
  </si>
  <si>
    <t>RANGEL</t>
  </si>
  <si>
    <t>ORTIZ</t>
  </si>
  <si>
    <t>CRUZ</t>
  </si>
  <si>
    <t>CAMPOS</t>
  </si>
  <si>
    <t>MORENO</t>
  </si>
  <si>
    <t>SANCHEZ</t>
  </si>
  <si>
    <t>SALAZAR</t>
  </si>
  <si>
    <t>MEDINA</t>
  </si>
  <si>
    <t>MEJIA</t>
  </si>
  <si>
    <t>VAZQUEZ</t>
  </si>
  <si>
    <t>REYES</t>
  </si>
  <si>
    <t>ESTRADA</t>
  </si>
  <si>
    <t>BRAVO</t>
  </si>
  <si>
    <t>ESPINOSA</t>
  </si>
  <si>
    <t>AVILA</t>
  </si>
  <si>
    <t>MEZA</t>
  </si>
  <si>
    <t>RODRIGUEZ</t>
  </si>
  <si>
    <t>ESCOBAR</t>
  </si>
  <si>
    <t>MARQUEZ</t>
  </si>
  <si>
    <t>OLGUIN</t>
  </si>
  <si>
    <t>JOSE ANTONIO</t>
  </si>
  <si>
    <t>JUAN</t>
  </si>
  <si>
    <t>FRANCISCO JAVIER</t>
  </si>
  <si>
    <t>MIGUEL</t>
  </si>
  <si>
    <t>VICTOR</t>
  </si>
  <si>
    <t>GARZA</t>
  </si>
  <si>
    <t>TRUJILLO</t>
  </si>
  <si>
    <t>SALINAS</t>
  </si>
  <si>
    <t>CERVANTES</t>
  </si>
  <si>
    <t>ROSAS</t>
  </si>
  <si>
    <t>FUENTES</t>
  </si>
  <si>
    <t>TORRES</t>
  </si>
  <si>
    <t>GARRIDO</t>
  </si>
  <si>
    <t>DOMINGUEZ</t>
  </si>
  <si>
    <t>VALDEZ</t>
  </si>
  <si>
    <t>CHAVEZ</t>
  </si>
  <si>
    <t>ROBLES</t>
  </si>
  <si>
    <t>CABRERA</t>
  </si>
  <si>
    <t>VALENCIA</t>
  </si>
  <si>
    <t>ROJAS</t>
  </si>
  <si>
    <t>GUEVARA</t>
  </si>
  <si>
    <t>AGUILAR</t>
  </si>
  <si>
    <t>ZUNIGA</t>
  </si>
  <si>
    <t>OCAMPO</t>
  </si>
  <si>
    <t>ALVAREZ</t>
  </si>
  <si>
    <t>RIVERA</t>
  </si>
  <si>
    <t>REYNA</t>
  </si>
  <si>
    <t>CANO</t>
  </si>
  <si>
    <t>VASQUEZ</t>
  </si>
  <si>
    <t>VERGARA</t>
  </si>
  <si>
    <t>MIRANDA</t>
  </si>
  <si>
    <t>TREJO</t>
  </si>
  <si>
    <t>BAUTISTA</t>
  </si>
  <si>
    <t>LEYVA</t>
  </si>
  <si>
    <t>ARREOLA</t>
  </si>
  <si>
    <t>CAMACHO</t>
  </si>
  <si>
    <t>CONTRERAS</t>
  </si>
  <si>
    <t>LUNA</t>
  </si>
  <si>
    <t>OCHOA</t>
  </si>
  <si>
    <t>VILLEGAS</t>
  </si>
  <si>
    <t>FLORES</t>
  </si>
  <si>
    <t>SOSA</t>
  </si>
  <si>
    <t>HURTADO</t>
  </si>
  <si>
    <t>QUIROZ</t>
  </si>
  <si>
    <t>CARDENAS</t>
  </si>
  <si>
    <t>OLVERA</t>
  </si>
  <si>
    <t>CASTRO</t>
  </si>
  <si>
    <t>ROMERO</t>
  </si>
  <si>
    <t>VICTORIA</t>
  </si>
  <si>
    <t>MOGA690922HSRLDR07</t>
  </si>
  <si>
    <t>CATR790901HDFHRB04</t>
  </si>
  <si>
    <t>JUPL810608MDFRNL05</t>
  </si>
  <si>
    <t>GOAC731003MPLMGL00</t>
  </si>
  <si>
    <t>MEME761206HDFNNS09</t>
  </si>
  <si>
    <t>NIZJ660316HVZVVN07</t>
  </si>
  <si>
    <t>SALJ750814HDFLNN07</t>
  </si>
  <si>
    <t>SAMA890120MDFNRN03</t>
  </si>
  <si>
    <t>OARN920711MDFCVR00</t>
  </si>
  <si>
    <t>COEJ800725HDFRSS06</t>
  </si>
  <si>
    <t>GOGE860624HDFNNM25</t>
  </si>
  <si>
    <t>FOMH831125HDFLNC09</t>
  </si>
  <si>
    <t>BEZA790505HDFLPN08</t>
  </si>
  <si>
    <t>MARA841110HDFRRL07</t>
  </si>
  <si>
    <t>BAEL691226HDFRLS06</t>
  </si>
  <si>
    <t>LOPD870915HDFPRG02</t>
  </si>
  <si>
    <t>CAFE820904MDFRNR08</t>
  </si>
  <si>
    <t>LAHM940710MDFZRN07</t>
  </si>
  <si>
    <t>LOZM860113MDFPVR04</t>
  </si>
  <si>
    <t>SASR780315HDFNLY03</t>
  </si>
  <si>
    <t>PAMJ890405HDFLRS06</t>
  </si>
  <si>
    <t>GUSE760223HDFTNN08</t>
  </si>
  <si>
    <t>LOFT000903MMCPRNA8</t>
  </si>
  <si>
    <t>PEOO690209HDFRRS09</t>
  </si>
  <si>
    <t>MIMM810128HDFRNG01</t>
  </si>
  <si>
    <t>GASA971209MMCRNN03</t>
  </si>
  <si>
    <t>SIAA781224MDFLLN05</t>
  </si>
  <si>
    <t>MECN691102HDFZRC02</t>
  </si>
  <si>
    <t>HEHG810811HDFRRR09</t>
  </si>
  <si>
    <t>PECR821207HDFRSD05</t>
  </si>
  <si>
    <t>MAMM841211HDFRRR02</t>
  </si>
  <si>
    <t>LEMJ730518HDFCRN05</t>
  </si>
  <si>
    <t>FOCJ780129HGTNRL06</t>
  </si>
  <si>
    <t>RAMZ870605HDFMTM07</t>
  </si>
  <si>
    <t>MAFJ760705HMSCLM15</t>
  </si>
  <si>
    <t>MALD840408HNLRCV06</t>
  </si>
  <si>
    <t>TOSF710705HDFVLR08</t>
  </si>
  <si>
    <t>AAFM750425HPLPLR06</t>
  </si>
  <si>
    <t>MAGI690505MNLRYR00</t>
  </si>
  <si>
    <t>ZULJ860515MNLXPH06</t>
  </si>
  <si>
    <t>BUEJ770314MDFHSN01</t>
  </si>
  <si>
    <t>RAMJ780401MDFMNV09</t>
  </si>
  <si>
    <t>ROSP960130MDFBNL05</t>
  </si>
  <si>
    <t>RAND860206MMCMYN06</t>
  </si>
  <si>
    <t>MEBL900909HMCDHN05</t>
  </si>
  <si>
    <t>RIPJ770227HDFVRN07</t>
  </si>
  <si>
    <t>RODA780712MDFDZM04</t>
  </si>
  <si>
    <t>VAPE850119HDFLLR09</t>
  </si>
  <si>
    <t>AIRJ880505HMCRZN00</t>
  </si>
  <si>
    <t>VETM910930HHGRRG07</t>
  </si>
  <si>
    <t>GALA760630MDFRNN06</t>
  </si>
  <si>
    <t>AULE860627MDFGZL04</t>
  </si>
  <si>
    <t>MORM670731MDFRNY06</t>
  </si>
  <si>
    <t>AEAS800806MDFRRN05</t>
  </si>
  <si>
    <t>FODL820211MDFLZR03</t>
  </si>
  <si>
    <t>GUCL850721HDFZSN03</t>
  </si>
  <si>
    <t>LOGH880111MHGPMR07</t>
  </si>
  <si>
    <t>JUVC760821HVZRSR00</t>
  </si>
  <si>
    <t>CASL870921HDFBNS03</t>
  </si>
  <si>
    <t>LOSJ780501HDFPNN04</t>
  </si>
  <si>
    <t>RAAC881012MDFMGR05</t>
  </si>
  <si>
    <t>EUML930706MDFSNZ06</t>
  </si>
  <si>
    <t>GAVA950830HPLRZD04</t>
  </si>
  <si>
    <t>FOGM750811MDFLRR19</t>
  </si>
  <si>
    <t>GAON881223MDFRRN02</t>
  </si>
  <si>
    <t>CALS940621MCHHZM03</t>
  </si>
  <si>
    <t>SAJA891213MMCNRN06</t>
  </si>
  <si>
    <t>DOTR910917MDFMRC05</t>
  </si>
  <si>
    <t>AOAM631113HGTRBR06</t>
  </si>
  <si>
    <t>GASM760413HMCRNG09</t>
  </si>
  <si>
    <t>OESM911031HMCBRR05</t>
  </si>
  <si>
    <t>HUUM760205HDFSRR00</t>
  </si>
  <si>
    <t>AABE780918HDFLRD08</t>
  </si>
  <si>
    <t>LERD981004HMCNYL03</t>
  </si>
  <si>
    <t>GAAC670405MMCRRN05</t>
  </si>
  <si>
    <t>PIVR770607HDFNRB09</t>
  </si>
  <si>
    <t>SOOA781006HMCLRL03</t>
  </si>
  <si>
    <t>CARC750311HDFHDS00</t>
  </si>
  <si>
    <t>SANC961110MDFLXL02</t>
  </si>
  <si>
    <t>UAHR770312HMCGRY01</t>
  </si>
  <si>
    <t>FACL850304HDFRSS07</t>
  </si>
  <si>
    <t>FOMS880615HDFLNR03</t>
  </si>
  <si>
    <t>CARC600302HDFSZR01</t>
  </si>
  <si>
    <t>SAMM920722MOCNRR05</t>
  </si>
  <si>
    <t>MARE790219HDFRYN02</t>
  </si>
  <si>
    <t>AUHI751125HDFGRV05</t>
  </si>
  <si>
    <t>OOMF750809HDFLLL07</t>
  </si>
  <si>
    <t>MAZC760225HDFSLR05</t>
  </si>
  <si>
    <t>EAAM860607HMCSGC02</t>
  </si>
  <si>
    <t>COSD771115HQTRLM08</t>
  </si>
  <si>
    <t>AARJ780806MOCRMS05</t>
  </si>
  <si>
    <t>OOMI831112HDFLLV09</t>
  </si>
  <si>
    <t>GORA750614HTLNMR05</t>
  </si>
  <si>
    <t>SACO830516HDFNSS06</t>
  </si>
  <si>
    <t>GAEF930612HMCRSR02</t>
  </si>
  <si>
    <t>MELA871005HDFNPN05</t>
  </si>
  <si>
    <t>MAMF660424HMCRRD02</t>
  </si>
  <si>
    <t>TALA870629HDFPNL02</t>
  </si>
  <si>
    <t>SAOG780725HDFNLB05</t>
  </si>
  <si>
    <t>BAFR821204HDFRRD06</t>
  </si>
  <si>
    <t>LIFN790117HDFRLX09</t>
  </si>
  <si>
    <t>MEEM740723HDFNSN01</t>
  </si>
  <si>
    <t>AUBO761222HMCGRM04</t>
  </si>
  <si>
    <t>GADM950903HMCSNR04</t>
  </si>
  <si>
    <t>GURY791021HDFRNT07</t>
  </si>
  <si>
    <t>SASJ770312HDFNRR01</t>
  </si>
  <si>
    <t>SEJA850823HMCGMD05</t>
  </si>
  <si>
    <t>MIRM690924HMCRJR02</t>
  </si>
  <si>
    <t>SASJ681010HDFNNM09</t>
  </si>
  <si>
    <t>RORA810818HMCJMN04</t>
  </si>
  <si>
    <t>LUMA910327HMCNJR01</t>
  </si>
  <si>
    <t>CAHA780201HDFRRL07</t>
  </si>
  <si>
    <t>RATF891110HHGNNR07</t>
  </si>
  <si>
    <t>RIGH900516HMCVRC04</t>
  </si>
  <si>
    <t>PERF801012HDFDBR09</t>
  </si>
  <si>
    <t>MAVZ881021HMCRLY04</t>
  </si>
  <si>
    <t>MEVA911026HMCNLL05</t>
  </si>
  <si>
    <t>DELF720922HMCLPR01</t>
  </si>
  <si>
    <t>CAPS870925HMCLDN08</t>
  </si>
  <si>
    <t>MASE800304HDFGND01</t>
  </si>
  <si>
    <t>AUCL850913MMCGSZ07</t>
  </si>
  <si>
    <t>SAMM840417HDFNRR07</t>
  </si>
  <si>
    <t>MICB940406HMCRVR01</t>
  </si>
  <si>
    <t>CAPD791027HMCSDV08</t>
  </si>
  <si>
    <t>MORE901228HMCRDD06</t>
  </si>
  <si>
    <t>CASS850213HDFMNR06</t>
  </si>
  <si>
    <t>ROAJ681225HMCLNS03</t>
  </si>
  <si>
    <t>HUMJ791227HMCXRN05</t>
  </si>
  <si>
    <t>GAAS690531HDFRVL04</t>
  </si>
  <si>
    <t>AAGE010614HMCPNRA1</t>
  </si>
  <si>
    <t>SOCB980226HMCSMR01</t>
  </si>
  <si>
    <t>BEMM990309HMCRXN08</t>
  </si>
  <si>
    <t>OOVC020118HMCLZRA9</t>
  </si>
  <si>
    <t>AAON730313HDFPCC07</t>
  </si>
  <si>
    <t>JIFN881229MDFMNN08</t>
  </si>
  <si>
    <t>GOMA760404HDFMRL07</t>
  </si>
  <si>
    <t>VIVS760313HMCLLL01</t>
  </si>
  <si>
    <t>TICR870821HDFNNC02</t>
  </si>
  <si>
    <t>MEMM830721HDFNNR09</t>
  </si>
  <si>
    <t>RUMF631203HMSZJR04</t>
  </si>
  <si>
    <t>PECG651202HMCLNL09</t>
  </si>
  <si>
    <t>QULI951214HDFNPV08</t>
  </si>
  <si>
    <t>ROCG830204HMCDLL06</t>
  </si>
  <si>
    <t>EIHA710818HMCNRN01</t>
  </si>
  <si>
    <t>BAPE880313HMCTRD07</t>
  </si>
  <si>
    <t>HIHM660105HDFDRN05</t>
  </si>
  <si>
    <t>CORM850307HDFRMG05</t>
  </si>
  <si>
    <t>HETH780615HMCRRC08</t>
  </si>
  <si>
    <t>AUMB730213HDFCJN08</t>
  </si>
  <si>
    <t>AIRI730824HMCVNG03</t>
  </si>
  <si>
    <t>SAVA700126HDFNRR05</t>
  </si>
  <si>
    <t>DIRR740418HDFNZC04</t>
  </si>
  <si>
    <t>COJC730116HDFNRS02</t>
  </si>
  <si>
    <t>HERF680127HJCRDR04</t>
  </si>
  <si>
    <t>GOCS860623HMCNRL05</t>
  </si>
  <si>
    <t>VIRE800116MDFLML00</t>
  </si>
  <si>
    <t>RAHF890107HDFMRR03</t>
  </si>
  <si>
    <t>FARC910709HDFRMR06</t>
  </si>
  <si>
    <t>LOLS650919HMCPPL08</t>
  </si>
  <si>
    <t>COGC710926HDFLRR01</t>
  </si>
  <si>
    <t>GARP690425HDFYMD05</t>
  </si>
  <si>
    <t>GOSV711229HDFNNC07</t>
  </si>
  <si>
    <t>CASR811005HDFMNB06</t>
  </si>
  <si>
    <t>QUGS911101MHGZMC00</t>
  </si>
  <si>
    <t>CUHJ710328HDFRRN06</t>
  </si>
  <si>
    <t>TUSA830424HDFRNL06</t>
  </si>
  <si>
    <t>CILM710910HMCSNG05</t>
  </si>
  <si>
    <t>ROHP720915HMCDDR08</t>
  </si>
  <si>
    <t>VIBJ740130HDFCLV09</t>
  </si>
  <si>
    <t>AEPA690102HDFRLG07</t>
  </si>
  <si>
    <t>GAMR900425HOCRRL07</t>
  </si>
  <si>
    <t>OUMR831227HDFRRL01</t>
  </si>
  <si>
    <t>ZAAV731223MDFVGR09</t>
  </si>
  <si>
    <t>SACL691006MDFNRN01</t>
  </si>
  <si>
    <t>CAMS801021HMCBRN06</t>
  </si>
  <si>
    <t>ZARR790930HDFMVB02</t>
  </si>
  <si>
    <t>MOME840404HDFSRD00</t>
  </si>
  <si>
    <t>VAFF890328HDFLRR07</t>
  </si>
  <si>
    <t>LOJL720917HDFPRS06</t>
  </si>
  <si>
    <t>ZARP740107HDFMVD06</t>
  </si>
  <si>
    <t>CAAF740105HMNMPL08</t>
  </si>
  <si>
    <t>HEMS830612MMCRRR06</t>
  </si>
  <si>
    <t>OIHS610516HDFRRL09</t>
  </si>
  <si>
    <t>MALR660602HMCRNS01</t>
  </si>
  <si>
    <t>AORF730808HDFLSR03</t>
  </si>
  <si>
    <t>HEME650908HDFRNN06</t>
  </si>
  <si>
    <t>OILC650717MDFRYR08</t>
  </si>
  <si>
    <t>TOVJ701031HMCRLR17</t>
  </si>
  <si>
    <t>HEOI740608HPLRRG04</t>
  </si>
  <si>
    <t>CXCA710611MDFLBM06</t>
  </si>
  <si>
    <t>HEML660804MGTRRT03</t>
  </si>
  <si>
    <t>REHB770520MPLYRR02</t>
  </si>
  <si>
    <t>CAGD670413MJCRTL03</t>
  </si>
  <si>
    <t>PARA841225MMCDDL09</t>
  </si>
  <si>
    <t>OOVA961022MMCLZN09</t>
  </si>
  <si>
    <t>FUBI730628HDFNRS01</t>
  </si>
  <si>
    <t>BUEE690307MSRRSG03</t>
  </si>
  <si>
    <t>GATM600902HNLRMN01</t>
  </si>
  <si>
    <t>OOHZ950628MDFSRD01</t>
  </si>
  <si>
    <t>GAGM620130HDFRTR04</t>
  </si>
  <si>
    <t>LOTL961028HDFPLS06</t>
  </si>
  <si>
    <t>HAGD820313HVZRRN08</t>
  </si>
  <si>
    <t>MARE610915HDFRJR08</t>
  </si>
  <si>
    <t>CACG600102HHGRLL27</t>
  </si>
  <si>
    <t>MAPE760618HMCRRF05</t>
  </si>
  <si>
    <t>AEFM931109HVZRLN04</t>
  </si>
  <si>
    <t>PAMJ851006HDFDNN09</t>
  </si>
  <si>
    <t>TELK970825MMCRPR06</t>
  </si>
  <si>
    <t>EAPI770830HDFSRV05</t>
  </si>
  <si>
    <t>GURM940728MDFRMR01</t>
  </si>
  <si>
    <t>ROGY971012HDFJNR05</t>
  </si>
  <si>
    <t>GOTD960628MDFNRL03</t>
  </si>
  <si>
    <t>SACR840512MDFNNX03</t>
  </si>
  <si>
    <t>EIAT830207MDFSNN03</t>
  </si>
  <si>
    <t>PEGE730112MDFRNL00</t>
  </si>
  <si>
    <t>FOBJ860526HDFLRN02</t>
  </si>
  <si>
    <t>AUBE750828HTSGRR08</t>
  </si>
  <si>
    <t>CATD910122HHGNJN00</t>
  </si>
  <si>
    <t>CARI780216HDFSTV00</t>
  </si>
  <si>
    <t>BAGA680219HMCLDR02</t>
  </si>
  <si>
    <t>OASJ920712HMSCLS09</t>
  </si>
  <si>
    <t>ROLM741027HMCDNG03</t>
  </si>
  <si>
    <t>CADJ900113HDFHZS04</t>
  </si>
  <si>
    <t>CATS980721MDFSRT09</t>
  </si>
  <si>
    <t>GAPM790303MDFRRR08</t>
  </si>
  <si>
    <t>MACG710731HSPRRL05</t>
  </si>
  <si>
    <t>CARA801110HTSMYL08</t>
  </si>
  <si>
    <t>AILM920703MDFLPR02</t>
  </si>
  <si>
    <t>ZELR890123HDFPPC04</t>
  </si>
  <si>
    <t>EILO750329MDFSPD09</t>
  </si>
  <si>
    <t>CABA771025HMCRTG02</t>
  </si>
  <si>
    <t>VAAC760623HGRLRR08</t>
  </si>
  <si>
    <t>GUVM881122MDFZLR01</t>
  </si>
  <si>
    <t>AOGC960605HMCNZS06</t>
  </si>
  <si>
    <t>SESE840827HDFRND03</t>
  </si>
  <si>
    <t>CARD750909HMCSVR09</t>
  </si>
  <si>
    <t>QURE830423HDFRJR00</t>
  </si>
  <si>
    <t>MOCF700623HMCRMR07</t>
  </si>
  <si>
    <t>CIMG960429MDFSRB00</t>
  </si>
  <si>
    <t>GAEJ810819HDFRSR02</t>
  </si>
  <si>
    <t>LOSF670501HHGPTL05</t>
  </si>
  <si>
    <t>SERA710119HGTRMR09</t>
  </si>
  <si>
    <t>MATK011010HMCRRVA9</t>
  </si>
  <si>
    <t>MEGE730305HDFNLL06</t>
  </si>
  <si>
    <t>MARJ820918HMCRNR04</t>
  </si>
  <si>
    <t>BAMU710520HPLLRL05</t>
  </si>
  <si>
    <t>ZAHR970329HMCMRY00</t>
  </si>
  <si>
    <t>CARL910903HMCRBN01</t>
  </si>
  <si>
    <t>EAGA850830MDFSNN04</t>
  </si>
  <si>
    <t>LOGS810302MDFPYR09</t>
  </si>
  <si>
    <t>OUOL860111MDFLRZ06</t>
  </si>
  <si>
    <t>LEPL680221MNLNRS07</t>
  </si>
  <si>
    <t>AABJ840620HDFLLN04</t>
  </si>
  <si>
    <t>AAGA790218MNLLVD00</t>
  </si>
  <si>
    <t>GOHI991024HMCNRS08</t>
  </si>
  <si>
    <t>SAPL971121HMCNRS02</t>
  </si>
  <si>
    <t>FOAR981015HMCLLF02</t>
  </si>
  <si>
    <t>RUFM730924MDFZLR02</t>
  </si>
  <si>
    <t>AAMM710222MDFVRR04</t>
  </si>
  <si>
    <t>OERM690302MDFRMN08</t>
  </si>
  <si>
    <t>LOMM841118HDFPRG09</t>
  </si>
  <si>
    <t>MOCN660503HMCRRL01</t>
  </si>
  <si>
    <t>GUAN760307MDFRRR05</t>
  </si>
  <si>
    <t>MOGA690922CM4</t>
  </si>
  <si>
    <t>CATR790901ECA</t>
  </si>
  <si>
    <t>JUPL810608355</t>
  </si>
  <si>
    <t>GOAC731003QH9</t>
  </si>
  <si>
    <t>MEME761206DZA</t>
  </si>
  <si>
    <t>NIZJ660316EY2</t>
  </si>
  <si>
    <t>SALJ750814UC3</t>
  </si>
  <si>
    <t>SAMA890120LR4</t>
  </si>
  <si>
    <t>OARN920711JB0</t>
  </si>
  <si>
    <t>COEJ800725K91</t>
  </si>
  <si>
    <t>GOGE860624286</t>
  </si>
  <si>
    <t>FOMH831125R38</t>
  </si>
  <si>
    <t>BEZA7905057I7</t>
  </si>
  <si>
    <t>MARA841110RS0</t>
  </si>
  <si>
    <t>BAEL691226L51</t>
  </si>
  <si>
    <t>LOPD870915M62</t>
  </si>
  <si>
    <t>CAFE820904A79</t>
  </si>
  <si>
    <t>LAHM940710644</t>
  </si>
  <si>
    <t>LOZM860113HS0</t>
  </si>
  <si>
    <t>SASR780315921</t>
  </si>
  <si>
    <t>PAMJ8904051U1</t>
  </si>
  <si>
    <t>GUSE760223I64</t>
  </si>
  <si>
    <t>LOFT000903J48</t>
  </si>
  <si>
    <t>PEOO690209TI0</t>
  </si>
  <si>
    <t>MIMM810128HG2</t>
  </si>
  <si>
    <t>GASA971209QDA</t>
  </si>
  <si>
    <t>SIAA7812243L8</t>
  </si>
  <si>
    <t>MECN691102MR4</t>
  </si>
  <si>
    <t>HEHG8108119L4</t>
  </si>
  <si>
    <t>PECR8212075Y6</t>
  </si>
  <si>
    <t>MAMM841211GG9</t>
  </si>
  <si>
    <t>LEMJ730518BZ1</t>
  </si>
  <si>
    <t>FOCJ780129PR3</t>
  </si>
  <si>
    <t>RAMZ870605B81</t>
  </si>
  <si>
    <t>MAFJ760705G91</t>
  </si>
  <si>
    <t>MALD840408SX7</t>
  </si>
  <si>
    <t>TOSF710705782</t>
  </si>
  <si>
    <t>AAFM750425F77</t>
  </si>
  <si>
    <t>MAGI690505318</t>
  </si>
  <si>
    <t>ZULJ860515CH1</t>
  </si>
  <si>
    <t>BUEJ770314987</t>
  </si>
  <si>
    <t>RAMJ780401ML9</t>
  </si>
  <si>
    <t>ROSP960130KMA</t>
  </si>
  <si>
    <t>RAND860206V54</t>
  </si>
  <si>
    <t>MEBL900909H99</t>
  </si>
  <si>
    <t>RIPJ770227E76</t>
  </si>
  <si>
    <t>RODA7807129V8</t>
  </si>
  <si>
    <t>VAPE850119Q32</t>
  </si>
  <si>
    <t>AIRJ880505CD8</t>
  </si>
  <si>
    <t>VETM910930553</t>
  </si>
  <si>
    <t>GALA760630RAA</t>
  </si>
  <si>
    <t>AULE86062754A</t>
  </si>
  <si>
    <t>MORM670731LH4</t>
  </si>
  <si>
    <t>AEAS800806EE1</t>
  </si>
  <si>
    <t>FODL820211841</t>
  </si>
  <si>
    <t>GUCL8507212X2</t>
  </si>
  <si>
    <t>LOGH880111FA9</t>
  </si>
  <si>
    <t>JUVC760821TH9</t>
  </si>
  <si>
    <t>CASL870921Q31</t>
  </si>
  <si>
    <t>LOSJ780501TP1</t>
  </si>
  <si>
    <t>RAAC8810128N6</t>
  </si>
  <si>
    <t>EUML930706RV6</t>
  </si>
  <si>
    <t>GAVA950830E73</t>
  </si>
  <si>
    <t>FOGM750811E58</t>
  </si>
  <si>
    <t>GAON8812239B8</t>
  </si>
  <si>
    <t>CALS940621RH0</t>
  </si>
  <si>
    <t>SAJA891213C79</t>
  </si>
  <si>
    <t>DOTR910917R97</t>
  </si>
  <si>
    <t>AOAM631113JS7</t>
  </si>
  <si>
    <t>GASM760413HT3</t>
  </si>
  <si>
    <t>OESM9110314PA</t>
  </si>
  <si>
    <t>HUUM760205621</t>
  </si>
  <si>
    <t>AABE780918TX4</t>
  </si>
  <si>
    <t>LERD981004NUA</t>
  </si>
  <si>
    <t>GAAC670405275</t>
  </si>
  <si>
    <t>PIVR7706074W5</t>
  </si>
  <si>
    <t>SOOA781006L38</t>
  </si>
  <si>
    <t>CARC7503118B0</t>
  </si>
  <si>
    <t>SANC961110B65</t>
  </si>
  <si>
    <t>UAHR770312CK5</t>
  </si>
  <si>
    <t>FACL850304V38</t>
  </si>
  <si>
    <t>FOMS880615K62</t>
  </si>
  <si>
    <t>CARC6003028V8</t>
  </si>
  <si>
    <t>SAMM920722847</t>
  </si>
  <si>
    <t>MARE790219JJ7</t>
  </si>
  <si>
    <t>AUHI751125IX7</t>
  </si>
  <si>
    <t>OOMF750809PW5</t>
  </si>
  <si>
    <t>MAZC760225CS8</t>
  </si>
  <si>
    <t>EAAM860607JR6</t>
  </si>
  <si>
    <t>COSD7711157T1</t>
  </si>
  <si>
    <t>AARJ780806LM2</t>
  </si>
  <si>
    <t>OOMI831112TX4</t>
  </si>
  <si>
    <t>GORA750614CX8</t>
  </si>
  <si>
    <t>SACO8305162T0</t>
  </si>
  <si>
    <t>GAEF930612R18</t>
  </si>
  <si>
    <t>MELA871005IA9</t>
  </si>
  <si>
    <t>MAMF660424LA1</t>
  </si>
  <si>
    <t>TALA8706295Y8</t>
  </si>
  <si>
    <t>SAOG780725F44</t>
  </si>
  <si>
    <t>BAFR821204R33</t>
  </si>
  <si>
    <t>LIFN790117JK0</t>
  </si>
  <si>
    <t>MEEM740723SF7</t>
  </si>
  <si>
    <t>AUBO761222QI6</t>
  </si>
  <si>
    <t>GADM9509031I7</t>
  </si>
  <si>
    <t>GURY791021K5A</t>
  </si>
  <si>
    <t>SASJ770312PD5</t>
  </si>
  <si>
    <t>SEJA850823EHA</t>
  </si>
  <si>
    <t>MIRM690924UF5</t>
  </si>
  <si>
    <t>SASJ681010VA2</t>
  </si>
  <si>
    <t>RORA8108185A4</t>
  </si>
  <si>
    <t>LUMA910327AP7</t>
  </si>
  <si>
    <t>CAHA780201SH9</t>
  </si>
  <si>
    <t>RATF891110S67</t>
  </si>
  <si>
    <t>RIGH900516BE6</t>
  </si>
  <si>
    <t>PERF8010125V9</t>
  </si>
  <si>
    <t>MAVZ881021S88</t>
  </si>
  <si>
    <t>MEVA911026PK1</t>
  </si>
  <si>
    <t>DELF720922PT5</t>
  </si>
  <si>
    <t>CAPS8709259GA</t>
  </si>
  <si>
    <t>MASE800304R1A</t>
  </si>
  <si>
    <t>AUCL850913DNA</t>
  </si>
  <si>
    <t>SAMM840417CBA</t>
  </si>
  <si>
    <t>MICB940406GV6</t>
  </si>
  <si>
    <t>CAPD791027BLA</t>
  </si>
  <si>
    <t>MORE9012285T3</t>
  </si>
  <si>
    <t>CASS850213M59</t>
  </si>
  <si>
    <t>ROAJ681225347</t>
  </si>
  <si>
    <t>HUMJ791227KA1</t>
  </si>
  <si>
    <t>GAAS690531H62</t>
  </si>
  <si>
    <t>AAGE010614B31</t>
  </si>
  <si>
    <t>SOCB980226A98</t>
  </si>
  <si>
    <t>BEMM990309BBA</t>
  </si>
  <si>
    <t>OOVC020118AL4</t>
  </si>
  <si>
    <t>AAON730313BS0</t>
  </si>
  <si>
    <t>JIFN881229GU8</t>
  </si>
  <si>
    <t>GOMA760404J68</t>
  </si>
  <si>
    <t>VIVS760313JM8</t>
  </si>
  <si>
    <t>TICR870821M37</t>
  </si>
  <si>
    <t>MEMM830721G22</t>
  </si>
  <si>
    <t>RUMF631203PT0</t>
  </si>
  <si>
    <t>PECG6512025V3</t>
  </si>
  <si>
    <t>QULI951214MW3</t>
  </si>
  <si>
    <t>ROCG830204I42</t>
  </si>
  <si>
    <t>EIHA7108182V2</t>
  </si>
  <si>
    <t>BAPE880313F24</t>
  </si>
  <si>
    <t>HIHM660105TR4</t>
  </si>
  <si>
    <t>CORM8503075D5</t>
  </si>
  <si>
    <t>HETH7806151I6</t>
  </si>
  <si>
    <t>AUMB7302134K1</t>
  </si>
  <si>
    <t>AIRI7308242K4</t>
  </si>
  <si>
    <t>SAVA700126HE2</t>
  </si>
  <si>
    <t>DIRR740418QY7</t>
  </si>
  <si>
    <t>COJC730116A76</t>
  </si>
  <si>
    <t>HERF680127NX9</t>
  </si>
  <si>
    <t>GOCS860623F10</t>
  </si>
  <si>
    <t>VIRE8001163S0</t>
  </si>
  <si>
    <t>RAHF890107711</t>
  </si>
  <si>
    <t>FARC910709HI4</t>
  </si>
  <si>
    <t>LOLS6509199N8</t>
  </si>
  <si>
    <t>COGC710926JA2</t>
  </si>
  <si>
    <t>GARP6904257Q4</t>
  </si>
  <si>
    <t>GOSV71122973A</t>
  </si>
  <si>
    <t>CASR811005EL1</t>
  </si>
  <si>
    <t>QUGS911101JQ2</t>
  </si>
  <si>
    <t>CUHJ7103287K3</t>
  </si>
  <si>
    <t>TUSA8304245M0</t>
  </si>
  <si>
    <t>CILM7109107V7</t>
  </si>
  <si>
    <t>ROHP720915MA9</t>
  </si>
  <si>
    <t>VIBJ740130BQ9</t>
  </si>
  <si>
    <t>AEPA690102CS6</t>
  </si>
  <si>
    <t>GAMR900425811</t>
  </si>
  <si>
    <t>OUMR8312273M5</t>
  </si>
  <si>
    <t>ZAAV731223TQ8</t>
  </si>
  <si>
    <t>SACL6910068P6</t>
  </si>
  <si>
    <t>CAMS801021AK8</t>
  </si>
  <si>
    <t>ZARR790930JL6</t>
  </si>
  <si>
    <t>MOME8404049L7</t>
  </si>
  <si>
    <t>VAFF890328UY3</t>
  </si>
  <si>
    <t>LOJL720917AV2</t>
  </si>
  <si>
    <t>ZARP7401071F2</t>
  </si>
  <si>
    <t>CAAF740105HG8</t>
  </si>
  <si>
    <t>HEMS830612TG0</t>
  </si>
  <si>
    <t>OIHS610516SH5</t>
  </si>
  <si>
    <t>MALR6606026G9</t>
  </si>
  <si>
    <t>AORF730808EE8</t>
  </si>
  <si>
    <t>HEME6509081K7</t>
  </si>
  <si>
    <t>OILC650717BZ0</t>
  </si>
  <si>
    <t>TOVJ701031HI0</t>
  </si>
  <si>
    <t>HEOI740608UT6</t>
  </si>
  <si>
    <t>CACX7106113E1</t>
  </si>
  <si>
    <t>HEML660804846</t>
  </si>
  <si>
    <t>REHB7705202W7</t>
  </si>
  <si>
    <t>CAGD670413RH7</t>
  </si>
  <si>
    <t>PARA841225GQ1</t>
  </si>
  <si>
    <t>OOVA961022TS7</t>
  </si>
  <si>
    <t>FUBI730628NL0</t>
  </si>
  <si>
    <t>BUEE690307BB9</t>
  </si>
  <si>
    <t>GATM600902112</t>
  </si>
  <si>
    <t>OOHZ950628C36</t>
  </si>
  <si>
    <t>GAGM620130TE2</t>
  </si>
  <si>
    <t>LOTL961028N47</t>
  </si>
  <si>
    <t>HAGD820313DZA</t>
  </si>
  <si>
    <t>MARE610915JJA</t>
  </si>
  <si>
    <t>CACJ6001023Z1</t>
  </si>
  <si>
    <t>MAPE760618B66</t>
  </si>
  <si>
    <t>AEFM931109HU7</t>
  </si>
  <si>
    <t>PAMJ8510068G0</t>
  </si>
  <si>
    <t>TELK9708259B1</t>
  </si>
  <si>
    <t>EAPI7708304T1</t>
  </si>
  <si>
    <t>GURM940728438</t>
  </si>
  <si>
    <t>ROGY971012SB7</t>
  </si>
  <si>
    <t>GOTD960628797</t>
  </si>
  <si>
    <t>SACR840512BK4</t>
  </si>
  <si>
    <t>EIAT830207JU4</t>
  </si>
  <si>
    <t>PEGE7301124G7</t>
  </si>
  <si>
    <t>FOBJ860526D48</t>
  </si>
  <si>
    <t>AUBE750828V98</t>
  </si>
  <si>
    <t>CATD910122PI5</t>
  </si>
  <si>
    <t>CARI780216SI1</t>
  </si>
  <si>
    <t>BAGA680219MU9</t>
  </si>
  <si>
    <t>OASJ920712153</t>
  </si>
  <si>
    <t>ROLM7410271Q8</t>
  </si>
  <si>
    <t>CADJ900113K59</t>
  </si>
  <si>
    <t>CATS980721JD8</t>
  </si>
  <si>
    <t>GAPM790303PA3</t>
  </si>
  <si>
    <t>MACG710731P80</t>
  </si>
  <si>
    <t>CARA801110MFA</t>
  </si>
  <si>
    <t>AILM920703CB6</t>
  </si>
  <si>
    <t>ZELR890123HY1</t>
  </si>
  <si>
    <t>EILO750329AIA</t>
  </si>
  <si>
    <t>CABA7710251V6</t>
  </si>
  <si>
    <t>VAAC760623LW3</t>
  </si>
  <si>
    <t>GUVM881122NW9</t>
  </si>
  <si>
    <t>AOGC9606058S8</t>
  </si>
  <si>
    <t>SESE840827CC0</t>
  </si>
  <si>
    <t>CARD750909MV8</t>
  </si>
  <si>
    <t>QURE830423UF5</t>
  </si>
  <si>
    <t>MOCF7006233A5</t>
  </si>
  <si>
    <t>CIMG960429RV1</t>
  </si>
  <si>
    <t>GAEJ810819SR6</t>
  </si>
  <si>
    <t>LOSF670501BN0</t>
  </si>
  <si>
    <t>SERA710119DT7</t>
  </si>
  <si>
    <t>MATK011010H80</t>
  </si>
  <si>
    <t>MEGE730305Q46</t>
  </si>
  <si>
    <t>MARJ820918SV9</t>
  </si>
  <si>
    <t>BAMU710520AXA</t>
  </si>
  <si>
    <t>ZAHR9703292DA</t>
  </si>
  <si>
    <t>CARL9109037W9</t>
  </si>
  <si>
    <t>EAGA8508304F8</t>
  </si>
  <si>
    <t>LOGS810302JF0</t>
  </si>
  <si>
    <t>OUOL860111763</t>
  </si>
  <si>
    <t>LEPL680221TKA</t>
  </si>
  <si>
    <t>AABJ840620QI8</t>
  </si>
  <si>
    <t>AAGA790218TT9</t>
  </si>
  <si>
    <t>GOHI991024RR9</t>
  </si>
  <si>
    <t>SAPL971121T4A</t>
  </si>
  <si>
    <t>FOAR981015P98</t>
  </si>
  <si>
    <t>RUFM7309249D1</t>
  </si>
  <si>
    <t>AAMM710222QD4</t>
  </si>
  <si>
    <t>OERM690302BH3</t>
  </si>
  <si>
    <t>LOMM841118SM0</t>
  </si>
  <si>
    <t>MOCN660503LD7</t>
  </si>
  <si>
    <t>GUAN760307GAA</t>
  </si>
  <si>
    <t>ARTURO MOLINA GODINEZ</t>
  </si>
  <si>
    <t>MOLINA</t>
  </si>
  <si>
    <t>GODINEZ</t>
  </si>
  <si>
    <t>ROBERTO CHAVEZ TORRES</t>
  </si>
  <si>
    <t>LILIA KARINA JUAREZ PINEDA</t>
  </si>
  <si>
    <t>PINEDA</t>
  </si>
  <si>
    <t>LILIA</t>
  </si>
  <si>
    <t>CLAUDIA GOMEZ AGUIRRE</t>
  </si>
  <si>
    <t>AGUIRRE</t>
  </si>
  <si>
    <t>ESTEBAN MENDOZA MENDEZ</t>
  </si>
  <si>
    <t>MENDEZ</t>
  </si>
  <si>
    <t>JUAN NIEVES ZAVALA</t>
  </si>
  <si>
    <t>NIEVES</t>
  </si>
  <si>
    <t>ZAVALA</t>
  </si>
  <si>
    <t>JUAN SALINAS LEON</t>
  </si>
  <si>
    <t>LEON</t>
  </si>
  <si>
    <t>ANGELICA SANDOVAL MARMOLEJO</t>
  </si>
  <si>
    <t>SANDOVAL</t>
  </si>
  <si>
    <t>MARMOLEJO</t>
  </si>
  <si>
    <t>NORMA OCANA RIVAS</t>
  </si>
  <si>
    <t>OCANA</t>
  </si>
  <si>
    <t>RIVAS</t>
  </si>
  <si>
    <t>JOSUE MAURICIO CORTES ESQUIVEL</t>
  </si>
  <si>
    <t>CORTES</t>
  </si>
  <si>
    <t>ESQUIVEL</t>
  </si>
  <si>
    <t>JOSUE</t>
  </si>
  <si>
    <t>EMANUEL GONZALEZ GONZALEZ</t>
  </si>
  <si>
    <t>HECTOR RODRIGO FLORES MANZANEDO</t>
  </si>
  <si>
    <t>MANZANEDO</t>
  </si>
  <si>
    <t>ANTONIO BELLO ZEPEDA</t>
  </si>
  <si>
    <t>BELLO</t>
  </si>
  <si>
    <t>ZEPEDA</t>
  </si>
  <si>
    <t>ALEJANDRO ALFREDO MARQUEZ RERGIS</t>
  </si>
  <si>
    <t>RERGIS</t>
  </si>
  <si>
    <t>JOSE LUIS BARRAGAN ELIZONDO</t>
  </si>
  <si>
    <t>BARRAGAN</t>
  </si>
  <si>
    <t>ELIZONDO</t>
  </si>
  <si>
    <t>DIEGO EDUARDO LOPEZ PEREZ</t>
  </si>
  <si>
    <t>DIEGO</t>
  </si>
  <si>
    <t>ERIKA FABIOLA CARDENAS FUENTES</t>
  </si>
  <si>
    <t>ERIKA</t>
  </si>
  <si>
    <t>MONTSERRAT LAZOS HERNANDEZ</t>
  </si>
  <si>
    <t>LAZOS</t>
  </si>
  <si>
    <t>MARISOL LOPEZ ZAVALA</t>
  </si>
  <si>
    <t>RAYMUNDO ADAN SANCHEZ SALAZAR</t>
  </si>
  <si>
    <t>RAYMUNDO</t>
  </si>
  <si>
    <t>JESUS DABYTH PALMA MORTERA</t>
  </si>
  <si>
    <t>PALMA</t>
  </si>
  <si>
    <t>MORTERA</t>
  </si>
  <si>
    <t>JESUS</t>
  </si>
  <si>
    <t>ENRIQUE GUTIERREZ SANCHEZ</t>
  </si>
  <si>
    <t>TANIA GERALDINE LOPEZ FEREGRINO</t>
  </si>
  <si>
    <t>FEREGRINO</t>
  </si>
  <si>
    <t>TANIA</t>
  </si>
  <si>
    <t>OSCAR PEREZ ORTIZ</t>
  </si>
  <si>
    <t>MIGUEL ANGEL MIRANDA MONTUFAR</t>
  </si>
  <si>
    <t>MONTUFAR</t>
  </si>
  <si>
    <t>ANA GABRIELA GARDUNO SANCHEZ</t>
  </si>
  <si>
    <t>GARDUNO</t>
  </si>
  <si>
    <t>ANA</t>
  </si>
  <si>
    <t>ANGELICA DEL ROCIO SILVA ALPIZAR</t>
  </si>
  <si>
    <t>SILVA</t>
  </si>
  <si>
    <t>ALPIZAR</t>
  </si>
  <si>
    <t>JOSE NICOLAS MEZA CORREA</t>
  </si>
  <si>
    <t>CORREA</t>
  </si>
  <si>
    <t>GERMAIN HERNANDEZ HERNANDEZ</t>
  </si>
  <si>
    <t>RODRIGO PAVEL PEREZ CASTILLO</t>
  </si>
  <si>
    <t>MARCO ANTONIO MARTINEZ MARTIN</t>
  </si>
  <si>
    <t>MARCO</t>
  </si>
  <si>
    <t>JUAN CARLOS LECUMBERRI MARTINEZ</t>
  </si>
  <si>
    <t>LECUMBERRI</t>
  </si>
  <si>
    <t>JULIO CESAR FONSECA CORDOBA</t>
  </si>
  <si>
    <t>FONSECA</t>
  </si>
  <si>
    <t>CORDOBA</t>
  </si>
  <si>
    <t>JULIO</t>
  </si>
  <si>
    <t>ZAMIR ALBERTO RAMOS MATEOS</t>
  </si>
  <si>
    <t>MATEOS</t>
  </si>
  <si>
    <t>ZAMIR</t>
  </si>
  <si>
    <t>JAIME MACIAS FLORES</t>
  </si>
  <si>
    <t>MACIAS</t>
  </si>
  <si>
    <t>DAVID ALAN MARTINEZ LACAVEX</t>
  </si>
  <si>
    <t>LACAVEX</t>
  </si>
  <si>
    <t>DAVID</t>
  </si>
  <si>
    <t>FRANCISCO TOVAR SALGUERO</t>
  </si>
  <si>
    <t>TOVAR</t>
  </si>
  <si>
    <t>SALGUERO</t>
  </si>
  <si>
    <t>MARCO MANUEL APARICIO FLORES</t>
  </si>
  <si>
    <t>APARICIO</t>
  </si>
  <si>
    <t>IRMA LETICIA MARTINEZ GAYTAN</t>
  </si>
  <si>
    <t>GAYTAN</t>
  </si>
  <si>
    <t>IRMA</t>
  </si>
  <si>
    <t>JOHANA ZUNIGA LOPEZ</t>
  </si>
  <si>
    <t>JUANA MICHELLE BUHL ESPEJO</t>
  </si>
  <si>
    <t>BUHL</t>
  </si>
  <si>
    <t>ESPEJO</t>
  </si>
  <si>
    <t>JUANA</t>
  </si>
  <si>
    <t>JOVANNA GABRIELA RAMIREZ MONTERO</t>
  </si>
  <si>
    <t>MONTERO</t>
  </si>
  <si>
    <t>JOVANNA</t>
  </si>
  <si>
    <t>PAULINA VALERIA ROBLES SANCHEZ</t>
  </si>
  <si>
    <t>PAULINA</t>
  </si>
  <si>
    <t>DENISSE RAMIREZ NOYA</t>
  </si>
  <si>
    <t>NOYA</t>
  </si>
  <si>
    <t>LEONEL MEDINA BAHENA</t>
  </si>
  <si>
    <t>BAHENA</t>
  </si>
  <si>
    <t>JUAN CARLOS RIVERA PEREZ</t>
  </si>
  <si>
    <t>AMARANTA RODRIGUEZ DIAZ</t>
  </si>
  <si>
    <t>ERIK VALLADARES PALMA</t>
  </si>
  <si>
    <t>VALLADARES</t>
  </si>
  <si>
    <t>JUAN MANUEL ARCINIEGA RUIZ</t>
  </si>
  <si>
    <t>ARCINIEGA</t>
  </si>
  <si>
    <t>MIGUEL ANGEL VERA TORRES</t>
  </si>
  <si>
    <t>VERA</t>
  </si>
  <si>
    <t>ANDREA ANALI GARCIA LUNA</t>
  </si>
  <si>
    <t>ANDREA</t>
  </si>
  <si>
    <t>ELIA NAYELI AGUILAR LAZARO</t>
  </si>
  <si>
    <t>LAZARO</t>
  </si>
  <si>
    <t>ELIA</t>
  </si>
  <si>
    <t>MYRIAM MORALES RANGEL</t>
  </si>
  <si>
    <t>SANDRA LUCIA ARTEAGA ARCOS</t>
  </si>
  <si>
    <t>ARTEAGA</t>
  </si>
  <si>
    <t>ARCOS</t>
  </si>
  <si>
    <t>SANDRA</t>
  </si>
  <si>
    <t>LOURDES ELIZABETH FLORES DIAZ</t>
  </si>
  <si>
    <t>LOURDES</t>
  </si>
  <si>
    <t>LEONARDO DANIEL GUZMAN CASANAS</t>
  </si>
  <si>
    <t>GUZMAN</t>
  </si>
  <si>
    <t>CASANAS</t>
  </si>
  <si>
    <t>LEONARDO</t>
  </si>
  <si>
    <t>HORTENCIA LOPEZ GOMEZ</t>
  </si>
  <si>
    <t>CARLOS JUAREZ VASQUEZ</t>
  </si>
  <si>
    <t>LUIS ANTONIO CABANAS SANCHEZ</t>
  </si>
  <si>
    <t>CABANAS</t>
  </si>
  <si>
    <t>LUIS</t>
  </si>
  <si>
    <t>JUAN CARLOS LOPEZ SANCHEZ</t>
  </si>
  <si>
    <t>CARMEN ADRIANA RAMOS AGUILAR</t>
  </si>
  <si>
    <t>CARMEN</t>
  </si>
  <si>
    <t>LIZETH ELOISA ESCUDERO MONROY</t>
  </si>
  <si>
    <t>ESCUDERO</t>
  </si>
  <si>
    <t>MONROY</t>
  </si>
  <si>
    <t>ADAN ISRAEL GARAY VAZQUEZ</t>
  </si>
  <si>
    <t>GARAY</t>
  </si>
  <si>
    <t>MIRIAM FLORES GARCIA</t>
  </si>
  <si>
    <t>NANCY ROCIO GARCIA ORTEGA</t>
  </si>
  <si>
    <t>ORTEGA</t>
  </si>
  <si>
    <t>NANCY</t>
  </si>
  <si>
    <t>SAMANTHA CHAVEZ LOZOYA</t>
  </si>
  <si>
    <t>LOZOYA</t>
  </si>
  <si>
    <t>ANGELICA MONSERRAT SANCHEZ JUAREZ</t>
  </si>
  <si>
    <t>ANGELICA</t>
  </si>
  <si>
    <t>ROCIO ANALI DOMINGUEZ TREJO</t>
  </si>
  <si>
    <t>ROCIO</t>
  </si>
  <si>
    <t>MARTIN ARROYO ABOYTES</t>
  </si>
  <si>
    <t>ARROYO</t>
  </si>
  <si>
    <t>ABOYTES</t>
  </si>
  <si>
    <t>MIGUEL ALEJANDRO GARCIA SANCHEZ</t>
  </si>
  <si>
    <t>MARCO AURELIO OBREGON SERRANO</t>
  </si>
  <si>
    <t>OBREGON</t>
  </si>
  <si>
    <t>MARCO ANTONIO HUESCA URIBE</t>
  </si>
  <si>
    <t>HUESCA</t>
  </si>
  <si>
    <t>URIBE</t>
  </si>
  <si>
    <t>EDGAR ALVAREZ BORJA</t>
  </si>
  <si>
    <t>BORJA</t>
  </si>
  <si>
    <t>DALMAAN LENZ REYES</t>
  </si>
  <si>
    <t>LENZ</t>
  </si>
  <si>
    <t>CONCEPCION GARCIA ARELLANO</t>
  </si>
  <si>
    <t>ARELLANO</t>
  </si>
  <si>
    <t>ROBERTO PINEDA VERGARA</t>
  </si>
  <si>
    <t>ALBERTO SOLARES ORTEGA</t>
  </si>
  <si>
    <t>SOLARES</t>
  </si>
  <si>
    <t>CESAR MANUEL CHAVEZ RODRIGUEZ</t>
  </si>
  <si>
    <t>CLAUDIA BERNARDA SALAZAR NUNEZ</t>
  </si>
  <si>
    <t>NUNEZ</t>
  </si>
  <si>
    <t>CLAUDIA</t>
  </si>
  <si>
    <t>RAYMUNDO UGALDE HERNANDEZ</t>
  </si>
  <si>
    <t>UGALDE</t>
  </si>
  <si>
    <t>LUIS GUILLERMO FRANCO CASTRO</t>
  </si>
  <si>
    <t>FRANCO</t>
  </si>
  <si>
    <t>SERGIO LUIS FLORES MENDEZ</t>
  </si>
  <si>
    <t>CARLOS ISMAEL CASTANEDA RUIZ</t>
  </si>
  <si>
    <t>CARLOS</t>
  </si>
  <si>
    <t>MARA LIM SANCHEZ MARTINEZ</t>
  </si>
  <si>
    <t>MARA</t>
  </si>
  <si>
    <t>JOSE ENRIQUE MARTINEZ REYES</t>
  </si>
  <si>
    <t>IVAN GERARDO AGUIRRE HURTADO</t>
  </si>
  <si>
    <t>JOSE FELIX OLMOS MOLINA</t>
  </si>
  <si>
    <t>OLMOS</t>
  </si>
  <si>
    <t>CARLOS FRANCISCO MASSEY ZELAYARAN</t>
  </si>
  <si>
    <t>MASSEY</t>
  </si>
  <si>
    <t>ZELAYARAN</t>
  </si>
  <si>
    <t>MICHAEL ROBERTO ESPARZA AGUILAR</t>
  </si>
  <si>
    <t>ESPARZA</t>
  </si>
  <si>
    <t>MICHAEL</t>
  </si>
  <si>
    <t>DOMINGO CORREA SALDANA</t>
  </si>
  <si>
    <t>SALDANA</t>
  </si>
  <si>
    <t>JESSYCA DANIELA ARANGO RAMIREZ</t>
  </si>
  <si>
    <t>ARANGO</t>
  </si>
  <si>
    <t>JESSYCA</t>
  </si>
  <si>
    <t>IVAN OLMOS MOLINA</t>
  </si>
  <si>
    <t>ARTURO GONZALEZ RAMIREZ</t>
  </si>
  <si>
    <t>OSWALDO SANCHEZ CASTANEDA</t>
  </si>
  <si>
    <t>FRANCISCO JAVIER GARCIA EUSEBIO</t>
  </si>
  <si>
    <t>EUSEBIO</t>
  </si>
  <si>
    <t>ANGEL EMMANUEL MENDOZA LOPEZ</t>
  </si>
  <si>
    <t>ANGEL</t>
  </si>
  <si>
    <t>FIDEL MARTINEZ MARTINEZ</t>
  </si>
  <si>
    <t>JOSE ALBERTO TAPIA LEON</t>
  </si>
  <si>
    <t>GABRIEL ERIK SANCHEZ OLVERA</t>
  </si>
  <si>
    <t>ROD SAUL BARRIOS FRANCO</t>
  </si>
  <si>
    <t>BARRIOS</t>
  </si>
  <si>
    <t>ROD</t>
  </si>
  <si>
    <t>NOE LIRA FLORES</t>
  </si>
  <si>
    <t>LIRA</t>
  </si>
  <si>
    <t>JOSE MANUEL MENDOZA ESCALONA</t>
  </si>
  <si>
    <t>ESCALONA</t>
  </si>
  <si>
    <t>OMAR EVERARDO AGUILERA BRAVO</t>
  </si>
  <si>
    <t>AGUILERA</t>
  </si>
  <si>
    <t>OMAR</t>
  </si>
  <si>
    <t>MARIO DANIEL GASCA DIONICIO</t>
  </si>
  <si>
    <t>GASCA</t>
  </si>
  <si>
    <t>DIONICIO</t>
  </si>
  <si>
    <t>YOTSGAD GUERRERO RANGEL</t>
  </si>
  <si>
    <t>JORGE IVAN SAINZ SERNA</t>
  </si>
  <si>
    <t>SAINZ</t>
  </si>
  <si>
    <t>SERNA</t>
  </si>
  <si>
    <t>JORGE</t>
  </si>
  <si>
    <t>ADELFO SEGUIN JIMENEZ</t>
  </si>
  <si>
    <t>SEGUIN</t>
  </si>
  <si>
    <t>JIMENEZ</t>
  </si>
  <si>
    <t>MERCED MIRANDA ROJAS</t>
  </si>
  <si>
    <t>JAIME SANCHEZ SANCHEZ</t>
  </si>
  <si>
    <t>ANTONIO ROJAS RAMIREZ</t>
  </si>
  <si>
    <t>ARMANDO LUNA MEJIA</t>
  </si>
  <si>
    <t>JOSE ALFREDO CARRASCO HERNANDEZ</t>
  </si>
  <si>
    <t>CARRASCO</t>
  </si>
  <si>
    <t>FERNANDO ISAI RANGEL TENORIO</t>
  </si>
  <si>
    <t>TENORIO</t>
  </si>
  <si>
    <t>HECTOR DASAEV RIVERA GARCIA</t>
  </si>
  <si>
    <t>FRANCISCO PEDRAZA ROBLES</t>
  </si>
  <si>
    <t>PEDRAZA</t>
  </si>
  <si>
    <t>ZAYAN MARTINEZ VALLEJO</t>
  </si>
  <si>
    <t>VALLEJO</t>
  </si>
  <si>
    <t>ALEJANDRO MENDOZA VALENCIA</t>
  </si>
  <si>
    <t>FRANCISCO JAVIER DELGADO LOPEZ</t>
  </si>
  <si>
    <t>DELGADO</t>
  </si>
  <si>
    <t>SANDRO JAVIER CALIXCO PADILLA</t>
  </si>
  <si>
    <t>CALIXCO</t>
  </si>
  <si>
    <t>PADILLA</t>
  </si>
  <si>
    <t>SANDRO</t>
  </si>
  <si>
    <t>EDGAR ARMANDO MAGUS SANCHEZ</t>
  </si>
  <si>
    <t>MAGUS</t>
  </si>
  <si>
    <t>LIZETH AGUIRRE CASTILLO</t>
  </si>
  <si>
    <t>MARCO ANTONIO SANCHEZ MARTINEZ</t>
  </si>
  <si>
    <t>JOSE BRANDO MIRANDA CUEVAS</t>
  </si>
  <si>
    <t>DAVID CASTANEDA PADILLA</t>
  </si>
  <si>
    <t>EDUARDO URIEL MORENO RODRIGUEZ</t>
  </si>
  <si>
    <t>SERGIO CAMARILLO SANTOS</t>
  </si>
  <si>
    <t>CAMARILLO</t>
  </si>
  <si>
    <t>SANTOS</t>
  </si>
  <si>
    <t>JESUS DELFINO ROLDAN ANGELES</t>
  </si>
  <si>
    <t>ROLDAN</t>
  </si>
  <si>
    <t>ANGELES</t>
  </si>
  <si>
    <t>JUAN LUIS HUAXON MARTINEZ</t>
  </si>
  <si>
    <t>HUAXON</t>
  </si>
  <si>
    <t>SILVERIO GARCIA AVILA</t>
  </si>
  <si>
    <t>ERICK MANUEL APARICIO GONZALEZ</t>
  </si>
  <si>
    <t>BRAYAN OMAR SOSA CAMERO</t>
  </si>
  <si>
    <t>CAMERO</t>
  </si>
  <si>
    <t>BRAYAN</t>
  </si>
  <si>
    <t>MANUEL EDUARDO BERNAL MUNIZ</t>
  </si>
  <si>
    <t>BERNAL</t>
  </si>
  <si>
    <t>MUNIZ</t>
  </si>
  <si>
    <t>MANUEL</t>
  </si>
  <si>
    <t>CARLOS EDUARDO OLMOS VAZQUEZ</t>
  </si>
  <si>
    <t>NICOLAS BRUNO APARICIO OCHOA</t>
  </si>
  <si>
    <t>NICOLAS</t>
  </si>
  <si>
    <t>NANCY MACRINA JIMENEZ FONSECA</t>
  </si>
  <si>
    <t>ALFONSO GOMEZ MIRANDA</t>
  </si>
  <si>
    <t>SALOMON VILLEGAS VILLEGAS</t>
  </si>
  <si>
    <t>RICARDO TINAJERO CONTRERAS</t>
  </si>
  <si>
    <t>TINAJERO</t>
  </si>
  <si>
    <t>MAURICIO DANIEL MENDOZA MONTOYA</t>
  </si>
  <si>
    <t>MONTOYA</t>
  </si>
  <si>
    <t>MAURICIO</t>
  </si>
  <si>
    <t>FRANCISCO JAVIER RUIZ MEJIA</t>
  </si>
  <si>
    <t>GUILLERMO PELCASTRE CANALES</t>
  </si>
  <si>
    <t>PELCASTRE</t>
  </si>
  <si>
    <t>CANALES</t>
  </si>
  <si>
    <t>IVAN QUINTANA LOPEZ</t>
  </si>
  <si>
    <t>QUINTANA</t>
  </si>
  <si>
    <t>GILBERTO RODRIGUEZ CALDERON</t>
  </si>
  <si>
    <t>CALDERON</t>
  </si>
  <si>
    <t>JOSE ANTONIO ENCISO HERNANDEZ</t>
  </si>
  <si>
    <t>ENCISO</t>
  </si>
  <si>
    <t>EDGAR EDUARDO BAUTISTA PEREZ</t>
  </si>
  <si>
    <t>MANUEL HIDALGO HERNANDEZ</t>
  </si>
  <si>
    <t>MIGUEL ANGEL CORTES RAMOS</t>
  </si>
  <si>
    <t>HECTOR HERNANDEZ TREJO</t>
  </si>
  <si>
    <t>BENIGNO JESUS ACHUYFAN MEJIA</t>
  </si>
  <si>
    <t>ACHUYFAN</t>
  </si>
  <si>
    <t>BENIGNO</t>
  </si>
  <si>
    <t>IGNACIO AVILA RANGEL</t>
  </si>
  <si>
    <t>ARTURO SANCHEZ VERA</t>
  </si>
  <si>
    <t>RICARDO DIONISIO RUIZ</t>
  </si>
  <si>
    <t>DIONISIO</t>
  </si>
  <si>
    <t>CESAREO CONTRERAS JARAMILLO</t>
  </si>
  <si>
    <t>JARAMILLO</t>
  </si>
  <si>
    <t>FRANCISCO DAVID HERNANDEZ RODRIGUEZ</t>
  </si>
  <si>
    <t>SALVADOR GONZALEZ CRUZ</t>
  </si>
  <si>
    <t>ELIZABETH VILLAVICENCIO RAMOS</t>
  </si>
  <si>
    <t>VILLAVICENCIO</t>
  </si>
  <si>
    <t>FERNANDO RAMIREZ HERNANDEZ</t>
  </si>
  <si>
    <t>CARLOS FRANCISCO RAMIREZ</t>
  </si>
  <si>
    <t>SILVERIO MANUEL LOPEZ LOPEZ</t>
  </si>
  <si>
    <t>SILVERIO</t>
  </si>
  <si>
    <t>CARLOS DANIEL COLLI GARCIA</t>
  </si>
  <si>
    <t>COLLI</t>
  </si>
  <si>
    <t>PEDRO GAYOSSO ROMERO</t>
  </si>
  <si>
    <t>GAYOSSO</t>
  </si>
  <si>
    <t>VICTOR DAVID GONZALEZ SANCHEZ</t>
  </si>
  <si>
    <t>RUBEN CAMARILLO SANTOS</t>
  </si>
  <si>
    <t>MARIA DEL SOCORRO QUEZADA GOMEZ</t>
  </si>
  <si>
    <t>QUEZADA</t>
  </si>
  <si>
    <t>JUAN PABLO CRUZ HERNANDEZ</t>
  </si>
  <si>
    <t>ALEJANDRO TRUJILLO SAN LUIS</t>
  </si>
  <si>
    <t>SAN LUIS</t>
  </si>
  <si>
    <t>MIGUEL ANGEL CISNEROS LUNA</t>
  </si>
  <si>
    <t>PORFIRIO RODRIGUEZ HUIDOBRO</t>
  </si>
  <si>
    <t>HUIDOBRO</t>
  </si>
  <si>
    <t>JAVIER VICTORIA BELLO</t>
  </si>
  <si>
    <t>AGUSTIN ARREOLA PLATA</t>
  </si>
  <si>
    <t>PLATA</t>
  </si>
  <si>
    <t>RAUL GARRIDO MARTINEZ</t>
  </si>
  <si>
    <t>RAUL ORDUNA MORALES</t>
  </si>
  <si>
    <t>ORDUNA</t>
  </si>
  <si>
    <t>VERONICA ELENA ZAVALA AGUIRRE</t>
  </si>
  <si>
    <t>VERONICA</t>
  </si>
  <si>
    <t>LINA GABRIELA SANTOS CARRERA</t>
  </si>
  <si>
    <t>LINA</t>
  </si>
  <si>
    <t>SINUHE CABRERA MERCADO</t>
  </si>
  <si>
    <t>MERCADO</t>
  </si>
  <si>
    <t>ROBERTO ZAMORA RIVERA</t>
  </si>
  <si>
    <t>ZAMORA</t>
  </si>
  <si>
    <t>EDUARDO SEBASTIAN MOSCOSA MARTINEZ</t>
  </si>
  <si>
    <t>MOSCOSA</t>
  </si>
  <si>
    <t>FERNANDO VALDEZ FRAGOSO</t>
  </si>
  <si>
    <t>FRAGOSO</t>
  </si>
  <si>
    <t>LUIS ALONSO LOPEZ JUAREZ</t>
  </si>
  <si>
    <t>PEDRO ZAMORA RIVERA</t>
  </si>
  <si>
    <t>JOSE FELICIANO CAMPOS APARICIO</t>
  </si>
  <si>
    <t>SARAIT HERNANDEZ MARTINEZ</t>
  </si>
  <si>
    <t>SALVADOR ORTIZ HERNANDEZ</t>
  </si>
  <si>
    <t>JOSE ROSARIO MARTINEZ LANDIN</t>
  </si>
  <si>
    <t>LANDIN</t>
  </si>
  <si>
    <t>FERNANDO ALONSO ROSAS</t>
  </si>
  <si>
    <t>ENRIQUE HERRERA MENDOZA</t>
  </si>
  <si>
    <t>HERRERA</t>
  </si>
  <si>
    <t>MARIA DEL CARMEN ORTIZ LEYVA</t>
  </si>
  <si>
    <t>JORGE TORRES VALENCIA</t>
  </si>
  <si>
    <t>IGNACIO HERNANDEZ ORTIZ</t>
  </si>
  <si>
    <t>AMERICA AMALIA CALIXCO CABRIALES</t>
  </si>
  <si>
    <t>CABRIALES</t>
  </si>
  <si>
    <t>AMERICA</t>
  </si>
  <si>
    <t>LETICIA HERNANDEZ MORALES</t>
  </si>
  <si>
    <t>BERNARDINA REYES HERNANDEZ</t>
  </si>
  <si>
    <t>MARIA DOLORES CARDENAS GUTIERREZ</t>
  </si>
  <si>
    <t>ALEJANDRA FABIOLA PADILLA RODRIGUEZ</t>
  </si>
  <si>
    <t>ALEJANDRA</t>
  </si>
  <si>
    <t>ANA YURENI OLMOS VAZQUEZ</t>
  </si>
  <si>
    <t>ISAURO DE LA FUENTE BARBOSA</t>
  </si>
  <si>
    <t>BARBOSA</t>
  </si>
  <si>
    <t>MARIA EUGENIA BURGOS ESCOBAR</t>
  </si>
  <si>
    <t>BURGOS</t>
  </si>
  <si>
    <t>MANUEL GARZA TAMEZ</t>
  </si>
  <si>
    <t>TAMEZ</t>
  </si>
  <si>
    <t>ZAIDA IRALI OSORIO HERNANDEZ</t>
  </si>
  <si>
    <t>OSORIO</t>
  </si>
  <si>
    <t>ZAIDA</t>
  </si>
  <si>
    <t>MARTIN FELIPE GARCIA GUTIERREZ</t>
  </si>
  <si>
    <t>LUIS JOAQUIN LOPEZ TOLEDANO</t>
  </si>
  <si>
    <t>TOLEDANO</t>
  </si>
  <si>
    <t>DANIEL RODRIGO HARO GARCIA</t>
  </si>
  <si>
    <t>HARO</t>
  </si>
  <si>
    <t>ERNESTO MARTINEZ ROJANO</t>
  </si>
  <si>
    <t>ROJANO</t>
  </si>
  <si>
    <t>J GUILLERMO CARRILLO CALDERON</t>
  </si>
  <si>
    <t>CARRILLO</t>
  </si>
  <si>
    <t>EFREN MARTINEZ PEREZ</t>
  </si>
  <si>
    <t>MANUEL ARREOLA FLORES</t>
  </si>
  <si>
    <t>JUAN ALBERTO PADILLA MONTES DE OCA</t>
  </si>
  <si>
    <t>MONTES</t>
  </si>
  <si>
    <t>DE OCA</t>
  </si>
  <si>
    <t>KARINA CONCEPCION JENNYFER TERRES LOPEZ</t>
  </si>
  <si>
    <t>TERRES</t>
  </si>
  <si>
    <t>IVAN LUIS ESCALANTE PEREZ</t>
  </si>
  <si>
    <t>ESCALANTE</t>
  </si>
  <si>
    <t>MARIANA GUERRERO RAMIREZ</t>
  </si>
  <si>
    <t>YAIR ALONSO ROJAS GONZALEZ</t>
  </si>
  <si>
    <t>YAIR</t>
  </si>
  <si>
    <t>DULCE ANGELICA GONZALEZ TORRES</t>
  </si>
  <si>
    <t>DULCE</t>
  </si>
  <si>
    <t>ROXANA SANCHEZ CONTRERAS</t>
  </si>
  <si>
    <t>TANIA GUADALUPE ESPINOSA DEL ANGEL</t>
  </si>
  <si>
    <t>ELIZABETH PEREZ GONZALEZ</t>
  </si>
  <si>
    <t>JAEN OCTAVIO FLORES BARBA</t>
  </si>
  <si>
    <t>BARBA</t>
  </si>
  <si>
    <t>JAEN</t>
  </si>
  <si>
    <t>ERASMO AGUILAR BORTONI</t>
  </si>
  <si>
    <t>BORTONI</t>
  </si>
  <si>
    <t>DANIEL DE JESUS CANO TEJEDA</t>
  </si>
  <si>
    <t>TEJEDA</t>
  </si>
  <si>
    <t>IVAN CASTILLO RETAMA</t>
  </si>
  <si>
    <t>RETAMA</t>
  </si>
  <si>
    <t>ARMANDO BALDERAS GODINEZ</t>
  </si>
  <si>
    <t>BALDERAS</t>
  </si>
  <si>
    <t>JOSHUA MAURICIO OCAMPO SALAS</t>
  </si>
  <si>
    <t>SALAS</t>
  </si>
  <si>
    <t>JOSHUA</t>
  </si>
  <si>
    <t>MIGUEL ANGEL RODRIGUEZ LEON</t>
  </si>
  <si>
    <t>JESUS CHAVEZ DIAZ</t>
  </si>
  <si>
    <t>STEPHANY CASTILLO TREJO</t>
  </si>
  <si>
    <t>MARCIA YEDID GARCIA PORTILLO</t>
  </si>
  <si>
    <t>PORTILLO</t>
  </si>
  <si>
    <t>MARCIA</t>
  </si>
  <si>
    <t>GUILLERMO MARTINEZ CERVANTES</t>
  </si>
  <si>
    <t>JOSE ALFREDO CAMACHO REYNA</t>
  </si>
  <si>
    <t>MARIANA ALPIZAR LAPHAM</t>
  </si>
  <si>
    <t>LAPHAM</t>
  </si>
  <si>
    <t>RICARDO DANIEL ZEPEDA LOPEZ</t>
  </si>
  <si>
    <t>ODETTE MIREYA ESPINOSA LOPEZ</t>
  </si>
  <si>
    <t>ODETTE</t>
  </si>
  <si>
    <t>AGUSTIN CARRERA BAUTISTA</t>
  </si>
  <si>
    <t>CARLOS VALENCIA ARAMBURU</t>
  </si>
  <si>
    <t>ARAMBURU</t>
  </si>
  <si>
    <t>MARISOL GUZMAN VELASQUEZ</t>
  </si>
  <si>
    <t>VELASQUEZ</t>
  </si>
  <si>
    <t>CESAR DAVID ANTONIO GUZMAN</t>
  </si>
  <si>
    <t>EDGAR SERRANO SANCHEZ</t>
  </si>
  <si>
    <t>DOROTEO JERONIMO CASTANEDA RIVERA</t>
  </si>
  <si>
    <t>DOROTEO</t>
  </si>
  <si>
    <t>ERICK QUIROZ ROJAS</t>
  </si>
  <si>
    <t>FRANCISCO MORENO CAMARGO</t>
  </si>
  <si>
    <t>CAMARGO</t>
  </si>
  <si>
    <t>GABRIELA CISNEROS MARQUEZ</t>
  </si>
  <si>
    <t>JORGE ARMANDO GARCIA ESQUIVEL</t>
  </si>
  <si>
    <t>FLORENTINO LOPEZ SOTO</t>
  </si>
  <si>
    <t>SOTO</t>
  </si>
  <si>
    <t>ARMANDO SERRANO RAMIREZ</t>
  </si>
  <si>
    <t>KEVIN RODRIGO MARTINEZ TRUJILLO</t>
  </si>
  <si>
    <t>KEVIN</t>
  </si>
  <si>
    <t>ELIASIM MENDOZA GALLEGOS</t>
  </si>
  <si>
    <t>GALLEGOS</t>
  </si>
  <si>
    <t>JORGE MARTINEZ RANGEL</t>
  </si>
  <si>
    <t>ULISES BALTAZAR MARIN</t>
  </si>
  <si>
    <t>BALTAZAR</t>
  </si>
  <si>
    <t>MARIN</t>
  </si>
  <si>
    <t>RAYMUNDO NEFTALI ZAMORA HERNANDEZ</t>
  </si>
  <si>
    <t>LEONARDO CARRILLO ROBLES</t>
  </si>
  <si>
    <t>ANA ROSA ESTRADA GONZALEZ</t>
  </si>
  <si>
    <t>SARA LUZ LOPEZ GAYTAN</t>
  </si>
  <si>
    <t>SARA</t>
  </si>
  <si>
    <t>LIZBETH OLGUIN ORTEGA</t>
  </si>
  <si>
    <t>MARIA LUISA DE LEON PEREZ</t>
  </si>
  <si>
    <t>DE LEON</t>
  </si>
  <si>
    <t>JUAN LUIS ALVAREZ BALTAZAR</t>
  </si>
  <si>
    <t>ADRIANA IRASEMA ALVAREZ GUEVARA</t>
  </si>
  <si>
    <t>ADRIANA</t>
  </si>
  <si>
    <t>ISMAEL GONZALEZ HERNANDEZ</t>
  </si>
  <si>
    <t>LUIS ERICK SANCHEZ PEREA</t>
  </si>
  <si>
    <t>PEREA</t>
  </si>
  <si>
    <t>RAFAEL ALEJANDRO FLORES ALVAREZ</t>
  </si>
  <si>
    <t>MIREYA RUIZ FLORES</t>
  </si>
  <si>
    <t>MARY CARMEN AVALOS MARTINEZ</t>
  </si>
  <si>
    <t>AVALOS</t>
  </si>
  <si>
    <t>MARY</t>
  </si>
  <si>
    <t>MARIA MINERVA ORTEGA ROMERO</t>
  </si>
  <si>
    <t>MIGUEL ANGEL LOPEZ MORA</t>
  </si>
  <si>
    <t>MORA</t>
  </si>
  <si>
    <t>NOEL GUADALUPE MORALES CORTES</t>
  </si>
  <si>
    <t>NOEL</t>
  </si>
  <si>
    <t>NURY GUERRERO ARROYO</t>
  </si>
  <si>
    <t>ARTURO</t>
  </si>
  <si>
    <t>LILIA KARINA</t>
  </si>
  <si>
    <t>ESTEBAN</t>
  </si>
  <si>
    <t>NORMA</t>
  </si>
  <si>
    <t>JOSUE MAURICIO</t>
  </si>
  <si>
    <t>EMANUEL</t>
  </si>
  <si>
    <t>HECTOR RODRIGO</t>
  </si>
  <si>
    <t>ALEJANDRO ALFREDO</t>
  </si>
  <si>
    <t>DIEGO EDUARDO</t>
  </si>
  <si>
    <t>ERIKA FABIOLA</t>
  </si>
  <si>
    <t>MONTSERRAT</t>
  </si>
  <si>
    <t>MARISOL</t>
  </si>
  <si>
    <t>RAYMUNDO ADAN</t>
  </si>
  <si>
    <t>JESUS DABYTH</t>
  </si>
  <si>
    <t>TANIA GERALDINE</t>
  </si>
  <si>
    <t>ANA GABRIELA</t>
  </si>
  <si>
    <t>JOSE NICOLAS</t>
  </si>
  <si>
    <t>GERMAIN</t>
  </si>
  <si>
    <t>RODRIGO PAVEL</t>
  </si>
  <si>
    <t>ZAMIR ALBERTO</t>
  </si>
  <si>
    <t>JAIME</t>
  </si>
  <si>
    <t>DAVID ALAN</t>
  </si>
  <si>
    <t>MARCO MANUEL</t>
  </si>
  <si>
    <t>IRMA LETICIA</t>
  </si>
  <si>
    <t>JOHANA</t>
  </si>
  <si>
    <t>JUANA MICHELLE</t>
  </si>
  <si>
    <t>JOVANNA GABRIELA</t>
  </si>
  <si>
    <t>PAULINA VALERIA</t>
  </si>
  <si>
    <t>DENISSE</t>
  </si>
  <si>
    <t>LEONEL</t>
  </si>
  <si>
    <t>AMARANTA</t>
  </si>
  <si>
    <t>ERIK</t>
  </si>
  <si>
    <t>ANDREA ANALI</t>
  </si>
  <si>
    <t>ELIA NAYELI</t>
  </si>
  <si>
    <t>MYRIAM</t>
  </si>
  <si>
    <t>SANDRA LUCIA</t>
  </si>
  <si>
    <t>LOURDES ELIZABETH</t>
  </si>
  <si>
    <t>LEONARDO DANIEL</t>
  </si>
  <si>
    <t>HORTENCIA</t>
  </si>
  <si>
    <t>LUIS ANTONIO</t>
  </si>
  <si>
    <t>CARMEN ADRIANA</t>
  </si>
  <si>
    <t>LIZETH ELOISA</t>
  </si>
  <si>
    <t>ADAN ISRAEL</t>
  </si>
  <si>
    <t>MIRIAM</t>
  </si>
  <si>
    <t>NANCY ROCIO</t>
  </si>
  <si>
    <t>SAMANTHA</t>
  </si>
  <si>
    <t>ANGELICA MONSERRAT</t>
  </si>
  <si>
    <t>ROCIO ANALI</t>
  </si>
  <si>
    <t>MIGUEL ALEJANDRO</t>
  </si>
  <si>
    <t>MARCO AURELIO</t>
  </si>
  <si>
    <t>DALMAAN</t>
  </si>
  <si>
    <t>CONCEPCION</t>
  </si>
  <si>
    <t>ALBERTO</t>
  </si>
  <si>
    <t>CESAR MANUEL</t>
  </si>
  <si>
    <t>CLAUDIA BERNARDA</t>
  </si>
  <si>
    <t>LUIS GUILLERMO</t>
  </si>
  <si>
    <t>SERGIO LUIS</t>
  </si>
  <si>
    <t>CARLOS ISMAEL</t>
  </si>
  <si>
    <t>MARA LIM</t>
  </si>
  <si>
    <t>JOSE ENRIQUE</t>
  </si>
  <si>
    <t>IVAN GERARDO</t>
  </si>
  <si>
    <t>JOSE FELIX</t>
  </si>
  <si>
    <t>CARLOS FRANCISCO</t>
  </si>
  <si>
    <t>MICHAEL ROBERTO</t>
  </si>
  <si>
    <t>DOMINGO</t>
  </si>
  <si>
    <t>JESSYCA DANIELA</t>
  </si>
  <si>
    <t>OSWALDO</t>
  </si>
  <si>
    <t>ANGEL EMMANUEL</t>
  </si>
  <si>
    <t>FIDEL</t>
  </si>
  <si>
    <t>JOSE ALBERTO</t>
  </si>
  <si>
    <t>GABRIEL ERIK</t>
  </si>
  <si>
    <t>ROD SAUL</t>
  </si>
  <si>
    <t>OMAR EVERARDO</t>
  </si>
  <si>
    <t>MARIO DANIEL</t>
  </si>
  <si>
    <t>YOTSGAD</t>
  </si>
  <si>
    <t>JORGE IVAN</t>
  </si>
  <si>
    <t>ADELFO</t>
  </si>
  <si>
    <t>MERCED</t>
  </si>
  <si>
    <t>JOSE ALFREDO</t>
  </si>
  <si>
    <t>FERNANDO ISAI</t>
  </si>
  <si>
    <t>HECTOR DASAEV</t>
  </si>
  <si>
    <t>ZAYAN</t>
  </si>
  <si>
    <t>SANDRO JAVIER</t>
  </si>
  <si>
    <t>EDGAR ARMANDO</t>
  </si>
  <si>
    <t>JOSE BRANDO</t>
  </si>
  <si>
    <t>EDUARDO URIEL</t>
  </si>
  <si>
    <t>JESUS DELFINO</t>
  </si>
  <si>
    <t>JUAN LUIS</t>
  </si>
  <si>
    <t>ERICK MANUEL</t>
  </si>
  <si>
    <t>BRAYAN OMAR</t>
  </si>
  <si>
    <t>MANUEL EDUARDO</t>
  </si>
  <si>
    <t>CARLOS EDUARDO</t>
  </si>
  <si>
    <t>NICOLAS BRUNO</t>
  </si>
  <si>
    <t>NANCY MACRINA</t>
  </si>
  <si>
    <t>ALFONSO</t>
  </si>
  <si>
    <t>SALOMON</t>
  </si>
  <si>
    <t>MAURICIO DANIEL</t>
  </si>
  <si>
    <t>EDGAR EDUARDO</t>
  </si>
  <si>
    <t>BENIGNO JESUS</t>
  </si>
  <si>
    <t>IGNACIO</t>
  </si>
  <si>
    <t>CESAREO</t>
  </si>
  <si>
    <t>FRANCISCO DAVID</t>
  </si>
  <si>
    <t>SILVERIO MANUEL</t>
  </si>
  <si>
    <t>CARLOS DANIEL</t>
  </si>
  <si>
    <t>VICTOR DAVID</t>
  </si>
  <si>
    <t>JUAN PABLO</t>
  </si>
  <si>
    <t>PORFIRIO</t>
  </si>
  <si>
    <t>JAVIER</t>
  </si>
  <si>
    <t>AGUSTIN</t>
  </si>
  <si>
    <t>RAUL</t>
  </si>
  <si>
    <t>VERONICA ELENA</t>
  </si>
  <si>
    <t>LINA GABRIELA</t>
  </si>
  <si>
    <t>SINUHE</t>
  </si>
  <si>
    <t>EDUARDO SEBASTIAN</t>
  </si>
  <si>
    <t>LUIS ALONSO</t>
  </si>
  <si>
    <t>JOSE FELICIANO</t>
  </si>
  <si>
    <t>SARAIT</t>
  </si>
  <si>
    <t>JOSE ROSARIO</t>
  </si>
  <si>
    <t>AMERICA AMALIA</t>
  </si>
  <si>
    <t>LETICIA</t>
  </si>
  <si>
    <t>BERNARDINA</t>
  </si>
  <si>
    <t>MARIA DOLORES</t>
  </si>
  <si>
    <t>ALEJANDRA FABIOLA</t>
  </si>
  <si>
    <t>ANA YURENI</t>
  </si>
  <si>
    <t>ISAURO</t>
  </si>
  <si>
    <t>MARIA EUGENIA</t>
  </si>
  <si>
    <t>ZAIDA IRALI</t>
  </si>
  <si>
    <t>MARTIN FELIPE</t>
  </si>
  <si>
    <t>LUIS JOAQUIN</t>
  </si>
  <si>
    <t>DANIEL RODRIGO</t>
  </si>
  <si>
    <t>ERNESTO</t>
  </si>
  <si>
    <t>J GUILLERMO</t>
  </si>
  <si>
    <t>EFREN</t>
  </si>
  <si>
    <t>IVAN LUIS</t>
  </si>
  <si>
    <t>MARIANA</t>
  </si>
  <si>
    <t>YAIR ALONSO</t>
  </si>
  <si>
    <t>DULCE ANGELICA</t>
  </si>
  <si>
    <t>TANIA GUADALUPE</t>
  </si>
  <si>
    <t>JAEN OCTAVIO</t>
  </si>
  <si>
    <t>ERASMO</t>
  </si>
  <si>
    <t>JOSHUA MAURICIO</t>
  </si>
  <si>
    <t>MARCIA YEDID</t>
  </si>
  <si>
    <t>RICARDO DANIEL</t>
  </si>
  <si>
    <t>ODETTE MIREYA</t>
  </si>
  <si>
    <t>CESAR DAVID</t>
  </si>
  <si>
    <t>DOROTEO JERONIMO</t>
  </si>
  <si>
    <t>JORGE ARMANDO</t>
  </si>
  <si>
    <t>FLORENTINO</t>
  </si>
  <si>
    <t>KEVIN RODRIGO</t>
  </si>
  <si>
    <t>ELIASIM</t>
  </si>
  <si>
    <t>ULISES</t>
  </si>
  <si>
    <t>RAYMUNDO NEFTALI</t>
  </si>
  <si>
    <t>ANA ROSA</t>
  </si>
  <si>
    <t>SARA LUZ</t>
  </si>
  <si>
    <t>LIZBETH</t>
  </si>
  <si>
    <t>MARIA LUISA</t>
  </si>
  <si>
    <t>ADRIANA IRASEMA</t>
  </si>
  <si>
    <t>ISMAEL</t>
  </si>
  <si>
    <t>LUIS ERICK</t>
  </si>
  <si>
    <t>RAFAEL ALEJANDRO</t>
  </si>
  <si>
    <t>MIREYA</t>
  </si>
  <si>
    <t>MARY CARMEN</t>
  </si>
  <si>
    <t>MARIA MINERVA</t>
  </si>
  <si>
    <t>NOEL GUADALUPE</t>
  </si>
  <si>
    <t>NURY</t>
  </si>
  <si>
    <t>ANGELICA DEL ROCIO</t>
  </si>
  <si>
    <t>MARIA DEL SOCORRO</t>
  </si>
  <si>
    <t>JUAN ALBERTO PADILLA</t>
  </si>
  <si>
    <t>KARINA CONCEPCION JENNYFER</t>
  </si>
  <si>
    <t>DANIEL DE JESUS</t>
  </si>
  <si>
    <t>GOSV711229MDFNNC07</t>
  </si>
  <si>
    <t>AULE860627541</t>
  </si>
  <si>
    <t>OESM9110314P2</t>
  </si>
  <si>
    <t>LERD981004NU9</t>
  </si>
  <si>
    <t>CXCA7106113E1</t>
  </si>
  <si>
    <t>CACG6001023Z1</t>
  </si>
  <si>
    <t>LEPL680221TK3</t>
  </si>
  <si>
    <t>39916906488</t>
  </si>
  <si>
    <t>45017904967</t>
  </si>
  <si>
    <t>39978123741</t>
  </si>
  <si>
    <t>62967307950</t>
  </si>
  <si>
    <t>68927651452</t>
  </si>
  <si>
    <t>70876606164</t>
  </si>
  <si>
    <t>39977526373</t>
  </si>
  <si>
    <t>45088904128</t>
  </si>
  <si>
    <t>20119228201</t>
  </si>
  <si>
    <t>96058003342</t>
  </si>
  <si>
    <t>96088635014</t>
  </si>
  <si>
    <t>39108302637</t>
  </si>
  <si>
    <t>30027908349</t>
  </si>
  <si>
    <t>70384117864</t>
  </si>
  <si>
    <t>72937009453</t>
  </si>
  <si>
    <t>45048710631</t>
  </si>
  <si>
    <t>10182010934</t>
  </si>
  <si>
    <t>39119404653</t>
  </si>
  <si>
    <t>37068612912</t>
  </si>
  <si>
    <t>42077800169</t>
  </si>
  <si>
    <t>26148972776</t>
  </si>
  <si>
    <t>37977629098</t>
  </si>
  <si>
    <t>90160040755</t>
  </si>
  <si>
    <t>12876998498</t>
  </si>
  <si>
    <t>20118101144</t>
  </si>
  <si>
    <t>21897701224</t>
  </si>
  <si>
    <t>11997814980</t>
  </si>
  <si>
    <t>20886916160</t>
  </si>
  <si>
    <t>92978153887</t>
  </si>
  <si>
    <t>10682031554</t>
  </si>
  <si>
    <t>92058402790</t>
  </si>
  <si>
    <t>42897316487</t>
  </si>
  <si>
    <t>12047816322</t>
  </si>
  <si>
    <t>30898700825</t>
  </si>
  <si>
    <t>15957611237</t>
  </si>
  <si>
    <t>43038435616</t>
  </si>
  <si>
    <t>68917207901</t>
  </si>
  <si>
    <t>68977508164</t>
  </si>
  <si>
    <t>38769446734</t>
  </si>
  <si>
    <t>43108621301</t>
  </si>
  <si>
    <t>11007718635</t>
  </si>
  <si>
    <t>30997809063</t>
  </si>
  <si>
    <t>20149600890</t>
  </si>
  <si>
    <t>37108603574</t>
  </si>
  <si>
    <t>92119016613</t>
  </si>
  <si>
    <t>94967720809</t>
  </si>
  <si>
    <t>68937806427</t>
  </si>
  <si>
    <t>70985016664</t>
  </si>
  <si>
    <t>16098816818</t>
  </si>
  <si>
    <t>94129102573</t>
  </si>
  <si>
    <t>39927638286</t>
  </si>
  <si>
    <t>31486046674</t>
  </si>
  <si>
    <t>92926703841</t>
  </si>
  <si>
    <t>19880309284</t>
  </si>
  <si>
    <t>42018203457</t>
  </si>
  <si>
    <t>45108503199</t>
  </si>
  <si>
    <t>94128809871</t>
  </si>
  <si>
    <t>67937605680</t>
  </si>
  <si>
    <t>92098712273</t>
  </si>
  <si>
    <t>10878011384</t>
  </si>
  <si>
    <t>11188050904</t>
  </si>
  <si>
    <t>94129379940</t>
  </si>
  <si>
    <t>94109532427</t>
  </si>
  <si>
    <t>68977504429</t>
  </si>
  <si>
    <t>92118816773</t>
  </si>
  <si>
    <t>26169418576</t>
  </si>
  <si>
    <t>94128919217</t>
  </si>
  <si>
    <t>11291006894</t>
  </si>
  <si>
    <t>42836321358</t>
  </si>
  <si>
    <t>94977604209</t>
  </si>
  <si>
    <t>94099120928</t>
  </si>
  <si>
    <t>68957621417</t>
  </si>
  <si>
    <t>68977846366</t>
  </si>
  <si>
    <t>94139828381</t>
  </si>
  <si>
    <t>42836712119</t>
  </si>
  <si>
    <t>94967720783</t>
  </si>
  <si>
    <t>94967820732</t>
  </si>
  <si>
    <t>94957514048</t>
  </si>
  <si>
    <t>94119655853</t>
  </si>
  <si>
    <t>94967720791</t>
  </si>
  <si>
    <t>70985014764</t>
  </si>
  <si>
    <t>28068808808</t>
  </si>
  <si>
    <t>89856004224</t>
  </si>
  <si>
    <t>26159230023</t>
  </si>
  <si>
    <t>94977922130</t>
  </si>
  <si>
    <t>19575041194</t>
  </si>
  <si>
    <t>94947521004</t>
  </si>
  <si>
    <t>94947622927</t>
  </si>
  <si>
    <t>94058643274</t>
  </si>
  <si>
    <t>94957704862</t>
  </si>
  <si>
    <t>94967820575</t>
  </si>
  <si>
    <t>94048326188</t>
  </si>
  <si>
    <t>94947520931</t>
  </si>
  <si>
    <t>16028319784</t>
  </si>
  <si>
    <t>95119309250</t>
  </si>
  <si>
    <t>28068720615</t>
  </si>
  <si>
    <t>42856643459</t>
  </si>
  <si>
    <t>94068733891</t>
  </si>
  <si>
    <t>19678267344</t>
  </si>
  <si>
    <t>94078204032</t>
  </si>
  <si>
    <t>94947906098</t>
  </si>
  <si>
    <t>37947422715</t>
  </si>
  <si>
    <t>94977610685</t>
  </si>
  <si>
    <t>94139551256</t>
  </si>
  <si>
    <t>45997924530</t>
  </si>
  <si>
    <t>94967720775</t>
  </si>
  <si>
    <t>94038524222</t>
  </si>
  <si>
    <t>94896906099</t>
  </si>
  <si>
    <t>94896818203</t>
  </si>
  <si>
    <t>94018100811</t>
  </si>
  <si>
    <t>94109109911</t>
  </si>
  <si>
    <t>96957860149</t>
  </si>
  <si>
    <t>96108916576</t>
  </si>
  <si>
    <t>94099016027</t>
  </si>
  <si>
    <t>92988059900</t>
  </si>
  <si>
    <t>96078874821</t>
  </si>
  <si>
    <t>94109140395</t>
  </si>
  <si>
    <t>94997200616</t>
  </si>
  <si>
    <t>96058729375</t>
  </si>
  <si>
    <t>13998016938</t>
  </si>
  <si>
    <t>94068500837</t>
  </si>
  <si>
    <t>70184102614</t>
  </si>
  <si>
    <t>96129421820</t>
  </si>
  <si>
    <t>94977922122</t>
  </si>
  <si>
    <t>94119016957</t>
  </si>
  <si>
    <t>94028511536</t>
  </si>
  <si>
    <t>10806310057</t>
  </si>
  <si>
    <t>94957914180</t>
  </si>
  <si>
    <t>94906911543</t>
  </si>
  <si>
    <t>49160132194</t>
  </si>
  <si>
    <t>31798120804</t>
  </si>
  <si>
    <t>52299405974</t>
  </si>
  <si>
    <t>14170273487</t>
  </si>
  <si>
    <t>16027304266</t>
  </si>
  <si>
    <t>15078829189</t>
  </si>
  <si>
    <t>70076017484</t>
  </si>
  <si>
    <t>79676000454</t>
  </si>
  <si>
    <t>94098700084</t>
  </si>
  <si>
    <t>28038310141</t>
  </si>
  <si>
    <t>67816367386</t>
  </si>
  <si>
    <t>42856653474</t>
  </si>
  <si>
    <t>94109522758</t>
  </si>
  <si>
    <t>94028330309</t>
  </si>
  <si>
    <t>94907133279</t>
  </si>
  <si>
    <t>94068816621</t>
  </si>
  <si>
    <t>79066010624</t>
  </si>
  <si>
    <t>96038520399</t>
  </si>
  <si>
    <t>94947808799</t>
  </si>
  <si>
    <t>94917340245</t>
  </si>
  <si>
    <t>94927332505</t>
  </si>
  <si>
    <t>18870961114</t>
  </si>
  <si>
    <t>94927435340</t>
  </si>
  <si>
    <t>94917340260</t>
  </si>
  <si>
    <t>42856813730</t>
  </si>
  <si>
    <t>94098606679</t>
  </si>
  <si>
    <t>79880022214</t>
  </si>
  <si>
    <t>94088956340</t>
  </si>
  <si>
    <t>13119106485</t>
  </si>
  <si>
    <t>11856507352</t>
  </si>
  <si>
    <t>92967116218</t>
  </si>
  <si>
    <t>68896901334</t>
  </si>
  <si>
    <t>30997104242</t>
  </si>
  <si>
    <t>94998109899</t>
  </si>
  <si>
    <t>13119113994</t>
  </si>
  <si>
    <t>94907132446</t>
  </si>
  <si>
    <t>70883008554</t>
  </si>
  <si>
    <t>43897137048</t>
  </si>
  <si>
    <t>94907226958</t>
  </si>
  <si>
    <t>20947416358</t>
  </si>
  <si>
    <t>28906906103</t>
  </si>
  <si>
    <t>78119012884</t>
  </si>
  <si>
    <t>94068308926</t>
  </si>
  <si>
    <t>94067300205</t>
  </si>
  <si>
    <t>28886922369</t>
  </si>
  <si>
    <t>94058000897</t>
  </si>
  <si>
    <t>19979018534</t>
  </si>
  <si>
    <t>16028418016</t>
  </si>
  <si>
    <t>94098950945</t>
  </si>
  <si>
    <t>94907219664</t>
  </si>
  <si>
    <t>92947418825</t>
  </si>
  <si>
    <t>94917430301</t>
  </si>
  <si>
    <t>94038302504</t>
  </si>
  <si>
    <t>68061076004</t>
  </si>
  <si>
    <t>42846611525</t>
  </si>
  <si>
    <t>20947320576</t>
  </si>
  <si>
    <t>64866531474</t>
  </si>
  <si>
    <t>68665051984</t>
  </si>
  <si>
    <t>11917002930</t>
  </si>
  <si>
    <t>92937438486</t>
  </si>
  <si>
    <t>19171302454</t>
  </si>
  <si>
    <t>76926600164</t>
  </si>
  <si>
    <t>94937713108</t>
  </si>
  <si>
    <t>94906700276</t>
  </si>
  <si>
    <t>96058411982</t>
  </si>
  <si>
    <t>10179648414</t>
  </si>
  <si>
    <t>37927331860</t>
  </si>
  <si>
    <t>24876917881</t>
  </si>
  <si>
    <t>43986001790</t>
  </si>
  <si>
    <t>27149528872</t>
  </si>
  <si>
    <t>18362091124</t>
  </si>
  <si>
    <t>11296035004</t>
  </si>
  <si>
    <t>94058208466</t>
  </si>
  <si>
    <t>89866100822</t>
  </si>
  <si>
    <t>10816012347</t>
  </si>
  <si>
    <t>94967614499</t>
  </si>
  <si>
    <t>67129364278</t>
  </si>
  <si>
    <t>39068510021</t>
  </si>
  <si>
    <t>94129769660</t>
  </si>
  <si>
    <t>39977755436</t>
  </si>
  <si>
    <t>10994043924</t>
  </si>
  <si>
    <t>94129747922</t>
  </si>
  <si>
    <t>20119631826</t>
  </si>
  <si>
    <t>10384208064</t>
  </si>
  <si>
    <t>37088305836</t>
  </si>
  <si>
    <t>37927309858</t>
  </si>
  <si>
    <t>92108602134</t>
  </si>
  <si>
    <t>99975089904</t>
  </si>
  <si>
    <t>13089112125</t>
  </si>
  <si>
    <t>39987826409</t>
  </si>
  <si>
    <t>18868361944</t>
  </si>
  <si>
    <t>15109229912</t>
  </si>
  <si>
    <t>94937424102</t>
  </si>
  <si>
    <t>37099018543</t>
  </si>
  <si>
    <t>94139803095</t>
  </si>
  <si>
    <t>39977988995</t>
  </si>
  <si>
    <t>41937122814</t>
  </si>
  <si>
    <t>90380184544</t>
  </si>
  <si>
    <t>10159261220</t>
  </si>
  <si>
    <t>20118906393</t>
  </si>
  <si>
    <t>39937503801</t>
  </si>
  <si>
    <t>30947723745</t>
  </si>
  <si>
    <t>70076066484</t>
  </si>
  <si>
    <t>42128804947</t>
  </si>
  <si>
    <t>94129602176</t>
  </si>
  <si>
    <t>94078412858</t>
  </si>
  <si>
    <t>94947521046</t>
  </si>
  <si>
    <t>20048312134</t>
  </si>
  <si>
    <t>11907008814</t>
  </si>
  <si>
    <t>94159604050</t>
  </si>
  <si>
    <t>94018101058</t>
  </si>
  <si>
    <t>18567295514</t>
  </si>
  <si>
    <t>94887114810</t>
  </si>
  <si>
    <t>10200114238</t>
  </si>
  <si>
    <t>11917321348</t>
  </si>
  <si>
    <t>94008223623</t>
  </si>
  <si>
    <t>94897116862</t>
  </si>
  <si>
    <t>71397872254</t>
  </si>
  <si>
    <t>92099164011</t>
  </si>
  <si>
    <t>39098507435</t>
  </si>
  <si>
    <t>10681046274</t>
  </si>
  <si>
    <t>45088625764</t>
  </si>
  <si>
    <t>38668382574</t>
  </si>
  <si>
    <t>92058408367</t>
  </si>
  <si>
    <t>43007936941</t>
  </si>
  <si>
    <t>92149910769</t>
  </si>
  <si>
    <t>94129749894</t>
  </si>
  <si>
    <t>90149801194</t>
  </si>
  <si>
    <t>11927333762</t>
  </si>
  <si>
    <t>30897149198</t>
  </si>
  <si>
    <t>18669179494</t>
  </si>
  <si>
    <t>11078407316</t>
  </si>
  <si>
    <t>17856636901</t>
  </si>
  <si>
    <t>11987615967</t>
  </si>
  <si>
    <t xml:space="preserve">ARTURO                                  </t>
  </si>
  <si>
    <t xml:space="preserve">GODINEZ                       </t>
  </si>
  <si>
    <t xml:space="preserve">ROBERTO                                 </t>
  </si>
  <si>
    <t xml:space="preserve">CHAVEZ                        </t>
  </si>
  <si>
    <t xml:space="preserve">TORRES                        </t>
  </si>
  <si>
    <t xml:space="preserve">LILIA KARINA                            </t>
  </si>
  <si>
    <t xml:space="preserve">JUAREZ                        </t>
  </si>
  <si>
    <t xml:space="preserve">PINEDA                        </t>
  </si>
  <si>
    <t xml:space="preserve">CLAUDIA                                 </t>
  </si>
  <si>
    <t xml:space="preserve">GOMEZ                         </t>
  </si>
  <si>
    <t xml:space="preserve">AGUIRRE                       </t>
  </si>
  <si>
    <t xml:space="preserve">ESTEBAN                                 </t>
  </si>
  <si>
    <t xml:space="preserve">MENDOZA                       </t>
  </si>
  <si>
    <t xml:space="preserve">MENDEZ                        </t>
  </si>
  <si>
    <t xml:space="preserve">JUAN                                    </t>
  </si>
  <si>
    <t xml:space="preserve">NIEVES                        </t>
  </si>
  <si>
    <t xml:space="preserve">ZAVALA                        </t>
  </si>
  <si>
    <t xml:space="preserve">SALINAS                       </t>
  </si>
  <si>
    <t xml:space="preserve">LEON                          </t>
  </si>
  <si>
    <t xml:space="preserve">ANGELICA                                </t>
  </si>
  <si>
    <t xml:space="preserve">SANDOVAL                      </t>
  </si>
  <si>
    <t xml:space="preserve">MARMOLEJO                     </t>
  </si>
  <si>
    <t xml:space="preserve">NORMA                                   </t>
  </si>
  <si>
    <t xml:space="preserve">OCANA                         </t>
  </si>
  <si>
    <t xml:space="preserve">RIVAS                         </t>
  </si>
  <si>
    <t xml:space="preserve">JOSUE MAURICIO                          </t>
  </si>
  <si>
    <t xml:space="preserve">CORTES                        </t>
  </si>
  <si>
    <t xml:space="preserve">ESQUIVEL                      </t>
  </si>
  <si>
    <t xml:space="preserve">EMANUEL                                 </t>
  </si>
  <si>
    <t xml:space="preserve">GONZALEZ                      </t>
  </si>
  <si>
    <t xml:space="preserve">HECTOR RODRIGO                          </t>
  </si>
  <si>
    <t xml:space="preserve">FLORES                        </t>
  </si>
  <si>
    <t xml:space="preserve">MANZANEDO                     </t>
  </si>
  <si>
    <t xml:space="preserve">ANTONIO                                 </t>
  </si>
  <si>
    <t xml:space="preserve">BELLO                         </t>
  </si>
  <si>
    <t xml:space="preserve">ZEPEDA                        </t>
  </si>
  <si>
    <t xml:space="preserve">ALEJANDRO ALFREDO                       </t>
  </si>
  <si>
    <t xml:space="preserve">MARQUEZ                       </t>
  </si>
  <si>
    <t xml:space="preserve">RERGIS                        </t>
  </si>
  <si>
    <t xml:space="preserve">JOSE LUIS                               </t>
  </si>
  <si>
    <t xml:space="preserve">BARRAGAN                      </t>
  </si>
  <si>
    <t xml:space="preserve">ELIZONDO                      </t>
  </si>
  <si>
    <t xml:space="preserve">DIEGO EDUARDO                           </t>
  </si>
  <si>
    <t xml:space="preserve">LOPEZ                         </t>
  </si>
  <si>
    <t xml:space="preserve">PEREZ                         </t>
  </si>
  <si>
    <t xml:space="preserve">ERIKA FABIOLA                           </t>
  </si>
  <si>
    <t xml:space="preserve">CARDENAS                      </t>
  </si>
  <si>
    <t xml:space="preserve">FUENTES                       </t>
  </si>
  <si>
    <t xml:space="preserve">MONTSERRAT                              </t>
  </si>
  <si>
    <t xml:space="preserve">LAZOS                         </t>
  </si>
  <si>
    <t xml:space="preserve">HERNANDEZ                     </t>
  </si>
  <si>
    <t xml:space="preserve">MARISOL                                 </t>
  </si>
  <si>
    <t xml:space="preserve">RAYMUNDO ADAN                           </t>
  </si>
  <si>
    <t xml:space="preserve">SANCHEZ                       </t>
  </si>
  <si>
    <t xml:space="preserve">SALAZAR                       </t>
  </si>
  <si>
    <t xml:space="preserve">JESUS DABYTH                            </t>
  </si>
  <si>
    <t xml:space="preserve">PALMA                         </t>
  </si>
  <si>
    <t xml:space="preserve">MORTERA                       </t>
  </si>
  <si>
    <t xml:space="preserve">ENRIQUE                                 </t>
  </si>
  <si>
    <t xml:space="preserve">GUTIERREZ                     </t>
  </si>
  <si>
    <t xml:space="preserve">TANIA GERALDINE                         </t>
  </si>
  <si>
    <t xml:space="preserve">FEREGRINO                     </t>
  </si>
  <si>
    <t xml:space="preserve">OSCAR                                   </t>
  </si>
  <si>
    <t xml:space="preserve">ORTIZ                         </t>
  </si>
  <si>
    <t xml:space="preserve">MIGUEL ANGEL                            </t>
  </si>
  <si>
    <t xml:space="preserve">MIRANDA                       </t>
  </si>
  <si>
    <t xml:space="preserve">MONTUFAR                      </t>
  </si>
  <si>
    <t xml:space="preserve">ANA GABRIELA                            </t>
  </si>
  <si>
    <t xml:space="preserve">GARDUNO                       </t>
  </si>
  <si>
    <t xml:space="preserve">ANGELICA DEL ROCIO                      </t>
  </si>
  <si>
    <t xml:space="preserve">SILVA                         </t>
  </si>
  <si>
    <t xml:space="preserve">ALPIZAR                       </t>
  </si>
  <si>
    <t xml:space="preserve">JOSE NICOLAS                            </t>
  </si>
  <si>
    <t xml:space="preserve">MEZA                          </t>
  </si>
  <si>
    <t xml:space="preserve">CORREA                        </t>
  </si>
  <si>
    <t xml:space="preserve">GERMAIN                                 </t>
  </si>
  <si>
    <t xml:space="preserve">RODRIGO PAVEL                           </t>
  </si>
  <si>
    <t xml:space="preserve">CASTILLO                      </t>
  </si>
  <si>
    <t xml:space="preserve">MARCO ANTONIO                           </t>
  </si>
  <si>
    <t xml:space="preserve">MARTINEZ                      </t>
  </si>
  <si>
    <t xml:space="preserve">MARTIN                        </t>
  </si>
  <si>
    <t xml:space="preserve">JUAN CARLOS                             </t>
  </si>
  <si>
    <t xml:space="preserve">LECUMBERRI                    </t>
  </si>
  <si>
    <t xml:space="preserve">JULIO CESAR                             </t>
  </si>
  <si>
    <t xml:space="preserve">FONSECA                       </t>
  </si>
  <si>
    <t xml:space="preserve">CORDOBA                       </t>
  </si>
  <si>
    <t xml:space="preserve">ZAMIR ALBERTO                           </t>
  </si>
  <si>
    <t xml:space="preserve">RAMOS                         </t>
  </si>
  <si>
    <t xml:space="preserve">MATEOS                        </t>
  </si>
  <si>
    <t xml:space="preserve">JAIME                                   </t>
  </si>
  <si>
    <t xml:space="preserve">MACIAS                        </t>
  </si>
  <si>
    <t xml:space="preserve">DAVID ALAN                              </t>
  </si>
  <si>
    <t xml:space="preserve">LACAVEX                       </t>
  </si>
  <si>
    <t xml:space="preserve">FRANCISCO                               </t>
  </si>
  <si>
    <t xml:space="preserve">TOVAR                         </t>
  </si>
  <si>
    <t xml:space="preserve">SALGUERO                      </t>
  </si>
  <si>
    <t xml:space="preserve">MARCO MANUEL                            </t>
  </si>
  <si>
    <t xml:space="preserve">APARICIO                      </t>
  </si>
  <si>
    <t xml:space="preserve">IRMA LETICIA                            </t>
  </si>
  <si>
    <t xml:space="preserve">GAYTAN                        </t>
  </si>
  <si>
    <t xml:space="preserve">JOHANA                                  </t>
  </si>
  <si>
    <t xml:space="preserve">ZUNIGA                        </t>
  </si>
  <si>
    <t xml:space="preserve">JUANA MICHELLE                          </t>
  </si>
  <si>
    <t xml:space="preserve">BUHL                          </t>
  </si>
  <si>
    <t xml:space="preserve">ESPEJO                        </t>
  </si>
  <si>
    <t xml:space="preserve">JOVANNA GABRIELA                        </t>
  </si>
  <si>
    <t xml:space="preserve">RAMIREZ                       </t>
  </si>
  <si>
    <t xml:space="preserve">MONTERO                       </t>
  </si>
  <si>
    <t xml:space="preserve">PAULINA VALERIA                         </t>
  </si>
  <si>
    <t xml:space="preserve">ROBLES                        </t>
  </si>
  <si>
    <t xml:space="preserve">DENISSE                                 </t>
  </si>
  <si>
    <t xml:space="preserve">NOYA                          </t>
  </si>
  <si>
    <t xml:space="preserve">LEONEL                                  </t>
  </si>
  <si>
    <t xml:space="preserve">MEDINA                        </t>
  </si>
  <si>
    <t xml:space="preserve">BAHENA                        </t>
  </si>
  <si>
    <t xml:space="preserve">RIVERA                        </t>
  </si>
  <si>
    <t xml:space="preserve">AMARANTA                                </t>
  </si>
  <si>
    <t xml:space="preserve">RODRIGUEZ                     </t>
  </si>
  <si>
    <t xml:space="preserve">DIAZ                          </t>
  </si>
  <si>
    <t xml:space="preserve">ERIK                                    </t>
  </si>
  <si>
    <t xml:space="preserve">VALLADARES                    </t>
  </si>
  <si>
    <t xml:space="preserve">JUAN MANUEL                             </t>
  </si>
  <si>
    <t xml:space="preserve">ARCINIEGA                     </t>
  </si>
  <si>
    <t xml:space="preserve">RUIZ                          </t>
  </si>
  <si>
    <t xml:space="preserve">VERA                          </t>
  </si>
  <si>
    <t xml:space="preserve">ANDREA ANALI                            </t>
  </si>
  <si>
    <t xml:space="preserve">GARCIA                        </t>
  </si>
  <si>
    <t xml:space="preserve">LUNA                          </t>
  </si>
  <si>
    <t xml:space="preserve">ELIA NAYELI                             </t>
  </si>
  <si>
    <t xml:space="preserve">AGUILAR                       </t>
  </si>
  <si>
    <t xml:space="preserve">LAZARO                        </t>
  </si>
  <si>
    <t xml:space="preserve">MYRIAM                                  </t>
  </si>
  <si>
    <t xml:space="preserve">MORALES                       </t>
  </si>
  <si>
    <t xml:space="preserve">RANGEL                        </t>
  </si>
  <si>
    <t xml:space="preserve">SANDRA LUCIA                            </t>
  </si>
  <si>
    <t xml:space="preserve">ARTEAGA                       </t>
  </si>
  <si>
    <t xml:space="preserve">ARCOS                         </t>
  </si>
  <si>
    <t xml:space="preserve">LOURDES ELIZABETH                       </t>
  </si>
  <si>
    <t xml:space="preserve">LEONARDO DANIEL                         </t>
  </si>
  <si>
    <t xml:space="preserve">GUZMAN                        </t>
  </si>
  <si>
    <t xml:space="preserve">CASANAS                       </t>
  </si>
  <si>
    <t xml:space="preserve">HORTENCIA                               </t>
  </si>
  <si>
    <t xml:space="preserve">CARLOS                                  </t>
  </si>
  <si>
    <t xml:space="preserve">VASQUEZ                       </t>
  </si>
  <si>
    <t xml:space="preserve">LUIS ANTONIO                            </t>
  </si>
  <si>
    <t xml:space="preserve">CABANAS                       </t>
  </si>
  <si>
    <t xml:space="preserve">CARMEN ADRIANA                          </t>
  </si>
  <si>
    <t xml:space="preserve">LIZETH ELOISA                           </t>
  </si>
  <si>
    <t xml:space="preserve">ESCUDERO                      </t>
  </si>
  <si>
    <t xml:space="preserve">MONROY                        </t>
  </si>
  <si>
    <t xml:space="preserve">ADAN ISRAEL                             </t>
  </si>
  <si>
    <t xml:space="preserve">GARAY                         </t>
  </si>
  <si>
    <t xml:space="preserve">VAZQUEZ                       </t>
  </si>
  <si>
    <t xml:space="preserve">MIRIAM                                  </t>
  </si>
  <si>
    <t xml:space="preserve">NANCY ROCIO                             </t>
  </si>
  <si>
    <t xml:space="preserve">ORTEGA                        </t>
  </si>
  <si>
    <t xml:space="preserve">SAMANTHA                                </t>
  </si>
  <si>
    <t xml:space="preserve">LOZOYA                        </t>
  </si>
  <si>
    <t xml:space="preserve">ANGELICA MONSERRAT                      </t>
  </si>
  <si>
    <t xml:space="preserve">ROCIO ANALI                             </t>
  </si>
  <si>
    <t xml:space="preserve">DOMINGUEZ                     </t>
  </si>
  <si>
    <t xml:space="preserve">TREJO                         </t>
  </si>
  <si>
    <t xml:space="preserve">MARTIN                                  </t>
  </si>
  <si>
    <t xml:space="preserve">ARROYO                        </t>
  </si>
  <si>
    <t xml:space="preserve">ABOYTES                       </t>
  </si>
  <si>
    <t xml:space="preserve">MIGUEL ALEJANDRO                        </t>
  </si>
  <si>
    <t xml:space="preserve">MARCO AURELIO                           </t>
  </si>
  <si>
    <t xml:space="preserve">OBREGON                       </t>
  </si>
  <si>
    <t xml:space="preserve">SERRANO                       </t>
  </si>
  <si>
    <t xml:space="preserve">HUESCA                        </t>
  </si>
  <si>
    <t xml:space="preserve">URIBE                         </t>
  </si>
  <si>
    <t xml:space="preserve">EDGAR                                   </t>
  </si>
  <si>
    <t xml:space="preserve">ALVAREZ                       </t>
  </si>
  <si>
    <t xml:space="preserve">BORJA                         </t>
  </si>
  <si>
    <t xml:space="preserve">DALMAAN                                 </t>
  </si>
  <si>
    <t xml:space="preserve">LENZ                          </t>
  </si>
  <si>
    <t xml:space="preserve">REYES                         </t>
  </si>
  <si>
    <t xml:space="preserve">CONCEPCION                              </t>
  </si>
  <si>
    <t xml:space="preserve">ARELLANO                      </t>
  </si>
  <si>
    <t xml:space="preserve">VERGARA                       </t>
  </si>
  <si>
    <t xml:space="preserve">ALBERTO                                 </t>
  </si>
  <si>
    <t xml:space="preserve">SOLARES                       </t>
  </si>
  <si>
    <t xml:space="preserve">CESAR MANUEL                            </t>
  </si>
  <si>
    <t xml:space="preserve">CLAUDIA BERNARDA                        </t>
  </si>
  <si>
    <t xml:space="preserve">NUNEZ                         </t>
  </si>
  <si>
    <t xml:space="preserve">RAYMUNDO                                </t>
  </si>
  <si>
    <t xml:space="preserve">UGALDE                        </t>
  </si>
  <si>
    <t xml:space="preserve">LUIS GUILLERMO                          </t>
  </si>
  <si>
    <t xml:space="preserve">FRANCO                        </t>
  </si>
  <si>
    <t xml:space="preserve">CASTRO                        </t>
  </si>
  <si>
    <t xml:space="preserve">SERGIO LUIS                             </t>
  </si>
  <si>
    <t xml:space="preserve">CARLOS ISMAEL                           </t>
  </si>
  <si>
    <t xml:space="preserve">CASTANEDA                     </t>
  </si>
  <si>
    <t xml:space="preserve">MARA LIM                                </t>
  </si>
  <si>
    <t xml:space="preserve">JOSE ENRIQUE                            </t>
  </si>
  <si>
    <t xml:space="preserve">IVAN GERARDO                            </t>
  </si>
  <si>
    <t xml:space="preserve">HURTADO                       </t>
  </si>
  <si>
    <t xml:space="preserve">JOSE FELIX                              </t>
  </si>
  <si>
    <t xml:space="preserve">OLMOS                         </t>
  </si>
  <si>
    <t xml:space="preserve">MOLINA                        </t>
  </si>
  <si>
    <t xml:space="preserve">CARLOS FRANCISCO                        </t>
  </si>
  <si>
    <t xml:space="preserve">MASSEY                        </t>
  </si>
  <si>
    <t xml:space="preserve">ZELAYARAN                     </t>
  </si>
  <si>
    <t xml:space="preserve">MICHAEL ROBERTO                         </t>
  </si>
  <si>
    <t xml:space="preserve">ESPARZA                       </t>
  </si>
  <si>
    <t xml:space="preserve">DOMINGO                                 </t>
  </si>
  <si>
    <t xml:space="preserve">SALDANA                       </t>
  </si>
  <si>
    <t xml:space="preserve">JESSYCA DANIELA                         </t>
  </si>
  <si>
    <t xml:space="preserve">ARANGO                        </t>
  </si>
  <si>
    <t xml:space="preserve">IVAN                                    </t>
  </si>
  <si>
    <t xml:space="preserve">OSWALDO                                 </t>
  </si>
  <si>
    <t xml:space="preserve">FRANCISCO JAVIER                        </t>
  </si>
  <si>
    <t xml:space="preserve">EUSEBIO                       </t>
  </si>
  <si>
    <t xml:space="preserve">ANGEL EMMANUEL                          </t>
  </si>
  <si>
    <t xml:space="preserve">FIDEL                                   </t>
  </si>
  <si>
    <t xml:space="preserve">JOSE ALBERTO                            </t>
  </si>
  <si>
    <t xml:space="preserve">TAPIA                         </t>
  </si>
  <si>
    <t xml:space="preserve">GABRIEL ERIK                            </t>
  </si>
  <si>
    <t xml:space="preserve">OLVERA                        </t>
  </si>
  <si>
    <t xml:space="preserve">ROD SAUL                                </t>
  </si>
  <si>
    <t xml:space="preserve">BARRIOS                       </t>
  </si>
  <si>
    <t xml:space="preserve">NOE                                     </t>
  </si>
  <si>
    <t xml:space="preserve">LIRA                          </t>
  </si>
  <si>
    <t xml:space="preserve">JOSE MANUEL                             </t>
  </si>
  <si>
    <t xml:space="preserve">ESCALONA                      </t>
  </si>
  <si>
    <t xml:space="preserve">OMAR EVERARDO                           </t>
  </si>
  <si>
    <t xml:space="preserve">AGUILERA                      </t>
  </si>
  <si>
    <t xml:space="preserve">BRAVO                         </t>
  </si>
  <si>
    <t xml:space="preserve">MARIO DANIEL                            </t>
  </si>
  <si>
    <t xml:space="preserve">GASCA                         </t>
  </si>
  <si>
    <t xml:space="preserve">DIONICIO                      </t>
  </si>
  <si>
    <t xml:space="preserve">YOTSGAD                                 </t>
  </si>
  <si>
    <t xml:space="preserve">GUERRERO                      </t>
  </si>
  <si>
    <t xml:space="preserve">JORGE IVAN                              </t>
  </si>
  <si>
    <t xml:space="preserve">SAINZ                         </t>
  </si>
  <si>
    <t xml:space="preserve">SERNA                         </t>
  </si>
  <si>
    <t xml:space="preserve">ADELFO                                  </t>
  </si>
  <si>
    <t xml:space="preserve">SEGUIN                        </t>
  </si>
  <si>
    <t xml:space="preserve">JIMENEZ                       </t>
  </si>
  <si>
    <t xml:space="preserve">MERCED                                  </t>
  </si>
  <si>
    <t xml:space="preserve">ROJAS                         </t>
  </si>
  <si>
    <t xml:space="preserve">ARMANDO                                 </t>
  </si>
  <si>
    <t xml:space="preserve">MEJIA                         </t>
  </si>
  <si>
    <t xml:space="preserve">JOSE ALFREDO                            </t>
  </si>
  <si>
    <t xml:space="preserve">CARRASCO                      </t>
  </si>
  <si>
    <t xml:space="preserve">FERNANDO ISAI                           </t>
  </si>
  <si>
    <t xml:space="preserve">TENORIO                       </t>
  </si>
  <si>
    <t xml:space="preserve">HECTOR DASAEV                           </t>
  </si>
  <si>
    <t xml:space="preserve">PEDRAZA                       </t>
  </si>
  <si>
    <t xml:space="preserve">ZAYAN                                   </t>
  </si>
  <si>
    <t xml:space="preserve">VALLEJO                       </t>
  </si>
  <si>
    <t xml:space="preserve">ALEJANDRO                               </t>
  </si>
  <si>
    <t xml:space="preserve">VALENCIA                      </t>
  </si>
  <si>
    <t xml:space="preserve">DELGADO                       </t>
  </si>
  <si>
    <t xml:space="preserve">SANDRO JAVIER                           </t>
  </si>
  <si>
    <t xml:space="preserve">CALIXCO                       </t>
  </si>
  <si>
    <t xml:space="preserve">PADILLA                       </t>
  </si>
  <si>
    <t xml:space="preserve">EDGAR ARMANDO                           </t>
  </si>
  <si>
    <t xml:space="preserve">MAGUS                         </t>
  </si>
  <si>
    <t xml:space="preserve">LIZETH                                  </t>
  </si>
  <si>
    <t xml:space="preserve">JOSE BRANDO                             </t>
  </si>
  <si>
    <t xml:space="preserve">CUEVAS                        </t>
  </si>
  <si>
    <t xml:space="preserve">DAVID                                   </t>
  </si>
  <si>
    <t xml:space="preserve">EDUARDO URIEL                           </t>
  </si>
  <si>
    <t xml:space="preserve">MORENO                        </t>
  </si>
  <si>
    <t xml:space="preserve">SERGIO                                  </t>
  </si>
  <si>
    <t xml:space="preserve">CAMARILLO                     </t>
  </si>
  <si>
    <t xml:space="preserve">SANTOS                        </t>
  </si>
  <si>
    <t xml:space="preserve">JESUS DELFINO                           </t>
  </si>
  <si>
    <t xml:space="preserve">ROLDAN                        </t>
  </si>
  <si>
    <t xml:space="preserve">ANGELES                       </t>
  </si>
  <si>
    <t xml:space="preserve">JUAN LUIS                               </t>
  </si>
  <si>
    <t xml:space="preserve">HUAXON                        </t>
  </si>
  <si>
    <t xml:space="preserve">SILVERIO                                </t>
  </si>
  <si>
    <t xml:space="preserve">AVILA                         </t>
  </si>
  <si>
    <t xml:space="preserve">ERICK MANUEL                            </t>
  </si>
  <si>
    <t xml:space="preserve">BRAYAN OMAR                             </t>
  </si>
  <si>
    <t xml:space="preserve">SOSA                          </t>
  </si>
  <si>
    <t xml:space="preserve">CAMERO                        </t>
  </si>
  <si>
    <t xml:space="preserve">MANUEL EDUARDO                          </t>
  </si>
  <si>
    <t xml:space="preserve">BERNAL                        </t>
  </si>
  <si>
    <t xml:space="preserve">MUNIZ                         </t>
  </si>
  <si>
    <t xml:space="preserve">CARLOS EDUARDO                          </t>
  </si>
  <si>
    <t xml:space="preserve">NICOLAS BRUNO                           </t>
  </si>
  <si>
    <t xml:space="preserve">OCHOA                         </t>
  </si>
  <si>
    <t xml:space="preserve">NANCY MACRINA                           </t>
  </si>
  <si>
    <t xml:space="preserve">ALFONSO                                 </t>
  </si>
  <si>
    <t xml:space="preserve">SALOMON                                 </t>
  </si>
  <si>
    <t xml:space="preserve">VILLEGAS                      </t>
  </si>
  <si>
    <t xml:space="preserve">RICARDO                                 </t>
  </si>
  <si>
    <t xml:space="preserve">TINAJERO                      </t>
  </si>
  <si>
    <t xml:space="preserve">CONTRERAS                     </t>
  </si>
  <si>
    <t xml:space="preserve">MAURICIO DANIEL                         </t>
  </si>
  <si>
    <t xml:space="preserve">MONTOYA                       </t>
  </si>
  <si>
    <t xml:space="preserve">GUILLERMO                               </t>
  </si>
  <si>
    <t xml:space="preserve">PELCASTRE                     </t>
  </si>
  <si>
    <t xml:space="preserve">CANALES                       </t>
  </si>
  <si>
    <t xml:space="preserve">QUINTANA                      </t>
  </si>
  <si>
    <t xml:space="preserve">GILBERTO                                </t>
  </si>
  <si>
    <t xml:space="preserve">CALDERON                      </t>
  </si>
  <si>
    <t xml:space="preserve">JOSE ANTONIO                            </t>
  </si>
  <si>
    <t xml:space="preserve">ENCISO                        </t>
  </si>
  <si>
    <t xml:space="preserve">EDGAR EDUARDO                           </t>
  </si>
  <si>
    <t xml:space="preserve">BAUTISTA                      </t>
  </si>
  <si>
    <t xml:space="preserve">MANUEL                                  </t>
  </si>
  <si>
    <t xml:space="preserve">HIDALGO                       </t>
  </si>
  <si>
    <t xml:space="preserve">HECTOR                                  </t>
  </si>
  <si>
    <t xml:space="preserve">BENIGNO JESUS                           </t>
  </si>
  <si>
    <t xml:space="preserve">ACHUYFAN                      </t>
  </si>
  <si>
    <t xml:space="preserve">IGNACIO                                 </t>
  </si>
  <si>
    <t xml:space="preserve">DIONISIO                      </t>
  </si>
  <si>
    <t xml:space="preserve">CESAREO                                 </t>
  </si>
  <si>
    <t xml:space="preserve">JARAMILLO                     </t>
  </si>
  <si>
    <t xml:space="preserve">FRANCISCO DAVID                         </t>
  </si>
  <si>
    <t xml:space="preserve">SALVADOR                                </t>
  </si>
  <si>
    <t xml:space="preserve">CRUZ                          </t>
  </si>
  <si>
    <t xml:space="preserve">ELIZABETH                               </t>
  </si>
  <si>
    <t xml:space="preserve">VILLAVICENCIO                 </t>
  </si>
  <si>
    <t xml:space="preserve">FERNANDO                                </t>
  </si>
  <si>
    <t xml:space="preserve">FRANCISCO                     </t>
  </si>
  <si>
    <t xml:space="preserve">SILVERIO MANUEL                         </t>
  </si>
  <si>
    <t xml:space="preserve">CARLOS DANIEL                           </t>
  </si>
  <si>
    <t xml:space="preserve">COLLI                         </t>
  </si>
  <si>
    <t xml:space="preserve">PEDRO                                   </t>
  </si>
  <si>
    <t xml:space="preserve">GAYOSSO                       </t>
  </si>
  <si>
    <t xml:space="preserve">ROMERO                        </t>
  </si>
  <si>
    <t xml:space="preserve">VICTOR DAVID                            </t>
  </si>
  <si>
    <t xml:space="preserve">RUBEN                                   </t>
  </si>
  <si>
    <t xml:space="preserve">MARIA DEL SOCORRO                       </t>
  </si>
  <si>
    <t xml:space="preserve">QUEZADA                       </t>
  </si>
  <si>
    <t xml:space="preserve">JUAN PABLO                              </t>
  </si>
  <si>
    <t xml:space="preserve">TRUJILLO                      </t>
  </si>
  <si>
    <t xml:space="preserve">SAN LUIS                      </t>
  </si>
  <si>
    <t xml:space="preserve">CISNEROS                      </t>
  </si>
  <si>
    <t xml:space="preserve">PORFIRIO                                </t>
  </si>
  <si>
    <t xml:space="preserve">HUIDOBRO                      </t>
  </si>
  <si>
    <t xml:space="preserve">JAVIER                                  </t>
  </si>
  <si>
    <t xml:space="preserve">VICTORIA                      </t>
  </si>
  <si>
    <t xml:space="preserve">AGUSTIN                                 </t>
  </si>
  <si>
    <t xml:space="preserve">ARREOLA                       </t>
  </si>
  <si>
    <t xml:space="preserve">PLATA                         </t>
  </si>
  <si>
    <t xml:space="preserve">RAUL                                    </t>
  </si>
  <si>
    <t xml:space="preserve">GARRIDO                       </t>
  </si>
  <si>
    <t xml:space="preserve">ORDUNA                        </t>
  </si>
  <si>
    <t xml:space="preserve">VERONICA ELENA                          </t>
  </si>
  <si>
    <t xml:space="preserve">LINA GABRIELA                           </t>
  </si>
  <si>
    <t xml:space="preserve">CARRERA                       </t>
  </si>
  <si>
    <t xml:space="preserve">SINUHE                                  </t>
  </si>
  <si>
    <t xml:space="preserve">CABRERA                       </t>
  </si>
  <si>
    <t xml:space="preserve">MERCADO                       </t>
  </si>
  <si>
    <t xml:space="preserve">ZAMORA                        </t>
  </si>
  <si>
    <t xml:space="preserve">EDUARDO SEBASTIAN                       </t>
  </si>
  <si>
    <t xml:space="preserve">MOSCOSA                       </t>
  </si>
  <si>
    <t xml:space="preserve">VALDEZ                        </t>
  </si>
  <si>
    <t xml:space="preserve">FRAGOSO                       </t>
  </si>
  <si>
    <t xml:space="preserve">LUIS ALONSO                             </t>
  </si>
  <si>
    <t xml:space="preserve">JOSE FELICIANO                          </t>
  </si>
  <si>
    <t xml:space="preserve">CAMPOS                        </t>
  </si>
  <si>
    <t xml:space="preserve">SARAIT                                  </t>
  </si>
  <si>
    <t xml:space="preserve">JOSE ROSARIO                            </t>
  </si>
  <si>
    <t xml:space="preserve">LANDIN                        </t>
  </si>
  <si>
    <t xml:space="preserve">ALONSO                        </t>
  </si>
  <si>
    <t xml:space="preserve">ROSAS                         </t>
  </si>
  <si>
    <t xml:space="preserve">HERRERA                       </t>
  </si>
  <si>
    <t xml:space="preserve">MARIA DEL CARMEN                        </t>
  </si>
  <si>
    <t xml:space="preserve">LEYVA                         </t>
  </si>
  <si>
    <t xml:space="preserve">JORGE                                   </t>
  </si>
  <si>
    <t xml:space="preserve">AMERICA AMALIA                          </t>
  </si>
  <si>
    <t xml:space="preserve">CABRIALES                     </t>
  </si>
  <si>
    <t xml:space="preserve">LETICIA                                 </t>
  </si>
  <si>
    <t xml:space="preserve">BERNARDINA                              </t>
  </si>
  <si>
    <t xml:space="preserve">MARIA DOLORES                           </t>
  </si>
  <si>
    <t xml:space="preserve">ALEJANDRA FABIOLA                       </t>
  </si>
  <si>
    <t xml:space="preserve">ANA YURENI                              </t>
  </si>
  <si>
    <t xml:space="preserve">ISAURO                                  </t>
  </si>
  <si>
    <t xml:space="preserve">DE LA FUENTE                  </t>
  </si>
  <si>
    <t xml:space="preserve">BARBOSA                       </t>
  </si>
  <si>
    <t xml:space="preserve">MARIA EUGENIA                           </t>
  </si>
  <si>
    <t xml:space="preserve">BURGOS                        </t>
  </si>
  <si>
    <t xml:space="preserve">ESCOBAR                       </t>
  </si>
  <si>
    <t xml:space="preserve">GARZA                         </t>
  </si>
  <si>
    <t xml:space="preserve">TAMEZ                         </t>
  </si>
  <si>
    <t xml:space="preserve">ZAIDA IRALI                             </t>
  </si>
  <si>
    <t xml:space="preserve">OSORIO                        </t>
  </si>
  <si>
    <t xml:space="preserve">MARTIN FELIPE                           </t>
  </si>
  <si>
    <t xml:space="preserve">LUIS JOAQUIN                            </t>
  </si>
  <si>
    <t xml:space="preserve">TOLEDANO                      </t>
  </si>
  <si>
    <t xml:space="preserve">DANIEL RODRIGO                          </t>
  </si>
  <si>
    <t xml:space="preserve">HARO                          </t>
  </si>
  <si>
    <t xml:space="preserve">ERNESTO                                 </t>
  </si>
  <si>
    <t xml:space="preserve">ROJANO                        </t>
  </si>
  <si>
    <t xml:space="preserve">J GUILLERMO                             </t>
  </si>
  <si>
    <t xml:space="preserve">CARRILLO                      </t>
  </si>
  <si>
    <t xml:space="preserve">EFREN                                   </t>
  </si>
  <si>
    <t xml:space="preserve">JUAN ALBERTO PADILLA                    </t>
  </si>
  <si>
    <t xml:space="preserve">MONTES                        </t>
  </si>
  <si>
    <t xml:space="preserve">DE OCA                        </t>
  </si>
  <si>
    <t xml:space="preserve">KARINA CONCEPCION JENNYFER              </t>
  </si>
  <si>
    <t xml:space="preserve">TERRES                        </t>
  </si>
  <si>
    <t xml:space="preserve">IVAN LUIS                               </t>
  </si>
  <si>
    <t xml:space="preserve">ESCALANTE                     </t>
  </si>
  <si>
    <t xml:space="preserve">MARIANA                                 </t>
  </si>
  <si>
    <t xml:space="preserve">YAIR ALONSO                             </t>
  </si>
  <si>
    <t xml:space="preserve">DULCE ANGELICA                          </t>
  </si>
  <si>
    <t xml:space="preserve">ROXANA                                  </t>
  </si>
  <si>
    <t xml:space="preserve">TANIA GUADALUPE                         </t>
  </si>
  <si>
    <t xml:space="preserve">ESPINOSA                      </t>
  </si>
  <si>
    <t xml:space="preserve">DEL ANGEL                     </t>
  </si>
  <si>
    <t xml:space="preserve">JAEN OCTAVIO                            </t>
  </si>
  <si>
    <t xml:space="preserve">BARBA                         </t>
  </si>
  <si>
    <t xml:space="preserve">ERASMO                                  </t>
  </si>
  <si>
    <t xml:space="preserve">BORTONI                       </t>
  </si>
  <si>
    <t xml:space="preserve">DANIEL DE JESUS                         </t>
  </si>
  <si>
    <t xml:space="preserve">CANO                          </t>
  </si>
  <si>
    <t xml:space="preserve">TEJEDA                        </t>
  </si>
  <si>
    <t xml:space="preserve">RETAMA                        </t>
  </si>
  <si>
    <t xml:space="preserve">BALDERAS                      </t>
  </si>
  <si>
    <t xml:space="preserve">JOSHUA MAURICIO                         </t>
  </si>
  <si>
    <t xml:space="preserve">OCAMPO                        </t>
  </si>
  <si>
    <t xml:space="preserve">SALAS                         </t>
  </si>
  <si>
    <t xml:space="preserve">JESUS                                   </t>
  </si>
  <si>
    <t xml:space="preserve">STEPHANY                                </t>
  </si>
  <si>
    <t xml:space="preserve">MARCIA YEDID                            </t>
  </si>
  <si>
    <t xml:space="preserve">PORTILLO                      </t>
  </si>
  <si>
    <t xml:space="preserve">CERVANTES                     </t>
  </si>
  <si>
    <t xml:space="preserve">CAMACHO                       </t>
  </si>
  <si>
    <t xml:space="preserve">REYNA                         </t>
  </si>
  <si>
    <t xml:space="preserve">LAPHAM                        </t>
  </si>
  <si>
    <t xml:space="preserve">RICARDO DANIEL                          </t>
  </si>
  <si>
    <t xml:space="preserve">ODETTE MIREYA                           </t>
  </si>
  <si>
    <t xml:space="preserve">ARAMBURU                      </t>
  </si>
  <si>
    <t xml:space="preserve">VELASQUEZ                     </t>
  </si>
  <si>
    <t xml:space="preserve">CESAR DAVID                             </t>
  </si>
  <si>
    <t xml:space="preserve">ANTONIO                       </t>
  </si>
  <si>
    <t xml:space="preserve">DOROTEO JERONIMO                        </t>
  </si>
  <si>
    <t xml:space="preserve">ERICK                                   </t>
  </si>
  <si>
    <t xml:space="preserve">QUIROZ                        </t>
  </si>
  <si>
    <t xml:space="preserve">CAMARGO                       </t>
  </si>
  <si>
    <t xml:space="preserve">GABRIELA                                </t>
  </si>
  <si>
    <t xml:space="preserve">JORGE ARMANDO                           </t>
  </si>
  <si>
    <t xml:space="preserve">FLORENTINO                              </t>
  </si>
  <si>
    <t xml:space="preserve">SOTO                          </t>
  </si>
  <si>
    <t xml:space="preserve">KEVIN RODRIGO                           </t>
  </si>
  <si>
    <t xml:space="preserve">ELIASIM                                 </t>
  </si>
  <si>
    <t xml:space="preserve">GALLEGOS                      </t>
  </si>
  <si>
    <t xml:space="preserve">ULISES                                  </t>
  </si>
  <si>
    <t xml:space="preserve">BALTAZAR                      </t>
  </si>
  <si>
    <t xml:space="preserve">MARIN                         </t>
  </si>
  <si>
    <t xml:space="preserve">RAYMUNDO NEFTALI                        </t>
  </si>
  <si>
    <t xml:space="preserve">LEONARDO                                </t>
  </si>
  <si>
    <t xml:space="preserve">ANA ROSA                                </t>
  </si>
  <si>
    <t xml:space="preserve">ESTRADA                       </t>
  </si>
  <si>
    <t xml:space="preserve">SARA LUZ                                </t>
  </si>
  <si>
    <t xml:space="preserve">LIZBETH                                 </t>
  </si>
  <si>
    <t xml:space="preserve">OLGUIN                        </t>
  </si>
  <si>
    <t xml:space="preserve">MARIA LUISA                             </t>
  </si>
  <si>
    <t xml:space="preserve">DE LEON                       </t>
  </si>
  <si>
    <t xml:space="preserve">ADRIANA IRASEMA                         </t>
  </si>
  <si>
    <t xml:space="preserve">GUEVARA                       </t>
  </si>
  <si>
    <t xml:space="preserve">ISMAEL                                  </t>
  </si>
  <si>
    <t xml:space="preserve">LUIS ERICK                              </t>
  </si>
  <si>
    <t xml:space="preserve">PEREA                         </t>
  </si>
  <si>
    <t xml:space="preserve">RAFAEL ALEJANDRO                        </t>
  </si>
  <si>
    <t xml:space="preserve">MIREYA                                  </t>
  </si>
  <si>
    <t xml:space="preserve">MARY CARMEN                             </t>
  </si>
  <si>
    <t xml:space="preserve">AVALOS                        </t>
  </si>
  <si>
    <t xml:space="preserve">MARIA MINERVA                           </t>
  </si>
  <si>
    <t xml:space="preserve">MORA                          </t>
  </si>
  <si>
    <t xml:space="preserve">NOEL GUADALUPE                          </t>
  </si>
  <si>
    <t xml:space="preserve">NURY                                    </t>
  </si>
  <si>
    <t>KARINA</t>
  </si>
  <si>
    <t>FELIX</t>
  </si>
  <si>
    <t>BRANDO</t>
  </si>
  <si>
    <t>FELICIANO</t>
  </si>
  <si>
    <t>ROSARIO</t>
  </si>
  <si>
    <t>DOLORES</t>
  </si>
  <si>
    <t>EUGENIA</t>
  </si>
  <si>
    <t>LUISA</t>
  </si>
  <si>
    <t>ROSP960130KM4</t>
  </si>
  <si>
    <t>GALA760630RA7</t>
  </si>
  <si>
    <t>SAMM840417CB4</t>
  </si>
  <si>
    <t>2</t>
  </si>
  <si>
    <t>MOGA690922MDFLDR21</t>
  </si>
  <si>
    <t>7</t>
  </si>
  <si>
    <t>CATR790901HDFHRB36</t>
  </si>
  <si>
    <t>8</t>
  </si>
  <si>
    <t>JUPL810608MDFRNL66</t>
  </si>
  <si>
    <t>GOAC731003HDFMGL89</t>
  </si>
  <si>
    <t>MEME761206HDFNNS06</t>
  </si>
  <si>
    <t>NIZJ660316HDFVVN60</t>
  </si>
  <si>
    <t>5</t>
  </si>
  <si>
    <t>4</t>
  </si>
  <si>
    <t>SALJ750814MDFLNN21</t>
  </si>
  <si>
    <t>SAMA890120MDFNRN41</t>
  </si>
  <si>
    <t>OARN920711MDFCVR23</t>
  </si>
  <si>
    <t>COEJ800725HDFRSS27</t>
  </si>
  <si>
    <t>GOGE860624MDFNNM49</t>
  </si>
  <si>
    <t>FOMH831125HDFLNC44</t>
  </si>
  <si>
    <t>BEZA790505HDFLPN75</t>
  </si>
  <si>
    <t>MARA841110HDFRRL26</t>
  </si>
  <si>
    <t>BAEL691226HDFRLS51</t>
  </si>
  <si>
    <t>LOPD870915HDFPRG30</t>
  </si>
  <si>
    <t>CAFE820904HDFRNR00</t>
  </si>
  <si>
    <t>LAHM940710HDFZRN50</t>
  </si>
  <si>
    <t>LOZM860113MDFPVR47</t>
  </si>
  <si>
    <t>SASR780315HDFNLY46</t>
  </si>
  <si>
    <t>PAMJ890405HDFLRS32</t>
  </si>
  <si>
    <t>GUSE760223HDFTNN01</t>
  </si>
  <si>
    <t>LOFT000903MDFPRNG8</t>
  </si>
  <si>
    <t>PEOO690209HDFRRS13</t>
  </si>
  <si>
    <t>MIMM810128MDFRNG62</t>
  </si>
  <si>
    <t>GASA971209MDFRNN38</t>
  </si>
  <si>
    <t>SIAA781224HDFLLN12</t>
  </si>
  <si>
    <t>MECN691102MDFZRC92</t>
  </si>
  <si>
    <t>HEHG810811HDFRRR45</t>
  </si>
  <si>
    <t>PECR821207MDFRSD54</t>
  </si>
  <si>
    <t>MAMM841211HDFRRR37</t>
  </si>
  <si>
    <t>LEMJ730518MDFCRN20</t>
  </si>
  <si>
    <t>FOCJ780129HDFNRL60</t>
  </si>
  <si>
    <t>RAMZ870605MDFMTM97</t>
  </si>
  <si>
    <t>MAFJ760705MDFCLM66</t>
  </si>
  <si>
    <t>MALD840408HDFRCV42</t>
  </si>
  <si>
    <t>TOSF710705MDFVLR44</t>
  </si>
  <si>
    <t>AAFM750425HDFPLR50</t>
  </si>
  <si>
    <t>MAGI690505MDFRYR67</t>
  </si>
  <si>
    <t>ZULJ860515HDFNPH73</t>
  </si>
  <si>
    <t>BUEJ770314HDFHSN66</t>
  </si>
  <si>
    <t>RAMJ780401MDFMNV95</t>
  </si>
  <si>
    <t>RAND860206HDFMYN44</t>
  </si>
  <si>
    <t>MEBL900909HDFDHN95</t>
  </si>
  <si>
    <t>RIPJ770227MDFVRN94</t>
  </si>
  <si>
    <t>RODA780712MDFDZM34</t>
  </si>
  <si>
    <t>VAPE850119MDFLLR28</t>
  </si>
  <si>
    <t>AIRJ880505HDFRZN12</t>
  </si>
  <si>
    <t>VETM910930HDFRRG82</t>
  </si>
  <si>
    <t>GALA760630MDFRNN00</t>
  </si>
  <si>
    <t>AULE860627MDFGZL74</t>
  </si>
  <si>
    <t>MORM670731HDFRNY98</t>
  </si>
  <si>
    <t>AEAS800806HDFRRN58</t>
  </si>
  <si>
    <t>FODL820211HDFLZR28</t>
  </si>
  <si>
    <t>GUCL850721MDFZSN20</t>
  </si>
  <si>
    <t>LOGH880111MDFPMR32</t>
  </si>
  <si>
    <t>JUVC760821HDFRSR65</t>
  </si>
  <si>
    <t>CASL870921MDFBNS46</t>
  </si>
  <si>
    <t>LOSJ780501HDFPNN15</t>
  </si>
  <si>
    <t>RAAC881012MDFMGR35</t>
  </si>
  <si>
    <t>EUML930706MDFSNZ72</t>
  </si>
  <si>
    <t>GAVA950830HDFRZD55</t>
  </si>
  <si>
    <t>FOGM750811MDFLRR93</t>
  </si>
  <si>
    <t>GAON881223MDFRRN63</t>
  </si>
  <si>
    <t>CALS940621HDFHZM00</t>
  </si>
  <si>
    <t>SAJA891213MDFNRN37</t>
  </si>
  <si>
    <t>DOTR910917MDFMRC64</t>
  </si>
  <si>
    <t>AOAM631113MDFRBR22</t>
  </si>
  <si>
    <t>GASM760413HDFRNG58</t>
  </si>
  <si>
    <t>OESM911031MDFBRR03</t>
  </si>
  <si>
    <t>HUUM760205HDFSRR16</t>
  </si>
  <si>
    <t>AABE780918MDFLRD65</t>
  </si>
  <si>
    <t>LERD981004HDFNYL90</t>
  </si>
  <si>
    <t>GAAC670405MDFRRN29</t>
  </si>
  <si>
    <t>PIVR770607HDFNRB47</t>
  </si>
  <si>
    <t>SOOA781006MDFLRL37</t>
  </si>
  <si>
    <t>CARC750311MDFHDS14</t>
  </si>
  <si>
    <t>SANC961110HDFLNL31</t>
  </si>
  <si>
    <t>UAHR770312HDFGRY35</t>
  </si>
  <si>
    <t>FACL850304HDFRSS00</t>
  </si>
  <si>
    <t>FOMS880615MDFLNR49</t>
  </si>
  <si>
    <t>CARC600302HDFSZR44</t>
  </si>
  <si>
    <t>SAMM920722MDFNRR51</t>
  </si>
  <si>
    <t>MARE790219HDFRYN94</t>
  </si>
  <si>
    <t>AUHI751125MDFGRV56</t>
  </si>
  <si>
    <t>MAZC760225HDFSLR43</t>
  </si>
  <si>
    <t>EAAM860607HDFSGC01</t>
  </si>
  <si>
    <t>COSD771115HDFRLM40</t>
  </si>
  <si>
    <t>AARJ780806MDFRMS45</t>
  </si>
  <si>
    <t>OOMI831112MDFLLV15</t>
  </si>
  <si>
    <t>GORA750614MDFNMR96</t>
  </si>
  <si>
    <t>SACO830516MDFNSS30</t>
  </si>
  <si>
    <t>GAEF930612HDFRSR52</t>
  </si>
  <si>
    <t>MELA871005HDFNPN62</t>
  </si>
  <si>
    <t>MAMF660424HDFRRD51</t>
  </si>
  <si>
    <t>TALA870629HDFPNL49</t>
  </si>
  <si>
    <t>SAOG780725HDFNLB22</t>
  </si>
  <si>
    <t>BAFR821204MDFRRD29</t>
  </si>
  <si>
    <t>LIFN790117HDFRLX34</t>
  </si>
  <si>
    <t>MEEM740723HDFNSN71</t>
  </si>
  <si>
    <t>AUBO761222HDFGRM99</t>
  </si>
  <si>
    <t>GADM950903HDFSNR30</t>
  </si>
  <si>
    <t>GURY791021MDFRNT27</t>
  </si>
  <si>
    <t>SASJ770312MDFNRR10</t>
  </si>
  <si>
    <t>SEJA850823MDFGMD01</t>
  </si>
  <si>
    <t>MIRM690924HDFRJR21</t>
  </si>
  <si>
    <t>SASJ681010HDFNNM69</t>
  </si>
  <si>
    <t>RORA810818MDFJMN13</t>
  </si>
  <si>
    <t>LUMA910327MDFNJR57</t>
  </si>
  <si>
    <t>CAHA780201HDFRRL95</t>
  </si>
  <si>
    <t>RATF891110MDFNNR17</t>
  </si>
  <si>
    <t>RIGH900516HDFVRC50</t>
  </si>
  <si>
    <t>PERF801012HDFDBR12</t>
  </si>
  <si>
    <t>MAVZ881021HDFRLY05</t>
  </si>
  <si>
    <t>MEVA911026MDFNLL96</t>
  </si>
  <si>
    <t>DELF720922MDFLPR99</t>
  </si>
  <si>
    <t>CAPS870925MDFLDN85</t>
  </si>
  <si>
    <t>MASE800304MDFGND15</t>
  </si>
  <si>
    <t>AUCL850913HDFGSZ81</t>
  </si>
  <si>
    <t>SAMM840417MDFNRR67</t>
  </si>
  <si>
    <t>MICB940406MDFRVR31</t>
  </si>
  <si>
    <t>CAPD791027HDFSDV23</t>
  </si>
  <si>
    <t>MORE901228HDFRDD81</t>
  </si>
  <si>
    <t>CASS850213HDFMNR96</t>
  </si>
  <si>
    <t>ROAJ681225HDFLNS46</t>
  </si>
  <si>
    <t>HUMJ791227MDFXRN17</t>
  </si>
  <si>
    <t>GAAS690531HDFRVL76</t>
  </si>
  <si>
    <t>AAGE010614MDFPNRZ0</t>
  </si>
  <si>
    <t>SOCB980226HDFSMR15</t>
  </si>
  <si>
    <t>BEMM990309HDFRNN88</t>
  </si>
  <si>
    <t>OOVC020118HDFLZRS9</t>
  </si>
  <si>
    <t>AAON730313HDFPCC04</t>
  </si>
  <si>
    <t>JIFN881229MDFMNN72</t>
  </si>
  <si>
    <t>GOMA760404MDFMRL76</t>
  </si>
  <si>
    <t>VIVS760313HDFLLL25</t>
  </si>
  <si>
    <t>TICR870821HDFNNC13</t>
  </si>
  <si>
    <t>MEMM830721HDFNNR11</t>
  </si>
  <si>
    <t>RUMF631203HDFZJR50</t>
  </si>
  <si>
    <t>PECG651202HDFLNL14</t>
  </si>
  <si>
    <t>QULI951214MDFNPV88</t>
  </si>
  <si>
    <t>ROCG830204HDFDLL23</t>
  </si>
  <si>
    <t>EIHA710818HDFNRN45</t>
  </si>
  <si>
    <t>BAPE880313MDFTRD24</t>
  </si>
  <si>
    <t>HIHM660105MDFDRN69</t>
  </si>
  <si>
    <t>CORM850307HDFRMG18</t>
  </si>
  <si>
    <t>HETH780615MDFRRC13</t>
  </si>
  <si>
    <t>AUMB730213HDFCJN65</t>
  </si>
  <si>
    <t>AIRI730824MDFVNG67</t>
  </si>
  <si>
    <t>SAVA700126MDFNRR83</t>
  </si>
  <si>
    <t>DIRR740418HDFNZC11</t>
  </si>
  <si>
    <t>COJC730116MDFNRS90</t>
  </si>
  <si>
    <t>HERF680127MDFRDR91</t>
  </si>
  <si>
    <t>GOCS860623HDFNRL63</t>
  </si>
  <si>
    <t>VIRE800116MDFLML98</t>
  </si>
  <si>
    <t>RAHF890107MDFMRR82</t>
  </si>
  <si>
    <t>FARC910709HDFRMR71</t>
  </si>
  <si>
    <t>LOLS650919MDFPPL62</t>
  </si>
  <si>
    <t>COGC710926HDFLRR65</t>
  </si>
  <si>
    <t>GARP690425MDFYMD10</t>
  </si>
  <si>
    <t>CASR811005HDFMNB04</t>
  </si>
  <si>
    <t>SOCORRO</t>
  </si>
  <si>
    <t>QUGS911101HDFZMC39</t>
  </si>
  <si>
    <t>CUHJ710328HDFRRN35</t>
  </si>
  <si>
    <t>SAN</t>
  </si>
  <si>
    <t>TUSA830424MDFRNL49</t>
  </si>
  <si>
    <t>CILM710910HDFSNG75</t>
  </si>
  <si>
    <t>ROHP720915MDFDDR87</t>
  </si>
  <si>
    <t>VIBJ740130MDFCLV21</t>
  </si>
  <si>
    <t>AEPA690102MDFRLG01</t>
  </si>
  <si>
    <t>GAMR900425HDFRRL69</t>
  </si>
  <si>
    <t>OUMR831227MDFRRL34</t>
  </si>
  <si>
    <t>ZAAV731223MDFVGR29</t>
  </si>
  <si>
    <t>SACL691006MDFNRN37</t>
  </si>
  <si>
    <t>CAMS801021MDFBRN82</t>
  </si>
  <si>
    <t>ZARR790930MDFMVB86</t>
  </si>
  <si>
    <t>MOME840404HDFSRD14</t>
  </si>
  <si>
    <t>VAFF890328HDFLRR55</t>
  </si>
  <si>
    <t>LOJL720917HDFPRS10</t>
  </si>
  <si>
    <t>ZARP740107MDFMVD27</t>
  </si>
  <si>
    <t>CAAF740105HDFMPL38</t>
  </si>
  <si>
    <t>HEMS830612HDFRRR44</t>
  </si>
  <si>
    <t>OIHS610516MDFRRL47</t>
  </si>
  <si>
    <t>MALR660602MDFRNS92</t>
  </si>
  <si>
    <t>AORF730808MDFLSR60</t>
  </si>
  <si>
    <t>HEME650908HDFRNN05</t>
  </si>
  <si>
    <t>OILC650717HDFRYR19</t>
  </si>
  <si>
    <t>TOVJ701031HDFRLR48</t>
  </si>
  <si>
    <t>HEOI740608MDFRRG01</t>
  </si>
  <si>
    <t>CXCA710611HDFLBM92</t>
  </si>
  <si>
    <t>HEML660804HDFRRT87</t>
  </si>
  <si>
    <t>REHB770520MDFYRR94</t>
  </si>
  <si>
    <t>CAGD670413MDFRTL63</t>
  </si>
  <si>
    <t>PARA841225MDFDDL56</t>
  </si>
  <si>
    <t>OOVA961022HDFLZN21</t>
  </si>
  <si>
    <t>FUENTE</t>
  </si>
  <si>
    <t>FUBI730628MDFNRS99</t>
  </si>
  <si>
    <t>BUEE690307HDFRSG56</t>
  </si>
  <si>
    <t>GATM600902MDFRMN92</t>
  </si>
  <si>
    <t>OOHZ950628HDFSRD99</t>
  </si>
  <si>
    <t>GAGM620130MDFRTR56</t>
  </si>
  <si>
    <t>LOTL961028MDFPLS75</t>
  </si>
  <si>
    <t>HAGD820313MDFRRN80</t>
  </si>
  <si>
    <t>MARE610915HDFRJR36</t>
  </si>
  <si>
    <t>CACG600102MDFRLL77</t>
  </si>
  <si>
    <t>MAPE760618HDFRRF08</t>
  </si>
  <si>
    <t>AEFM931109HDFRLN38</t>
  </si>
  <si>
    <t>OCA</t>
  </si>
  <si>
    <t>MOOJ851006MDFNCN25</t>
  </si>
  <si>
    <t>TELK970825MDFRPR26</t>
  </si>
  <si>
    <t>EAPI770830HDFSRV53</t>
  </si>
  <si>
    <t>GURM940728HDFRMR58</t>
  </si>
  <si>
    <t>ROGY971012MDFJNR43</t>
  </si>
  <si>
    <t>GOTD960628HDFNRL45</t>
  </si>
  <si>
    <t>SACR840512HDFNNX27</t>
  </si>
  <si>
    <t>EIAT830207MDFSNN36</t>
  </si>
  <si>
    <t>PEGE730112HDFRNL37</t>
  </si>
  <si>
    <t>FOBJ860526HDFLRN52</t>
  </si>
  <si>
    <t>AUBE750828HDFGRR37</t>
  </si>
  <si>
    <t>CATD910122MDFNJN71</t>
  </si>
  <si>
    <t>CARI780216MDFSTV07</t>
  </si>
  <si>
    <t>BAGA680219HDFLDR93</t>
  </si>
  <si>
    <t>OASJ920712HDFCLS29</t>
  </si>
  <si>
    <t>ROLM741027MDFDNG34</t>
  </si>
  <si>
    <t>CADJ900113MDFHZS95</t>
  </si>
  <si>
    <t>CATS980721MDFSRT71</t>
  </si>
  <si>
    <t>GAPM790303HDFRRR57</t>
  </si>
  <si>
    <t>MACG710731HDFRRL92</t>
  </si>
  <si>
    <t>CARA801110HDFMYL05</t>
  </si>
  <si>
    <t>AILM920703MDFLPR45</t>
  </si>
  <si>
    <t>ZELR890123MDFPPC06</t>
  </si>
  <si>
    <t>EILO750329MDFSPD45</t>
  </si>
  <si>
    <t>CABA771025MDFRTG48</t>
  </si>
  <si>
    <t>VAAC760623MDFLRR68</t>
  </si>
  <si>
    <t>GUVM881122MDFZLR47</t>
  </si>
  <si>
    <t>AOGC960605MDFNZS45</t>
  </si>
  <si>
    <t>SESE840827HDFRND68</t>
  </si>
  <si>
    <t>CARD750909MDFSVR74</t>
  </si>
  <si>
    <t>QURE830423MDFRJR73</t>
  </si>
  <si>
    <t>MOCF700623MDFRMR82</t>
  </si>
  <si>
    <t>CIMG960429HDFSRB07</t>
  </si>
  <si>
    <t>GAEJ810819MDFRSR93</t>
  </si>
  <si>
    <t>LOSF670501MDFPTL05</t>
  </si>
  <si>
    <t>SERA710119HDFRMR54</t>
  </si>
  <si>
    <t>MATK011010HDFRRVL2</t>
  </si>
  <si>
    <t>MEGE730305MDFNLL49</t>
  </si>
  <si>
    <t>MARJ820918HDFRNR84</t>
  </si>
  <si>
    <t>BAMU710520MDFLRL18</t>
  </si>
  <si>
    <t>ZAHR970329HDFMRY62</t>
  </si>
  <si>
    <t>CARL910903MDFRBN80</t>
  </si>
  <si>
    <t>EAGA850830MDFSNN33</t>
  </si>
  <si>
    <t>LOGS810302MDFPYR37</t>
  </si>
  <si>
    <t>OUOL860111HDFLRZ91</t>
  </si>
  <si>
    <t>LEPL680221MDFNRS67</t>
  </si>
  <si>
    <t>AABJ840620HDFLLN66</t>
  </si>
  <si>
    <t>AAGA790218HDFLVD01</t>
  </si>
  <si>
    <t>GOHI991024MDFNRS58</t>
  </si>
  <si>
    <t>SAPL971121MDFNRS31</t>
  </si>
  <si>
    <t>FOAR981015MDFLLF35</t>
  </si>
  <si>
    <t>RUFM730924MDFZLR53</t>
  </si>
  <si>
    <t>AAMM710222HDFVRR01</t>
  </si>
  <si>
    <t>OERM690302HDFRMN75</t>
  </si>
  <si>
    <t>LOMM841118HDFPRG63</t>
  </si>
  <si>
    <t>MOCN660503HDFRRL98</t>
  </si>
  <si>
    <t>GUAN760307MDFRRR53</t>
  </si>
  <si>
    <t>CATR790901EC5</t>
  </si>
  <si>
    <t>MEME761206DZ1</t>
  </si>
  <si>
    <t>GASA971209QD5</t>
  </si>
  <si>
    <t>GURY791021K52</t>
  </si>
  <si>
    <t>SEJA850823EH4</t>
  </si>
  <si>
    <t>CAPS8709259G7</t>
  </si>
  <si>
    <t>MASE800304R17</t>
  </si>
  <si>
    <t>AUCL850913DN1</t>
  </si>
  <si>
    <t>CAPD791027BL5</t>
  </si>
  <si>
    <t>BEMM990309BB8</t>
  </si>
  <si>
    <t>GOSV711229739</t>
  </si>
  <si>
    <t>HAGD820313DZ8</t>
  </si>
  <si>
    <t>MARE610915JJ2</t>
  </si>
  <si>
    <t>MOOJ8510068G0</t>
  </si>
  <si>
    <t>CARA801110MF3</t>
  </si>
  <si>
    <t>EILO750329AI9</t>
  </si>
  <si>
    <t>BAMU710520AX5</t>
  </si>
  <si>
    <t>ZAHR9703292D5</t>
  </si>
  <si>
    <t>SAPL971121T45</t>
  </si>
  <si>
    <t>GUAN760307GA6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</si>
</sst>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(&quot;$&quot;* #,##0_);_(&quot;$&quot;* \(#,##0\);_(&quot;$&quot;* &quot;-&quot;_);_(@_)"/>
    <numFmt numFmtId="43" formatCode="_(* #,##0.00_);_(* \(#,##0.00\);_(* &quot;-&quot;??_);_(@_)"/>
    <numFmt numFmtId="164" formatCode="&quot;$&quot;#,##0"/>
    <numFmt numFmtId="165" formatCode="_(* #,##0_);_(* \(#,##0\);_(* &quot;-&quot;??_);_(@_)"/>
  </numFmts>
  <fonts count="29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1"/>
      <color rgb="FF702082"/>
      <name val="Arial"/>
      <family val="2"/>
    </font>
    <font>
      <b/>
      <sz val="16"/>
      <color theme="1"/>
      <name val="Arial"/>
      <family val="2"/>
    </font>
    <font>
      <sz val="14"/>
      <color theme="1"/>
      <name val="Arial"/>
      <family val="2"/>
    </font>
    <font>
      <sz val="16"/>
      <color theme="1"/>
      <name val="Arial"/>
      <family val="2"/>
    </font>
    <font>
      <b/>
      <sz val="11"/>
      <color theme="0"/>
      <name val="Arial"/>
      <family val="2"/>
    </font>
    <font>
      <sz val="10"/>
      <color theme="1"/>
      <name val="Calibri"/>
      <family val="2"/>
      <scheme val="minor"/>
    </font>
    <font>
      <b/>
      <sz val="14"/>
      <color theme="0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b/>
      <sz val="14"/>
      <color rgb="FF702082"/>
      <name val="Arial"/>
      <family val="2"/>
    </font>
    <font>
      <b/>
      <sz val="14"/>
      <color theme="1"/>
      <name val="Arial"/>
      <family val="2"/>
    </font>
    <font>
      <b/>
      <sz val="16"/>
      <color theme="0"/>
      <name val="Arial"/>
      <family val="2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sz val="10"/>
      <name val="MS Sans Serif"/>
      <family val="2"/>
    </font>
    <font>
      <b/>
      <sz val="18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sz val="10"/>
      <color theme="1"/>
      <name val="Calibri"/>
      <family val="2"/>
    </font>
    <font>
      <b/>
      <u/>
      <sz val="10"/>
      <name val="Calibri"/>
      <family val="2"/>
    </font>
    <font>
      <b/>
      <sz val="10"/>
      <color theme="0"/>
      <name val="Calibri"/>
      <family val="2"/>
    </font>
    <font>
      <b/>
      <sz val="12"/>
      <name val="Calibri"/>
      <family val="2"/>
    </font>
    <font>
      <sz val="10"/>
      <color rgb="FF702082"/>
      <name val="Calibri"/>
      <family val="2"/>
    </font>
    <font>
      <sz val="10"/>
      <color theme="0"/>
      <name val="Calibri"/>
      <family val="2"/>
    </font>
    <font>
      <sz val="10"/>
      <color rgb="FFFF000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00A0D2"/>
        <bgColor indexed="64"/>
      </patternFill>
    </fill>
    <fill>
      <patternFill patternType="solid">
        <fgColor rgb="FF70208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FF81B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8" fillId="0" borderId="0"/>
    <xf numFmtId="9" fontId="18" fillId="0" borderId="0" applyFont="0" applyFill="0" applyBorder="0" applyAlignment="0" applyProtection="0"/>
    <xf numFmtId="42" fontId="18" fillId="0" borderId="0" applyFont="0" applyFill="0" applyBorder="0" applyAlignment="0" applyProtection="0"/>
  </cellStyleXfs>
  <cellXfs count="87">
    <xf numFmtId="0" fontId="0" fillId="0" borderId="0" xfId="0"/>
    <xf numFmtId="0" fontId="1" fillId="0" borderId="0" xfId="0" applyFont="1"/>
    <xf numFmtId="0" fontId="4" fillId="0" borderId="0" xfId="0" applyFont="1"/>
    <xf numFmtId="0" fontId="6" fillId="2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4" fillId="4" borderId="0" xfId="0" applyFont="1" applyFill="1"/>
    <xf numFmtId="0" fontId="6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9" fillId="6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5" fillId="4" borderId="0" xfId="0" applyFont="1" applyFill="1" applyAlignment="1">
      <alignment vertical="center"/>
    </xf>
    <xf numFmtId="0" fontId="6" fillId="7" borderId="0" xfId="0" applyFont="1" applyFill="1" applyAlignment="1">
      <alignment horizontal="center" vertical="center"/>
    </xf>
    <xf numFmtId="0" fontId="11" fillId="4" borderId="0" xfId="0" applyFont="1" applyFill="1" applyAlignment="1">
      <alignment vertical="center"/>
    </xf>
    <xf numFmtId="0" fontId="9" fillId="6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8" borderId="0" xfId="0" applyFill="1"/>
    <xf numFmtId="49" fontId="10" fillId="8" borderId="0" xfId="0" applyNumberFormat="1" applyFont="1" applyFill="1" applyAlignment="1">
      <alignment horizontal="center" vertical="center"/>
    </xf>
    <xf numFmtId="49" fontId="10" fillId="8" borderId="0" xfId="0" applyNumberFormat="1" applyFont="1" applyFill="1" applyAlignment="1">
      <alignment vertical="center"/>
    </xf>
    <xf numFmtId="0" fontId="0" fillId="6" borderId="0" xfId="0" applyFill="1"/>
    <xf numFmtId="0" fontId="6" fillId="9" borderId="0" xfId="0" applyFont="1" applyFill="1" applyAlignment="1">
      <alignment horizontal="center" vertical="center"/>
    </xf>
    <xf numFmtId="0" fontId="6" fillId="10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0" fillId="9" borderId="0" xfId="0" applyFill="1"/>
    <xf numFmtId="0" fontId="9" fillId="11" borderId="0" xfId="0" applyFont="1" applyFill="1" applyAlignment="1">
      <alignment horizontal="center" vertical="center"/>
    </xf>
    <xf numFmtId="0" fontId="6" fillId="11" borderId="0" xfId="0" applyFont="1" applyFill="1" applyAlignment="1">
      <alignment horizontal="center" vertical="center"/>
    </xf>
    <xf numFmtId="0" fontId="9" fillId="11" borderId="0" xfId="0" applyFont="1" applyFill="1"/>
    <xf numFmtId="1" fontId="14" fillId="13" borderId="0" xfId="0" applyNumberFormat="1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14" fillId="14" borderId="0" xfId="0" applyFont="1" applyFill="1" applyAlignment="1">
      <alignment horizontal="center" vertical="center"/>
    </xf>
    <xf numFmtId="0" fontId="2" fillId="12" borderId="3" xfId="0" applyFont="1" applyFill="1" applyBorder="1" applyAlignment="1">
      <alignment horizontal="center" vertical="center"/>
    </xf>
    <xf numFmtId="0" fontId="12" fillId="12" borderId="0" xfId="0" applyFont="1" applyFill="1" applyAlignment="1">
      <alignment horizontal="center" vertical="center"/>
    </xf>
    <xf numFmtId="0" fontId="12" fillId="12" borderId="0" xfId="0" applyFont="1" applyFill="1" applyAlignment="1">
      <alignment vertical="center"/>
    </xf>
    <xf numFmtId="0" fontId="19" fillId="0" borderId="0" xfId="4" applyFont="1"/>
    <xf numFmtId="0" fontId="20" fillId="0" borderId="0" xfId="4" applyFont="1"/>
    <xf numFmtId="0" fontId="21" fillId="0" borderId="0" xfId="4" applyFont="1"/>
    <xf numFmtId="0" fontId="22" fillId="0" borderId="0" xfId="0" applyFont="1" applyAlignment="1">
      <alignment horizontal="center"/>
    </xf>
    <xf numFmtId="0" fontId="22" fillId="0" borderId="0" xfId="0" applyFont="1"/>
    <xf numFmtId="2" fontId="21" fillId="0" borderId="0" xfId="4" applyNumberFormat="1" applyFont="1"/>
    <xf numFmtId="10" fontId="21" fillId="0" borderId="0" xfId="5" applyNumberFormat="1" applyFont="1"/>
    <xf numFmtId="37" fontId="22" fillId="0" borderId="0" xfId="6" applyNumberFormat="1" applyFont="1" applyFill="1" applyBorder="1"/>
    <xf numFmtId="0" fontId="20" fillId="0" borderId="6" xfId="4" applyFont="1" applyBorder="1"/>
    <xf numFmtId="37" fontId="22" fillId="0" borderId="6" xfId="6" applyNumberFormat="1" applyFont="1" applyFill="1" applyBorder="1"/>
    <xf numFmtId="0" fontId="23" fillId="0" borderId="0" xfId="4" applyFont="1"/>
    <xf numFmtId="4" fontId="22" fillId="0" borderId="0" xfId="0" applyNumberFormat="1" applyFont="1"/>
    <xf numFmtId="2" fontId="22" fillId="0" borderId="0" xfId="0" applyNumberFormat="1" applyFont="1"/>
    <xf numFmtId="165" fontId="22" fillId="0" borderId="0" xfId="2" applyNumberFormat="1" applyFont="1"/>
    <xf numFmtId="0" fontId="12" fillId="0" borderId="0" xfId="0" applyFont="1"/>
    <xf numFmtId="0" fontId="24" fillId="3" borderId="0" xfId="0" applyFont="1" applyFill="1" applyAlignment="1">
      <alignment horizontal="center" vertical="center"/>
    </xf>
    <xf numFmtId="0" fontId="24" fillId="2" borderId="0" xfId="0" applyFont="1" applyFill="1" applyAlignment="1">
      <alignment horizontal="center" vertical="center"/>
    </xf>
    <xf numFmtId="0" fontId="24" fillId="2" borderId="0" xfId="0" applyFont="1" applyFill="1" applyAlignment="1">
      <alignment horizontal="center" vertical="center" wrapText="1"/>
    </xf>
    <xf numFmtId="0" fontId="1" fillId="8" borderId="0" xfId="0" applyFont="1" applyFill="1"/>
    <xf numFmtId="0" fontId="24" fillId="6" borderId="0" xfId="0" applyFont="1" applyFill="1" applyAlignment="1">
      <alignment horizontal="center" vertical="center"/>
    </xf>
    <xf numFmtId="165" fontId="22" fillId="0" borderId="0" xfId="0" applyNumberFormat="1" applyFont="1"/>
    <xf numFmtId="0" fontId="21" fillId="15" borderId="5" xfId="4" applyFont="1" applyFill="1" applyBorder="1" applyAlignment="1">
      <alignment horizontal="center"/>
    </xf>
    <xf numFmtId="0" fontId="26" fillId="0" borderId="0" xfId="4" applyFont="1"/>
    <xf numFmtId="9" fontId="21" fillId="0" borderId="0" xfId="3" applyFont="1"/>
    <xf numFmtId="0" fontId="26" fillId="0" borderId="0" xfId="4" applyFont="1" applyAlignment="1">
      <alignment horizontal="left"/>
    </xf>
    <xf numFmtId="42" fontId="24" fillId="2" borderId="0" xfId="6" applyFont="1" applyFill="1" applyBorder="1" applyAlignment="1">
      <alignment horizontal="center"/>
    </xf>
    <xf numFmtId="0" fontId="24" fillId="2" borderId="0" xfId="4" applyFont="1" applyFill="1" applyAlignment="1">
      <alignment horizontal="center"/>
    </xf>
    <xf numFmtId="164" fontId="21" fillId="0" borderId="0" xfId="4" applyNumberFormat="1" applyFont="1"/>
    <xf numFmtId="0" fontId="21" fillId="15" borderId="0" xfId="4" applyFont="1" applyFill="1"/>
    <xf numFmtId="14" fontId="21" fillId="15" borderId="4" xfId="4" applyNumberFormat="1" applyFont="1" applyFill="1" applyBorder="1" applyAlignment="1">
      <alignment horizontal="center"/>
    </xf>
    <xf numFmtId="0" fontId="1" fillId="4" borderId="0" xfId="0" applyFont="1" applyFill="1" applyAlignment="1">
      <alignment horizontal="center" vertical="center"/>
    </xf>
    <xf numFmtId="43" fontId="21" fillId="0" borderId="0" xfId="2" applyFont="1" applyFill="1"/>
    <xf numFmtId="0" fontId="28" fillId="0" borderId="0" xfId="0" applyFont="1"/>
    <xf numFmtId="0" fontId="0" fillId="4" borderId="0" xfId="0" applyFill="1" applyAlignment="1">
      <alignment horizontal="left" vertical="center"/>
    </xf>
    <xf numFmtId="49" fontId="0" fillId="0" borderId="0" xfId="0" applyNumberFormat="1"/>
    <xf numFmtId="0" fontId="2" fillId="12" borderId="1" xfId="0" applyFont="1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1" fontId="14" fillId="13" borderId="0" xfId="0" applyNumberFormat="1" applyFont="1" applyFill="1" applyAlignment="1">
      <alignment horizontal="center" vertical="center"/>
    </xf>
    <xf numFmtId="0" fontId="8" fillId="11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3" fillId="9" borderId="0" xfId="0" applyFont="1" applyFill="1" applyAlignment="1">
      <alignment horizontal="center" vertical="center"/>
    </xf>
    <xf numFmtId="14" fontId="0" fillId="8" borderId="1" xfId="0" applyNumberFormat="1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1" fillId="0" borderId="0" xfId="0" applyFont="1" applyAlignment="1">
      <alignment horizontal="center"/>
    </xf>
    <xf numFmtId="42" fontId="24" fillId="2" borderId="0" xfId="6" applyFont="1" applyFill="1" applyBorder="1" applyAlignment="1">
      <alignment horizontal="center" wrapText="1"/>
    </xf>
    <xf numFmtId="0" fontId="27" fillId="2" borderId="0" xfId="4" applyFont="1" applyFill="1" applyAlignment="1">
      <alignment horizontal="center" wrapText="1"/>
    </xf>
    <xf numFmtId="1" fontId="25" fillId="15" borderId="1" xfId="4" applyNumberFormat="1" applyFont="1" applyFill="1" applyBorder="1" applyAlignment="1">
      <alignment horizontal="center"/>
    </xf>
    <xf numFmtId="1" fontId="25" fillId="15" borderId="3" xfId="4" applyNumberFormat="1" applyFont="1" applyFill="1" applyBorder="1" applyAlignment="1">
      <alignment horizontal="center"/>
    </xf>
  </cellXfs>
  <cellStyles count="7">
    <cellStyle name="Comma" xfId="2" builtinId="3"/>
    <cellStyle name="Currency [0] 2" xfId="6" xr:uid="{00000000-0005-0000-0000-000000000000}"/>
    <cellStyle name="Normal" xfId="0" builtinId="0"/>
    <cellStyle name="Normal 2" xfId="1" xr:uid="{00000000-0005-0000-0000-000003000000}"/>
    <cellStyle name="Normal 3" xfId="4" xr:uid="{00000000-0005-0000-0000-000004000000}"/>
    <cellStyle name="Percent" xfId="3" builtinId="5"/>
    <cellStyle name="Percent 2" xfId="5" xr:uid="{00000000-0005-0000-0000-000005000000}"/>
  </cellStyles>
  <dxfs count="0"/>
  <tableStyles count="0" defaultTableStyle="TableStyleMedium2" defaultPivotStyle="PivotStyleLight16"/>
  <colors>
    <mruColors>
      <color rgb="FFFF0066"/>
      <color rgb="FF702082"/>
      <color rgb="FF00A0D2"/>
      <color rgb="FF00CC66"/>
      <color rgb="FFFF81B4"/>
      <color rgb="FF33CCCC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518272</xdr:colOff>
      <xdr:row>8</xdr:row>
      <xdr:rowOff>14008</xdr:rowOff>
    </xdr:from>
    <xdr:to>
      <xdr:col>6</xdr:col>
      <xdr:colOff>574302</xdr:colOff>
      <xdr:row>11</xdr:row>
      <xdr:rowOff>238125</xdr:rowOff>
    </xdr:to>
    <xdr:sp macro="[0]!LimpiaHoj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7022" y="2493309"/>
          <a:ext cx="2059081" cy="1148603"/>
        </a:xfrm>
        <a:prstGeom prst="rect">
          <a:avLst/>
        </a:prstGeom>
        <a:solidFill>
          <a:srgbClr val="702082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Limpia</a:t>
          </a:r>
        </a:p>
      </xdr:txBody>
    </xdr:sp>
    <xdr:clientData/>
  </xdr:twoCellAnchor>
  <xdr:twoCellAnchor>
    <xdr:from>
      <xdr:col>6</xdr:col>
      <xdr:colOff>1092574</xdr:colOff>
      <xdr:row>8</xdr:row>
      <xdr:rowOff>56030</xdr:rowOff>
    </xdr:from>
    <xdr:to>
      <xdr:col>7</xdr:col>
      <xdr:colOff>462243</xdr:colOff>
      <xdr:row>11</xdr:row>
      <xdr:rowOff>280147</xdr:rowOff>
    </xdr:to>
    <xdr:sp macro="[0]!Rutina_Completa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334375" y="2535331"/>
          <a:ext cx="2059081" cy="1148603"/>
        </a:xfrm>
        <a:prstGeom prst="rect">
          <a:avLst/>
        </a:prstGeom>
        <a:solidFill>
          <a:srgbClr val="FF006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Genera Datos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C80000"/>
  <sheetViews>
    <sheetView tabSelected="1" topLeftCell="AB3" zoomScale="70" zoomScaleNormal="70" workbookViewId="0">
      <selection activeCell="BF12" sqref="BF12"/>
    </sheetView>
  </sheetViews>
  <sheetFormatPr defaultColWidth="9.1796875" defaultRowHeight="12.5" x14ac:dyDescent="0.25"/>
  <cols>
    <col min="1" max="1" width="3.81640625" customWidth="1"/>
    <col min="2" max="5" width="18.7265625" customWidth="1"/>
    <col min="6" max="6" width="30" customWidth="1"/>
    <col min="7" max="7" width="40.453125" customWidth="1"/>
    <col min="8" max="9" width="18.7265625" customWidth="1"/>
    <col min="10" max="10" width="26.81640625" bestFit="1" customWidth="1"/>
    <col min="11" max="12" width="30.7265625" customWidth="1"/>
    <col min="13" max="13" width="65.7265625" bestFit="1" customWidth="1"/>
    <col min="14" max="16" width="35.7265625" customWidth="1"/>
    <col min="17" max="24" width="35.7265625" hidden="1" customWidth="1"/>
    <col min="25" max="25" width="2.7265625" customWidth="1"/>
    <col min="26" max="28" width="35.7265625" customWidth="1"/>
    <col min="29" max="46" width="1.7265625" customWidth="1"/>
    <col min="47" max="64" width="4.7265625" style="18" customWidth="1"/>
    <col min="65" max="65" width="2.7265625" style="19" customWidth="1"/>
    <col min="66" max="66" width="24.7265625" customWidth="1"/>
    <col min="67" max="67" width="2.7265625" style="4" customWidth="1"/>
    <col min="68" max="70" width="35.7265625" customWidth="1"/>
    <col min="71" max="88" width="1.7265625" customWidth="1"/>
    <col min="89" max="101" width="4.7265625" style="18" customWidth="1"/>
    <col min="102" max="102" width="2.7265625" style="19" customWidth="1"/>
    <col min="103" max="103" width="20.7265625" customWidth="1"/>
    <col min="104" max="104" width="2.7265625" style="4" customWidth="1"/>
    <col min="105" max="105" width="4.7265625" customWidth="1"/>
    <col min="106" max="106" width="5.54296875" bestFit="1" customWidth="1"/>
    <col min="107" max="115" width="4.7265625" customWidth="1"/>
    <col min="116" max="116" width="2.7265625" style="19" customWidth="1"/>
    <col min="117" max="117" width="20.7265625" customWidth="1"/>
    <col min="118" max="118" width="2.7265625" style="12" customWidth="1"/>
    <col min="119" max="119" width="13" bestFit="1" customWidth="1"/>
    <col min="120" max="120" width="17.1796875" bestFit="1" customWidth="1"/>
    <col min="121" max="121" width="23.54296875" bestFit="1" customWidth="1"/>
    <col min="122" max="122" width="20.1796875" bestFit="1" customWidth="1"/>
    <col min="123" max="123" width="35.7265625" bestFit="1" customWidth="1"/>
    <col min="124" max="124" width="26.453125" bestFit="1" customWidth="1"/>
    <col min="125" max="125" width="24.54296875" bestFit="1" customWidth="1"/>
    <col min="126" max="126" width="9.1796875" style="4" customWidth="1"/>
    <col min="127" max="129" width="14.26953125" bestFit="1" customWidth="1"/>
    <col min="130" max="130" width="25.54296875" bestFit="1" customWidth="1"/>
    <col min="131" max="131" width="17.1796875" bestFit="1" customWidth="1"/>
    <col min="132" max="132" width="28.1796875" bestFit="1" customWidth="1"/>
    <col min="133" max="133" width="28.54296875" bestFit="1" customWidth="1"/>
  </cols>
  <sheetData>
    <row r="1" spans="1:126" ht="63.75" customHeight="1" x14ac:dyDescent="0.2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O1" s="4"/>
      <c r="DP1" s="4"/>
      <c r="DQ1" s="4"/>
      <c r="DR1" s="4"/>
      <c r="DS1" s="4"/>
      <c r="DT1" s="4"/>
      <c r="DU1" s="4"/>
    </row>
    <row r="2" spans="1:126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O2" s="4"/>
      <c r="DP2" s="4"/>
      <c r="DQ2" s="4"/>
      <c r="DR2" s="4"/>
      <c r="DS2" s="4"/>
      <c r="DT2" s="4"/>
      <c r="DU2" s="4"/>
    </row>
    <row r="3" spans="1:126" s="2" customFormat="1" ht="30" customHeight="1" x14ac:dyDescent="0.35">
      <c r="A3" s="6"/>
      <c r="B3" s="13" t="s">
        <v>0</v>
      </c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  <c r="DH3" s="6"/>
      <c r="DI3" s="6"/>
      <c r="DJ3" s="6"/>
      <c r="DK3" s="6"/>
      <c r="DL3" s="6"/>
      <c r="DM3" s="6"/>
      <c r="DN3" s="12"/>
      <c r="DO3" s="6"/>
      <c r="DP3" s="6"/>
      <c r="DQ3" s="6"/>
      <c r="DR3" s="6"/>
      <c r="DS3" s="6"/>
      <c r="DT3" s="6"/>
      <c r="DU3" s="6"/>
      <c r="DV3" s="6"/>
    </row>
    <row r="4" spans="1:126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O4" s="4"/>
      <c r="DP4" s="4"/>
      <c r="DQ4" s="4"/>
      <c r="DR4" s="4"/>
      <c r="DS4" s="4"/>
      <c r="DT4" s="4"/>
      <c r="DU4" s="4"/>
    </row>
    <row r="5" spans="1:126" ht="22" customHeight="1" x14ac:dyDescent="0.35">
      <c r="A5" s="4"/>
      <c r="B5" s="16" t="s">
        <v>1</v>
      </c>
      <c r="C5" s="35" t="s">
        <v>2</v>
      </c>
      <c r="D5" s="6"/>
      <c r="E5" s="6"/>
      <c r="F5" s="16" t="s">
        <v>3</v>
      </c>
      <c r="G5" s="34" t="s">
        <v>4</v>
      </c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O5" s="4"/>
      <c r="DP5" s="4"/>
      <c r="DQ5" s="4"/>
      <c r="DR5" s="4"/>
      <c r="DS5" s="4"/>
      <c r="DT5" s="4"/>
      <c r="DU5" s="4"/>
    </row>
    <row r="6" spans="1:126" ht="17.5" x14ac:dyDescent="0.35">
      <c r="A6" s="4"/>
      <c r="B6" s="6"/>
      <c r="C6" s="6"/>
      <c r="D6" s="6"/>
      <c r="E6" s="6"/>
      <c r="F6" s="6"/>
      <c r="G6" s="6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O6" s="4"/>
      <c r="DP6" s="4"/>
      <c r="DQ6" s="4"/>
      <c r="DR6" s="4"/>
      <c r="DS6" s="4"/>
      <c r="DT6" s="4"/>
      <c r="DU6" s="4"/>
    </row>
    <row r="7" spans="1:126" ht="22" customHeight="1" x14ac:dyDescent="0.35">
      <c r="A7" s="4"/>
      <c r="B7" s="16" t="s">
        <v>5</v>
      </c>
      <c r="C7" s="16"/>
      <c r="D7" s="34">
        <v>2019</v>
      </c>
      <c r="E7" s="6"/>
      <c r="F7" s="6"/>
      <c r="G7" s="6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O7" s="4"/>
      <c r="DP7" s="4"/>
      <c r="DQ7" s="4"/>
      <c r="DR7" s="4"/>
      <c r="DS7" s="4"/>
      <c r="DT7" s="4"/>
      <c r="DU7" s="4"/>
    </row>
    <row r="8" spans="1:126" x14ac:dyDescent="0.25">
      <c r="A8" s="4"/>
      <c r="B8" s="12"/>
      <c r="C8" s="12"/>
      <c r="D8" s="12"/>
      <c r="E8" s="12"/>
      <c r="F8" s="12"/>
      <c r="G8" s="12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O8" s="4"/>
      <c r="DP8" s="4"/>
      <c r="DQ8" s="4"/>
      <c r="DR8" s="4"/>
      <c r="DS8" s="4"/>
      <c r="DT8" s="4"/>
      <c r="DU8" s="4"/>
    </row>
    <row r="9" spans="1:126" s="11" customFormat="1" ht="25" customHeight="1" x14ac:dyDescent="0.25">
      <c r="A9" s="12"/>
      <c r="B9" s="12"/>
      <c r="C9" s="12"/>
      <c r="D9" s="12"/>
      <c r="E9" s="12"/>
      <c r="F9" s="12"/>
      <c r="G9" s="12"/>
      <c r="H9" s="4"/>
      <c r="I9" s="4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</row>
    <row r="10" spans="1:126" s="11" customFormat="1" ht="25" customHeight="1" x14ac:dyDescent="0.25">
      <c r="A10" s="12"/>
      <c r="B10" s="12"/>
      <c r="C10" s="12"/>
      <c r="D10" s="12"/>
      <c r="E10" s="12"/>
      <c r="F10" s="12"/>
      <c r="G10" s="12"/>
      <c r="H10" s="4"/>
      <c r="I10" s="4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s="12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  <c r="CB10" s="12"/>
      <c r="CC10" s="12"/>
      <c r="CD10" s="12"/>
      <c r="CE10" s="12"/>
      <c r="CF10" s="12"/>
      <c r="CG10" s="12"/>
      <c r="CH10" s="12"/>
      <c r="CI10" s="12"/>
      <c r="CJ10" s="12"/>
      <c r="CK10" s="12"/>
      <c r="CL10" s="12"/>
      <c r="CM10" s="12"/>
      <c r="CN10" s="12"/>
      <c r="CO10" s="12"/>
      <c r="CP10" s="12"/>
      <c r="CQ10" s="12"/>
      <c r="CR10" s="12"/>
      <c r="CS10" s="12"/>
      <c r="CT10" s="12"/>
      <c r="CU10" s="12"/>
      <c r="CV10" s="12"/>
      <c r="CW10" s="12"/>
      <c r="CX10" s="12"/>
      <c r="CY10" s="12"/>
      <c r="CZ10" s="12"/>
      <c r="DA10" s="12"/>
      <c r="DB10" s="12"/>
      <c r="DC10" s="12"/>
      <c r="DD10" s="12"/>
      <c r="DE10" s="12"/>
      <c r="DF10" s="12"/>
      <c r="DG10" s="12"/>
      <c r="DH10" s="12"/>
      <c r="DI10" s="12"/>
      <c r="DJ10" s="12"/>
      <c r="DK10" s="12"/>
      <c r="DL10" s="12"/>
      <c r="DM10" s="12"/>
      <c r="DN10" s="12"/>
      <c r="DO10" s="12"/>
      <c r="DP10" s="12"/>
      <c r="DQ10" s="12"/>
      <c r="DR10" s="12"/>
      <c r="DS10" s="12"/>
      <c r="DT10" s="12"/>
      <c r="DU10" s="12"/>
      <c r="DV10" s="12"/>
    </row>
    <row r="11" spans="1:126" s="11" customFormat="1" ht="25" customHeight="1" x14ac:dyDescent="0.25">
      <c r="A11" s="12"/>
      <c r="B11" s="12"/>
      <c r="C11" s="12"/>
      <c r="D11" s="12"/>
      <c r="E11" s="12"/>
      <c r="F11" s="12"/>
      <c r="G11" s="66"/>
      <c r="H11" s="4"/>
      <c r="I11" s="4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s="12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  <c r="CB11" s="12"/>
      <c r="CC11" s="12"/>
      <c r="CD11" s="12"/>
      <c r="CE11" s="12"/>
      <c r="CF11" s="12"/>
      <c r="CG11" s="12"/>
      <c r="CH11" s="12"/>
      <c r="CI11" s="12"/>
      <c r="CJ11" s="12"/>
      <c r="CK11" s="12"/>
      <c r="CL11" s="12"/>
      <c r="CM11" s="12"/>
      <c r="CN11" s="12"/>
      <c r="CO11" s="12"/>
      <c r="CP11" s="12"/>
      <c r="CQ11" s="12"/>
      <c r="CR11" s="12"/>
      <c r="CS11" s="12"/>
      <c r="CT11" s="12"/>
      <c r="CU11" s="12"/>
      <c r="CV11" s="12"/>
      <c r="CW11" s="12"/>
      <c r="CX11" s="12"/>
      <c r="CY11" s="12"/>
      <c r="CZ11" s="12"/>
      <c r="DA11" s="12"/>
      <c r="DB11" s="12"/>
      <c r="DC11" s="12"/>
      <c r="DD11" s="12"/>
      <c r="DE11" s="12"/>
      <c r="DF11" s="12"/>
      <c r="DG11" s="12"/>
      <c r="DH11" s="12"/>
      <c r="DI11" s="12"/>
      <c r="DJ11" s="12"/>
      <c r="DK11" s="12"/>
      <c r="DL11" s="12"/>
      <c r="DM11" s="12"/>
      <c r="DN11" s="12"/>
      <c r="DO11" s="12"/>
      <c r="DP11" s="12"/>
      <c r="DQ11" s="12"/>
      <c r="DR11" s="12"/>
      <c r="DS11" s="12"/>
      <c r="DT11" s="12"/>
      <c r="DU11" s="12"/>
      <c r="DV11" s="12"/>
    </row>
    <row r="12" spans="1:126" s="11" customFormat="1" ht="25" customHeight="1" x14ac:dyDescent="0.25">
      <c r="A12" s="12"/>
      <c r="B12" s="12"/>
      <c r="C12" s="12"/>
      <c r="D12" s="12"/>
      <c r="E12" s="12"/>
      <c r="F12" s="12"/>
      <c r="G12" s="12"/>
      <c r="H12" s="4"/>
      <c r="I12" s="4"/>
      <c r="J12" s="69"/>
      <c r="K12" s="69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12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12"/>
      <c r="CF12" s="12"/>
      <c r="CG12" s="12"/>
      <c r="CH12" s="12"/>
      <c r="CI12" s="12"/>
      <c r="CJ12" s="12"/>
      <c r="CK12" s="12"/>
      <c r="CL12" s="12"/>
      <c r="CM12" s="12"/>
      <c r="CN12" s="12"/>
      <c r="CO12" s="12"/>
      <c r="CP12" s="12"/>
      <c r="CQ12" s="12"/>
      <c r="CR12" s="12"/>
      <c r="CS12" s="12"/>
      <c r="CT12" s="12"/>
      <c r="CU12" s="12"/>
      <c r="CV12" s="12"/>
      <c r="CW12" s="12"/>
      <c r="CX12" s="12"/>
      <c r="CY12" s="12"/>
      <c r="CZ12" s="12"/>
      <c r="DA12" s="12"/>
      <c r="DB12" s="12"/>
      <c r="DC12" s="12"/>
      <c r="DD12" s="12"/>
      <c r="DE12" s="12"/>
      <c r="DF12" s="12"/>
      <c r="DG12" s="12"/>
      <c r="DH12" s="12"/>
      <c r="DI12" s="12"/>
      <c r="DJ12" s="12"/>
      <c r="DK12" s="12"/>
      <c r="DL12" s="12"/>
      <c r="DM12" s="12"/>
      <c r="DN12" s="12"/>
      <c r="DO12" s="12"/>
      <c r="DP12" s="12"/>
      <c r="DQ12" s="12"/>
      <c r="DR12" s="12"/>
      <c r="DS12" s="12"/>
      <c r="DT12" s="12"/>
      <c r="DU12" s="12"/>
      <c r="DV12" s="12"/>
    </row>
    <row r="13" spans="1:126" ht="13" thickBo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O13" s="4"/>
      <c r="DP13" s="4"/>
      <c r="DQ13" s="4"/>
      <c r="DR13" s="4"/>
      <c r="DS13" s="4"/>
      <c r="DT13" s="4"/>
      <c r="DU13" s="4"/>
    </row>
    <row r="14" spans="1:126" ht="30" customHeight="1" thickBot="1" x14ac:dyDescent="0.3">
      <c r="A14" s="4"/>
      <c r="B14" s="71" t="s">
        <v>6</v>
      </c>
      <c r="C14" s="72"/>
      <c r="D14" s="33" t="s">
        <v>7</v>
      </c>
      <c r="E14" s="4"/>
      <c r="F14" s="4"/>
      <c r="G14" s="4"/>
      <c r="H14" s="4"/>
      <c r="I14" s="4"/>
      <c r="J14" s="4"/>
      <c r="K14" s="4"/>
      <c r="L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O14" s="4"/>
      <c r="DP14" s="4"/>
      <c r="DQ14" s="4"/>
      <c r="DR14" s="4"/>
      <c r="DS14" s="4"/>
      <c r="DT14" s="4"/>
      <c r="DU14" s="4"/>
    </row>
    <row r="15" spans="1:126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O15" s="4"/>
      <c r="DP15" s="4"/>
      <c r="DQ15" s="4"/>
      <c r="DR15" s="4"/>
      <c r="DS15" s="4"/>
      <c r="DT15" s="4"/>
      <c r="DU15" s="4"/>
    </row>
    <row r="16" spans="1:126" ht="30" customHeight="1" x14ac:dyDescent="0.25">
      <c r="B16" s="73" t="s">
        <v>8</v>
      </c>
      <c r="C16" s="73"/>
      <c r="D16" s="73"/>
      <c r="E16" s="73"/>
      <c r="F16" s="73"/>
      <c r="G16" s="73"/>
      <c r="H16" s="73"/>
      <c r="I16" s="73"/>
      <c r="J16" s="73"/>
      <c r="K16" s="73"/>
      <c r="L16" s="73"/>
      <c r="M16" s="73"/>
      <c r="N16" s="74" t="s">
        <v>9</v>
      </c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4"/>
      <c r="Z16" s="78" t="s">
        <v>10</v>
      </c>
      <c r="AA16" s="78"/>
      <c r="AB16" s="78"/>
      <c r="AC16" s="78"/>
      <c r="AD16" s="78"/>
      <c r="AE16" s="78"/>
      <c r="AF16" s="78"/>
      <c r="AG16" s="78"/>
      <c r="AH16" s="78"/>
      <c r="AI16" s="78"/>
      <c r="AJ16" s="78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  <c r="AW16" s="78"/>
      <c r="AX16" s="78"/>
      <c r="AY16" s="78"/>
      <c r="AZ16" s="78"/>
      <c r="BA16" s="78"/>
      <c r="BB16" s="78"/>
      <c r="BC16" s="78"/>
      <c r="BD16" s="78"/>
      <c r="BE16" s="78"/>
      <c r="BF16" s="78"/>
      <c r="BG16" s="78"/>
      <c r="BH16" s="78"/>
      <c r="BI16" s="78"/>
      <c r="BJ16" s="78"/>
      <c r="BK16" s="78"/>
      <c r="BL16" s="78"/>
      <c r="BM16" s="78"/>
      <c r="BN16" s="78"/>
      <c r="BP16" s="79" t="s">
        <v>11</v>
      </c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79"/>
      <c r="CF16" s="79"/>
      <c r="CG16" s="79"/>
      <c r="CH16" s="79"/>
      <c r="CI16" s="79"/>
      <c r="CJ16" s="79"/>
      <c r="CK16" s="79"/>
      <c r="CL16" s="79"/>
      <c r="CM16" s="79"/>
      <c r="CN16" s="79"/>
      <c r="CO16" s="79"/>
      <c r="CP16" s="79"/>
      <c r="CQ16" s="79"/>
      <c r="CR16" s="79"/>
      <c r="CS16" s="79"/>
      <c r="CT16" s="79"/>
      <c r="CU16" s="79"/>
      <c r="CV16" s="79"/>
      <c r="CW16" s="79"/>
      <c r="CX16" s="79"/>
      <c r="CY16" s="79"/>
      <c r="DA16" s="77" t="s">
        <v>12</v>
      </c>
      <c r="DB16" s="77"/>
      <c r="DC16" s="77"/>
      <c r="DD16" s="77"/>
      <c r="DE16" s="77"/>
      <c r="DF16" s="77"/>
      <c r="DG16" s="77"/>
      <c r="DH16" s="77"/>
      <c r="DI16" s="77"/>
      <c r="DJ16" s="77"/>
      <c r="DK16" s="77"/>
      <c r="DL16" s="77"/>
      <c r="DM16" s="77"/>
      <c r="DO16" s="76" t="s">
        <v>13</v>
      </c>
      <c r="DP16" s="76"/>
      <c r="DQ16" s="76"/>
      <c r="DR16" s="76"/>
      <c r="DS16" s="76"/>
      <c r="DT16" s="76"/>
      <c r="DU16" s="76"/>
    </row>
    <row r="17" spans="2:133" x14ac:dyDescent="0.25"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Y17" s="4"/>
      <c r="Z17" s="75" t="s">
        <v>14</v>
      </c>
      <c r="AA17" s="75"/>
      <c r="AB17" s="75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20" t="s">
        <v>15</v>
      </c>
      <c r="AV17" s="20" t="s">
        <v>16</v>
      </c>
      <c r="AW17" s="20" t="s">
        <v>15</v>
      </c>
      <c r="AX17" s="20" t="s">
        <v>15</v>
      </c>
      <c r="AY17" s="20" t="s">
        <v>17</v>
      </c>
      <c r="AZ17" s="20" t="s">
        <v>18</v>
      </c>
      <c r="BA17" s="20" t="s">
        <v>19</v>
      </c>
      <c r="BB17" s="20" t="s">
        <v>20</v>
      </c>
      <c r="BC17" s="20" t="s">
        <v>19</v>
      </c>
      <c r="BD17" s="20" t="s">
        <v>20</v>
      </c>
      <c r="BE17" s="20" t="s">
        <v>21</v>
      </c>
      <c r="BF17" s="20" t="s">
        <v>22</v>
      </c>
      <c r="BG17" s="20" t="s">
        <v>23</v>
      </c>
      <c r="BH17" s="20" t="s">
        <v>24</v>
      </c>
      <c r="BI17" s="20" t="s">
        <v>15</v>
      </c>
      <c r="BJ17" s="20" t="s">
        <v>25</v>
      </c>
      <c r="BK17" s="20" t="s">
        <v>26</v>
      </c>
      <c r="BL17" s="21" t="s">
        <v>27</v>
      </c>
      <c r="BN17" s="19"/>
      <c r="BP17" s="75" t="s">
        <v>14</v>
      </c>
      <c r="BQ17" s="75"/>
      <c r="BR17" s="75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20" t="s">
        <v>15</v>
      </c>
      <c r="CL17" s="20" t="s">
        <v>16</v>
      </c>
      <c r="CM17" s="20" t="s">
        <v>15</v>
      </c>
      <c r="CN17" s="20" t="s">
        <v>15</v>
      </c>
      <c r="CO17" s="20" t="s">
        <v>17</v>
      </c>
      <c r="CP17" s="20" t="s">
        <v>18</v>
      </c>
      <c r="CQ17" s="20" t="s">
        <v>19</v>
      </c>
      <c r="CR17" s="20" t="s">
        <v>20</v>
      </c>
      <c r="CS17" s="20" t="s">
        <v>19</v>
      </c>
      <c r="CT17" s="20" t="s">
        <v>20</v>
      </c>
      <c r="CU17" s="20" t="s">
        <v>25</v>
      </c>
      <c r="CV17" s="20" t="s">
        <v>26</v>
      </c>
      <c r="CW17" s="21" t="s">
        <v>27</v>
      </c>
      <c r="CY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M17" s="19"/>
    </row>
    <row r="18" spans="2:133" ht="22" customHeight="1" x14ac:dyDescent="0.25">
      <c r="B18" s="3" t="s">
        <v>28</v>
      </c>
      <c r="C18" s="3" t="s">
        <v>29</v>
      </c>
      <c r="D18" s="3" t="s">
        <v>30</v>
      </c>
      <c r="E18" s="3" t="s">
        <v>31</v>
      </c>
      <c r="F18" s="3" t="s">
        <v>32</v>
      </c>
      <c r="G18" s="3" t="s">
        <v>33</v>
      </c>
      <c r="H18" s="3" t="s">
        <v>34</v>
      </c>
      <c r="I18" s="3" t="s">
        <v>35</v>
      </c>
      <c r="J18" s="7" t="s">
        <v>36</v>
      </c>
      <c r="K18" s="23" t="s">
        <v>37</v>
      </c>
      <c r="L18" s="28" t="s">
        <v>38</v>
      </c>
      <c r="M18" s="3" t="s">
        <v>39</v>
      </c>
      <c r="N18" s="9" t="s">
        <v>40</v>
      </c>
      <c r="O18" s="9" t="s">
        <v>41</v>
      </c>
      <c r="P18" s="9" t="s">
        <v>14</v>
      </c>
      <c r="Q18" s="9"/>
      <c r="R18" s="9"/>
      <c r="S18" s="9"/>
      <c r="T18" s="9"/>
      <c r="U18" s="9"/>
      <c r="V18" s="9"/>
      <c r="W18" s="9"/>
      <c r="X18" s="9"/>
      <c r="Y18" s="8"/>
      <c r="Z18" s="7" t="s">
        <v>40</v>
      </c>
      <c r="AA18" s="7" t="s">
        <v>41</v>
      </c>
      <c r="AB18" s="7" t="s">
        <v>14</v>
      </c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7">
        <v>1</v>
      </c>
      <c r="AV18" s="17">
        <v>2</v>
      </c>
      <c r="AW18" s="17">
        <v>3</v>
      </c>
      <c r="AX18" s="17">
        <v>4</v>
      </c>
      <c r="AY18" s="17">
        <v>5</v>
      </c>
      <c r="AZ18" s="17">
        <v>6</v>
      </c>
      <c r="BA18" s="17">
        <v>7</v>
      </c>
      <c r="BB18" s="17">
        <v>8</v>
      </c>
      <c r="BC18" s="17">
        <v>9</v>
      </c>
      <c r="BD18" s="17">
        <v>10</v>
      </c>
      <c r="BE18" s="17">
        <v>11</v>
      </c>
      <c r="BF18" s="17">
        <v>12</v>
      </c>
      <c r="BG18" s="17">
        <v>13</v>
      </c>
      <c r="BH18" s="17">
        <v>14</v>
      </c>
      <c r="BI18" s="17">
        <v>15</v>
      </c>
      <c r="BJ18" s="17">
        <v>16</v>
      </c>
      <c r="BK18" s="17">
        <v>17</v>
      </c>
      <c r="BL18" s="10">
        <v>18</v>
      </c>
      <c r="BM18" s="22"/>
      <c r="BN18" s="7" t="s">
        <v>36</v>
      </c>
      <c r="BP18" s="23" t="s">
        <v>40</v>
      </c>
      <c r="BQ18" s="23" t="s">
        <v>41</v>
      </c>
      <c r="BR18" s="23" t="s">
        <v>14</v>
      </c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  <c r="CK18" s="25">
        <v>1</v>
      </c>
      <c r="CL18" s="25">
        <v>2</v>
      </c>
      <c r="CM18" s="25">
        <v>3</v>
      </c>
      <c r="CN18" s="25">
        <v>4</v>
      </c>
      <c r="CO18" s="25">
        <v>5</v>
      </c>
      <c r="CP18" s="25">
        <v>6</v>
      </c>
      <c r="CQ18" s="25">
        <v>7</v>
      </c>
      <c r="CR18" s="25">
        <v>8</v>
      </c>
      <c r="CS18" s="25">
        <v>9</v>
      </c>
      <c r="CT18" s="25">
        <v>10</v>
      </c>
      <c r="CU18" s="25">
        <v>11</v>
      </c>
      <c r="CV18" s="25">
        <v>12</v>
      </c>
      <c r="CW18" s="25">
        <v>13</v>
      </c>
      <c r="CX18" s="26"/>
      <c r="CY18" s="23" t="s">
        <v>37</v>
      </c>
      <c r="DA18" s="27">
        <v>1</v>
      </c>
      <c r="DB18" s="27">
        <v>2</v>
      </c>
      <c r="DC18" s="27">
        <v>3</v>
      </c>
      <c r="DD18" s="27">
        <v>4</v>
      </c>
      <c r="DE18" s="27">
        <v>5</v>
      </c>
      <c r="DF18" s="27">
        <v>6</v>
      </c>
      <c r="DG18" s="27">
        <v>7</v>
      </c>
      <c r="DH18" s="27">
        <v>8</v>
      </c>
      <c r="DI18" s="27">
        <v>9</v>
      </c>
      <c r="DJ18" s="27">
        <v>10</v>
      </c>
      <c r="DK18" s="27">
        <v>11</v>
      </c>
      <c r="DL18" s="29"/>
      <c r="DM18" s="28" t="s">
        <v>42</v>
      </c>
      <c r="DO18" s="30" t="s">
        <v>43</v>
      </c>
      <c r="DP18" s="31" t="s">
        <v>37</v>
      </c>
      <c r="DQ18" s="31" t="s">
        <v>36</v>
      </c>
      <c r="DR18" s="31" t="s">
        <v>44</v>
      </c>
      <c r="DS18" s="31" t="s">
        <v>45</v>
      </c>
      <c r="DT18" s="31" t="s">
        <v>40</v>
      </c>
      <c r="DU18" s="31" t="s">
        <v>41</v>
      </c>
      <c r="DW18" s="32" t="s">
        <v>46</v>
      </c>
      <c r="DX18" s="32" t="s">
        <v>47</v>
      </c>
      <c r="DY18" s="32" t="s">
        <v>48</v>
      </c>
      <c r="DZ18" s="32" t="s">
        <v>49</v>
      </c>
      <c r="EA18" s="32" t="s">
        <v>50</v>
      </c>
      <c r="EB18" s="32" t="s">
        <v>51</v>
      </c>
      <c r="EC18" s="32" t="s">
        <v>52</v>
      </c>
    </row>
    <row r="19" spans="2:133" x14ac:dyDescent="0.25">
      <c r="B19">
        <v>9217680</v>
      </c>
      <c r="C19">
        <v>2</v>
      </c>
      <c r="D19">
        <v>9</v>
      </c>
      <c r="E19">
        <v>22</v>
      </c>
      <c r="F19">
        <v>1969</v>
      </c>
      <c r="G19">
        <v>6</v>
      </c>
      <c r="H19">
        <v>1</v>
      </c>
      <c r="I19">
        <v>2017</v>
      </c>
      <c r="J19" t="s">
        <v>490</v>
      </c>
      <c r="K19" t="s">
        <v>753</v>
      </c>
      <c r="L19">
        <v>39916906488</v>
      </c>
      <c r="M19" t="s">
        <v>1016</v>
      </c>
      <c r="N19" t="s">
        <v>1017</v>
      </c>
      <c r="O19" t="s">
        <v>1018</v>
      </c>
      <c r="P19" t="s">
        <v>1497</v>
      </c>
      <c r="Q19" s="68"/>
      <c r="R19" s="68"/>
      <c r="S19" s="68"/>
      <c r="Z19" t="s">
        <v>1017</v>
      </c>
      <c r="AA19" t="s">
        <v>1018</v>
      </c>
      <c r="AB19" t="s">
        <v>1497</v>
      </c>
      <c r="AU19" t="s">
        <v>165</v>
      </c>
      <c r="AV19" t="s">
        <v>170</v>
      </c>
      <c r="AW19" t="s">
        <v>157</v>
      </c>
      <c r="AX19" t="s">
        <v>146</v>
      </c>
      <c r="AY19" s="70" t="s">
        <v>27</v>
      </c>
      <c r="AZ19" s="70" t="s">
        <v>17</v>
      </c>
      <c r="BA19" s="70">
        <v>0</v>
      </c>
      <c r="BB19" s="70" t="s">
        <v>17</v>
      </c>
      <c r="BC19" s="70" t="s">
        <v>2418</v>
      </c>
      <c r="BD19" s="70" t="s">
        <v>2418</v>
      </c>
      <c r="BE19" t="s">
        <v>165</v>
      </c>
      <c r="BF19" t="s">
        <v>23</v>
      </c>
      <c r="BG19" t="s">
        <v>155</v>
      </c>
      <c r="BH19" t="s">
        <v>24</v>
      </c>
      <c r="BI19" t="s">
        <v>23</v>
      </c>
      <c r="BJ19" t="s">
        <v>25</v>
      </c>
      <c r="BK19" s="70">
        <v>2</v>
      </c>
      <c r="BL19" s="70">
        <v>1</v>
      </c>
      <c r="BM19"/>
      <c r="BN19" t="s">
        <v>2419</v>
      </c>
      <c r="BO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 t="s">
        <v>753</v>
      </c>
      <c r="CZ19"/>
      <c r="DL19"/>
      <c r="DM19" s="70" t="s">
        <v>1674</v>
      </c>
      <c r="DN19"/>
      <c r="DO19" s="70" t="s">
        <v>1674</v>
      </c>
      <c r="DP19" t="s">
        <v>753</v>
      </c>
      <c r="DQ19" t="s">
        <v>2419</v>
      </c>
      <c r="DS19" t="s">
        <v>1937</v>
      </c>
      <c r="DT19" t="s">
        <v>2136</v>
      </c>
      <c r="DU19" t="s">
        <v>1938</v>
      </c>
      <c r="DV19"/>
    </row>
    <row r="20" spans="2:133" x14ac:dyDescent="0.25">
      <c r="B20">
        <v>6006660</v>
      </c>
      <c r="C20">
        <v>1</v>
      </c>
      <c r="D20">
        <v>9</v>
      </c>
      <c r="E20">
        <v>1</v>
      </c>
      <c r="F20">
        <v>1979</v>
      </c>
      <c r="G20">
        <v>2</v>
      </c>
      <c r="H20">
        <v>1</v>
      </c>
      <c r="I20">
        <v>2006</v>
      </c>
      <c r="J20" t="s">
        <v>491</v>
      </c>
      <c r="K20" t="s">
        <v>754</v>
      </c>
      <c r="L20">
        <v>45017904967</v>
      </c>
      <c r="M20" t="s">
        <v>1019</v>
      </c>
      <c r="N20" t="s">
        <v>456</v>
      </c>
      <c r="O20" t="s">
        <v>452</v>
      </c>
      <c r="P20" t="s">
        <v>87</v>
      </c>
      <c r="Z20" t="s">
        <v>456</v>
      </c>
      <c r="AA20" t="s">
        <v>452</v>
      </c>
      <c r="AB20" t="s">
        <v>87</v>
      </c>
      <c r="AU20" t="s">
        <v>22</v>
      </c>
      <c r="AV20" t="s">
        <v>146</v>
      </c>
      <c r="AW20" t="s">
        <v>16</v>
      </c>
      <c r="AX20" t="s">
        <v>25</v>
      </c>
      <c r="AY20" s="70" t="s">
        <v>2420</v>
      </c>
      <c r="AZ20" s="70" t="s">
        <v>17</v>
      </c>
      <c r="BA20" s="70">
        <v>0</v>
      </c>
      <c r="BB20" s="70" t="s">
        <v>17</v>
      </c>
      <c r="BC20" s="70" t="s">
        <v>19</v>
      </c>
      <c r="BD20" s="70" t="s">
        <v>20</v>
      </c>
      <c r="BE20" t="s">
        <v>21</v>
      </c>
      <c r="BF20" t="s">
        <v>23</v>
      </c>
      <c r="BG20" t="s">
        <v>155</v>
      </c>
      <c r="BH20" t="s">
        <v>21</v>
      </c>
      <c r="BI20" t="s">
        <v>25</v>
      </c>
      <c r="BJ20" t="s">
        <v>149</v>
      </c>
      <c r="BK20" s="70">
        <v>3</v>
      </c>
      <c r="BL20" s="70">
        <v>6</v>
      </c>
      <c r="BM20"/>
      <c r="BN20" t="s">
        <v>2421</v>
      </c>
      <c r="BO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 t="s">
        <v>2687</v>
      </c>
      <c r="CZ20"/>
      <c r="DL20"/>
      <c r="DM20" s="70" t="s">
        <v>1675</v>
      </c>
      <c r="DN20"/>
      <c r="DO20" s="70" t="s">
        <v>1675</v>
      </c>
      <c r="DP20" t="s">
        <v>2687</v>
      </c>
      <c r="DQ20" t="s">
        <v>2421</v>
      </c>
      <c r="DS20" t="s">
        <v>1939</v>
      </c>
      <c r="DT20" t="s">
        <v>1940</v>
      </c>
      <c r="DU20" t="s">
        <v>1941</v>
      </c>
      <c r="DV20"/>
    </row>
    <row r="21" spans="2:133" x14ac:dyDescent="0.25">
      <c r="B21">
        <v>5961324</v>
      </c>
      <c r="C21">
        <v>2</v>
      </c>
      <c r="D21">
        <v>6</v>
      </c>
      <c r="E21">
        <v>8</v>
      </c>
      <c r="F21">
        <v>1981</v>
      </c>
      <c r="G21">
        <v>8</v>
      </c>
      <c r="H21">
        <v>16</v>
      </c>
      <c r="I21">
        <v>2004</v>
      </c>
      <c r="J21" t="s">
        <v>492</v>
      </c>
      <c r="K21" t="s">
        <v>755</v>
      </c>
      <c r="L21">
        <v>39978123741</v>
      </c>
      <c r="M21" t="s">
        <v>1020</v>
      </c>
      <c r="N21" t="s">
        <v>400</v>
      </c>
      <c r="O21" t="s">
        <v>1021</v>
      </c>
      <c r="P21" t="s">
        <v>1498</v>
      </c>
      <c r="Z21" t="s">
        <v>400</v>
      </c>
      <c r="AA21" t="s">
        <v>1021</v>
      </c>
      <c r="AB21" t="s">
        <v>1022</v>
      </c>
      <c r="AU21" t="s">
        <v>161</v>
      </c>
      <c r="AV21" t="s">
        <v>180</v>
      </c>
      <c r="AW21" t="s">
        <v>172</v>
      </c>
      <c r="AX21" t="s">
        <v>24</v>
      </c>
      <c r="AY21" s="70" t="s">
        <v>2422</v>
      </c>
      <c r="AZ21" s="70" t="s">
        <v>20</v>
      </c>
      <c r="BA21" s="70">
        <v>0</v>
      </c>
      <c r="BB21" s="70" t="s">
        <v>27</v>
      </c>
      <c r="BC21" s="70" t="s">
        <v>19</v>
      </c>
      <c r="BD21" s="70" t="s">
        <v>2422</v>
      </c>
      <c r="BE21" t="s">
        <v>165</v>
      </c>
      <c r="BF21" t="s">
        <v>23</v>
      </c>
      <c r="BG21" t="s">
        <v>155</v>
      </c>
      <c r="BH21" t="s">
        <v>25</v>
      </c>
      <c r="BI21" t="s">
        <v>166</v>
      </c>
      <c r="BJ21" t="s">
        <v>24</v>
      </c>
      <c r="BK21" s="70">
        <v>6</v>
      </c>
      <c r="BL21" s="70">
        <v>6</v>
      </c>
      <c r="BM21"/>
      <c r="BN21" t="s">
        <v>2423</v>
      </c>
      <c r="BO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 t="s">
        <v>755</v>
      </c>
      <c r="CZ21"/>
      <c r="DL21"/>
      <c r="DM21" s="70" t="s">
        <v>1676</v>
      </c>
      <c r="DN21"/>
      <c r="DO21" s="70" t="s">
        <v>1676</v>
      </c>
      <c r="DP21" t="s">
        <v>755</v>
      </c>
      <c r="DQ21" t="s">
        <v>2423</v>
      </c>
      <c r="DS21" t="s">
        <v>1942</v>
      </c>
      <c r="DT21" t="s">
        <v>1943</v>
      </c>
      <c r="DU21" t="s">
        <v>1944</v>
      </c>
      <c r="DV21"/>
    </row>
    <row r="22" spans="2:133" x14ac:dyDescent="0.25">
      <c r="B22">
        <v>8422297</v>
      </c>
      <c r="C22">
        <v>1</v>
      </c>
      <c r="D22">
        <v>10</v>
      </c>
      <c r="E22">
        <v>3</v>
      </c>
      <c r="F22">
        <v>1973</v>
      </c>
      <c r="G22">
        <v>3</v>
      </c>
      <c r="H22">
        <v>29</v>
      </c>
      <c r="I22">
        <v>2004</v>
      </c>
      <c r="J22" t="s">
        <v>493</v>
      </c>
      <c r="K22" t="s">
        <v>756</v>
      </c>
      <c r="L22">
        <v>62967307950</v>
      </c>
      <c r="M22" t="s">
        <v>1023</v>
      </c>
      <c r="N22" t="s">
        <v>414</v>
      </c>
      <c r="O22" t="s">
        <v>1024</v>
      </c>
      <c r="P22" t="s">
        <v>1189</v>
      </c>
      <c r="Z22" t="s">
        <v>414</v>
      </c>
      <c r="AA22" t="s">
        <v>1024</v>
      </c>
      <c r="AB22" t="s">
        <v>1189</v>
      </c>
      <c r="AU22" t="s">
        <v>157</v>
      </c>
      <c r="AV22" t="s">
        <v>170</v>
      </c>
      <c r="AW22" t="s">
        <v>146</v>
      </c>
      <c r="AX22" t="s">
        <v>22</v>
      </c>
      <c r="AY22" s="70" t="s">
        <v>2420</v>
      </c>
      <c r="AZ22" s="70" t="s">
        <v>18</v>
      </c>
      <c r="BA22" s="70">
        <v>1</v>
      </c>
      <c r="BB22" s="70" t="s">
        <v>19</v>
      </c>
      <c r="BC22" s="70" t="s">
        <v>19</v>
      </c>
      <c r="BD22" s="70" t="s">
        <v>18</v>
      </c>
      <c r="BE22" t="s">
        <v>21</v>
      </c>
      <c r="BF22" t="s">
        <v>23</v>
      </c>
      <c r="BG22" t="s">
        <v>155</v>
      </c>
      <c r="BH22" t="s">
        <v>165</v>
      </c>
      <c r="BI22" t="s">
        <v>157</v>
      </c>
      <c r="BJ22" t="s">
        <v>24</v>
      </c>
      <c r="BK22" s="70">
        <v>8</v>
      </c>
      <c r="BL22" s="70">
        <v>9</v>
      </c>
      <c r="BM22"/>
      <c r="BN22" t="s">
        <v>2424</v>
      </c>
      <c r="BO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 t="s">
        <v>756</v>
      </c>
      <c r="CZ22"/>
      <c r="DL22"/>
      <c r="DM22" s="70" t="s">
        <v>1677</v>
      </c>
      <c r="DN22"/>
      <c r="DO22" s="70" t="s">
        <v>1677</v>
      </c>
      <c r="DP22" t="s">
        <v>756</v>
      </c>
      <c r="DQ22" t="s">
        <v>2424</v>
      </c>
      <c r="DS22" t="s">
        <v>1945</v>
      </c>
      <c r="DT22" t="s">
        <v>1946</v>
      </c>
      <c r="DU22" t="s">
        <v>1947</v>
      </c>
      <c r="DV22"/>
    </row>
    <row r="23" spans="2:133" x14ac:dyDescent="0.25">
      <c r="B23">
        <v>5965206</v>
      </c>
      <c r="C23">
        <v>1</v>
      </c>
      <c r="D23">
        <v>12</v>
      </c>
      <c r="E23">
        <v>6</v>
      </c>
      <c r="F23">
        <v>1976</v>
      </c>
      <c r="G23">
        <v>2</v>
      </c>
      <c r="H23">
        <v>1</v>
      </c>
      <c r="I23">
        <v>1999</v>
      </c>
      <c r="J23" t="s">
        <v>494</v>
      </c>
      <c r="K23" t="s">
        <v>757</v>
      </c>
      <c r="L23">
        <v>68927651452</v>
      </c>
      <c r="M23" t="s">
        <v>1025</v>
      </c>
      <c r="N23" t="s">
        <v>399</v>
      </c>
      <c r="O23" t="s">
        <v>1026</v>
      </c>
      <c r="P23" t="s">
        <v>1499</v>
      </c>
      <c r="Z23" t="s">
        <v>399</v>
      </c>
      <c r="AA23" t="s">
        <v>1026</v>
      </c>
      <c r="AB23" t="s">
        <v>1499</v>
      </c>
      <c r="AU23" t="s">
        <v>165</v>
      </c>
      <c r="AV23" t="s">
        <v>153</v>
      </c>
      <c r="AW23" t="s">
        <v>165</v>
      </c>
      <c r="AX23" t="s">
        <v>153</v>
      </c>
      <c r="AY23" s="70" t="s">
        <v>2420</v>
      </c>
      <c r="AZ23" s="70" t="s">
        <v>27</v>
      </c>
      <c r="BA23" s="70">
        <v>1</v>
      </c>
      <c r="BB23" s="70" t="s">
        <v>2418</v>
      </c>
      <c r="BC23" s="70" t="s">
        <v>19</v>
      </c>
      <c r="BD23" s="70" t="s">
        <v>27</v>
      </c>
      <c r="BE23" t="s">
        <v>21</v>
      </c>
      <c r="BF23" t="s">
        <v>23</v>
      </c>
      <c r="BG23" t="s">
        <v>155</v>
      </c>
      <c r="BH23" t="s">
        <v>166</v>
      </c>
      <c r="BI23" t="s">
        <v>166</v>
      </c>
      <c r="BJ23" t="s">
        <v>177</v>
      </c>
      <c r="BK23" s="70">
        <v>0</v>
      </c>
      <c r="BL23" s="70">
        <v>6</v>
      </c>
      <c r="BM23"/>
      <c r="BN23" t="s">
        <v>2425</v>
      </c>
      <c r="BO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 t="s">
        <v>2688</v>
      </c>
      <c r="CZ23"/>
      <c r="DL23"/>
      <c r="DM23" s="70" t="s">
        <v>1678</v>
      </c>
      <c r="DN23"/>
      <c r="DO23" s="70" t="s">
        <v>1678</v>
      </c>
      <c r="DP23" t="s">
        <v>2688</v>
      </c>
      <c r="DQ23" t="s">
        <v>2425</v>
      </c>
      <c r="DS23" t="s">
        <v>1948</v>
      </c>
      <c r="DT23" t="s">
        <v>1949</v>
      </c>
      <c r="DU23" t="s">
        <v>1950</v>
      </c>
      <c r="DV23"/>
    </row>
    <row r="24" spans="2:133" x14ac:dyDescent="0.25">
      <c r="B24">
        <v>5967063</v>
      </c>
      <c r="C24">
        <v>1</v>
      </c>
      <c r="D24">
        <v>3</v>
      </c>
      <c r="E24">
        <v>16</v>
      </c>
      <c r="F24">
        <v>1966</v>
      </c>
      <c r="G24">
        <v>5</v>
      </c>
      <c r="H24">
        <v>20</v>
      </c>
      <c r="I24">
        <v>1992</v>
      </c>
      <c r="J24" t="s">
        <v>495</v>
      </c>
      <c r="K24" t="s">
        <v>758</v>
      </c>
      <c r="L24">
        <v>70876606164</v>
      </c>
      <c r="M24" t="s">
        <v>1027</v>
      </c>
      <c r="N24" t="s">
        <v>1028</v>
      </c>
      <c r="O24" t="s">
        <v>1029</v>
      </c>
      <c r="P24" t="s">
        <v>442</v>
      </c>
      <c r="Z24" t="s">
        <v>1028</v>
      </c>
      <c r="AA24" t="s">
        <v>1029</v>
      </c>
      <c r="AB24" t="s">
        <v>442</v>
      </c>
      <c r="AU24" t="s">
        <v>166</v>
      </c>
      <c r="AV24" t="s">
        <v>159</v>
      </c>
      <c r="AW24" t="s">
        <v>26</v>
      </c>
      <c r="AX24" t="s">
        <v>161</v>
      </c>
      <c r="AY24" s="70" t="s">
        <v>27</v>
      </c>
      <c r="AZ24" s="70" t="s">
        <v>27</v>
      </c>
      <c r="BA24" s="70">
        <v>0</v>
      </c>
      <c r="BB24" s="70" t="s">
        <v>18</v>
      </c>
      <c r="BC24" s="70" t="s">
        <v>20</v>
      </c>
      <c r="BD24" s="70" t="s">
        <v>27</v>
      </c>
      <c r="BE24" t="s">
        <v>21</v>
      </c>
      <c r="BF24" t="s">
        <v>23</v>
      </c>
      <c r="BG24" t="s">
        <v>155</v>
      </c>
      <c r="BH24" t="s">
        <v>182</v>
      </c>
      <c r="BI24" t="s">
        <v>182</v>
      </c>
      <c r="BJ24" t="s">
        <v>166</v>
      </c>
      <c r="BK24" s="70">
        <v>6</v>
      </c>
      <c r="BL24" s="70">
        <v>0</v>
      </c>
      <c r="BM24"/>
      <c r="BN24" t="s">
        <v>2426</v>
      </c>
      <c r="BO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 t="s">
        <v>758</v>
      </c>
      <c r="CZ24"/>
      <c r="DL24"/>
      <c r="DM24" s="70" t="s">
        <v>1679</v>
      </c>
      <c r="DN24"/>
      <c r="DO24" s="70" t="s">
        <v>1679</v>
      </c>
      <c r="DP24" t="s">
        <v>758</v>
      </c>
      <c r="DQ24" t="s">
        <v>2426</v>
      </c>
      <c r="DS24" t="s">
        <v>1951</v>
      </c>
      <c r="DT24" t="s">
        <v>1952</v>
      </c>
      <c r="DU24" t="s">
        <v>1953</v>
      </c>
      <c r="DV24"/>
    </row>
    <row r="25" spans="2:133" x14ac:dyDescent="0.25">
      <c r="B25">
        <v>9182452</v>
      </c>
      <c r="C25">
        <v>2</v>
      </c>
      <c r="D25">
        <v>8</v>
      </c>
      <c r="E25">
        <v>14</v>
      </c>
      <c r="F25">
        <v>1975</v>
      </c>
      <c r="G25">
        <v>7</v>
      </c>
      <c r="H25">
        <v>1</v>
      </c>
      <c r="I25">
        <v>2016</v>
      </c>
      <c r="J25" t="s">
        <v>496</v>
      </c>
      <c r="K25" t="s">
        <v>759</v>
      </c>
      <c r="L25">
        <v>39977526373</v>
      </c>
      <c r="M25" t="s">
        <v>1030</v>
      </c>
      <c r="N25" t="s">
        <v>448</v>
      </c>
      <c r="O25" t="s">
        <v>1031</v>
      </c>
      <c r="P25" t="s">
        <v>442</v>
      </c>
      <c r="Z25" t="s">
        <v>448</v>
      </c>
      <c r="AA25" t="s">
        <v>1031</v>
      </c>
      <c r="AB25" t="s">
        <v>442</v>
      </c>
      <c r="AU25" t="s">
        <v>177</v>
      </c>
      <c r="AV25" t="s">
        <v>146</v>
      </c>
      <c r="AW25" t="s">
        <v>24</v>
      </c>
      <c r="AX25" t="s">
        <v>161</v>
      </c>
      <c r="AY25" s="70" t="s">
        <v>2420</v>
      </c>
      <c r="AZ25" s="70" t="s">
        <v>2427</v>
      </c>
      <c r="BA25" s="70">
        <v>0</v>
      </c>
      <c r="BB25" s="70" t="s">
        <v>2422</v>
      </c>
      <c r="BC25" s="70" t="s">
        <v>20</v>
      </c>
      <c r="BD25" s="70" t="s">
        <v>2428</v>
      </c>
      <c r="BE25" t="s">
        <v>165</v>
      </c>
      <c r="BF25" t="s">
        <v>23</v>
      </c>
      <c r="BG25" t="s">
        <v>155</v>
      </c>
      <c r="BH25" t="s">
        <v>24</v>
      </c>
      <c r="BI25" t="s">
        <v>166</v>
      </c>
      <c r="BJ25" t="s">
        <v>166</v>
      </c>
      <c r="BK25" s="70">
        <v>2</v>
      </c>
      <c r="BL25" s="70">
        <v>1</v>
      </c>
      <c r="BM25"/>
      <c r="BN25" t="s">
        <v>2429</v>
      </c>
      <c r="BO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 t="s">
        <v>759</v>
      </c>
      <c r="CZ25"/>
      <c r="DL25"/>
      <c r="DM25" s="70" t="s">
        <v>1680</v>
      </c>
      <c r="DN25"/>
      <c r="DO25" s="70" t="s">
        <v>1680</v>
      </c>
      <c r="DP25" t="s">
        <v>759</v>
      </c>
      <c r="DQ25" t="s">
        <v>2429</v>
      </c>
      <c r="DS25" t="s">
        <v>1951</v>
      </c>
      <c r="DT25" t="s">
        <v>1954</v>
      </c>
      <c r="DU25" t="s">
        <v>1955</v>
      </c>
      <c r="DV25"/>
    </row>
    <row r="26" spans="2:133" x14ac:dyDescent="0.25">
      <c r="B26">
        <v>9221377</v>
      </c>
      <c r="C26">
        <v>2</v>
      </c>
      <c r="D26">
        <v>1</v>
      </c>
      <c r="E26">
        <v>20</v>
      </c>
      <c r="F26">
        <v>1989</v>
      </c>
      <c r="G26">
        <v>7</v>
      </c>
      <c r="H26">
        <v>3</v>
      </c>
      <c r="I26">
        <v>2017</v>
      </c>
      <c r="J26" t="s">
        <v>497</v>
      </c>
      <c r="K26" t="s">
        <v>760</v>
      </c>
      <c r="L26">
        <v>45088904128</v>
      </c>
      <c r="M26" t="s">
        <v>1032</v>
      </c>
      <c r="N26" t="s">
        <v>1033</v>
      </c>
      <c r="O26" t="s">
        <v>1034</v>
      </c>
      <c r="P26" t="s">
        <v>1165</v>
      </c>
      <c r="Z26" t="s">
        <v>1033</v>
      </c>
      <c r="AA26" t="s">
        <v>1034</v>
      </c>
      <c r="AB26" t="s">
        <v>1165</v>
      </c>
      <c r="AU26" t="s">
        <v>177</v>
      </c>
      <c r="AV26" t="s">
        <v>146</v>
      </c>
      <c r="AW26" t="s">
        <v>165</v>
      </c>
      <c r="AX26" t="s">
        <v>146</v>
      </c>
      <c r="AY26" s="70" t="s">
        <v>2422</v>
      </c>
      <c r="AZ26" s="70" t="s">
        <v>17</v>
      </c>
      <c r="BA26" s="70">
        <v>0</v>
      </c>
      <c r="BB26" s="70" t="s">
        <v>20</v>
      </c>
      <c r="BC26" s="70" t="s">
        <v>2418</v>
      </c>
      <c r="BD26" s="70" t="s">
        <v>19</v>
      </c>
      <c r="BE26" t="s">
        <v>165</v>
      </c>
      <c r="BF26" t="s">
        <v>23</v>
      </c>
      <c r="BG26" t="s">
        <v>155</v>
      </c>
      <c r="BH26" t="s">
        <v>166</v>
      </c>
      <c r="BI26" t="s">
        <v>25</v>
      </c>
      <c r="BJ26" t="s">
        <v>166</v>
      </c>
      <c r="BK26" s="70">
        <v>4</v>
      </c>
      <c r="BL26" s="70">
        <v>1</v>
      </c>
      <c r="BM26"/>
      <c r="BN26" t="s">
        <v>2430</v>
      </c>
      <c r="BO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 t="s">
        <v>760</v>
      </c>
      <c r="CZ26"/>
      <c r="DL26"/>
      <c r="DM26" s="70" t="s">
        <v>1681</v>
      </c>
      <c r="DN26"/>
      <c r="DO26" s="70" t="s">
        <v>1681</v>
      </c>
      <c r="DP26" t="s">
        <v>760</v>
      </c>
      <c r="DQ26" t="s">
        <v>2430</v>
      </c>
      <c r="DS26" t="s">
        <v>1956</v>
      </c>
      <c r="DT26" t="s">
        <v>1957</v>
      </c>
      <c r="DU26" t="s">
        <v>1958</v>
      </c>
      <c r="DV26"/>
    </row>
    <row r="27" spans="2:133" x14ac:dyDescent="0.25">
      <c r="B27">
        <v>40004692</v>
      </c>
      <c r="C27">
        <v>2</v>
      </c>
      <c r="D27">
        <v>7</v>
      </c>
      <c r="E27">
        <v>11</v>
      </c>
      <c r="F27">
        <v>1992</v>
      </c>
      <c r="G27">
        <v>1</v>
      </c>
      <c r="H27">
        <v>20</v>
      </c>
      <c r="I27">
        <v>2020</v>
      </c>
      <c r="J27" t="s">
        <v>498</v>
      </c>
      <c r="K27" t="s">
        <v>761</v>
      </c>
      <c r="L27">
        <v>20119228201</v>
      </c>
      <c r="M27" t="s">
        <v>1035</v>
      </c>
      <c r="N27" t="s">
        <v>1036</v>
      </c>
      <c r="O27" t="s">
        <v>1037</v>
      </c>
      <c r="P27" t="s">
        <v>1500</v>
      </c>
      <c r="Z27" t="s">
        <v>1036</v>
      </c>
      <c r="AA27" t="s">
        <v>1037</v>
      </c>
      <c r="AB27" t="s">
        <v>1500</v>
      </c>
      <c r="AU27" t="s">
        <v>170</v>
      </c>
      <c r="AV27" t="s">
        <v>146</v>
      </c>
      <c r="AW27" t="s">
        <v>25</v>
      </c>
      <c r="AX27" t="s">
        <v>166</v>
      </c>
      <c r="AY27" s="70" t="s">
        <v>17</v>
      </c>
      <c r="AZ27" s="70" t="s">
        <v>2418</v>
      </c>
      <c r="BA27" s="70">
        <v>0</v>
      </c>
      <c r="BB27" s="70" t="s">
        <v>2420</v>
      </c>
      <c r="BC27" s="70" t="s">
        <v>20</v>
      </c>
      <c r="BD27" s="70" t="s">
        <v>20</v>
      </c>
      <c r="BE27" t="s">
        <v>165</v>
      </c>
      <c r="BF27" t="s">
        <v>23</v>
      </c>
      <c r="BG27" t="s">
        <v>155</v>
      </c>
      <c r="BH27" t="s">
        <v>22</v>
      </c>
      <c r="BI27" t="s">
        <v>182</v>
      </c>
      <c r="BJ27" t="s">
        <v>25</v>
      </c>
      <c r="BK27" s="70">
        <v>2</v>
      </c>
      <c r="BL27" s="70">
        <v>3</v>
      </c>
      <c r="BM27"/>
      <c r="BN27" t="s">
        <v>2431</v>
      </c>
      <c r="BO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 t="s">
        <v>761</v>
      </c>
      <c r="CZ27"/>
      <c r="DL27"/>
      <c r="DM27" s="70" t="s">
        <v>1682</v>
      </c>
      <c r="DN27"/>
      <c r="DO27" s="70" t="s">
        <v>1682</v>
      </c>
      <c r="DP27" t="s">
        <v>761</v>
      </c>
      <c r="DQ27" t="s">
        <v>2431</v>
      </c>
      <c r="DS27" t="s">
        <v>1959</v>
      </c>
      <c r="DT27" t="s">
        <v>1960</v>
      </c>
      <c r="DU27" t="s">
        <v>1961</v>
      </c>
      <c r="DV27"/>
    </row>
    <row r="28" spans="2:133" x14ac:dyDescent="0.25">
      <c r="B28">
        <v>9220087</v>
      </c>
      <c r="C28">
        <v>1</v>
      </c>
      <c r="D28">
        <v>7</v>
      </c>
      <c r="E28">
        <v>25</v>
      </c>
      <c r="F28">
        <v>1980</v>
      </c>
      <c r="G28">
        <v>6</v>
      </c>
      <c r="H28">
        <v>16</v>
      </c>
      <c r="I28">
        <v>2017</v>
      </c>
      <c r="J28" t="s">
        <v>499</v>
      </c>
      <c r="K28" t="s">
        <v>762</v>
      </c>
      <c r="L28">
        <v>96058003342</v>
      </c>
      <c r="M28" t="s">
        <v>1038</v>
      </c>
      <c r="N28" t="s">
        <v>1039</v>
      </c>
      <c r="O28" t="s">
        <v>1040</v>
      </c>
      <c r="P28" t="s">
        <v>1501</v>
      </c>
      <c r="Z28" t="s">
        <v>1039</v>
      </c>
      <c r="AA28" t="s">
        <v>1040</v>
      </c>
      <c r="AB28" t="s">
        <v>1041</v>
      </c>
      <c r="AU28" t="s">
        <v>22</v>
      </c>
      <c r="AV28" t="s">
        <v>170</v>
      </c>
      <c r="AW28" t="s">
        <v>153</v>
      </c>
      <c r="AX28" t="s">
        <v>161</v>
      </c>
      <c r="AY28" s="70" t="s">
        <v>2422</v>
      </c>
      <c r="AZ28" s="70" t="s">
        <v>19</v>
      </c>
      <c r="BA28" s="70">
        <v>0</v>
      </c>
      <c r="BB28" s="70" t="s">
        <v>2420</v>
      </c>
      <c r="BC28" s="70" t="s">
        <v>2418</v>
      </c>
      <c r="BD28" s="70" t="s">
        <v>2427</v>
      </c>
      <c r="BE28" t="s">
        <v>21</v>
      </c>
      <c r="BF28" t="s">
        <v>23</v>
      </c>
      <c r="BG28" t="s">
        <v>155</v>
      </c>
      <c r="BH28" t="s">
        <v>25</v>
      </c>
      <c r="BI28" t="s">
        <v>177</v>
      </c>
      <c r="BJ28" t="s">
        <v>177</v>
      </c>
      <c r="BK28" s="70">
        <v>2</v>
      </c>
      <c r="BL28" s="70">
        <v>7</v>
      </c>
      <c r="BM28"/>
      <c r="BN28" t="s">
        <v>2432</v>
      </c>
      <c r="BO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 t="s">
        <v>762</v>
      </c>
      <c r="CZ28"/>
      <c r="DL28"/>
      <c r="DM28" s="70" t="s">
        <v>1683</v>
      </c>
      <c r="DN28"/>
      <c r="DO28" s="70" t="s">
        <v>1683</v>
      </c>
      <c r="DP28" t="s">
        <v>762</v>
      </c>
      <c r="DQ28" t="s">
        <v>2432</v>
      </c>
      <c r="DS28" t="s">
        <v>1962</v>
      </c>
      <c r="DT28" t="s">
        <v>1963</v>
      </c>
      <c r="DU28" t="s">
        <v>1964</v>
      </c>
      <c r="DV28"/>
    </row>
    <row r="29" spans="2:133" x14ac:dyDescent="0.25">
      <c r="B29">
        <v>8492643</v>
      </c>
      <c r="C29">
        <v>2</v>
      </c>
      <c r="D29">
        <v>6</v>
      </c>
      <c r="E29">
        <v>24</v>
      </c>
      <c r="F29">
        <v>1986</v>
      </c>
      <c r="G29">
        <v>6</v>
      </c>
      <c r="H29">
        <v>16</v>
      </c>
      <c r="I29">
        <v>2013</v>
      </c>
      <c r="J29" t="s">
        <v>500</v>
      </c>
      <c r="K29" t="s">
        <v>763</v>
      </c>
      <c r="L29">
        <v>96088635014</v>
      </c>
      <c r="M29" t="s">
        <v>1042</v>
      </c>
      <c r="N29" t="s">
        <v>416</v>
      </c>
      <c r="O29" t="s">
        <v>416</v>
      </c>
      <c r="P29" t="s">
        <v>1502</v>
      </c>
      <c r="Z29" t="s">
        <v>416</v>
      </c>
      <c r="AA29" t="s">
        <v>416</v>
      </c>
      <c r="AB29" t="s">
        <v>1502</v>
      </c>
      <c r="AU29" t="s">
        <v>157</v>
      </c>
      <c r="AV29" t="s">
        <v>170</v>
      </c>
      <c r="AW29" t="s">
        <v>157</v>
      </c>
      <c r="AX29" t="s">
        <v>153</v>
      </c>
      <c r="AY29" s="70" t="s">
        <v>2422</v>
      </c>
      <c r="AZ29" s="70" t="s">
        <v>27</v>
      </c>
      <c r="BA29" s="70">
        <v>0</v>
      </c>
      <c r="BB29" s="70" t="s">
        <v>27</v>
      </c>
      <c r="BC29" s="70" t="s">
        <v>2418</v>
      </c>
      <c r="BD29" s="70" t="s">
        <v>2428</v>
      </c>
      <c r="BE29" t="s">
        <v>165</v>
      </c>
      <c r="BF29" t="s">
        <v>23</v>
      </c>
      <c r="BG29" t="s">
        <v>155</v>
      </c>
      <c r="BH29" t="s">
        <v>166</v>
      </c>
      <c r="BI29" t="s">
        <v>166</v>
      </c>
      <c r="BJ29" t="s">
        <v>165</v>
      </c>
      <c r="BK29" s="70">
        <v>4</v>
      </c>
      <c r="BL29" s="70">
        <v>9</v>
      </c>
      <c r="BM29"/>
      <c r="BN29" t="s">
        <v>2433</v>
      </c>
      <c r="BO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 t="s">
        <v>763</v>
      </c>
      <c r="CZ29"/>
      <c r="DL29"/>
      <c r="DM29" s="70" t="s">
        <v>1684</v>
      </c>
      <c r="DN29"/>
      <c r="DO29" s="70" t="s">
        <v>1684</v>
      </c>
      <c r="DP29" t="s">
        <v>763</v>
      </c>
      <c r="DQ29" t="s">
        <v>2433</v>
      </c>
      <c r="DS29" t="s">
        <v>1965</v>
      </c>
      <c r="DT29" t="s">
        <v>1966</v>
      </c>
      <c r="DU29" t="s">
        <v>1966</v>
      </c>
      <c r="DV29"/>
    </row>
    <row r="30" spans="2:133" x14ac:dyDescent="0.25">
      <c r="B30">
        <v>40012268</v>
      </c>
      <c r="C30">
        <v>1</v>
      </c>
      <c r="D30">
        <v>11</v>
      </c>
      <c r="E30">
        <v>25</v>
      </c>
      <c r="F30">
        <v>1983</v>
      </c>
      <c r="G30">
        <v>6</v>
      </c>
      <c r="H30">
        <v>19</v>
      </c>
      <c r="I30">
        <v>2023</v>
      </c>
      <c r="J30" t="s">
        <v>501</v>
      </c>
      <c r="K30" t="s">
        <v>764</v>
      </c>
      <c r="L30">
        <v>39108302637</v>
      </c>
      <c r="M30" t="s">
        <v>1043</v>
      </c>
      <c r="N30" t="s">
        <v>481</v>
      </c>
      <c r="O30" t="s">
        <v>1044</v>
      </c>
      <c r="P30" t="s">
        <v>1503</v>
      </c>
      <c r="Z30" t="s">
        <v>481</v>
      </c>
      <c r="AA30" t="s">
        <v>1044</v>
      </c>
      <c r="AB30" t="s">
        <v>71</v>
      </c>
      <c r="AU30" t="s">
        <v>155</v>
      </c>
      <c r="AV30" t="s">
        <v>170</v>
      </c>
      <c r="AW30" t="s">
        <v>165</v>
      </c>
      <c r="AX30" t="s">
        <v>21</v>
      </c>
      <c r="AY30" s="70" t="s">
        <v>2422</v>
      </c>
      <c r="AZ30" s="70" t="s">
        <v>18</v>
      </c>
      <c r="BA30" s="70">
        <v>1</v>
      </c>
      <c r="BB30" s="70" t="s">
        <v>20</v>
      </c>
      <c r="BC30" s="70" t="s">
        <v>2418</v>
      </c>
      <c r="BD30" s="70" t="s">
        <v>2427</v>
      </c>
      <c r="BE30" t="s">
        <v>21</v>
      </c>
      <c r="BF30" t="s">
        <v>23</v>
      </c>
      <c r="BG30" t="s">
        <v>155</v>
      </c>
      <c r="BH30" t="s">
        <v>24</v>
      </c>
      <c r="BI30" t="s">
        <v>166</v>
      </c>
      <c r="BJ30" t="s">
        <v>22</v>
      </c>
      <c r="BK30" s="70">
        <v>4</v>
      </c>
      <c r="BL30" s="70">
        <v>4</v>
      </c>
      <c r="BM30"/>
      <c r="BN30" t="s">
        <v>2434</v>
      </c>
      <c r="BO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 t="s">
        <v>764</v>
      </c>
      <c r="CZ30"/>
      <c r="DL30"/>
      <c r="DM30" s="70" t="s">
        <v>1685</v>
      </c>
      <c r="DN30"/>
      <c r="DO30" s="70" t="s">
        <v>1685</v>
      </c>
      <c r="DP30" t="s">
        <v>764</v>
      </c>
      <c r="DQ30" t="s">
        <v>2434</v>
      </c>
      <c r="DS30" t="s">
        <v>1967</v>
      </c>
      <c r="DT30" t="s">
        <v>1968</v>
      </c>
      <c r="DU30" t="s">
        <v>1969</v>
      </c>
      <c r="DV30"/>
    </row>
    <row r="31" spans="2:133" x14ac:dyDescent="0.25">
      <c r="B31">
        <v>9225488</v>
      </c>
      <c r="C31">
        <v>1</v>
      </c>
      <c r="D31">
        <v>5</v>
      </c>
      <c r="E31">
        <v>5</v>
      </c>
      <c r="F31">
        <v>1979</v>
      </c>
      <c r="G31">
        <v>8</v>
      </c>
      <c r="H31">
        <v>1</v>
      </c>
      <c r="I31">
        <v>2017</v>
      </c>
      <c r="J31" t="s">
        <v>502</v>
      </c>
      <c r="K31" t="s">
        <v>765</v>
      </c>
      <c r="L31">
        <v>30027908349</v>
      </c>
      <c r="M31" t="s">
        <v>1045</v>
      </c>
      <c r="N31" t="s">
        <v>1046</v>
      </c>
      <c r="O31" t="s">
        <v>1047</v>
      </c>
      <c r="P31" t="s">
        <v>69</v>
      </c>
      <c r="Z31" t="s">
        <v>1046</v>
      </c>
      <c r="AA31" t="s">
        <v>1047</v>
      </c>
      <c r="AB31" t="s">
        <v>69</v>
      </c>
      <c r="AU31" t="s">
        <v>149</v>
      </c>
      <c r="AV31" t="s">
        <v>153</v>
      </c>
      <c r="AW31" t="s">
        <v>26</v>
      </c>
      <c r="AX31" t="s">
        <v>146</v>
      </c>
      <c r="AY31" s="70" t="s">
        <v>2420</v>
      </c>
      <c r="AZ31" s="70" t="s">
        <v>17</v>
      </c>
      <c r="BA31" s="70">
        <v>0</v>
      </c>
      <c r="BB31" s="70" t="s">
        <v>2427</v>
      </c>
      <c r="BC31" s="70" t="s">
        <v>19</v>
      </c>
      <c r="BD31" s="70" t="s">
        <v>2427</v>
      </c>
      <c r="BE31" t="s">
        <v>21</v>
      </c>
      <c r="BF31" t="s">
        <v>23</v>
      </c>
      <c r="BG31" t="s">
        <v>155</v>
      </c>
      <c r="BH31" t="s">
        <v>24</v>
      </c>
      <c r="BI31" t="s">
        <v>172</v>
      </c>
      <c r="BJ31" t="s">
        <v>166</v>
      </c>
      <c r="BK31" s="70">
        <v>7</v>
      </c>
      <c r="BL31" s="70">
        <v>5</v>
      </c>
      <c r="BM31"/>
      <c r="BN31" t="s">
        <v>2435</v>
      </c>
      <c r="BO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 t="s">
        <v>765</v>
      </c>
      <c r="CZ31"/>
      <c r="DL31"/>
      <c r="DM31" s="70" t="s">
        <v>1686</v>
      </c>
      <c r="DN31"/>
      <c r="DO31" s="70" t="s">
        <v>1686</v>
      </c>
      <c r="DP31" t="s">
        <v>765</v>
      </c>
      <c r="DQ31" t="s">
        <v>2435</v>
      </c>
      <c r="DS31" t="s">
        <v>1970</v>
      </c>
      <c r="DT31" t="s">
        <v>1971</v>
      </c>
      <c r="DU31" t="s">
        <v>1972</v>
      </c>
      <c r="DV31"/>
    </row>
    <row r="32" spans="2:133" x14ac:dyDescent="0.25">
      <c r="B32">
        <v>7497374</v>
      </c>
      <c r="C32">
        <v>1</v>
      </c>
      <c r="D32">
        <v>11</v>
      </c>
      <c r="E32">
        <v>10</v>
      </c>
      <c r="F32">
        <v>1984</v>
      </c>
      <c r="G32">
        <v>4</v>
      </c>
      <c r="H32">
        <v>1</v>
      </c>
      <c r="I32">
        <v>2010</v>
      </c>
      <c r="J32" t="s">
        <v>503</v>
      </c>
      <c r="K32" t="s">
        <v>766</v>
      </c>
      <c r="L32">
        <v>7038411786</v>
      </c>
      <c r="M32" t="s">
        <v>1048</v>
      </c>
      <c r="N32" t="s">
        <v>439</v>
      </c>
      <c r="O32" t="s">
        <v>1049</v>
      </c>
      <c r="P32" t="s">
        <v>1504</v>
      </c>
      <c r="Z32" t="s">
        <v>439</v>
      </c>
      <c r="AA32" t="s">
        <v>1049</v>
      </c>
      <c r="AB32" t="s">
        <v>76</v>
      </c>
      <c r="AU32" t="s">
        <v>165</v>
      </c>
      <c r="AV32" t="s">
        <v>146</v>
      </c>
      <c r="AW32" t="s">
        <v>25</v>
      </c>
      <c r="AX32" t="s">
        <v>146</v>
      </c>
      <c r="AY32" s="70" t="s">
        <v>2422</v>
      </c>
      <c r="AZ32" s="70" t="s">
        <v>2428</v>
      </c>
      <c r="BA32" s="70">
        <v>1</v>
      </c>
      <c r="BB32" s="70" t="s">
        <v>20</v>
      </c>
      <c r="BC32" s="70" t="s">
        <v>20</v>
      </c>
      <c r="BD32" s="70" t="s">
        <v>19</v>
      </c>
      <c r="BE32" t="s">
        <v>21</v>
      </c>
      <c r="BF32" t="s">
        <v>23</v>
      </c>
      <c r="BG32" t="s">
        <v>155</v>
      </c>
      <c r="BH32" t="s">
        <v>25</v>
      </c>
      <c r="BI32" t="s">
        <v>25</v>
      </c>
      <c r="BJ32" t="s">
        <v>24</v>
      </c>
      <c r="BK32" s="70">
        <v>2</v>
      </c>
      <c r="BL32" s="70">
        <v>6</v>
      </c>
      <c r="BM32"/>
      <c r="BN32" t="s">
        <v>2436</v>
      </c>
      <c r="BO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 t="s">
        <v>766</v>
      </c>
      <c r="CZ32"/>
      <c r="DL32"/>
      <c r="DM32" s="70" t="s">
        <v>1687</v>
      </c>
      <c r="DN32"/>
      <c r="DO32" s="70" t="s">
        <v>1687</v>
      </c>
      <c r="DP32" t="s">
        <v>766</v>
      </c>
      <c r="DQ32" t="s">
        <v>2436</v>
      </c>
      <c r="DS32" t="s">
        <v>1973</v>
      </c>
      <c r="DT32" t="s">
        <v>1974</v>
      </c>
      <c r="DU32" t="s">
        <v>1975</v>
      </c>
      <c r="DV32"/>
    </row>
    <row r="33" spans="2:126" x14ac:dyDescent="0.25">
      <c r="B33">
        <v>5949944</v>
      </c>
      <c r="C33">
        <v>1</v>
      </c>
      <c r="D33">
        <v>12</v>
      </c>
      <c r="E33">
        <v>26</v>
      </c>
      <c r="F33">
        <v>1969</v>
      </c>
      <c r="G33">
        <v>6</v>
      </c>
      <c r="H33">
        <v>1</v>
      </c>
      <c r="I33">
        <v>1999</v>
      </c>
      <c r="J33" t="s">
        <v>504</v>
      </c>
      <c r="K33" t="s">
        <v>767</v>
      </c>
      <c r="L33">
        <v>72937009453</v>
      </c>
      <c r="M33" t="s">
        <v>1050</v>
      </c>
      <c r="N33" t="s">
        <v>1051</v>
      </c>
      <c r="O33" t="s">
        <v>1052</v>
      </c>
      <c r="P33" t="s">
        <v>62</v>
      </c>
      <c r="Z33" t="s">
        <v>1051</v>
      </c>
      <c r="AA33" t="s">
        <v>1052</v>
      </c>
      <c r="AB33" t="s">
        <v>1149</v>
      </c>
      <c r="AU33" t="s">
        <v>149</v>
      </c>
      <c r="AV33" t="s">
        <v>146</v>
      </c>
      <c r="AW33" t="s">
        <v>153</v>
      </c>
      <c r="AX33" t="s">
        <v>24</v>
      </c>
      <c r="AY33" s="70" t="s">
        <v>27</v>
      </c>
      <c r="AZ33" s="70" t="s">
        <v>17</v>
      </c>
      <c r="BA33" s="70">
        <v>1</v>
      </c>
      <c r="BB33" s="70" t="s">
        <v>2418</v>
      </c>
      <c r="BC33" s="70" t="s">
        <v>2418</v>
      </c>
      <c r="BD33" s="70" t="s">
        <v>27</v>
      </c>
      <c r="BE33" t="s">
        <v>21</v>
      </c>
      <c r="BF33" t="s">
        <v>23</v>
      </c>
      <c r="BG33" t="s">
        <v>155</v>
      </c>
      <c r="BH33" t="s">
        <v>25</v>
      </c>
      <c r="BI33" t="s">
        <v>24</v>
      </c>
      <c r="BJ33" t="s">
        <v>177</v>
      </c>
      <c r="BK33" s="70">
        <v>5</v>
      </c>
      <c r="BL33" s="70">
        <v>1</v>
      </c>
      <c r="BM33"/>
      <c r="BN33" t="s">
        <v>2437</v>
      </c>
      <c r="BO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 t="s">
        <v>767</v>
      </c>
      <c r="CZ33"/>
      <c r="DL33"/>
      <c r="DM33" s="70" t="s">
        <v>1688</v>
      </c>
      <c r="DN33"/>
      <c r="DO33" s="70" t="s">
        <v>1688</v>
      </c>
      <c r="DP33" t="s">
        <v>767</v>
      </c>
      <c r="DQ33" t="s">
        <v>2437</v>
      </c>
      <c r="DS33" t="s">
        <v>1976</v>
      </c>
      <c r="DT33" t="s">
        <v>1977</v>
      </c>
      <c r="DU33" t="s">
        <v>1978</v>
      </c>
      <c r="DV33"/>
    </row>
    <row r="34" spans="2:126" x14ac:dyDescent="0.25">
      <c r="B34">
        <v>40003346</v>
      </c>
      <c r="C34">
        <v>1</v>
      </c>
      <c r="D34">
        <v>9</v>
      </c>
      <c r="E34">
        <v>15</v>
      </c>
      <c r="F34">
        <v>1987</v>
      </c>
      <c r="G34">
        <v>6</v>
      </c>
      <c r="H34">
        <v>24</v>
      </c>
      <c r="I34">
        <v>2019</v>
      </c>
      <c r="J34" t="s">
        <v>505</v>
      </c>
      <c r="K34" t="s">
        <v>768</v>
      </c>
      <c r="L34">
        <v>45048710631</v>
      </c>
      <c r="M34" t="s">
        <v>1053</v>
      </c>
      <c r="N34" t="s">
        <v>407</v>
      </c>
      <c r="O34" t="s">
        <v>418</v>
      </c>
      <c r="P34" t="s">
        <v>1505</v>
      </c>
      <c r="Z34" t="s">
        <v>407</v>
      </c>
      <c r="AA34" t="s">
        <v>418</v>
      </c>
      <c r="AB34" t="s">
        <v>1054</v>
      </c>
      <c r="AU34" t="s">
        <v>24</v>
      </c>
      <c r="AV34" t="s">
        <v>170</v>
      </c>
      <c r="AW34" t="s">
        <v>172</v>
      </c>
      <c r="AX34" t="s">
        <v>23</v>
      </c>
      <c r="AY34" s="70" t="s">
        <v>2422</v>
      </c>
      <c r="AZ34" s="70" t="s">
        <v>2420</v>
      </c>
      <c r="BA34" s="70">
        <v>0</v>
      </c>
      <c r="BB34" s="70" t="s">
        <v>17</v>
      </c>
      <c r="BC34" s="70" t="s">
        <v>20</v>
      </c>
      <c r="BD34" s="70" t="s">
        <v>2427</v>
      </c>
      <c r="BE34" t="s">
        <v>21</v>
      </c>
      <c r="BF34" t="s">
        <v>23</v>
      </c>
      <c r="BG34" t="s">
        <v>155</v>
      </c>
      <c r="BH34" t="s">
        <v>172</v>
      </c>
      <c r="BI34" t="s">
        <v>25</v>
      </c>
      <c r="BJ34" t="s">
        <v>157</v>
      </c>
      <c r="BK34" s="70">
        <v>3</v>
      </c>
      <c r="BL34" s="70">
        <v>0</v>
      </c>
      <c r="BM34"/>
      <c r="BN34" t="s">
        <v>2438</v>
      </c>
      <c r="BO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 t="s">
        <v>768</v>
      </c>
      <c r="CZ34"/>
      <c r="DL34"/>
      <c r="DM34" s="70" t="s">
        <v>1689</v>
      </c>
      <c r="DN34"/>
      <c r="DO34" s="70" t="s">
        <v>1689</v>
      </c>
      <c r="DP34" t="s">
        <v>768</v>
      </c>
      <c r="DQ34" t="s">
        <v>2438</v>
      </c>
      <c r="DS34" t="s">
        <v>1979</v>
      </c>
      <c r="DT34" t="s">
        <v>1980</v>
      </c>
      <c r="DU34" t="s">
        <v>1981</v>
      </c>
      <c r="DV34"/>
    </row>
    <row r="35" spans="2:126" x14ac:dyDescent="0.25">
      <c r="B35">
        <v>7023984</v>
      </c>
      <c r="C35">
        <v>1</v>
      </c>
      <c r="D35">
        <v>9</v>
      </c>
      <c r="E35">
        <v>4</v>
      </c>
      <c r="F35">
        <v>1982</v>
      </c>
      <c r="G35">
        <v>9</v>
      </c>
      <c r="H35">
        <v>1</v>
      </c>
      <c r="I35">
        <v>2008</v>
      </c>
      <c r="J35" t="s">
        <v>506</v>
      </c>
      <c r="K35" t="s">
        <v>769</v>
      </c>
      <c r="L35">
        <v>1018201093</v>
      </c>
      <c r="M35" t="s">
        <v>1055</v>
      </c>
      <c r="N35" t="s">
        <v>485</v>
      </c>
      <c r="O35" t="s">
        <v>451</v>
      </c>
      <c r="P35" t="s">
        <v>1506</v>
      </c>
      <c r="Z35" t="s">
        <v>485</v>
      </c>
      <c r="AA35" t="s">
        <v>451</v>
      </c>
      <c r="AB35" t="s">
        <v>1056</v>
      </c>
      <c r="AU35" t="s">
        <v>22</v>
      </c>
      <c r="AV35" t="s">
        <v>146</v>
      </c>
      <c r="AW35" t="s">
        <v>155</v>
      </c>
      <c r="AX35" t="s">
        <v>153</v>
      </c>
      <c r="AY35" s="70" t="s">
        <v>2422</v>
      </c>
      <c r="AZ35" s="70" t="s">
        <v>2418</v>
      </c>
      <c r="BA35" s="70">
        <v>0</v>
      </c>
      <c r="BB35" s="70" t="s">
        <v>17</v>
      </c>
      <c r="BC35" s="70" t="s">
        <v>19</v>
      </c>
      <c r="BD35" s="70" t="s">
        <v>2428</v>
      </c>
      <c r="BE35" t="s">
        <v>21</v>
      </c>
      <c r="BF35" t="s">
        <v>23</v>
      </c>
      <c r="BG35" t="s">
        <v>155</v>
      </c>
      <c r="BH35" t="s">
        <v>25</v>
      </c>
      <c r="BI35" t="s">
        <v>166</v>
      </c>
      <c r="BJ35" t="s">
        <v>25</v>
      </c>
      <c r="BK35" s="70">
        <v>0</v>
      </c>
      <c r="BL35" s="70">
        <v>0</v>
      </c>
      <c r="BM35"/>
      <c r="BN35" t="s">
        <v>2439</v>
      </c>
      <c r="BO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 t="s">
        <v>769</v>
      </c>
      <c r="CZ35"/>
      <c r="DL35"/>
      <c r="DM35" s="70" t="s">
        <v>1690</v>
      </c>
      <c r="DN35"/>
      <c r="DO35" s="70" t="s">
        <v>1690</v>
      </c>
      <c r="DP35" t="s">
        <v>769</v>
      </c>
      <c r="DQ35" t="s">
        <v>2439</v>
      </c>
      <c r="DS35" t="s">
        <v>1982</v>
      </c>
      <c r="DT35" t="s">
        <v>1983</v>
      </c>
      <c r="DU35" t="s">
        <v>1984</v>
      </c>
      <c r="DV35"/>
    </row>
    <row r="36" spans="2:126" x14ac:dyDescent="0.25">
      <c r="B36">
        <v>40008448</v>
      </c>
      <c r="C36">
        <v>1</v>
      </c>
      <c r="D36">
        <v>7</v>
      </c>
      <c r="E36">
        <v>10</v>
      </c>
      <c r="F36">
        <v>1994</v>
      </c>
      <c r="G36">
        <v>7</v>
      </c>
      <c r="H36">
        <v>1</v>
      </c>
      <c r="I36">
        <v>2021</v>
      </c>
      <c r="J36" t="s">
        <v>507</v>
      </c>
      <c r="K36" t="s">
        <v>770</v>
      </c>
      <c r="L36">
        <v>39119404653</v>
      </c>
      <c r="M36" t="s">
        <v>1057</v>
      </c>
      <c r="N36" t="s">
        <v>1058</v>
      </c>
      <c r="O36" t="s">
        <v>410</v>
      </c>
      <c r="P36" t="s">
        <v>1507</v>
      </c>
      <c r="Z36" t="s">
        <v>1058</v>
      </c>
      <c r="AA36" t="s">
        <v>410</v>
      </c>
      <c r="AB36" t="s">
        <v>1507</v>
      </c>
      <c r="AU36" t="s">
        <v>24</v>
      </c>
      <c r="AV36" t="s">
        <v>146</v>
      </c>
      <c r="AW36" t="s">
        <v>21</v>
      </c>
      <c r="AX36" t="s">
        <v>165</v>
      </c>
      <c r="AY36" s="70" t="s">
        <v>17</v>
      </c>
      <c r="AZ36" s="70" t="s">
        <v>2428</v>
      </c>
      <c r="BA36" s="70">
        <v>0</v>
      </c>
      <c r="BB36" s="70" t="s">
        <v>2420</v>
      </c>
      <c r="BC36" s="70" t="s">
        <v>20</v>
      </c>
      <c r="BD36" s="70" t="s">
        <v>19</v>
      </c>
      <c r="BE36" t="s">
        <v>21</v>
      </c>
      <c r="BF36" t="s">
        <v>23</v>
      </c>
      <c r="BG36" t="s">
        <v>155</v>
      </c>
      <c r="BH36" t="s">
        <v>26</v>
      </c>
      <c r="BI36" t="s">
        <v>25</v>
      </c>
      <c r="BJ36" t="s">
        <v>166</v>
      </c>
      <c r="BK36" s="70">
        <v>5</v>
      </c>
      <c r="BL36" s="70">
        <v>0</v>
      </c>
      <c r="BM36"/>
      <c r="BN36" t="s">
        <v>2440</v>
      </c>
      <c r="BO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 t="s">
        <v>770</v>
      </c>
      <c r="CZ36"/>
      <c r="DL36"/>
      <c r="DM36" s="70" t="s">
        <v>1691</v>
      </c>
      <c r="DN36"/>
      <c r="DO36" s="70" t="s">
        <v>1691</v>
      </c>
      <c r="DP36" t="s">
        <v>770</v>
      </c>
      <c r="DQ36" t="s">
        <v>2440</v>
      </c>
      <c r="DS36" t="s">
        <v>1985</v>
      </c>
      <c r="DT36" t="s">
        <v>1986</v>
      </c>
      <c r="DU36" t="s">
        <v>1987</v>
      </c>
      <c r="DV36"/>
    </row>
    <row r="37" spans="2:126" x14ac:dyDescent="0.25">
      <c r="B37">
        <v>9218490</v>
      </c>
      <c r="C37">
        <v>2</v>
      </c>
      <c r="D37">
        <v>1</v>
      </c>
      <c r="E37">
        <v>13</v>
      </c>
      <c r="F37">
        <v>1986</v>
      </c>
      <c r="G37">
        <v>6</v>
      </c>
      <c r="H37">
        <v>1</v>
      </c>
      <c r="I37">
        <v>2017</v>
      </c>
      <c r="J37" t="s">
        <v>508</v>
      </c>
      <c r="K37" t="s">
        <v>771</v>
      </c>
      <c r="L37">
        <v>37068612912</v>
      </c>
      <c r="M37" t="s">
        <v>1059</v>
      </c>
      <c r="N37" t="s">
        <v>407</v>
      </c>
      <c r="O37" t="s">
        <v>1029</v>
      </c>
      <c r="P37" t="s">
        <v>1508</v>
      </c>
      <c r="Z37" t="s">
        <v>407</v>
      </c>
      <c r="AA37" t="s">
        <v>1029</v>
      </c>
      <c r="AB37" t="s">
        <v>1508</v>
      </c>
      <c r="AU37" t="s">
        <v>24</v>
      </c>
      <c r="AV37" t="s">
        <v>170</v>
      </c>
      <c r="AW37" t="s">
        <v>26</v>
      </c>
      <c r="AX37" t="s">
        <v>165</v>
      </c>
      <c r="AY37" s="70" t="s">
        <v>2422</v>
      </c>
      <c r="AZ37" s="70" t="s">
        <v>27</v>
      </c>
      <c r="BA37" s="70">
        <v>0</v>
      </c>
      <c r="BB37" s="70" t="s">
        <v>20</v>
      </c>
      <c r="BC37" s="70" t="s">
        <v>20</v>
      </c>
      <c r="BD37" s="70" t="s">
        <v>18</v>
      </c>
      <c r="BE37" t="s">
        <v>165</v>
      </c>
      <c r="BF37" t="s">
        <v>23</v>
      </c>
      <c r="BG37" t="s">
        <v>155</v>
      </c>
      <c r="BH37" t="s">
        <v>172</v>
      </c>
      <c r="BI37" t="s">
        <v>182</v>
      </c>
      <c r="BJ37" t="s">
        <v>25</v>
      </c>
      <c r="BK37" s="70">
        <v>4</v>
      </c>
      <c r="BL37" s="70">
        <v>7</v>
      </c>
      <c r="BM37"/>
      <c r="BN37" t="s">
        <v>2441</v>
      </c>
      <c r="BO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 t="s">
        <v>771</v>
      </c>
      <c r="CZ37"/>
      <c r="DL37"/>
      <c r="DM37" s="70" t="s">
        <v>1692</v>
      </c>
      <c r="DN37"/>
      <c r="DO37" s="70" t="s">
        <v>1692</v>
      </c>
      <c r="DP37" t="s">
        <v>771</v>
      </c>
      <c r="DQ37" t="s">
        <v>2441</v>
      </c>
      <c r="DS37" t="s">
        <v>1988</v>
      </c>
      <c r="DT37" t="s">
        <v>1980</v>
      </c>
      <c r="DU37" t="s">
        <v>1953</v>
      </c>
      <c r="DV37"/>
    </row>
    <row r="38" spans="2:126" x14ac:dyDescent="0.25">
      <c r="B38">
        <v>40012643</v>
      </c>
      <c r="C38">
        <v>1</v>
      </c>
      <c r="D38">
        <v>3</v>
      </c>
      <c r="E38">
        <v>15</v>
      </c>
      <c r="F38">
        <v>1978</v>
      </c>
      <c r="G38">
        <v>9</v>
      </c>
      <c r="H38">
        <v>1</v>
      </c>
      <c r="I38">
        <v>2023</v>
      </c>
      <c r="J38" t="s">
        <v>509</v>
      </c>
      <c r="K38" t="s">
        <v>772</v>
      </c>
      <c r="L38">
        <v>42077800169</v>
      </c>
      <c r="M38" t="s">
        <v>1060</v>
      </c>
      <c r="N38" t="s">
        <v>426</v>
      </c>
      <c r="O38" t="s">
        <v>427</v>
      </c>
      <c r="P38" t="s">
        <v>1509</v>
      </c>
      <c r="Z38" t="s">
        <v>426</v>
      </c>
      <c r="AA38" t="s">
        <v>427</v>
      </c>
      <c r="AB38" t="s">
        <v>1061</v>
      </c>
      <c r="AU38" t="s">
        <v>177</v>
      </c>
      <c r="AV38" t="s">
        <v>146</v>
      </c>
      <c r="AW38" t="s">
        <v>177</v>
      </c>
      <c r="AX38" t="s">
        <v>25</v>
      </c>
      <c r="AY38" s="70" t="s">
        <v>2420</v>
      </c>
      <c r="AZ38" s="70" t="s">
        <v>2422</v>
      </c>
      <c r="BA38" s="70">
        <v>0</v>
      </c>
      <c r="BB38" s="70" t="s">
        <v>18</v>
      </c>
      <c r="BC38" s="70" t="s">
        <v>20</v>
      </c>
      <c r="BD38" s="70" t="s">
        <v>2427</v>
      </c>
      <c r="BE38" t="s">
        <v>21</v>
      </c>
      <c r="BF38" t="s">
        <v>23</v>
      </c>
      <c r="BG38" t="s">
        <v>155</v>
      </c>
      <c r="BH38" t="s">
        <v>166</v>
      </c>
      <c r="BI38" t="s">
        <v>24</v>
      </c>
      <c r="BJ38" t="s">
        <v>186</v>
      </c>
      <c r="BK38" s="70">
        <v>4</v>
      </c>
      <c r="BL38" s="70">
        <v>6</v>
      </c>
      <c r="BM38"/>
      <c r="BN38" t="s">
        <v>2442</v>
      </c>
      <c r="BO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 t="s">
        <v>772</v>
      </c>
      <c r="CZ38"/>
      <c r="DL38"/>
      <c r="DM38" s="70" t="s">
        <v>1693</v>
      </c>
      <c r="DN38"/>
      <c r="DO38" s="70" t="s">
        <v>1693</v>
      </c>
      <c r="DP38" t="s">
        <v>772</v>
      </c>
      <c r="DQ38" t="s">
        <v>2442</v>
      </c>
      <c r="DS38" t="s">
        <v>1989</v>
      </c>
      <c r="DT38" t="s">
        <v>1990</v>
      </c>
      <c r="DU38" t="s">
        <v>1991</v>
      </c>
      <c r="DV38"/>
    </row>
    <row r="39" spans="2:126" x14ac:dyDescent="0.25">
      <c r="B39">
        <v>40005835</v>
      </c>
      <c r="C39">
        <v>1</v>
      </c>
      <c r="D39">
        <v>4</v>
      </c>
      <c r="E39">
        <v>5</v>
      </c>
      <c r="F39">
        <v>1989</v>
      </c>
      <c r="G39">
        <v>2</v>
      </c>
      <c r="H39">
        <v>8</v>
      </c>
      <c r="I39">
        <v>2021</v>
      </c>
      <c r="J39" t="s">
        <v>510</v>
      </c>
      <c r="K39" t="s">
        <v>773</v>
      </c>
      <c r="L39">
        <v>26148972776</v>
      </c>
      <c r="M39" t="s">
        <v>1062</v>
      </c>
      <c r="N39" t="s">
        <v>1063</v>
      </c>
      <c r="O39" t="s">
        <v>1064</v>
      </c>
      <c r="P39" t="s">
        <v>1510</v>
      </c>
      <c r="Z39" t="s">
        <v>1063</v>
      </c>
      <c r="AA39" t="s">
        <v>1064</v>
      </c>
      <c r="AB39" t="s">
        <v>1065</v>
      </c>
      <c r="AU39" t="s">
        <v>172</v>
      </c>
      <c r="AV39" t="s">
        <v>146</v>
      </c>
      <c r="AW39" t="s">
        <v>165</v>
      </c>
      <c r="AX39" t="s">
        <v>161</v>
      </c>
      <c r="AY39" s="70" t="s">
        <v>2422</v>
      </c>
      <c r="AZ39" s="70" t="s">
        <v>17</v>
      </c>
      <c r="BA39" s="70">
        <v>0</v>
      </c>
      <c r="BB39" s="70" t="s">
        <v>2428</v>
      </c>
      <c r="BC39" s="70" t="s">
        <v>19</v>
      </c>
      <c r="BD39" s="70" t="s">
        <v>2427</v>
      </c>
      <c r="BE39" t="s">
        <v>21</v>
      </c>
      <c r="BF39" t="s">
        <v>23</v>
      </c>
      <c r="BG39" t="s">
        <v>155</v>
      </c>
      <c r="BH39" t="s">
        <v>24</v>
      </c>
      <c r="BI39" t="s">
        <v>25</v>
      </c>
      <c r="BJ39" t="s">
        <v>177</v>
      </c>
      <c r="BK39" s="70">
        <v>3</v>
      </c>
      <c r="BL39" s="70">
        <v>2</v>
      </c>
      <c r="BM39"/>
      <c r="BN39" t="s">
        <v>2443</v>
      </c>
      <c r="BO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 t="s">
        <v>773</v>
      </c>
      <c r="CZ39"/>
      <c r="DL39"/>
      <c r="DM39" s="70" t="s">
        <v>1694</v>
      </c>
      <c r="DN39"/>
      <c r="DO39" s="70" t="s">
        <v>1694</v>
      </c>
      <c r="DP39" t="s">
        <v>773</v>
      </c>
      <c r="DQ39" t="s">
        <v>2443</v>
      </c>
      <c r="DS39" t="s">
        <v>1992</v>
      </c>
      <c r="DT39" t="s">
        <v>1993</v>
      </c>
      <c r="DU39" t="s">
        <v>1994</v>
      </c>
      <c r="DV39"/>
    </row>
    <row r="40" spans="2:126" x14ac:dyDescent="0.25">
      <c r="B40">
        <v>40010875</v>
      </c>
      <c r="C40">
        <v>1</v>
      </c>
      <c r="D40">
        <v>2</v>
      </c>
      <c r="E40">
        <v>23</v>
      </c>
      <c r="F40">
        <v>1976</v>
      </c>
      <c r="G40">
        <v>8</v>
      </c>
      <c r="H40">
        <v>1</v>
      </c>
      <c r="I40">
        <v>2022</v>
      </c>
      <c r="J40" t="s">
        <v>511</v>
      </c>
      <c r="K40" t="s">
        <v>774</v>
      </c>
      <c r="L40">
        <v>37977629098</v>
      </c>
      <c r="M40" t="s">
        <v>1066</v>
      </c>
      <c r="N40" t="s">
        <v>419</v>
      </c>
      <c r="O40" t="s">
        <v>426</v>
      </c>
      <c r="P40" t="s">
        <v>59</v>
      </c>
      <c r="Z40" t="s">
        <v>419</v>
      </c>
      <c r="AA40" t="s">
        <v>426</v>
      </c>
      <c r="AB40" t="s">
        <v>59</v>
      </c>
      <c r="AU40" t="s">
        <v>157</v>
      </c>
      <c r="AV40" t="s">
        <v>180</v>
      </c>
      <c r="AW40" t="s">
        <v>177</v>
      </c>
      <c r="AX40" t="s">
        <v>153</v>
      </c>
      <c r="AY40" s="70" t="s">
        <v>2420</v>
      </c>
      <c r="AZ40" s="70" t="s">
        <v>27</v>
      </c>
      <c r="BA40" s="70">
        <v>0</v>
      </c>
      <c r="BB40" s="70" t="s">
        <v>2418</v>
      </c>
      <c r="BC40" s="70" t="s">
        <v>2418</v>
      </c>
      <c r="BD40" s="70" t="s">
        <v>18</v>
      </c>
      <c r="BE40" t="s">
        <v>21</v>
      </c>
      <c r="BF40" t="s">
        <v>23</v>
      </c>
      <c r="BG40" t="s">
        <v>155</v>
      </c>
      <c r="BH40" t="s">
        <v>16</v>
      </c>
      <c r="BI40" t="s">
        <v>166</v>
      </c>
      <c r="BJ40" t="s">
        <v>166</v>
      </c>
      <c r="BK40" s="70">
        <v>0</v>
      </c>
      <c r="BL40" s="70">
        <v>1</v>
      </c>
      <c r="BM40"/>
      <c r="BN40" t="s">
        <v>2444</v>
      </c>
      <c r="BO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 t="s">
        <v>774</v>
      </c>
      <c r="CZ40"/>
      <c r="DL40"/>
      <c r="DM40" s="70" t="s">
        <v>1695</v>
      </c>
      <c r="DN40"/>
      <c r="DO40" s="70" t="s">
        <v>1695</v>
      </c>
      <c r="DP40" t="s">
        <v>774</v>
      </c>
      <c r="DQ40" t="s">
        <v>2444</v>
      </c>
      <c r="DS40" t="s">
        <v>1995</v>
      </c>
      <c r="DT40" t="s">
        <v>1996</v>
      </c>
      <c r="DU40" t="s">
        <v>1990</v>
      </c>
      <c r="DV40"/>
    </row>
    <row r="41" spans="2:126" x14ac:dyDescent="0.25">
      <c r="B41">
        <v>40011226</v>
      </c>
      <c r="C41">
        <v>2</v>
      </c>
      <c r="D41">
        <v>9</v>
      </c>
      <c r="E41">
        <v>3</v>
      </c>
      <c r="F41">
        <v>2000</v>
      </c>
      <c r="G41">
        <v>9</v>
      </c>
      <c r="H41">
        <v>12</v>
      </c>
      <c r="I41">
        <v>2022</v>
      </c>
      <c r="J41" t="s">
        <v>512</v>
      </c>
      <c r="K41" t="s">
        <v>775</v>
      </c>
      <c r="L41">
        <v>90160040755</v>
      </c>
      <c r="M41" t="s">
        <v>1067</v>
      </c>
      <c r="N41" t="s">
        <v>407</v>
      </c>
      <c r="O41" t="s">
        <v>1068</v>
      </c>
      <c r="P41" t="s">
        <v>1511</v>
      </c>
      <c r="Z41" t="s">
        <v>407</v>
      </c>
      <c r="AA41" t="s">
        <v>1068</v>
      </c>
      <c r="AB41" t="s">
        <v>1069</v>
      </c>
      <c r="AU41" t="s">
        <v>24</v>
      </c>
      <c r="AV41" t="s">
        <v>170</v>
      </c>
      <c r="AW41" t="s">
        <v>155</v>
      </c>
      <c r="AX41" t="s">
        <v>16</v>
      </c>
      <c r="AY41" s="70" t="s">
        <v>19</v>
      </c>
      <c r="AZ41" s="70" t="s">
        <v>19</v>
      </c>
      <c r="BA41" s="70">
        <v>0</v>
      </c>
      <c r="BB41" s="70" t="s">
        <v>17</v>
      </c>
      <c r="BC41" s="70" t="s">
        <v>19</v>
      </c>
      <c r="BD41" s="70" t="s">
        <v>18</v>
      </c>
      <c r="BE41" t="s">
        <v>165</v>
      </c>
      <c r="BF41" t="s">
        <v>23</v>
      </c>
      <c r="BG41" t="s">
        <v>155</v>
      </c>
      <c r="BH41" t="s">
        <v>172</v>
      </c>
      <c r="BI41" t="s">
        <v>25</v>
      </c>
      <c r="BJ41" t="s">
        <v>166</v>
      </c>
      <c r="BK41" s="70" t="s">
        <v>157</v>
      </c>
      <c r="BL41" s="70">
        <v>8</v>
      </c>
      <c r="BM41"/>
      <c r="BN41" t="s">
        <v>2445</v>
      </c>
      <c r="BO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 t="s">
        <v>775</v>
      </c>
      <c r="CZ41"/>
      <c r="DL41"/>
      <c r="DM41" s="70" t="s">
        <v>1696</v>
      </c>
      <c r="DN41"/>
      <c r="DO41" s="70" t="s">
        <v>1696</v>
      </c>
      <c r="DP41" t="s">
        <v>775</v>
      </c>
      <c r="DQ41" t="s">
        <v>2445</v>
      </c>
      <c r="DS41" t="s">
        <v>1997</v>
      </c>
      <c r="DT41" t="s">
        <v>1980</v>
      </c>
      <c r="DU41" t="s">
        <v>1998</v>
      </c>
      <c r="DV41"/>
    </row>
    <row r="42" spans="2:126" x14ac:dyDescent="0.25">
      <c r="B42">
        <v>5993129</v>
      </c>
      <c r="C42">
        <v>1</v>
      </c>
      <c r="D42">
        <v>2</v>
      </c>
      <c r="E42">
        <v>9</v>
      </c>
      <c r="F42">
        <v>1969</v>
      </c>
      <c r="G42">
        <v>12</v>
      </c>
      <c r="H42">
        <v>1</v>
      </c>
      <c r="I42">
        <v>2005</v>
      </c>
      <c r="J42" t="s">
        <v>513</v>
      </c>
      <c r="K42" t="s">
        <v>776</v>
      </c>
      <c r="L42">
        <v>12876998498</v>
      </c>
      <c r="M42" t="s">
        <v>1070</v>
      </c>
      <c r="N42" t="s">
        <v>418</v>
      </c>
      <c r="O42" t="s">
        <v>422</v>
      </c>
      <c r="P42" t="s">
        <v>85</v>
      </c>
      <c r="Z42" t="s">
        <v>418</v>
      </c>
      <c r="AA42" t="s">
        <v>422</v>
      </c>
      <c r="AB42" t="s">
        <v>85</v>
      </c>
      <c r="AU42" t="s">
        <v>172</v>
      </c>
      <c r="AV42" t="s">
        <v>153</v>
      </c>
      <c r="AW42" t="s">
        <v>170</v>
      </c>
      <c r="AX42" t="s">
        <v>170</v>
      </c>
      <c r="AY42" s="70" t="s">
        <v>27</v>
      </c>
      <c r="AZ42" s="70" t="s">
        <v>17</v>
      </c>
      <c r="BA42" s="70">
        <v>0</v>
      </c>
      <c r="BB42" s="70" t="s">
        <v>2418</v>
      </c>
      <c r="BC42" s="70" t="s">
        <v>19</v>
      </c>
      <c r="BD42" s="70" t="s">
        <v>17</v>
      </c>
      <c r="BE42" t="s">
        <v>21</v>
      </c>
      <c r="BF42" t="s">
        <v>23</v>
      </c>
      <c r="BG42" t="s">
        <v>155</v>
      </c>
      <c r="BH42" t="s">
        <v>25</v>
      </c>
      <c r="BI42" t="s">
        <v>25</v>
      </c>
      <c r="BJ42" t="s">
        <v>177</v>
      </c>
      <c r="BK42" s="70">
        <v>1</v>
      </c>
      <c r="BL42" s="70">
        <v>3</v>
      </c>
      <c r="BM42"/>
      <c r="BN42" t="s">
        <v>2446</v>
      </c>
      <c r="BO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 t="s">
        <v>776</v>
      </c>
      <c r="CZ42"/>
      <c r="DL42"/>
      <c r="DM42" s="70" t="s">
        <v>1697</v>
      </c>
      <c r="DN42"/>
      <c r="DO42" s="70" t="s">
        <v>1697</v>
      </c>
      <c r="DP42" t="s">
        <v>776</v>
      </c>
      <c r="DQ42" t="s">
        <v>2446</v>
      </c>
      <c r="DS42" t="s">
        <v>1999</v>
      </c>
      <c r="DT42" t="s">
        <v>1981</v>
      </c>
      <c r="DU42" t="s">
        <v>2000</v>
      </c>
      <c r="DV42"/>
    </row>
    <row r="43" spans="2:126" x14ac:dyDescent="0.25">
      <c r="B43">
        <v>9182231</v>
      </c>
      <c r="C43">
        <v>2</v>
      </c>
      <c r="D43">
        <v>1</v>
      </c>
      <c r="E43">
        <v>28</v>
      </c>
      <c r="F43">
        <v>1981</v>
      </c>
      <c r="G43">
        <v>2</v>
      </c>
      <c r="H43">
        <v>15</v>
      </c>
      <c r="I43">
        <v>2016</v>
      </c>
      <c r="J43" t="s">
        <v>514</v>
      </c>
      <c r="K43" t="s">
        <v>777</v>
      </c>
      <c r="L43">
        <v>20118101144</v>
      </c>
      <c r="M43" t="s">
        <v>1071</v>
      </c>
      <c r="N43" t="s">
        <v>471</v>
      </c>
      <c r="O43" t="s">
        <v>1072</v>
      </c>
      <c r="P43" t="s">
        <v>72</v>
      </c>
      <c r="Z43" t="s">
        <v>471</v>
      </c>
      <c r="AA43" t="s">
        <v>1072</v>
      </c>
      <c r="AB43" t="s">
        <v>444</v>
      </c>
      <c r="AU43" t="s">
        <v>165</v>
      </c>
      <c r="AV43" t="s">
        <v>159</v>
      </c>
      <c r="AW43" t="s">
        <v>165</v>
      </c>
      <c r="AX43" t="s">
        <v>165</v>
      </c>
      <c r="AY43" s="70" t="s">
        <v>2422</v>
      </c>
      <c r="AZ43" s="70" t="s">
        <v>20</v>
      </c>
      <c r="BA43" s="70">
        <v>0</v>
      </c>
      <c r="BB43" s="70" t="s">
        <v>20</v>
      </c>
      <c r="BC43" s="70" t="s">
        <v>2418</v>
      </c>
      <c r="BD43" s="70" t="s">
        <v>2422</v>
      </c>
      <c r="BE43" t="s">
        <v>165</v>
      </c>
      <c r="BF43" t="s">
        <v>23</v>
      </c>
      <c r="BG43" t="s">
        <v>155</v>
      </c>
      <c r="BH43" t="s">
        <v>25</v>
      </c>
      <c r="BI43" t="s">
        <v>166</v>
      </c>
      <c r="BJ43" t="s">
        <v>157</v>
      </c>
      <c r="BK43" s="70">
        <v>6</v>
      </c>
      <c r="BL43" s="70">
        <v>2</v>
      </c>
      <c r="BM43"/>
      <c r="BN43" t="s">
        <v>2447</v>
      </c>
      <c r="BO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 t="s">
        <v>777</v>
      </c>
      <c r="CZ43"/>
      <c r="DL43"/>
      <c r="DM43" s="70" t="s">
        <v>1698</v>
      </c>
      <c r="DN43"/>
      <c r="DO43" s="70" t="s">
        <v>1698</v>
      </c>
      <c r="DP43" t="s">
        <v>777</v>
      </c>
      <c r="DQ43" t="s">
        <v>2447</v>
      </c>
      <c r="DS43" t="s">
        <v>2001</v>
      </c>
      <c r="DT43" t="s">
        <v>2002</v>
      </c>
      <c r="DU43" t="s">
        <v>2003</v>
      </c>
      <c r="DV43"/>
    </row>
    <row r="44" spans="2:126" x14ac:dyDescent="0.25">
      <c r="B44">
        <v>40010392</v>
      </c>
      <c r="C44">
        <v>2</v>
      </c>
      <c r="D44">
        <v>12</v>
      </c>
      <c r="E44">
        <v>9</v>
      </c>
      <c r="F44">
        <v>1997</v>
      </c>
      <c r="G44">
        <v>6</v>
      </c>
      <c r="H44">
        <v>8</v>
      </c>
      <c r="I44">
        <v>2022</v>
      </c>
      <c r="J44" t="s">
        <v>515</v>
      </c>
      <c r="K44" t="s">
        <v>778</v>
      </c>
      <c r="L44">
        <v>2189770122</v>
      </c>
      <c r="M44" t="s">
        <v>1073</v>
      </c>
      <c r="N44" t="s">
        <v>1074</v>
      </c>
      <c r="O44" t="s">
        <v>426</v>
      </c>
      <c r="P44" t="s">
        <v>1512</v>
      </c>
      <c r="Z44" t="s">
        <v>1074</v>
      </c>
      <c r="AA44" t="s">
        <v>426</v>
      </c>
      <c r="AB44" t="s">
        <v>1075</v>
      </c>
      <c r="AU44" t="s">
        <v>157</v>
      </c>
      <c r="AV44" t="s">
        <v>146</v>
      </c>
      <c r="AW44" t="s">
        <v>177</v>
      </c>
      <c r="AX44" t="s">
        <v>146</v>
      </c>
      <c r="AY44" s="70" t="s">
        <v>17</v>
      </c>
      <c r="AZ44" s="70" t="s">
        <v>2420</v>
      </c>
      <c r="BA44" s="70">
        <v>1</v>
      </c>
      <c r="BB44" s="70" t="s">
        <v>2418</v>
      </c>
      <c r="BC44" s="70" t="s">
        <v>19</v>
      </c>
      <c r="BD44" s="70" t="s">
        <v>17</v>
      </c>
      <c r="BE44" t="s">
        <v>165</v>
      </c>
      <c r="BF44" t="s">
        <v>23</v>
      </c>
      <c r="BG44" t="s">
        <v>155</v>
      </c>
      <c r="BH44" t="s">
        <v>25</v>
      </c>
      <c r="BI44" t="s">
        <v>166</v>
      </c>
      <c r="BJ44" t="s">
        <v>166</v>
      </c>
      <c r="BK44" s="70">
        <v>3</v>
      </c>
      <c r="BL44" s="70">
        <v>8</v>
      </c>
      <c r="BM44"/>
      <c r="BN44" t="s">
        <v>2448</v>
      </c>
      <c r="BO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 t="s">
        <v>2689</v>
      </c>
      <c r="CZ44"/>
      <c r="DL44"/>
      <c r="DM44" s="70" t="s">
        <v>1699</v>
      </c>
      <c r="DN44"/>
      <c r="DO44" s="70" t="s">
        <v>1699</v>
      </c>
      <c r="DP44" t="s">
        <v>2689</v>
      </c>
      <c r="DQ44" t="s">
        <v>2448</v>
      </c>
      <c r="DS44" t="s">
        <v>2004</v>
      </c>
      <c r="DT44" t="s">
        <v>2005</v>
      </c>
      <c r="DU44" t="s">
        <v>1990</v>
      </c>
      <c r="DV44"/>
    </row>
    <row r="45" spans="2:126" x14ac:dyDescent="0.25">
      <c r="B45">
        <v>5974434</v>
      </c>
      <c r="C45">
        <v>1</v>
      </c>
      <c r="D45">
        <v>12</v>
      </c>
      <c r="E45">
        <v>24</v>
      </c>
      <c r="F45">
        <v>1978</v>
      </c>
      <c r="G45">
        <v>4</v>
      </c>
      <c r="H45">
        <v>3</v>
      </c>
      <c r="I45">
        <v>2000</v>
      </c>
      <c r="J45" t="s">
        <v>516</v>
      </c>
      <c r="K45" t="s">
        <v>779</v>
      </c>
      <c r="L45">
        <v>11997814980</v>
      </c>
      <c r="M45" t="s">
        <v>1076</v>
      </c>
      <c r="N45" t="s">
        <v>1077</v>
      </c>
      <c r="O45" t="s">
        <v>1078</v>
      </c>
      <c r="P45" t="s">
        <v>1662</v>
      </c>
      <c r="Z45" t="s">
        <v>1077</v>
      </c>
      <c r="AA45" t="s">
        <v>1078</v>
      </c>
      <c r="AB45" t="s">
        <v>1165</v>
      </c>
      <c r="AU45" t="s">
        <v>177</v>
      </c>
      <c r="AV45" t="s">
        <v>159</v>
      </c>
      <c r="AW45" t="s">
        <v>146</v>
      </c>
      <c r="AX45" t="s">
        <v>146</v>
      </c>
      <c r="AY45" s="70" t="s">
        <v>2420</v>
      </c>
      <c r="AZ45" s="70" t="s">
        <v>2422</v>
      </c>
      <c r="BA45" s="70">
        <v>1</v>
      </c>
      <c r="BB45" s="70" t="s">
        <v>2418</v>
      </c>
      <c r="BC45" s="70" t="s">
        <v>2418</v>
      </c>
      <c r="BD45" s="70" t="s">
        <v>2428</v>
      </c>
      <c r="BE45" t="s">
        <v>21</v>
      </c>
      <c r="BF45" t="s">
        <v>23</v>
      </c>
      <c r="BG45" t="s">
        <v>155</v>
      </c>
      <c r="BH45" t="s">
        <v>24</v>
      </c>
      <c r="BI45" t="s">
        <v>24</v>
      </c>
      <c r="BJ45" t="s">
        <v>166</v>
      </c>
      <c r="BK45" s="70">
        <v>1</v>
      </c>
      <c r="BL45" s="70">
        <v>2</v>
      </c>
      <c r="BM45"/>
      <c r="BN45" t="s">
        <v>2449</v>
      </c>
      <c r="BO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 t="s">
        <v>779</v>
      </c>
      <c r="CZ45"/>
      <c r="DL45"/>
      <c r="DM45" s="70" t="s">
        <v>1700</v>
      </c>
      <c r="DN45"/>
      <c r="DO45" s="70" t="s">
        <v>1700</v>
      </c>
      <c r="DP45" t="s">
        <v>779</v>
      </c>
      <c r="DQ45" t="s">
        <v>2449</v>
      </c>
      <c r="DS45" t="s">
        <v>2006</v>
      </c>
      <c r="DT45" t="s">
        <v>2007</v>
      </c>
      <c r="DU45" t="s">
        <v>2008</v>
      </c>
      <c r="DV45"/>
    </row>
    <row r="46" spans="2:126" x14ac:dyDescent="0.25">
      <c r="B46">
        <v>5965133</v>
      </c>
      <c r="C46">
        <v>2</v>
      </c>
      <c r="D46">
        <v>11</v>
      </c>
      <c r="E46">
        <v>2</v>
      </c>
      <c r="F46">
        <v>1969</v>
      </c>
      <c r="G46">
        <v>1</v>
      </c>
      <c r="H46">
        <v>2</v>
      </c>
      <c r="I46">
        <v>2001</v>
      </c>
      <c r="J46" t="s">
        <v>517</v>
      </c>
      <c r="K46" t="s">
        <v>780</v>
      </c>
      <c r="L46">
        <v>20886916160</v>
      </c>
      <c r="M46" t="s">
        <v>1079</v>
      </c>
      <c r="N46" t="s">
        <v>436</v>
      </c>
      <c r="O46" t="s">
        <v>1080</v>
      </c>
      <c r="P46" t="s">
        <v>1513</v>
      </c>
      <c r="Z46" t="s">
        <v>436</v>
      </c>
      <c r="AA46" t="s">
        <v>1080</v>
      </c>
      <c r="AB46" t="s">
        <v>1291</v>
      </c>
      <c r="AU46" t="s">
        <v>165</v>
      </c>
      <c r="AV46" t="s">
        <v>153</v>
      </c>
      <c r="AW46" t="s">
        <v>22</v>
      </c>
      <c r="AX46" t="s">
        <v>166</v>
      </c>
      <c r="AY46" s="70" t="s">
        <v>27</v>
      </c>
      <c r="AZ46" s="70" t="s">
        <v>17</v>
      </c>
      <c r="BA46" s="70">
        <v>1</v>
      </c>
      <c r="BB46" s="70" t="s">
        <v>20</v>
      </c>
      <c r="BC46" s="70" t="s">
        <v>19</v>
      </c>
      <c r="BD46" s="70" t="s">
        <v>2418</v>
      </c>
      <c r="BE46" t="s">
        <v>165</v>
      </c>
      <c r="BF46" t="s">
        <v>23</v>
      </c>
      <c r="BG46" t="s">
        <v>155</v>
      </c>
      <c r="BH46" t="s">
        <v>26</v>
      </c>
      <c r="BI46" t="s">
        <v>25</v>
      </c>
      <c r="BJ46" t="s">
        <v>22</v>
      </c>
      <c r="BK46" s="70">
        <v>9</v>
      </c>
      <c r="BL46" s="70">
        <v>2</v>
      </c>
      <c r="BM46"/>
      <c r="BN46" t="s">
        <v>2450</v>
      </c>
      <c r="BO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 t="s">
        <v>780</v>
      </c>
      <c r="CZ46"/>
      <c r="DL46"/>
      <c r="DM46" s="70" t="s">
        <v>1701</v>
      </c>
      <c r="DN46"/>
      <c r="DO46" s="70" t="s">
        <v>1701</v>
      </c>
      <c r="DP46" t="s">
        <v>780</v>
      </c>
      <c r="DQ46" t="s">
        <v>2450</v>
      </c>
      <c r="DS46" t="s">
        <v>2009</v>
      </c>
      <c r="DT46" t="s">
        <v>2010</v>
      </c>
      <c r="DU46" t="s">
        <v>2011</v>
      </c>
      <c r="DV46"/>
    </row>
    <row r="47" spans="2:126" x14ac:dyDescent="0.25">
      <c r="B47">
        <v>9234894</v>
      </c>
      <c r="C47">
        <v>1</v>
      </c>
      <c r="D47">
        <v>8</v>
      </c>
      <c r="E47">
        <v>11</v>
      </c>
      <c r="F47">
        <v>1981</v>
      </c>
      <c r="G47">
        <v>12</v>
      </c>
      <c r="H47">
        <v>1</v>
      </c>
      <c r="I47">
        <v>2017</v>
      </c>
      <c r="J47" t="s">
        <v>518</v>
      </c>
      <c r="K47" t="s">
        <v>781</v>
      </c>
      <c r="L47">
        <v>92978153887</v>
      </c>
      <c r="M47" t="s">
        <v>1081</v>
      </c>
      <c r="N47" t="s">
        <v>410</v>
      </c>
      <c r="O47" t="s">
        <v>410</v>
      </c>
      <c r="P47" t="s">
        <v>1514</v>
      </c>
      <c r="Z47" t="s">
        <v>410</v>
      </c>
      <c r="AA47" t="s">
        <v>410</v>
      </c>
      <c r="AB47" t="s">
        <v>1514</v>
      </c>
      <c r="AU47" t="s">
        <v>21</v>
      </c>
      <c r="AV47" t="s">
        <v>153</v>
      </c>
      <c r="AW47" t="s">
        <v>21</v>
      </c>
      <c r="AX47" t="s">
        <v>157</v>
      </c>
      <c r="AY47" s="70" t="s">
        <v>2422</v>
      </c>
      <c r="AZ47" s="70" t="s">
        <v>20</v>
      </c>
      <c r="BA47" s="70">
        <v>0</v>
      </c>
      <c r="BB47" s="70" t="s">
        <v>2422</v>
      </c>
      <c r="BC47" s="70" t="s">
        <v>20</v>
      </c>
      <c r="BD47" s="70" t="s">
        <v>20</v>
      </c>
      <c r="BE47" t="s">
        <v>21</v>
      </c>
      <c r="BF47" t="s">
        <v>23</v>
      </c>
      <c r="BG47" t="s">
        <v>155</v>
      </c>
      <c r="BH47" t="s">
        <v>25</v>
      </c>
      <c r="BI47" t="s">
        <v>25</v>
      </c>
      <c r="BJ47" t="s">
        <v>25</v>
      </c>
      <c r="BK47" s="70">
        <v>4</v>
      </c>
      <c r="BL47" s="70">
        <v>5</v>
      </c>
      <c r="BM47"/>
      <c r="BN47" t="s">
        <v>2451</v>
      </c>
      <c r="BO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 t="s">
        <v>781</v>
      </c>
      <c r="CZ47"/>
      <c r="DL47"/>
      <c r="DM47" s="70" t="s">
        <v>1702</v>
      </c>
      <c r="DN47"/>
      <c r="DO47" s="70" t="s">
        <v>1702</v>
      </c>
      <c r="DP47" t="s">
        <v>781</v>
      </c>
      <c r="DQ47" t="s">
        <v>2451</v>
      </c>
      <c r="DS47" t="s">
        <v>2012</v>
      </c>
      <c r="DT47" t="s">
        <v>1987</v>
      </c>
      <c r="DU47" t="s">
        <v>1987</v>
      </c>
      <c r="DV47"/>
    </row>
    <row r="48" spans="2:126" x14ac:dyDescent="0.25">
      <c r="B48">
        <v>9173453</v>
      </c>
      <c r="C48">
        <v>2</v>
      </c>
      <c r="D48">
        <v>12</v>
      </c>
      <c r="E48">
        <v>7</v>
      </c>
      <c r="F48">
        <v>1982</v>
      </c>
      <c r="G48">
        <v>10</v>
      </c>
      <c r="H48">
        <v>1</v>
      </c>
      <c r="I48">
        <v>2015</v>
      </c>
      <c r="J48" t="s">
        <v>519</v>
      </c>
      <c r="K48" t="s">
        <v>782</v>
      </c>
      <c r="L48">
        <v>1068203155</v>
      </c>
      <c r="M48" t="s">
        <v>1082</v>
      </c>
      <c r="N48" t="s">
        <v>418</v>
      </c>
      <c r="O48" t="s">
        <v>413</v>
      </c>
      <c r="P48" t="s">
        <v>1515</v>
      </c>
      <c r="Z48" t="s">
        <v>418</v>
      </c>
      <c r="AA48" t="s">
        <v>413</v>
      </c>
      <c r="AB48" t="s">
        <v>66</v>
      </c>
      <c r="AU48" t="s">
        <v>172</v>
      </c>
      <c r="AV48" t="s">
        <v>153</v>
      </c>
      <c r="AW48" t="s">
        <v>22</v>
      </c>
      <c r="AX48" t="s">
        <v>25</v>
      </c>
      <c r="AY48" s="70" t="s">
        <v>2422</v>
      </c>
      <c r="AZ48" s="70" t="s">
        <v>2418</v>
      </c>
      <c r="BA48" s="70">
        <v>1</v>
      </c>
      <c r="BB48" s="70" t="s">
        <v>2418</v>
      </c>
      <c r="BC48" s="70" t="s">
        <v>19</v>
      </c>
      <c r="BD48" s="70" t="s">
        <v>2420</v>
      </c>
      <c r="BE48" t="s">
        <v>165</v>
      </c>
      <c r="BF48" t="s">
        <v>23</v>
      </c>
      <c r="BG48" t="s">
        <v>155</v>
      </c>
      <c r="BH48" t="s">
        <v>25</v>
      </c>
      <c r="BI48" t="s">
        <v>177</v>
      </c>
      <c r="BJ48" t="s">
        <v>23</v>
      </c>
      <c r="BK48" s="70">
        <v>5</v>
      </c>
      <c r="BL48" s="70">
        <v>4</v>
      </c>
      <c r="BM48"/>
      <c r="BN48" t="s">
        <v>2452</v>
      </c>
      <c r="BO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 t="s">
        <v>782</v>
      </c>
      <c r="CZ48"/>
      <c r="DL48"/>
      <c r="DM48" s="70" t="s">
        <v>1703</v>
      </c>
      <c r="DN48"/>
      <c r="DO48" s="70" t="s">
        <v>1703</v>
      </c>
      <c r="DP48" t="s">
        <v>782</v>
      </c>
      <c r="DQ48" t="s">
        <v>2452</v>
      </c>
      <c r="DS48" t="s">
        <v>2013</v>
      </c>
      <c r="DT48" t="s">
        <v>1981</v>
      </c>
      <c r="DU48" t="s">
        <v>2014</v>
      </c>
      <c r="DV48"/>
    </row>
    <row r="49" spans="2:126" x14ac:dyDescent="0.25">
      <c r="B49">
        <v>7409777</v>
      </c>
      <c r="C49">
        <v>1</v>
      </c>
      <c r="D49">
        <v>12</v>
      </c>
      <c r="E49">
        <v>11</v>
      </c>
      <c r="F49">
        <v>1984</v>
      </c>
      <c r="G49">
        <v>11</v>
      </c>
      <c r="H49">
        <v>3</v>
      </c>
      <c r="I49">
        <v>2009</v>
      </c>
      <c r="J49" t="s">
        <v>520</v>
      </c>
      <c r="K49" t="s">
        <v>783</v>
      </c>
      <c r="L49">
        <v>92058402790</v>
      </c>
      <c r="M49" t="s">
        <v>1083</v>
      </c>
      <c r="N49" t="s">
        <v>409</v>
      </c>
      <c r="O49" t="s">
        <v>84</v>
      </c>
      <c r="P49" t="s">
        <v>65</v>
      </c>
      <c r="Z49" t="s">
        <v>409</v>
      </c>
      <c r="AA49" t="s">
        <v>84</v>
      </c>
      <c r="AB49" t="s">
        <v>1084</v>
      </c>
      <c r="AU49" t="s">
        <v>165</v>
      </c>
      <c r="AV49" t="s">
        <v>146</v>
      </c>
      <c r="AW49" t="s">
        <v>165</v>
      </c>
      <c r="AX49" t="s">
        <v>165</v>
      </c>
      <c r="AY49" s="70" t="s">
        <v>2422</v>
      </c>
      <c r="AZ49" s="70" t="s">
        <v>2428</v>
      </c>
      <c r="BA49" s="70">
        <v>1</v>
      </c>
      <c r="BB49" s="70" t="s">
        <v>2418</v>
      </c>
      <c r="BC49" s="70" t="s">
        <v>20</v>
      </c>
      <c r="BD49" s="70" t="s">
        <v>20</v>
      </c>
      <c r="BE49" t="s">
        <v>21</v>
      </c>
      <c r="BF49" t="s">
        <v>23</v>
      </c>
      <c r="BG49" t="s">
        <v>155</v>
      </c>
      <c r="BH49" t="s">
        <v>25</v>
      </c>
      <c r="BI49" t="s">
        <v>25</v>
      </c>
      <c r="BJ49" t="s">
        <v>25</v>
      </c>
      <c r="BK49" s="70">
        <v>3</v>
      </c>
      <c r="BL49" s="70">
        <v>7</v>
      </c>
      <c r="BM49"/>
      <c r="BN49" t="s">
        <v>2453</v>
      </c>
      <c r="BO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 t="s">
        <v>783</v>
      </c>
      <c r="CZ49"/>
      <c r="DL49"/>
      <c r="DM49" s="70" t="s">
        <v>1704</v>
      </c>
      <c r="DN49"/>
      <c r="DO49" s="70" t="s">
        <v>1704</v>
      </c>
      <c r="DP49" t="s">
        <v>783</v>
      </c>
      <c r="DQ49" t="s">
        <v>2453</v>
      </c>
      <c r="DS49" t="s">
        <v>2015</v>
      </c>
      <c r="DT49" t="s">
        <v>2016</v>
      </c>
      <c r="DU49" t="s">
        <v>2017</v>
      </c>
      <c r="DV49"/>
    </row>
    <row r="50" spans="2:126" x14ac:dyDescent="0.25">
      <c r="B50">
        <v>5961634</v>
      </c>
      <c r="C50">
        <v>2</v>
      </c>
      <c r="D50">
        <v>5</v>
      </c>
      <c r="E50">
        <v>18</v>
      </c>
      <c r="F50">
        <v>1973</v>
      </c>
      <c r="G50">
        <v>2</v>
      </c>
      <c r="H50">
        <v>21</v>
      </c>
      <c r="I50">
        <v>2005</v>
      </c>
      <c r="J50" t="s">
        <v>521</v>
      </c>
      <c r="K50" t="s">
        <v>784</v>
      </c>
      <c r="L50">
        <v>42897316487</v>
      </c>
      <c r="M50" t="s">
        <v>1085</v>
      </c>
      <c r="N50" t="s">
        <v>1086</v>
      </c>
      <c r="O50" t="s">
        <v>409</v>
      </c>
      <c r="P50" t="s">
        <v>74</v>
      </c>
      <c r="Z50" t="s">
        <v>1086</v>
      </c>
      <c r="AA50" t="s">
        <v>409</v>
      </c>
      <c r="AB50" t="s">
        <v>442</v>
      </c>
      <c r="AU50" t="s">
        <v>24</v>
      </c>
      <c r="AV50" t="s">
        <v>153</v>
      </c>
      <c r="AW50" t="s">
        <v>165</v>
      </c>
      <c r="AX50" t="s">
        <v>161</v>
      </c>
      <c r="AY50" s="70" t="s">
        <v>2420</v>
      </c>
      <c r="AZ50" s="70" t="s">
        <v>18</v>
      </c>
      <c r="BA50" s="70">
        <v>0</v>
      </c>
      <c r="BB50" s="70" t="s">
        <v>2427</v>
      </c>
      <c r="BC50" s="70" t="s">
        <v>20</v>
      </c>
      <c r="BD50" s="70" t="s">
        <v>2422</v>
      </c>
      <c r="BE50" t="s">
        <v>165</v>
      </c>
      <c r="BF50" t="s">
        <v>23</v>
      </c>
      <c r="BG50" t="s">
        <v>155</v>
      </c>
      <c r="BH50" t="s">
        <v>22</v>
      </c>
      <c r="BI50" t="s">
        <v>25</v>
      </c>
      <c r="BJ50" t="s">
        <v>166</v>
      </c>
      <c r="BK50" s="70">
        <v>2</v>
      </c>
      <c r="BL50" s="70">
        <v>0</v>
      </c>
      <c r="BM50"/>
      <c r="BN50" t="s">
        <v>2454</v>
      </c>
      <c r="BO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 t="s">
        <v>784</v>
      </c>
      <c r="CZ50"/>
      <c r="DL50"/>
      <c r="DM50" s="70" t="s">
        <v>1705</v>
      </c>
      <c r="DN50"/>
      <c r="DO50" s="70" t="s">
        <v>1705</v>
      </c>
      <c r="DP50" t="s">
        <v>784</v>
      </c>
      <c r="DQ50" t="s">
        <v>2454</v>
      </c>
      <c r="DS50" t="s">
        <v>2018</v>
      </c>
      <c r="DT50" t="s">
        <v>2019</v>
      </c>
      <c r="DU50" t="s">
        <v>2016</v>
      </c>
      <c r="DV50"/>
    </row>
    <row r="51" spans="2:126" x14ac:dyDescent="0.25">
      <c r="B51">
        <v>40009798</v>
      </c>
      <c r="C51">
        <v>1</v>
      </c>
      <c r="D51">
        <v>1</v>
      </c>
      <c r="E51">
        <v>29</v>
      </c>
      <c r="F51">
        <v>1978</v>
      </c>
      <c r="G51">
        <v>3</v>
      </c>
      <c r="H51">
        <v>1</v>
      </c>
      <c r="I51">
        <v>2022</v>
      </c>
      <c r="J51" t="s">
        <v>522</v>
      </c>
      <c r="K51" t="s">
        <v>785</v>
      </c>
      <c r="L51">
        <v>12047816322</v>
      </c>
      <c r="M51" t="s">
        <v>1087</v>
      </c>
      <c r="N51" t="s">
        <v>1088</v>
      </c>
      <c r="O51" t="s">
        <v>1089</v>
      </c>
      <c r="P51" t="s">
        <v>73</v>
      </c>
      <c r="Z51" t="s">
        <v>1088</v>
      </c>
      <c r="AA51" t="s">
        <v>1089</v>
      </c>
      <c r="AB51" t="s">
        <v>1090</v>
      </c>
      <c r="AU51" t="s">
        <v>155</v>
      </c>
      <c r="AV51" t="s">
        <v>170</v>
      </c>
      <c r="AW51" t="s">
        <v>22</v>
      </c>
      <c r="AX51" t="s">
        <v>161</v>
      </c>
      <c r="AY51" s="70" t="s">
        <v>2420</v>
      </c>
      <c r="AZ51" s="70" t="s">
        <v>2422</v>
      </c>
      <c r="BA51" s="70">
        <v>0</v>
      </c>
      <c r="BB51" s="70" t="s">
        <v>20</v>
      </c>
      <c r="BC51" s="70" t="s">
        <v>2418</v>
      </c>
      <c r="BD51" s="70" t="s">
        <v>17</v>
      </c>
      <c r="BE51" t="s">
        <v>21</v>
      </c>
      <c r="BF51" t="s">
        <v>23</v>
      </c>
      <c r="BG51" t="s">
        <v>155</v>
      </c>
      <c r="BH51" t="s">
        <v>166</v>
      </c>
      <c r="BI51" t="s">
        <v>25</v>
      </c>
      <c r="BJ51" t="s">
        <v>24</v>
      </c>
      <c r="BK51" s="70">
        <v>6</v>
      </c>
      <c r="BL51" s="70">
        <v>0</v>
      </c>
      <c r="BM51"/>
      <c r="BN51" t="s">
        <v>2455</v>
      </c>
      <c r="BO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 t="s">
        <v>785</v>
      </c>
      <c r="CZ51"/>
      <c r="DL51"/>
      <c r="DM51" s="70" t="s">
        <v>1706</v>
      </c>
      <c r="DN51"/>
      <c r="DO51" s="70" t="s">
        <v>1706</v>
      </c>
      <c r="DP51" t="s">
        <v>785</v>
      </c>
      <c r="DQ51" t="s">
        <v>2455</v>
      </c>
      <c r="DS51" t="s">
        <v>2020</v>
      </c>
      <c r="DT51" t="s">
        <v>2021</v>
      </c>
      <c r="DU51" t="s">
        <v>2022</v>
      </c>
      <c r="DV51"/>
    </row>
    <row r="52" spans="2:126" x14ac:dyDescent="0.25">
      <c r="B52">
        <v>40011621</v>
      </c>
      <c r="C52">
        <v>2</v>
      </c>
      <c r="D52">
        <v>6</v>
      </c>
      <c r="E52">
        <v>5</v>
      </c>
      <c r="F52">
        <v>1987</v>
      </c>
      <c r="G52">
        <v>1</v>
      </c>
      <c r="H52">
        <v>16</v>
      </c>
      <c r="I52">
        <v>2023</v>
      </c>
      <c r="J52" t="s">
        <v>523</v>
      </c>
      <c r="K52" t="s">
        <v>786</v>
      </c>
      <c r="L52">
        <v>30898700825</v>
      </c>
      <c r="M52" t="s">
        <v>1091</v>
      </c>
      <c r="N52" t="s">
        <v>415</v>
      </c>
      <c r="O52" t="s">
        <v>1092</v>
      </c>
      <c r="P52" t="s">
        <v>1516</v>
      </c>
      <c r="Z52" t="s">
        <v>415</v>
      </c>
      <c r="AA52" t="s">
        <v>1092</v>
      </c>
      <c r="AB52" t="s">
        <v>1093</v>
      </c>
      <c r="AU52" t="s">
        <v>25</v>
      </c>
      <c r="AV52" t="s">
        <v>146</v>
      </c>
      <c r="AW52" t="s">
        <v>165</v>
      </c>
      <c r="AX52" t="s">
        <v>26</v>
      </c>
      <c r="AY52" s="70" t="s">
        <v>2422</v>
      </c>
      <c r="AZ52" s="70" t="s">
        <v>2420</v>
      </c>
      <c r="BA52" s="70">
        <v>0</v>
      </c>
      <c r="BB52" s="70" t="s">
        <v>27</v>
      </c>
      <c r="BC52" s="70" t="s">
        <v>19</v>
      </c>
      <c r="BD52" s="70" t="s">
        <v>2427</v>
      </c>
      <c r="BE52" t="s">
        <v>165</v>
      </c>
      <c r="BF52" t="s">
        <v>23</v>
      </c>
      <c r="BG52" t="s">
        <v>155</v>
      </c>
      <c r="BH52" t="s">
        <v>165</v>
      </c>
      <c r="BI52" t="s">
        <v>16</v>
      </c>
      <c r="BJ52" t="s">
        <v>165</v>
      </c>
      <c r="BK52" s="70">
        <v>9</v>
      </c>
      <c r="BL52" s="70">
        <v>7</v>
      </c>
      <c r="BM52"/>
      <c r="BN52" t="s">
        <v>2456</v>
      </c>
      <c r="BO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 t="s">
        <v>786</v>
      </c>
      <c r="CZ52"/>
      <c r="DL52"/>
      <c r="DM52" s="70" t="s">
        <v>1707</v>
      </c>
      <c r="DN52"/>
      <c r="DO52" s="70" t="s">
        <v>1707</v>
      </c>
      <c r="DP52" t="s">
        <v>786</v>
      </c>
      <c r="DQ52" t="s">
        <v>2456</v>
      </c>
      <c r="DS52" t="s">
        <v>2023</v>
      </c>
      <c r="DT52" t="s">
        <v>2024</v>
      </c>
      <c r="DU52" t="s">
        <v>2025</v>
      </c>
      <c r="DV52"/>
    </row>
    <row r="53" spans="2:126" x14ac:dyDescent="0.25">
      <c r="B53">
        <v>40009807</v>
      </c>
      <c r="C53">
        <v>2</v>
      </c>
      <c r="D53">
        <v>7</v>
      </c>
      <c r="E53">
        <v>5</v>
      </c>
      <c r="F53">
        <v>1976</v>
      </c>
      <c r="G53">
        <v>3</v>
      </c>
      <c r="H53">
        <v>1</v>
      </c>
      <c r="I53">
        <v>2022</v>
      </c>
      <c r="J53" t="s">
        <v>524</v>
      </c>
      <c r="K53" t="s">
        <v>787</v>
      </c>
      <c r="L53">
        <v>15957611237</v>
      </c>
      <c r="M53" t="s">
        <v>1094</v>
      </c>
      <c r="N53" t="s">
        <v>1095</v>
      </c>
      <c r="O53" t="s">
        <v>481</v>
      </c>
      <c r="P53" t="s">
        <v>1517</v>
      </c>
      <c r="Z53" t="s">
        <v>1095</v>
      </c>
      <c r="AA53" t="s">
        <v>481</v>
      </c>
      <c r="AB53" t="s">
        <v>1517</v>
      </c>
      <c r="AU53" t="s">
        <v>165</v>
      </c>
      <c r="AV53" t="s">
        <v>146</v>
      </c>
      <c r="AW53" t="s">
        <v>155</v>
      </c>
      <c r="AX53" t="s">
        <v>161</v>
      </c>
      <c r="AY53" s="70" t="s">
        <v>2420</v>
      </c>
      <c r="AZ53" s="70" t="s">
        <v>27</v>
      </c>
      <c r="BA53" s="70">
        <v>0</v>
      </c>
      <c r="BB53" s="70" t="s">
        <v>2420</v>
      </c>
      <c r="BC53" s="70" t="s">
        <v>19</v>
      </c>
      <c r="BD53" s="70" t="s">
        <v>2427</v>
      </c>
      <c r="BE53" t="s">
        <v>165</v>
      </c>
      <c r="BF53" t="s">
        <v>23</v>
      </c>
      <c r="BG53" t="s">
        <v>155</v>
      </c>
      <c r="BH53" t="s">
        <v>22</v>
      </c>
      <c r="BI53" t="s">
        <v>24</v>
      </c>
      <c r="BJ53" t="s">
        <v>165</v>
      </c>
      <c r="BK53" s="70">
        <v>6</v>
      </c>
      <c r="BL53" s="70">
        <v>6</v>
      </c>
      <c r="BM53"/>
      <c r="BN53" t="s">
        <v>2457</v>
      </c>
      <c r="BO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 t="s">
        <v>787</v>
      </c>
      <c r="CZ53"/>
      <c r="DL53"/>
      <c r="DM53" s="70" t="s">
        <v>1708</v>
      </c>
      <c r="DN53"/>
      <c r="DO53" s="70" t="s">
        <v>1708</v>
      </c>
      <c r="DP53" t="s">
        <v>787</v>
      </c>
      <c r="DQ53" t="s">
        <v>2457</v>
      </c>
      <c r="DS53" t="s">
        <v>2026</v>
      </c>
      <c r="DT53" t="s">
        <v>2027</v>
      </c>
      <c r="DU53" t="s">
        <v>1968</v>
      </c>
      <c r="DV53"/>
    </row>
    <row r="54" spans="2:126" x14ac:dyDescent="0.25">
      <c r="B54">
        <v>40009805</v>
      </c>
      <c r="C54">
        <v>1</v>
      </c>
      <c r="D54">
        <v>4</v>
      </c>
      <c r="E54">
        <v>8</v>
      </c>
      <c r="F54">
        <v>1984</v>
      </c>
      <c r="G54">
        <v>3</v>
      </c>
      <c r="H54">
        <v>1</v>
      </c>
      <c r="I54">
        <v>2022</v>
      </c>
      <c r="J54" t="s">
        <v>525</v>
      </c>
      <c r="K54" t="s">
        <v>788</v>
      </c>
      <c r="L54">
        <v>43038435616</v>
      </c>
      <c r="M54" t="s">
        <v>1096</v>
      </c>
      <c r="N54" t="s">
        <v>409</v>
      </c>
      <c r="O54" t="s">
        <v>1097</v>
      </c>
      <c r="P54" t="s">
        <v>1518</v>
      </c>
      <c r="Z54" t="s">
        <v>409</v>
      </c>
      <c r="AA54" t="s">
        <v>1097</v>
      </c>
      <c r="AB54" t="s">
        <v>1098</v>
      </c>
      <c r="AU54" t="s">
        <v>165</v>
      </c>
      <c r="AV54" t="s">
        <v>146</v>
      </c>
      <c r="AW54" t="s">
        <v>24</v>
      </c>
      <c r="AX54" t="s">
        <v>23</v>
      </c>
      <c r="AY54" s="70" t="s">
        <v>2422</v>
      </c>
      <c r="AZ54" s="70" t="s">
        <v>2428</v>
      </c>
      <c r="BA54" s="70">
        <v>0</v>
      </c>
      <c r="BB54" s="70" t="s">
        <v>2428</v>
      </c>
      <c r="BC54" s="70" t="s">
        <v>19</v>
      </c>
      <c r="BD54" s="70" t="s">
        <v>2422</v>
      </c>
      <c r="BE54" t="s">
        <v>21</v>
      </c>
      <c r="BF54" t="s">
        <v>23</v>
      </c>
      <c r="BG54" t="s">
        <v>155</v>
      </c>
      <c r="BH54" t="s">
        <v>25</v>
      </c>
      <c r="BI54" t="s">
        <v>22</v>
      </c>
      <c r="BJ54" t="s">
        <v>182</v>
      </c>
      <c r="BK54" s="70">
        <v>4</v>
      </c>
      <c r="BL54" s="70">
        <v>2</v>
      </c>
      <c r="BM54"/>
      <c r="BN54" t="s">
        <v>2458</v>
      </c>
      <c r="BO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 t="s">
        <v>788</v>
      </c>
      <c r="CZ54"/>
      <c r="DL54"/>
      <c r="DM54" s="70" t="s">
        <v>1709</v>
      </c>
      <c r="DN54"/>
      <c r="DO54" s="70" t="s">
        <v>1709</v>
      </c>
      <c r="DP54" t="s">
        <v>788</v>
      </c>
      <c r="DQ54" t="s">
        <v>2458</v>
      </c>
      <c r="DS54" t="s">
        <v>2028</v>
      </c>
      <c r="DT54" t="s">
        <v>2016</v>
      </c>
      <c r="DU54" t="s">
        <v>2029</v>
      </c>
      <c r="DV54"/>
    </row>
    <row r="55" spans="2:126" x14ac:dyDescent="0.25">
      <c r="B55">
        <v>40009783</v>
      </c>
      <c r="C55">
        <v>2</v>
      </c>
      <c r="D55">
        <v>7</v>
      </c>
      <c r="E55">
        <v>5</v>
      </c>
      <c r="F55">
        <v>1971</v>
      </c>
      <c r="G55">
        <v>3</v>
      </c>
      <c r="H55">
        <v>1</v>
      </c>
      <c r="I55">
        <v>2022</v>
      </c>
      <c r="J55" t="s">
        <v>526</v>
      </c>
      <c r="K55" t="s">
        <v>789</v>
      </c>
      <c r="L55">
        <v>68917207901</v>
      </c>
      <c r="M55" t="s">
        <v>1099</v>
      </c>
      <c r="N55" t="s">
        <v>1100</v>
      </c>
      <c r="O55" t="s">
        <v>1101</v>
      </c>
      <c r="P55" t="s">
        <v>56</v>
      </c>
      <c r="Z55" t="s">
        <v>1100</v>
      </c>
      <c r="AA55" t="s">
        <v>1101</v>
      </c>
      <c r="AB55" t="s">
        <v>56</v>
      </c>
      <c r="AU55" t="s">
        <v>16</v>
      </c>
      <c r="AV55" t="s">
        <v>170</v>
      </c>
      <c r="AW55" t="s">
        <v>177</v>
      </c>
      <c r="AX55" t="s">
        <v>155</v>
      </c>
      <c r="AY55" s="70" t="s">
        <v>2420</v>
      </c>
      <c r="AZ55" s="70" t="s">
        <v>20</v>
      </c>
      <c r="BA55" s="70">
        <v>0</v>
      </c>
      <c r="BB55" s="70" t="s">
        <v>2420</v>
      </c>
      <c r="BC55" s="70" t="s">
        <v>19</v>
      </c>
      <c r="BD55" s="70" t="s">
        <v>2427</v>
      </c>
      <c r="BE55" t="s">
        <v>165</v>
      </c>
      <c r="BF55" t="s">
        <v>23</v>
      </c>
      <c r="BG55" t="s">
        <v>155</v>
      </c>
      <c r="BH55" t="s">
        <v>182</v>
      </c>
      <c r="BI55" t="s">
        <v>24</v>
      </c>
      <c r="BJ55" t="s">
        <v>25</v>
      </c>
      <c r="BK55" s="70">
        <v>4</v>
      </c>
      <c r="BL55" s="70">
        <v>4</v>
      </c>
      <c r="BM55"/>
      <c r="BN55" t="s">
        <v>2459</v>
      </c>
      <c r="BO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 t="s">
        <v>789</v>
      </c>
      <c r="CZ55"/>
      <c r="DL55"/>
      <c r="DM55" s="70" t="s">
        <v>1710</v>
      </c>
      <c r="DN55"/>
      <c r="DO55" s="70" t="s">
        <v>1710</v>
      </c>
      <c r="DP55" t="s">
        <v>789</v>
      </c>
      <c r="DQ55" t="s">
        <v>2459</v>
      </c>
      <c r="DS55" t="s">
        <v>2030</v>
      </c>
      <c r="DT55" t="s">
        <v>2031</v>
      </c>
      <c r="DU55" t="s">
        <v>2032</v>
      </c>
      <c r="DV55"/>
    </row>
    <row r="56" spans="2:126" x14ac:dyDescent="0.25">
      <c r="B56">
        <v>40009973</v>
      </c>
      <c r="C56">
        <v>1</v>
      </c>
      <c r="D56">
        <v>4</v>
      </c>
      <c r="E56">
        <v>25</v>
      </c>
      <c r="F56">
        <v>1975</v>
      </c>
      <c r="G56">
        <v>4</v>
      </c>
      <c r="H56">
        <v>1</v>
      </c>
      <c r="I56">
        <v>2022</v>
      </c>
      <c r="J56" t="s">
        <v>527</v>
      </c>
      <c r="K56" t="s">
        <v>790</v>
      </c>
      <c r="L56">
        <v>68977508164</v>
      </c>
      <c r="M56" t="s">
        <v>1102</v>
      </c>
      <c r="N56" t="s">
        <v>1103</v>
      </c>
      <c r="O56" t="s">
        <v>481</v>
      </c>
      <c r="P56" t="s">
        <v>1519</v>
      </c>
      <c r="Z56" t="s">
        <v>1103</v>
      </c>
      <c r="AA56" t="s">
        <v>481</v>
      </c>
      <c r="AB56" t="s">
        <v>1084</v>
      </c>
      <c r="AU56" t="s">
        <v>146</v>
      </c>
      <c r="AV56" t="s">
        <v>146</v>
      </c>
      <c r="AW56" t="s">
        <v>155</v>
      </c>
      <c r="AX56" t="s">
        <v>165</v>
      </c>
      <c r="AY56" s="70" t="s">
        <v>2420</v>
      </c>
      <c r="AZ56" s="70" t="s">
        <v>2427</v>
      </c>
      <c r="BA56" s="70">
        <v>0</v>
      </c>
      <c r="BB56" s="70" t="s">
        <v>2428</v>
      </c>
      <c r="BC56" s="70" t="s">
        <v>2418</v>
      </c>
      <c r="BD56" s="70" t="s">
        <v>2427</v>
      </c>
      <c r="BE56" t="s">
        <v>21</v>
      </c>
      <c r="BF56" t="s">
        <v>23</v>
      </c>
      <c r="BG56" t="s">
        <v>155</v>
      </c>
      <c r="BH56" t="s">
        <v>172</v>
      </c>
      <c r="BI56" t="s">
        <v>24</v>
      </c>
      <c r="BJ56" t="s">
        <v>25</v>
      </c>
      <c r="BK56" s="70">
        <v>5</v>
      </c>
      <c r="BL56" s="70">
        <v>0</v>
      </c>
      <c r="BM56"/>
      <c r="BN56" t="s">
        <v>2460</v>
      </c>
      <c r="BO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 t="s">
        <v>790</v>
      </c>
      <c r="CZ56"/>
      <c r="DL56"/>
      <c r="DM56" s="70" t="s">
        <v>1711</v>
      </c>
      <c r="DN56"/>
      <c r="DO56" s="70" t="s">
        <v>1711</v>
      </c>
      <c r="DP56" t="s">
        <v>790</v>
      </c>
      <c r="DQ56" t="s">
        <v>2460</v>
      </c>
      <c r="DS56" t="s">
        <v>2033</v>
      </c>
      <c r="DT56" t="s">
        <v>2034</v>
      </c>
      <c r="DU56" t="s">
        <v>1968</v>
      </c>
      <c r="DV56"/>
    </row>
    <row r="57" spans="2:126" x14ac:dyDescent="0.25">
      <c r="B57">
        <v>40012026</v>
      </c>
      <c r="C57">
        <v>2</v>
      </c>
      <c r="D57">
        <v>5</v>
      </c>
      <c r="E57">
        <v>5</v>
      </c>
      <c r="F57">
        <v>1969</v>
      </c>
      <c r="G57">
        <v>6</v>
      </c>
      <c r="H57">
        <v>5</v>
      </c>
      <c r="I57">
        <v>2023</v>
      </c>
      <c r="J57" t="s">
        <v>528</v>
      </c>
      <c r="K57" t="s">
        <v>791</v>
      </c>
      <c r="L57">
        <v>3876944673</v>
      </c>
      <c r="M57" t="s">
        <v>1104</v>
      </c>
      <c r="N57" t="s">
        <v>409</v>
      </c>
      <c r="O57" t="s">
        <v>1105</v>
      </c>
      <c r="P57" t="s">
        <v>1520</v>
      </c>
      <c r="Z57" t="s">
        <v>409</v>
      </c>
      <c r="AA57" t="s">
        <v>1105</v>
      </c>
      <c r="AB57" t="s">
        <v>1106</v>
      </c>
      <c r="AU57" t="s">
        <v>165</v>
      </c>
      <c r="AV57" t="s">
        <v>146</v>
      </c>
      <c r="AW57" t="s">
        <v>157</v>
      </c>
      <c r="AX57" t="s">
        <v>159</v>
      </c>
      <c r="AY57" s="70" t="s">
        <v>27</v>
      </c>
      <c r="AZ57" s="70" t="s">
        <v>17</v>
      </c>
      <c r="BA57" s="70">
        <v>0</v>
      </c>
      <c r="BB57" s="70" t="s">
        <v>2427</v>
      </c>
      <c r="BC57" s="70" t="s">
        <v>19</v>
      </c>
      <c r="BD57" s="70" t="s">
        <v>2427</v>
      </c>
      <c r="BE57" t="s">
        <v>165</v>
      </c>
      <c r="BF57" t="s">
        <v>23</v>
      </c>
      <c r="BG57" t="s">
        <v>155</v>
      </c>
      <c r="BH57" t="s">
        <v>25</v>
      </c>
      <c r="BI57" t="s">
        <v>186</v>
      </c>
      <c r="BJ57" t="s">
        <v>25</v>
      </c>
      <c r="BK57" s="70">
        <v>6</v>
      </c>
      <c r="BL57" s="70">
        <v>7</v>
      </c>
      <c r="BM57"/>
      <c r="BN57" t="s">
        <v>2461</v>
      </c>
      <c r="BO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 t="s">
        <v>791</v>
      </c>
      <c r="CZ57"/>
      <c r="DL57"/>
      <c r="DM57" s="70" t="s">
        <v>1712</v>
      </c>
      <c r="DN57"/>
      <c r="DO57" s="70" t="s">
        <v>1712</v>
      </c>
      <c r="DP57" t="s">
        <v>791</v>
      </c>
      <c r="DQ57" t="s">
        <v>2461</v>
      </c>
      <c r="DS57" t="s">
        <v>2035</v>
      </c>
      <c r="DT57" t="s">
        <v>2016</v>
      </c>
      <c r="DU57" t="s">
        <v>2036</v>
      </c>
      <c r="DV57"/>
    </row>
    <row r="58" spans="2:126" x14ac:dyDescent="0.25">
      <c r="B58">
        <v>40010069</v>
      </c>
      <c r="C58">
        <v>1</v>
      </c>
      <c r="D58">
        <v>5</v>
      </c>
      <c r="E58">
        <v>15</v>
      </c>
      <c r="F58">
        <v>1986</v>
      </c>
      <c r="G58">
        <v>4</v>
      </c>
      <c r="H58">
        <v>20</v>
      </c>
      <c r="I58">
        <v>2022</v>
      </c>
      <c r="J58" t="s">
        <v>529</v>
      </c>
      <c r="K58" t="s">
        <v>792</v>
      </c>
      <c r="L58">
        <v>43108621301</v>
      </c>
      <c r="M58" t="s">
        <v>1107</v>
      </c>
      <c r="N58" t="s">
        <v>463</v>
      </c>
      <c r="O58" t="s">
        <v>407</v>
      </c>
      <c r="P58" t="s">
        <v>1521</v>
      </c>
      <c r="Z58" t="s">
        <v>463</v>
      </c>
      <c r="AA58" t="s">
        <v>407</v>
      </c>
      <c r="AB58" t="s">
        <v>1521</v>
      </c>
      <c r="AU58" t="s">
        <v>26</v>
      </c>
      <c r="AV58" t="s">
        <v>180</v>
      </c>
      <c r="AW58" t="s">
        <v>24</v>
      </c>
      <c r="AX58" t="s">
        <v>161</v>
      </c>
      <c r="AY58" s="70" t="s">
        <v>2422</v>
      </c>
      <c r="AZ58" s="70" t="s">
        <v>27</v>
      </c>
      <c r="BA58" s="70">
        <v>0</v>
      </c>
      <c r="BB58" s="70" t="s">
        <v>2427</v>
      </c>
      <c r="BC58" s="70" t="s">
        <v>20</v>
      </c>
      <c r="BD58" s="70" t="s">
        <v>2427</v>
      </c>
      <c r="BE58" t="s">
        <v>21</v>
      </c>
      <c r="BF58" t="s">
        <v>23</v>
      </c>
      <c r="BG58" t="s">
        <v>155</v>
      </c>
      <c r="BH58" t="s">
        <v>166</v>
      </c>
      <c r="BI58" t="s">
        <v>172</v>
      </c>
      <c r="BJ58" t="s">
        <v>21</v>
      </c>
      <c r="BK58" s="70">
        <v>7</v>
      </c>
      <c r="BL58" s="70">
        <v>3</v>
      </c>
      <c r="BM58"/>
      <c r="BN58" t="s">
        <v>2462</v>
      </c>
      <c r="BO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 t="s">
        <v>792</v>
      </c>
      <c r="CZ58"/>
      <c r="DL58"/>
      <c r="DM58" s="70" t="s">
        <v>1713</v>
      </c>
      <c r="DN58"/>
      <c r="DO58" s="70" t="s">
        <v>1713</v>
      </c>
      <c r="DP58" t="s">
        <v>792</v>
      </c>
      <c r="DQ58" t="s">
        <v>2462</v>
      </c>
      <c r="DS58" t="s">
        <v>2037</v>
      </c>
      <c r="DT58" t="s">
        <v>2038</v>
      </c>
      <c r="DU58" t="s">
        <v>1980</v>
      </c>
      <c r="DV58"/>
    </row>
    <row r="59" spans="2:126" x14ac:dyDescent="0.25">
      <c r="B59">
        <v>9228215</v>
      </c>
      <c r="C59">
        <v>1</v>
      </c>
      <c r="D59">
        <v>3</v>
      </c>
      <c r="E59">
        <v>14</v>
      </c>
      <c r="F59">
        <v>1977</v>
      </c>
      <c r="G59">
        <v>9</v>
      </c>
      <c r="H59">
        <v>1</v>
      </c>
      <c r="I59">
        <v>2017</v>
      </c>
      <c r="J59" t="s">
        <v>530</v>
      </c>
      <c r="K59" t="s">
        <v>793</v>
      </c>
      <c r="L59">
        <v>11007718635</v>
      </c>
      <c r="M59" t="s">
        <v>1108</v>
      </c>
      <c r="N59" t="s">
        <v>1109</v>
      </c>
      <c r="O59" t="s">
        <v>1110</v>
      </c>
      <c r="P59" t="s">
        <v>1522</v>
      </c>
      <c r="Z59" t="s">
        <v>1109</v>
      </c>
      <c r="AA59" t="s">
        <v>1110</v>
      </c>
      <c r="AB59" t="s">
        <v>1111</v>
      </c>
      <c r="AU59" t="s">
        <v>149</v>
      </c>
      <c r="AV59" t="s">
        <v>180</v>
      </c>
      <c r="AW59" t="s">
        <v>153</v>
      </c>
      <c r="AX59" t="s">
        <v>161</v>
      </c>
      <c r="AY59" s="70" t="s">
        <v>2420</v>
      </c>
      <c r="AZ59" s="70" t="s">
        <v>2420</v>
      </c>
      <c r="BA59" s="70">
        <v>0</v>
      </c>
      <c r="BB59" s="70" t="s">
        <v>18</v>
      </c>
      <c r="BC59" s="70" t="s">
        <v>20</v>
      </c>
      <c r="BD59" s="70" t="s">
        <v>2428</v>
      </c>
      <c r="BE59" t="s">
        <v>21</v>
      </c>
      <c r="BF59" t="s">
        <v>23</v>
      </c>
      <c r="BG59" t="s">
        <v>155</v>
      </c>
      <c r="BH59" t="s">
        <v>21</v>
      </c>
      <c r="BI59" t="s">
        <v>177</v>
      </c>
      <c r="BJ59" t="s">
        <v>166</v>
      </c>
      <c r="BK59" s="70">
        <v>6</v>
      </c>
      <c r="BL59" s="70">
        <v>6</v>
      </c>
      <c r="BM59"/>
      <c r="BN59" t="s">
        <v>2463</v>
      </c>
      <c r="BO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 t="s">
        <v>793</v>
      </c>
      <c r="CZ59"/>
      <c r="DL59"/>
      <c r="DM59" s="70" t="s">
        <v>1714</v>
      </c>
      <c r="DN59"/>
      <c r="DO59" s="70" t="s">
        <v>1714</v>
      </c>
      <c r="DP59" t="s">
        <v>793</v>
      </c>
      <c r="DQ59" t="s">
        <v>2463</v>
      </c>
      <c r="DS59" t="s">
        <v>2039</v>
      </c>
      <c r="DT59" t="s">
        <v>2040</v>
      </c>
      <c r="DU59" t="s">
        <v>2041</v>
      </c>
      <c r="DV59"/>
    </row>
    <row r="60" spans="2:126" x14ac:dyDescent="0.25">
      <c r="B60">
        <v>7342427</v>
      </c>
      <c r="C60">
        <v>2</v>
      </c>
      <c r="D60">
        <v>4</v>
      </c>
      <c r="E60">
        <v>1</v>
      </c>
      <c r="F60">
        <v>1978</v>
      </c>
      <c r="G60">
        <v>7</v>
      </c>
      <c r="H60">
        <v>1</v>
      </c>
      <c r="I60">
        <v>2009</v>
      </c>
      <c r="J60" t="s">
        <v>531</v>
      </c>
      <c r="K60" t="s">
        <v>794</v>
      </c>
      <c r="L60">
        <v>30997809063</v>
      </c>
      <c r="M60" t="s">
        <v>1112</v>
      </c>
      <c r="N60" t="s">
        <v>408</v>
      </c>
      <c r="O60" t="s">
        <v>1113</v>
      </c>
      <c r="P60" t="s">
        <v>1523</v>
      </c>
      <c r="Z60" t="s">
        <v>408</v>
      </c>
      <c r="AA60" t="s">
        <v>1113</v>
      </c>
      <c r="AB60" t="s">
        <v>1114</v>
      </c>
      <c r="AU60" t="s">
        <v>25</v>
      </c>
      <c r="AV60" t="s">
        <v>146</v>
      </c>
      <c r="AW60" t="s">
        <v>165</v>
      </c>
      <c r="AX60" t="s">
        <v>161</v>
      </c>
      <c r="AY60" s="70" t="s">
        <v>2420</v>
      </c>
      <c r="AZ60" s="70" t="s">
        <v>2422</v>
      </c>
      <c r="BA60" s="70">
        <v>0</v>
      </c>
      <c r="BB60" s="70" t="s">
        <v>2428</v>
      </c>
      <c r="BC60" s="70" t="s">
        <v>19</v>
      </c>
      <c r="BD60" s="70" t="s">
        <v>20</v>
      </c>
      <c r="BE60" t="s">
        <v>165</v>
      </c>
      <c r="BF60" t="s">
        <v>23</v>
      </c>
      <c r="BG60" t="s">
        <v>155</v>
      </c>
      <c r="BH60" t="s">
        <v>165</v>
      </c>
      <c r="BI60" t="s">
        <v>166</v>
      </c>
      <c r="BJ60" t="s">
        <v>182</v>
      </c>
      <c r="BK60" s="70">
        <v>9</v>
      </c>
      <c r="BL60" s="70">
        <v>5</v>
      </c>
      <c r="BM60"/>
      <c r="BN60" t="s">
        <v>2464</v>
      </c>
      <c r="BO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 t="s">
        <v>794</v>
      </c>
      <c r="CZ60"/>
      <c r="DL60"/>
      <c r="DM60" s="70" t="s">
        <v>1715</v>
      </c>
      <c r="DN60"/>
      <c r="DO60" s="70" t="s">
        <v>1715</v>
      </c>
      <c r="DP60" t="s">
        <v>794</v>
      </c>
      <c r="DQ60" t="s">
        <v>2464</v>
      </c>
      <c r="DS60" t="s">
        <v>2042</v>
      </c>
      <c r="DT60" t="s">
        <v>2043</v>
      </c>
      <c r="DU60" t="s">
        <v>2044</v>
      </c>
      <c r="DV60"/>
    </row>
    <row r="61" spans="2:126" x14ac:dyDescent="0.25">
      <c r="B61">
        <v>40004406</v>
      </c>
      <c r="C61">
        <v>2</v>
      </c>
      <c r="D61">
        <v>1</v>
      </c>
      <c r="E61">
        <v>30</v>
      </c>
      <c r="F61">
        <v>1996</v>
      </c>
      <c r="G61">
        <v>3</v>
      </c>
      <c r="H61">
        <v>1</v>
      </c>
      <c r="I61">
        <v>2022</v>
      </c>
      <c r="J61" t="s">
        <v>532</v>
      </c>
      <c r="K61" t="s">
        <v>795</v>
      </c>
      <c r="L61">
        <v>20149600890</v>
      </c>
      <c r="M61" t="s">
        <v>1115</v>
      </c>
      <c r="N61" t="s">
        <v>457</v>
      </c>
      <c r="O61" t="s">
        <v>426</v>
      </c>
      <c r="P61" t="s">
        <v>1524</v>
      </c>
      <c r="Z61" t="s">
        <v>457</v>
      </c>
      <c r="AA61" t="s">
        <v>426</v>
      </c>
      <c r="AB61" t="s">
        <v>1116</v>
      </c>
      <c r="AU61" t="s">
        <v>25</v>
      </c>
      <c r="AV61" t="s">
        <v>170</v>
      </c>
      <c r="AW61" t="s">
        <v>177</v>
      </c>
      <c r="AX61" t="s">
        <v>172</v>
      </c>
      <c r="AY61" s="70" t="s">
        <v>17</v>
      </c>
      <c r="AZ61" s="70" t="s">
        <v>27</v>
      </c>
      <c r="BA61" s="70">
        <v>0</v>
      </c>
      <c r="BB61" s="70" t="s">
        <v>20</v>
      </c>
      <c r="BC61" s="70" t="s">
        <v>18</v>
      </c>
      <c r="BD61" s="70" t="s">
        <v>19</v>
      </c>
      <c r="BE61" t="s">
        <v>165</v>
      </c>
      <c r="BF61" t="s">
        <v>23</v>
      </c>
      <c r="BG61" t="s">
        <v>155</v>
      </c>
      <c r="BH61" t="s">
        <v>149</v>
      </c>
      <c r="BI61" t="s">
        <v>166</v>
      </c>
      <c r="BJ61" t="s">
        <v>24</v>
      </c>
      <c r="BK61" s="70">
        <v>0</v>
      </c>
      <c r="BL61" s="70">
        <v>5</v>
      </c>
      <c r="BM61"/>
      <c r="BN61" t="s">
        <v>532</v>
      </c>
      <c r="BO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 t="s">
        <v>2415</v>
      </c>
      <c r="CZ61"/>
      <c r="DL61"/>
      <c r="DM61" s="70" t="s">
        <v>1716</v>
      </c>
      <c r="DN61"/>
      <c r="DO61" s="70" t="s">
        <v>1716</v>
      </c>
      <c r="DP61" t="s">
        <v>2415</v>
      </c>
      <c r="DQ61" t="s">
        <v>532</v>
      </c>
      <c r="DS61" t="s">
        <v>2045</v>
      </c>
      <c r="DT61" t="s">
        <v>2046</v>
      </c>
      <c r="DU61" t="s">
        <v>1990</v>
      </c>
      <c r="DV61"/>
    </row>
    <row r="62" spans="2:126" x14ac:dyDescent="0.25">
      <c r="B62">
        <v>9141496</v>
      </c>
      <c r="C62">
        <v>1</v>
      </c>
      <c r="D62">
        <v>2</v>
      </c>
      <c r="E62">
        <v>6</v>
      </c>
      <c r="F62">
        <v>1986</v>
      </c>
      <c r="G62">
        <v>8</v>
      </c>
      <c r="H62">
        <v>13</v>
      </c>
      <c r="I62">
        <v>2015</v>
      </c>
      <c r="J62" t="s">
        <v>533</v>
      </c>
      <c r="K62" t="s">
        <v>796</v>
      </c>
      <c r="L62">
        <v>37108603574</v>
      </c>
      <c r="M62" t="s">
        <v>1117</v>
      </c>
      <c r="N62" t="s">
        <v>408</v>
      </c>
      <c r="O62" t="s">
        <v>1118</v>
      </c>
      <c r="P62" t="s">
        <v>1525</v>
      </c>
      <c r="Z62" t="s">
        <v>408</v>
      </c>
      <c r="AA62" t="s">
        <v>1118</v>
      </c>
      <c r="AB62" t="s">
        <v>1525</v>
      </c>
      <c r="AU62" t="s">
        <v>25</v>
      </c>
      <c r="AV62" t="s">
        <v>146</v>
      </c>
      <c r="AW62" t="s">
        <v>166</v>
      </c>
      <c r="AX62" t="s">
        <v>23</v>
      </c>
      <c r="AY62" s="70" t="s">
        <v>2422</v>
      </c>
      <c r="AZ62" s="70" t="s">
        <v>27</v>
      </c>
      <c r="BA62" s="70">
        <v>0</v>
      </c>
      <c r="BB62" s="70" t="s">
        <v>2418</v>
      </c>
      <c r="BC62" s="70" t="s">
        <v>19</v>
      </c>
      <c r="BD62" s="70" t="s">
        <v>27</v>
      </c>
      <c r="BE62" t="s">
        <v>21</v>
      </c>
      <c r="BF62" t="s">
        <v>23</v>
      </c>
      <c r="BG62" t="s">
        <v>155</v>
      </c>
      <c r="BH62" t="s">
        <v>165</v>
      </c>
      <c r="BI62" t="s">
        <v>186</v>
      </c>
      <c r="BJ62" t="s">
        <v>166</v>
      </c>
      <c r="BK62" s="70">
        <v>4</v>
      </c>
      <c r="BL62" s="70">
        <v>4</v>
      </c>
      <c r="BM62"/>
      <c r="BN62" t="s">
        <v>2465</v>
      </c>
      <c r="BO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 t="s">
        <v>796</v>
      </c>
      <c r="CZ62"/>
      <c r="DL62"/>
      <c r="DM62" s="70" t="s">
        <v>1717</v>
      </c>
      <c r="DN62"/>
      <c r="DO62" s="70" t="s">
        <v>1717</v>
      </c>
      <c r="DP62" t="s">
        <v>796</v>
      </c>
      <c r="DQ62" t="s">
        <v>2465</v>
      </c>
      <c r="DS62" t="s">
        <v>2047</v>
      </c>
      <c r="DT62" t="s">
        <v>2043</v>
      </c>
      <c r="DU62" t="s">
        <v>2048</v>
      </c>
      <c r="DV62"/>
    </row>
    <row r="63" spans="2:126" x14ac:dyDescent="0.25">
      <c r="B63">
        <v>40001339</v>
      </c>
      <c r="C63">
        <v>1</v>
      </c>
      <c r="D63">
        <v>9</v>
      </c>
      <c r="E63">
        <v>9</v>
      </c>
      <c r="F63">
        <v>1990</v>
      </c>
      <c r="G63">
        <v>9</v>
      </c>
      <c r="H63">
        <v>3</v>
      </c>
      <c r="I63">
        <v>2018</v>
      </c>
      <c r="J63" t="s">
        <v>534</v>
      </c>
      <c r="K63" t="s">
        <v>797</v>
      </c>
      <c r="L63">
        <v>92119016613</v>
      </c>
      <c r="M63" t="s">
        <v>1119</v>
      </c>
      <c r="N63" t="s">
        <v>428</v>
      </c>
      <c r="O63" t="s">
        <v>1120</v>
      </c>
      <c r="P63" t="s">
        <v>1526</v>
      </c>
      <c r="Z63" t="s">
        <v>428</v>
      </c>
      <c r="AA63" t="s">
        <v>1120</v>
      </c>
      <c r="AB63" t="s">
        <v>1526</v>
      </c>
      <c r="AU63" t="s">
        <v>165</v>
      </c>
      <c r="AV63" t="s">
        <v>153</v>
      </c>
      <c r="AW63" t="s">
        <v>149</v>
      </c>
      <c r="AX63" t="s">
        <v>24</v>
      </c>
      <c r="AY63" s="70" t="s">
        <v>17</v>
      </c>
      <c r="AZ63" s="70" t="s">
        <v>19</v>
      </c>
      <c r="BA63" s="70">
        <v>0</v>
      </c>
      <c r="BB63" s="70" t="s">
        <v>17</v>
      </c>
      <c r="BC63" s="70" t="s">
        <v>19</v>
      </c>
      <c r="BD63" s="70" t="s">
        <v>17</v>
      </c>
      <c r="BE63" t="s">
        <v>21</v>
      </c>
      <c r="BF63" t="s">
        <v>23</v>
      </c>
      <c r="BG63" t="s">
        <v>155</v>
      </c>
      <c r="BH63" t="s">
        <v>23</v>
      </c>
      <c r="BI63" t="s">
        <v>21</v>
      </c>
      <c r="BJ63" t="s">
        <v>166</v>
      </c>
      <c r="BK63" s="70">
        <v>9</v>
      </c>
      <c r="BL63" s="70">
        <v>5</v>
      </c>
      <c r="BM63"/>
      <c r="BN63" t="s">
        <v>2466</v>
      </c>
      <c r="BO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 t="s">
        <v>797</v>
      </c>
      <c r="CZ63"/>
      <c r="DL63"/>
      <c r="DM63" s="70" t="s">
        <v>1718</v>
      </c>
      <c r="DN63"/>
      <c r="DO63" s="70" t="s">
        <v>1718</v>
      </c>
      <c r="DP63" t="s">
        <v>797</v>
      </c>
      <c r="DQ63" t="s">
        <v>2466</v>
      </c>
      <c r="DS63" t="s">
        <v>2049</v>
      </c>
      <c r="DT63" t="s">
        <v>2050</v>
      </c>
      <c r="DU63" t="s">
        <v>2051</v>
      </c>
      <c r="DV63"/>
    </row>
    <row r="64" spans="2:126" x14ac:dyDescent="0.25">
      <c r="B64">
        <v>5970765</v>
      </c>
      <c r="C64">
        <v>2</v>
      </c>
      <c r="D64">
        <v>2</v>
      </c>
      <c r="E64">
        <v>27</v>
      </c>
      <c r="F64">
        <v>1977</v>
      </c>
      <c r="G64">
        <v>9</v>
      </c>
      <c r="H64">
        <v>15</v>
      </c>
      <c r="I64">
        <v>1997</v>
      </c>
      <c r="J64" t="s">
        <v>535</v>
      </c>
      <c r="K64" t="s">
        <v>798</v>
      </c>
      <c r="L64">
        <v>94967720809</v>
      </c>
      <c r="M64" t="s">
        <v>1121</v>
      </c>
      <c r="N64" t="s">
        <v>466</v>
      </c>
      <c r="O64" t="s">
        <v>418</v>
      </c>
      <c r="P64" t="s">
        <v>74</v>
      </c>
      <c r="Z64" t="s">
        <v>466</v>
      </c>
      <c r="AA64" t="s">
        <v>418</v>
      </c>
      <c r="AB64" t="s">
        <v>442</v>
      </c>
      <c r="AU64" t="s">
        <v>25</v>
      </c>
      <c r="AV64" t="s">
        <v>159</v>
      </c>
      <c r="AW64" t="s">
        <v>172</v>
      </c>
      <c r="AX64" t="s">
        <v>161</v>
      </c>
      <c r="AY64" s="70" t="s">
        <v>2420</v>
      </c>
      <c r="AZ64" s="70" t="s">
        <v>2420</v>
      </c>
      <c r="BA64" s="70">
        <v>0</v>
      </c>
      <c r="BB64" s="70" t="s">
        <v>2418</v>
      </c>
      <c r="BC64" s="70" t="s">
        <v>2418</v>
      </c>
      <c r="BD64" s="70" t="s">
        <v>2420</v>
      </c>
      <c r="BE64" t="s">
        <v>165</v>
      </c>
      <c r="BF64" t="s">
        <v>23</v>
      </c>
      <c r="BG64" t="s">
        <v>155</v>
      </c>
      <c r="BH64" t="s">
        <v>182</v>
      </c>
      <c r="BI64" t="s">
        <v>25</v>
      </c>
      <c r="BJ64" t="s">
        <v>166</v>
      </c>
      <c r="BK64" s="70">
        <v>9</v>
      </c>
      <c r="BL64" s="70">
        <v>4</v>
      </c>
      <c r="BM64"/>
      <c r="BN64" t="s">
        <v>2467</v>
      </c>
      <c r="BO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 t="s">
        <v>798</v>
      </c>
      <c r="CZ64"/>
      <c r="DL64"/>
      <c r="DM64" s="70" t="s">
        <v>1719</v>
      </c>
      <c r="DN64"/>
      <c r="DO64" s="70" t="s">
        <v>1719</v>
      </c>
      <c r="DP64" t="s">
        <v>798</v>
      </c>
      <c r="DQ64" t="s">
        <v>2467</v>
      </c>
      <c r="DS64" t="s">
        <v>2018</v>
      </c>
      <c r="DT64" t="s">
        <v>2052</v>
      </c>
      <c r="DU64" t="s">
        <v>1981</v>
      </c>
      <c r="DV64"/>
    </row>
    <row r="65" spans="2:126" x14ac:dyDescent="0.25">
      <c r="B65">
        <v>9195660</v>
      </c>
      <c r="C65">
        <v>2</v>
      </c>
      <c r="D65">
        <v>7</v>
      </c>
      <c r="E65">
        <v>12</v>
      </c>
      <c r="F65">
        <v>1978</v>
      </c>
      <c r="G65">
        <v>8</v>
      </c>
      <c r="H65">
        <v>16</v>
      </c>
      <c r="I65">
        <v>2016</v>
      </c>
      <c r="J65" t="s">
        <v>536</v>
      </c>
      <c r="K65" t="s">
        <v>799</v>
      </c>
      <c r="L65">
        <v>68937806427</v>
      </c>
      <c r="M65" t="s">
        <v>1122</v>
      </c>
      <c r="N65" t="s">
        <v>437</v>
      </c>
      <c r="O65" t="s">
        <v>405</v>
      </c>
      <c r="P65" t="s">
        <v>1527</v>
      </c>
      <c r="Z65" t="s">
        <v>437</v>
      </c>
      <c r="AA65" t="s">
        <v>405</v>
      </c>
      <c r="AB65" t="s">
        <v>1527</v>
      </c>
      <c r="AU65" t="s">
        <v>25</v>
      </c>
      <c r="AV65" t="s">
        <v>170</v>
      </c>
      <c r="AW65" t="s">
        <v>23</v>
      </c>
      <c r="AX65" t="s">
        <v>146</v>
      </c>
      <c r="AY65" s="70" t="s">
        <v>2420</v>
      </c>
      <c r="AZ65" s="70" t="s">
        <v>2422</v>
      </c>
      <c r="BA65" s="70">
        <v>0</v>
      </c>
      <c r="BB65" s="70" t="s">
        <v>2420</v>
      </c>
      <c r="BC65" s="70" t="s">
        <v>20</v>
      </c>
      <c r="BD65" s="70" t="s">
        <v>2418</v>
      </c>
      <c r="BE65" t="s">
        <v>165</v>
      </c>
      <c r="BF65" t="s">
        <v>23</v>
      </c>
      <c r="BG65" t="s">
        <v>155</v>
      </c>
      <c r="BH65" t="s">
        <v>23</v>
      </c>
      <c r="BI65" t="s">
        <v>26</v>
      </c>
      <c r="BJ65" t="s">
        <v>165</v>
      </c>
      <c r="BK65" s="70">
        <v>3</v>
      </c>
      <c r="BL65" s="70">
        <v>4</v>
      </c>
      <c r="BM65"/>
      <c r="BN65" t="s">
        <v>2468</v>
      </c>
      <c r="BO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 t="s">
        <v>799</v>
      </c>
      <c r="CZ65"/>
      <c r="DL65"/>
      <c r="DM65" s="70" t="s">
        <v>1720</v>
      </c>
      <c r="DN65"/>
      <c r="DO65" s="70" t="s">
        <v>1720</v>
      </c>
      <c r="DP65" t="s">
        <v>799</v>
      </c>
      <c r="DQ65" t="s">
        <v>2468</v>
      </c>
      <c r="DS65" t="s">
        <v>2053</v>
      </c>
      <c r="DT65" t="s">
        <v>2054</v>
      </c>
      <c r="DU65" t="s">
        <v>2055</v>
      </c>
      <c r="DV65"/>
    </row>
    <row r="66" spans="2:126" x14ac:dyDescent="0.25">
      <c r="B66">
        <v>9188744</v>
      </c>
      <c r="C66">
        <v>2</v>
      </c>
      <c r="D66">
        <v>1</v>
      </c>
      <c r="E66">
        <v>19</v>
      </c>
      <c r="F66">
        <v>1985</v>
      </c>
      <c r="G66">
        <v>6</v>
      </c>
      <c r="H66">
        <v>1</v>
      </c>
      <c r="I66">
        <v>2016</v>
      </c>
      <c r="J66" t="s">
        <v>537</v>
      </c>
      <c r="K66" t="s">
        <v>800</v>
      </c>
      <c r="L66">
        <v>7098501666</v>
      </c>
      <c r="M66" t="s">
        <v>1123</v>
      </c>
      <c r="N66" t="s">
        <v>1124</v>
      </c>
      <c r="O66" t="s">
        <v>1063</v>
      </c>
      <c r="P66" t="s">
        <v>1528</v>
      </c>
      <c r="Z66" t="s">
        <v>1124</v>
      </c>
      <c r="AA66" t="s">
        <v>1063</v>
      </c>
      <c r="AB66" t="s">
        <v>1528</v>
      </c>
      <c r="AU66" t="s">
        <v>182</v>
      </c>
      <c r="AV66" t="s">
        <v>146</v>
      </c>
      <c r="AW66" t="s">
        <v>172</v>
      </c>
      <c r="AX66" t="s">
        <v>153</v>
      </c>
      <c r="AY66" s="70" t="s">
        <v>2422</v>
      </c>
      <c r="AZ66" s="70" t="s">
        <v>2427</v>
      </c>
      <c r="BA66" s="70">
        <v>0</v>
      </c>
      <c r="BB66" s="70" t="s">
        <v>20</v>
      </c>
      <c r="BC66" s="70" t="s">
        <v>20</v>
      </c>
      <c r="BD66" s="70" t="s">
        <v>17</v>
      </c>
      <c r="BE66" t="s">
        <v>165</v>
      </c>
      <c r="BF66" t="s">
        <v>23</v>
      </c>
      <c r="BG66" t="s">
        <v>155</v>
      </c>
      <c r="BH66" t="s">
        <v>24</v>
      </c>
      <c r="BI66" t="s">
        <v>24</v>
      </c>
      <c r="BJ66" t="s">
        <v>25</v>
      </c>
      <c r="BK66" s="70">
        <v>2</v>
      </c>
      <c r="BL66" s="70">
        <v>8</v>
      </c>
      <c r="BM66"/>
      <c r="BN66" t="s">
        <v>2469</v>
      </c>
      <c r="BO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 t="s">
        <v>800</v>
      </c>
      <c r="CZ66"/>
      <c r="DL66"/>
      <c r="DM66" s="70" t="s">
        <v>1721</v>
      </c>
      <c r="DN66"/>
      <c r="DO66" s="70" t="s">
        <v>1721</v>
      </c>
      <c r="DP66" t="s">
        <v>800</v>
      </c>
      <c r="DQ66" t="s">
        <v>2469</v>
      </c>
      <c r="DS66" t="s">
        <v>2056</v>
      </c>
      <c r="DT66" t="s">
        <v>2057</v>
      </c>
      <c r="DU66" t="s">
        <v>1993</v>
      </c>
      <c r="DV66"/>
    </row>
    <row r="67" spans="2:126" x14ac:dyDescent="0.25">
      <c r="B67">
        <v>40000651</v>
      </c>
      <c r="C67">
        <v>1</v>
      </c>
      <c r="D67">
        <v>5</v>
      </c>
      <c r="E67">
        <v>5</v>
      </c>
      <c r="F67">
        <v>1988</v>
      </c>
      <c r="G67">
        <v>6</v>
      </c>
      <c r="H67">
        <v>18</v>
      </c>
      <c r="I67">
        <v>2018</v>
      </c>
      <c r="J67" t="s">
        <v>538</v>
      </c>
      <c r="K67" t="s">
        <v>801</v>
      </c>
      <c r="L67">
        <v>16098816818</v>
      </c>
      <c r="M67" t="s">
        <v>1125</v>
      </c>
      <c r="N67" t="s">
        <v>1126</v>
      </c>
      <c r="O67" t="s">
        <v>420</v>
      </c>
      <c r="P67" t="s">
        <v>64</v>
      </c>
      <c r="Z67" t="s">
        <v>1126</v>
      </c>
      <c r="AA67" t="s">
        <v>420</v>
      </c>
      <c r="AB67" t="s">
        <v>442</v>
      </c>
      <c r="AU67" t="s">
        <v>146</v>
      </c>
      <c r="AV67" t="s">
        <v>159</v>
      </c>
      <c r="AW67" t="s">
        <v>25</v>
      </c>
      <c r="AX67" t="s">
        <v>161</v>
      </c>
      <c r="AY67" s="70" t="s">
        <v>2422</v>
      </c>
      <c r="AZ67" s="70" t="s">
        <v>2422</v>
      </c>
      <c r="BA67" s="70">
        <v>0</v>
      </c>
      <c r="BB67" s="70" t="s">
        <v>2427</v>
      </c>
      <c r="BC67" s="70" t="s">
        <v>19</v>
      </c>
      <c r="BD67" s="70" t="s">
        <v>2427</v>
      </c>
      <c r="BE67" t="s">
        <v>21</v>
      </c>
      <c r="BF67" t="s">
        <v>23</v>
      </c>
      <c r="BG67" t="s">
        <v>155</v>
      </c>
      <c r="BH67" t="s">
        <v>25</v>
      </c>
      <c r="BI67" t="s">
        <v>26</v>
      </c>
      <c r="BJ67" t="s">
        <v>166</v>
      </c>
      <c r="BK67" s="70">
        <v>1</v>
      </c>
      <c r="BL67" s="70">
        <v>2</v>
      </c>
      <c r="BM67"/>
      <c r="BN67" t="s">
        <v>2470</v>
      </c>
      <c r="BO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 t="s">
        <v>801</v>
      </c>
      <c r="CZ67"/>
      <c r="DL67"/>
      <c r="DM67" s="70" t="s">
        <v>1722</v>
      </c>
      <c r="DN67"/>
      <c r="DO67" s="70" t="s">
        <v>1722</v>
      </c>
      <c r="DP67" t="s">
        <v>801</v>
      </c>
      <c r="DQ67" t="s">
        <v>2470</v>
      </c>
      <c r="DS67" t="s">
        <v>2058</v>
      </c>
      <c r="DT67" t="s">
        <v>2059</v>
      </c>
      <c r="DU67" t="s">
        <v>2060</v>
      </c>
      <c r="DV67"/>
    </row>
    <row r="68" spans="2:126" x14ac:dyDescent="0.25">
      <c r="B68">
        <v>40005372</v>
      </c>
      <c r="C68">
        <v>1</v>
      </c>
      <c r="D68">
        <v>9</v>
      </c>
      <c r="E68">
        <v>30</v>
      </c>
      <c r="F68">
        <v>1991</v>
      </c>
      <c r="G68">
        <v>9</v>
      </c>
      <c r="H68">
        <v>3</v>
      </c>
      <c r="I68">
        <v>2020</v>
      </c>
      <c r="J68" t="s">
        <v>539</v>
      </c>
      <c r="K68" t="s">
        <v>802</v>
      </c>
      <c r="L68">
        <v>94129102573</v>
      </c>
      <c r="M68" t="s">
        <v>1127</v>
      </c>
      <c r="N68" t="s">
        <v>1128</v>
      </c>
      <c r="O68" t="s">
        <v>452</v>
      </c>
      <c r="P68" t="s">
        <v>72</v>
      </c>
      <c r="Z68" t="s">
        <v>1128</v>
      </c>
      <c r="AA68" t="s">
        <v>452</v>
      </c>
      <c r="AB68" t="s">
        <v>444</v>
      </c>
      <c r="AU68" t="s">
        <v>182</v>
      </c>
      <c r="AV68" t="s">
        <v>153</v>
      </c>
      <c r="AW68" t="s">
        <v>16</v>
      </c>
      <c r="AX68" t="s">
        <v>165</v>
      </c>
      <c r="AY68" s="70" t="s">
        <v>17</v>
      </c>
      <c r="AZ68" s="70" t="s">
        <v>20</v>
      </c>
      <c r="BA68" s="70">
        <v>0</v>
      </c>
      <c r="BB68" s="70" t="s">
        <v>17</v>
      </c>
      <c r="BC68" s="70" t="s">
        <v>18</v>
      </c>
      <c r="BD68" s="70" t="s">
        <v>19</v>
      </c>
      <c r="BE68" t="s">
        <v>21</v>
      </c>
      <c r="BF68" t="s">
        <v>23</v>
      </c>
      <c r="BG68" t="s">
        <v>155</v>
      </c>
      <c r="BH68" t="s">
        <v>25</v>
      </c>
      <c r="BI68" t="s">
        <v>25</v>
      </c>
      <c r="BJ68" t="s">
        <v>157</v>
      </c>
      <c r="BK68" s="70">
        <v>8</v>
      </c>
      <c r="BL68" s="70">
        <v>2</v>
      </c>
      <c r="BM68"/>
      <c r="BN68" t="s">
        <v>2471</v>
      </c>
      <c r="BO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 t="s">
        <v>802</v>
      </c>
      <c r="CZ68"/>
      <c r="DL68"/>
      <c r="DM68" s="70" t="s">
        <v>1723</v>
      </c>
      <c r="DN68"/>
      <c r="DO68" s="70" t="s">
        <v>1723</v>
      </c>
      <c r="DP68" t="s">
        <v>802</v>
      </c>
      <c r="DQ68" t="s">
        <v>2471</v>
      </c>
      <c r="DS68" t="s">
        <v>2001</v>
      </c>
      <c r="DT68" t="s">
        <v>2061</v>
      </c>
      <c r="DU68" t="s">
        <v>1941</v>
      </c>
      <c r="DV68"/>
    </row>
    <row r="69" spans="2:126" x14ac:dyDescent="0.25">
      <c r="B69">
        <v>6475482</v>
      </c>
      <c r="C69">
        <v>2</v>
      </c>
      <c r="D69">
        <v>6</v>
      </c>
      <c r="E69">
        <v>30</v>
      </c>
      <c r="F69">
        <v>1976</v>
      </c>
      <c r="G69">
        <v>8</v>
      </c>
      <c r="H69">
        <v>1</v>
      </c>
      <c r="I69">
        <v>2007</v>
      </c>
      <c r="J69" t="s">
        <v>540</v>
      </c>
      <c r="K69" t="s">
        <v>803</v>
      </c>
      <c r="L69">
        <v>39927638286</v>
      </c>
      <c r="M69" t="s">
        <v>1129</v>
      </c>
      <c r="N69" t="s">
        <v>401</v>
      </c>
      <c r="O69" t="s">
        <v>478</v>
      </c>
      <c r="P69" t="s">
        <v>1529</v>
      </c>
      <c r="Z69" t="s">
        <v>401</v>
      </c>
      <c r="AA69" t="s">
        <v>478</v>
      </c>
      <c r="AB69" t="s">
        <v>1130</v>
      </c>
      <c r="AU69" t="s">
        <v>157</v>
      </c>
      <c r="AV69" t="s">
        <v>146</v>
      </c>
      <c r="AW69" t="s">
        <v>24</v>
      </c>
      <c r="AX69" t="s">
        <v>146</v>
      </c>
      <c r="AY69" s="70" t="s">
        <v>2420</v>
      </c>
      <c r="AZ69" s="70" t="s">
        <v>27</v>
      </c>
      <c r="BA69" s="70">
        <v>0</v>
      </c>
      <c r="BB69" s="70" t="s">
        <v>27</v>
      </c>
      <c r="BC69" s="70" t="s">
        <v>18</v>
      </c>
      <c r="BD69" s="70" t="s">
        <v>19</v>
      </c>
      <c r="BE69" t="s">
        <v>165</v>
      </c>
      <c r="BF69" t="s">
        <v>23</v>
      </c>
      <c r="BG69" t="s">
        <v>155</v>
      </c>
      <c r="BH69" t="s">
        <v>25</v>
      </c>
      <c r="BI69" t="s">
        <v>166</v>
      </c>
      <c r="BJ69" t="s">
        <v>166</v>
      </c>
      <c r="BK69" s="70">
        <v>0</v>
      </c>
      <c r="BL69" s="70">
        <v>0</v>
      </c>
      <c r="BM69"/>
      <c r="BN69" t="s">
        <v>2472</v>
      </c>
      <c r="BO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 t="s">
        <v>2416</v>
      </c>
      <c r="CZ69"/>
      <c r="DL69"/>
      <c r="DM69" s="70" t="s">
        <v>1724</v>
      </c>
      <c r="DN69"/>
      <c r="DO69" s="70" t="s">
        <v>1724</v>
      </c>
      <c r="DP69" t="s">
        <v>2416</v>
      </c>
      <c r="DQ69" t="s">
        <v>2472</v>
      </c>
      <c r="DS69" t="s">
        <v>2062</v>
      </c>
      <c r="DT69" t="s">
        <v>2063</v>
      </c>
      <c r="DU69" t="s">
        <v>2064</v>
      </c>
      <c r="DV69"/>
    </row>
    <row r="70" spans="2:126" x14ac:dyDescent="0.25">
      <c r="B70">
        <v>9175880</v>
      </c>
      <c r="C70">
        <v>2</v>
      </c>
      <c r="D70">
        <v>6</v>
      </c>
      <c r="E70">
        <v>27</v>
      </c>
      <c r="F70">
        <v>1986</v>
      </c>
      <c r="G70">
        <v>10</v>
      </c>
      <c r="H70">
        <v>1</v>
      </c>
      <c r="I70">
        <v>2016</v>
      </c>
      <c r="J70" t="s">
        <v>541</v>
      </c>
      <c r="K70" t="s">
        <v>804</v>
      </c>
      <c r="L70">
        <v>3148604667</v>
      </c>
      <c r="M70" t="s">
        <v>1131</v>
      </c>
      <c r="N70" t="s">
        <v>462</v>
      </c>
      <c r="O70" t="s">
        <v>1132</v>
      </c>
      <c r="P70" t="s">
        <v>1530</v>
      </c>
      <c r="Z70" t="s">
        <v>462</v>
      </c>
      <c r="AA70" t="s">
        <v>1132</v>
      </c>
      <c r="AB70" t="s">
        <v>1133</v>
      </c>
      <c r="AU70" t="s">
        <v>146</v>
      </c>
      <c r="AV70" t="s">
        <v>180</v>
      </c>
      <c r="AW70" t="s">
        <v>24</v>
      </c>
      <c r="AX70" t="s">
        <v>153</v>
      </c>
      <c r="AY70" s="70" t="s">
        <v>2422</v>
      </c>
      <c r="AZ70" s="70" t="s">
        <v>27</v>
      </c>
      <c r="BA70" s="70">
        <v>0</v>
      </c>
      <c r="BB70" s="70" t="s">
        <v>27</v>
      </c>
      <c r="BC70" s="70" t="s">
        <v>2418</v>
      </c>
      <c r="BD70" s="70" t="s">
        <v>2420</v>
      </c>
      <c r="BE70" t="s">
        <v>165</v>
      </c>
      <c r="BF70" t="s">
        <v>23</v>
      </c>
      <c r="BG70" t="s">
        <v>155</v>
      </c>
      <c r="BH70" t="s">
        <v>157</v>
      </c>
      <c r="BI70" t="s">
        <v>26</v>
      </c>
      <c r="BJ70" t="s">
        <v>24</v>
      </c>
      <c r="BK70" s="70">
        <v>7</v>
      </c>
      <c r="BL70" s="70">
        <v>4</v>
      </c>
      <c r="BM70"/>
      <c r="BN70" t="s">
        <v>2473</v>
      </c>
      <c r="BO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 t="s">
        <v>1668</v>
      </c>
      <c r="CZ70"/>
      <c r="DL70"/>
      <c r="DM70" s="70" t="s">
        <v>1725</v>
      </c>
      <c r="DN70"/>
      <c r="DO70" s="70" t="s">
        <v>1725</v>
      </c>
      <c r="DP70" t="s">
        <v>1668</v>
      </c>
      <c r="DQ70" t="s">
        <v>2473</v>
      </c>
      <c r="DS70" t="s">
        <v>2065</v>
      </c>
      <c r="DT70" t="s">
        <v>2066</v>
      </c>
      <c r="DU70" t="s">
        <v>2067</v>
      </c>
      <c r="DV70"/>
    </row>
    <row r="71" spans="2:126" x14ac:dyDescent="0.25">
      <c r="B71">
        <v>5966490</v>
      </c>
      <c r="C71">
        <v>1</v>
      </c>
      <c r="D71">
        <v>7</v>
      </c>
      <c r="E71">
        <v>31</v>
      </c>
      <c r="F71">
        <v>1967</v>
      </c>
      <c r="G71">
        <v>6</v>
      </c>
      <c r="H71">
        <v>1</v>
      </c>
      <c r="I71">
        <v>1994</v>
      </c>
      <c r="J71" t="s">
        <v>542</v>
      </c>
      <c r="K71" t="s">
        <v>805</v>
      </c>
      <c r="L71">
        <v>92926703841</v>
      </c>
      <c r="M71" t="s">
        <v>1134</v>
      </c>
      <c r="N71" t="s">
        <v>411</v>
      </c>
      <c r="O71" t="s">
        <v>421</v>
      </c>
      <c r="P71" t="s">
        <v>1531</v>
      </c>
      <c r="Z71" t="s">
        <v>411</v>
      </c>
      <c r="AA71" t="s">
        <v>421</v>
      </c>
      <c r="AB71" t="s">
        <v>1531</v>
      </c>
      <c r="AU71" t="s">
        <v>165</v>
      </c>
      <c r="AV71" t="s">
        <v>170</v>
      </c>
      <c r="AW71" t="s">
        <v>25</v>
      </c>
      <c r="AX71" t="s">
        <v>165</v>
      </c>
      <c r="AY71" s="70" t="s">
        <v>27</v>
      </c>
      <c r="AZ71" s="70" t="s">
        <v>2420</v>
      </c>
      <c r="BA71" s="70">
        <v>0</v>
      </c>
      <c r="BB71" s="70" t="s">
        <v>2420</v>
      </c>
      <c r="BC71" s="70" t="s">
        <v>18</v>
      </c>
      <c r="BD71" s="70" t="s">
        <v>20</v>
      </c>
      <c r="BE71" t="s">
        <v>21</v>
      </c>
      <c r="BF71" t="s">
        <v>23</v>
      </c>
      <c r="BG71" t="s">
        <v>155</v>
      </c>
      <c r="BH71" t="s">
        <v>25</v>
      </c>
      <c r="BI71" t="s">
        <v>166</v>
      </c>
      <c r="BJ71" t="s">
        <v>186</v>
      </c>
      <c r="BK71" s="70">
        <v>9</v>
      </c>
      <c r="BL71" s="70">
        <v>8</v>
      </c>
      <c r="BM71"/>
      <c r="BN71" t="s">
        <v>2474</v>
      </c>
      <c r="BO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 t="s">
        <v>805</v>
      </c>
      <c r="CZ71"/>
      <c r="DL71"/>
      <c r="DM71" s="70" t="s">
        <v>1726</v>
      </c>
      <c r="DN71"/>
      <c r="DO71" s="70" t="s">
        <v>1726</v>
      </c>
      <c r="DP71" t="s">
        <v>805</v>
      </c>
      <c r="DQ71" t="s">
        <v>2474</v>
      </c>
      <c r="DS71" t="s">
        <v>2068</v>
      </c>
      <c r="DT71" t="s">
        <v>2069</v>
      </c>
      <c r="DU71" t="s">
        <v>2070</v>
      </c>
      <c r="DV71"/>
    </row>
    <row r="72" spans="2:126" x14ac:dyDescent="0.25">
      <c r="B72">
        <v>9229807</v>
      </c>
      <c r="C72">
        <v>1</v>
      </c>
      <c r="D72">
        <v>8</v>
      </c>
      <c r="E72">
        <v>6</v>
      </c>
      <c r="F72">
        <v>1980</v>
      </c>
      <c r="G72">
        <v>9</v>
      </c>
      <c r="H72">
        <v>18</v>
      </c>
      <c r="I72">
        <v>2017</v>
      </c>
      <c r="J72" t="s">
        <v>543</v>
      </c>
      <c r="K72" t="s">
        <v>806</v>
      </c>
      <c r="L72">
        <v>1988030928</v>
      </c>
      <c r="M72" t="s">
        <v>1135</v>
      </c>
      <c r="N72" t="s">
        <v>1136</v>
      </c>
      <c r="O72" t="s">
        <v>1137</v>
      </c>
      <c r="P72" t="s">
        <v>1532</v>
      </c>
      <c r="Z72" t="s">
        <v>1136</v>
      </c>
      <c r="AA72" t="s">
        <v>1137</v>
      </c>
      <c r="AB72" t="s">
        <v>1138</v>
      </c>
      <c r="AU72" t="s">
        <v>146</v>
      </c>
      <c r="AV72" t="s">
        <v>153</v>
      </c>
      <c r="AW72" t="s">
        <v>146</v>
      </c>
      <c r="AX72" t="s">
        <v>177</v>
      </c>
      <c r="AY72" s="70" t="s">
        <v>2422</v>
      </c>
      <c r="AZ72" s="70" t="s">
        <v>19</v>
      </c>
      <c r="BA72" s="70">
        <v>0</v>
      </c>
      <c r="BB72" s="70" t="s">
        <v>2422</v>
      </c>
      <c r="BC72" s="70" t="s">
        <v>19</v>
      </c>
      <c r="BD72" s="70" t="s">
        <v>27</v>
      </c>
      <c r="BE72" t="s">
        <v>21</v>
      </c>
      <c r="BF72" t="s">
        <v>23</v>
      </c>
      <c r="BG72" t="s">
        <v>155</v>
      </c>
      <c r="BH72" t="s">
        <v>25</v>
      </c>
      <c r="BI72" t="s">
        <v>25</v>
      </c>
      <c r="BJ72" t="s">
        <v>166</v>
      </c>
      <c r="BK72" s="70">
        <v>5</v>
      </c>
      <c r="BL72" s="70">
        <v>8</v>
      </c>
      <c r="BM72"/>
      <c r="BN72" t="s">
        <v>2475</v>
      </c>
      <c r="BO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 t="s">
        <v>806</v>
      </c>
      <c r="CZ72"/>
      <c r="DL72"/>
      <c r="DM72" s="70" t="s">
        <v>1727</v>
      </c>
      <c r="DN72"/>
      <c r="DO72" s="70" t="s">
        <v>1727</v>
      </c>
      <c r="DP72" t="s">
        <v>806</v>
      </c>
      <c r="DQ72" t="s">
        <v>2475</v>
      </c>
      <c r="DS72" t="s">
        <v>2071</v>
      </c>
      <c r="DT72" t="s">
        <v>2072</v>
      </c>
      <c r="DU72" t="s">
        <v>2073</v>
      </c>
      <c r="DV72"/>
    </row>
    <row r="73" spans="2:126" x14ac:dyDescent="0.25">
      <c r="B73">
        <v>9215750</v>
      </c>
      <c r="C73">
        <v>1</v>
      </c>
      <c r="D73">
        <v>2</v>
      </c>
      <c r="E73">
        <v>11</v>
      </c>
      <c r="F73">
        <v>1982</v>
      </c>
      <c r="G73">
        <v>5</v>
      </c>
      <c r="H73">
        <v>1</v>
      </c>
      <c r="I73">
        <v>2017</v>
      </c>
      <c r="J73" t="s">
        <v>544</v>
      </c>
      <c r="K73" t="s">
        <v>807</v>
      </c>
      <c r="L73">
        <v>42018203457</v>
      </c>
      <c r="M73" t="s">
        <v>1139</v>
      </c>
      <c r="N73" t="s">
        <v>481</v>
      </c>
      <c r="O73" t="s">
        <v>405</v>
      </c>
      <c r="P73" t="s">
        <v>1533</v>
      </c>
      <c r="Z73" t="s">
        <v>481</v>
      </c>
      <c r="AA73" t="s">
        <v>405</v>
      </c>
      <c r="AB73" t="s">
        <v>1140</v>
      </c>
      <c r="AU73" t="s">
        <v>155</v>
      </c>
      <c r="AV73" t="s">
        <v>170</v>
      </c>
      <c r="AW73" t="s">
        <v>23</v>
      </c>
      <c r="AX73" t="s">
        <v>24</v>
      </c>
      <c r="AY73" s="70" t="s">
        <v>2422</v>
      </c>
      <c r="AZ73" s="70" t="s">
        <v>2418</v>
      </c>
      <c r="BA73" s="70">
        <v>0</v>
      </c>
      <c r="BB73" s="70" t="s">
        <v>2418</v>
      </c>
      <c r="BC73" s="70" t="s">
        <v>20</v>
      </c>
      <c r="BD73" s="70" t="s">
        <v>20</v>
      </c>
      <c r="BE73" t="s">
        <v>21</v>
      </c>
      <c r="BF73" t="s">
        <v>23</v>
      </c>
      <c r="BG73" t="s">
        <v>155</v>
      </c>
      <c r="BH73" t="s">
        <v>24</v>
      </c>
      <c r="BI73" t="s">
        <v>26</v>
      </c>
      <c r="BJ73" t="s">
        <v>25</v>
      </c>
      <c r="BK73" s="70">
        <v>2</v>
      </c>
      <c r="BL73" s="70">
        <v>8</v>
      </c>
      <c r="BM73"/>
      <c r="BN73" t="s">
        <v>2476</v>
      </c>
      <c r="BO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 t="s">
        <v>807</v>
      </c>
      <c r="CZ73"/>
      <c r="DL73"/>
      <c r="DM73" s="70" t="s">
        <v>1728</v>
      </c>
      <c r="DN73"/>
      <c r="DO73" s="70" t="s">
        <v>1728</v>
      </c>
      <c r="DP73" t="s">
        <v>807</v>
      </c>
      <c r="DQ73" t="s">
        <v>2476</v>
      </c>
      <c r="DS73" t="s">
        <v>2074</v>
      </c>
      <c r="DT73" t="s">
        <v>1968</v>
      </c>
      <c r="DU73" t="s">
        <v>2055</v>
      </c>
      <c r="DV73"/>
    </row>
    <row r="74" spans="2:126" x14ac:dyDescent="0.25">
      <c r="B74">
        <v>9239900</v>
      </c>
      <c r="C74">
        <v>2</v>
      </c>
      <c r="D74">
        <v>7</v>
      </c>
      <c r="E74">
        <v>21</v>
      </c>
      <c r="F74">
        <v>1985</v>
      </c>
      <c r="G74">
        <v>2</v>
      </c>
      <c r="H74">
        <v>1</v>
      </c>
      <c r="I74">
        <v>2018</v>
      </c>
      <c r="J74" t="s">
        <v>545</v>
      </c>
      <c r="K74" t="s">
        <v>808</v>
      </c>
      <c r="L74">
        <v>45108503199</v>
      </c>
      <c r="M74" t="s">
        <v>1141</v>
      </c>
      <c r="N74" t="s">
        <v>1142</v>
      </c>
      <c r="O74" t="s">
        <v>1143</v>
      </c>
      <c r="P74" t="s">
        <v>1534</v>
      </c>
      <c r="Z74" t="s">
        <v>1142</v>
      </c>
      <c r="AA74" t="s">
        <v>1143</v>
      </c>
      <c r="AB74" t="s">
        <v>1144</v>
      </c>
      <c r="AU74" t="s">
        <v>157</v>
      </c>
      <c r="AV74" t="s">
        <v>180</v>
      </c>
      <c r="AW74" t="s">
        <v>22</v>
      </c>
      <c r="AX74" t="s">
        <v>24</v>
      </c>
      <c r="AY74" s="70" t="s">
        <v>2422</v>
      </c>
      <c r="AZ74" s="70" t="s">
        <v>2427</v>
      </c>
      <c r="BA74" s="70">
        <v>0</v>
      </c>
      <c r="BB74" s="70" t="s">
        <v>2420</v>
      </c>
      <c r="BC74" s="70" t="s">
        <v>2418</v>
      </c>
      <c r="BD74" s="70" t="s">
        <v>20</v>
      </c>
      <c r="BE74" t="s">
        <v>165</v>
      </c>
      <c r="BF74" t="s">
        <v>23</v>
      </c>
      <c r="BG74" t="s">
        <v>155</v>
      </c>
      <c r="BH74" t="s">
        <v>26</v>
      </c>
      <c r="BI74" t="s">
        <v>177</v>
      </c>
      <c r="BJ74" t="s">
        <v>166</v>
      </c>
      <c r="BK74" s="70">
        <v>2</v>
      </c>
      <c r="BL74" s="70">
        <v>0</v>
      </c>
      <c r="BM74"/>
      <c r="BN74" t="s">
        <v>2477</v>
      </c>
      <c r="BO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 t="s">
        <v>808</v>
      </c>
      <c r="CZ74"/>
      <c r="DL74"/>
      <c r="DM74" s="70" t="s">
        <v>1729</v>
      </c>
      <c r="DN74"/>
      <c r="DO74" s="70" t="s">
        <v>1729</v>
      </c>
      <c r="DP74" t="s">
        <v>808</v>
      </c>
      <c r="DQ74" t="s">
        <v>2477</v>
      </c>
      <c r="DS74" t="s">
        <v>2075</v>
      </c>
      <c r="DT74" t="s">
        <v>2076</v>
      </c>
      <c r="DU74" t="s">
        <v>2077</v>
      </c>
      <c r="DV74"/>
    </row>
    <row r="75" spans="2:126" x14ac:dyDescent="0.25">
      <c r="B75">
        <v>9215768</v>
      </c>
      <c r="C75">
        <v>2</v>
      </c>
      <c r="D75">
        <v>1</v>
      </c>
      <c r="E75">
        <v>11</v>
      </c>
      <c r="F75">
        <v>1988</v>
      </c>
      <c r="G75">
        <v>5</v>
      </c>
      <c r="H75">
        <v>1</v>
      </c>
      <c r="I75">
        <v>2017</v>
      </c>
      <c r="J75" t="s">
        <v>546</v>
      </c>
      <c r="K75" t="s">
        <v>809</v>
      </c>
      <c r="L75">
        <v>94128809871</v>
      </c>
      <c r="M75" t="s">
        <v>1145</v>
      </c>
      <c r="N75" t="s">
        <v>407</v>
      </c>
      <c r="O75" t="s">
        <v>414</v>
      </c>
      <c r="P75" t="s">
        <v>1535</v>
      </c>
      <c r="Z75" t="s">
        <v>407</v>
      </c>
      <c r="AA75" t="s">
        <v>414</v>
      </c>
      <c r="AB75" t="s">
        <v>1535</v>
      </c>
      <c r="AU75" t="s">
        <v>24</v>
      </c>
      <c r="AV75" t="s">
        <v>170</v>
      </c>
      <c r="AW75" t="s">
        <v>157</v>
      </c>
      <c r="AX75" t="s">
        <v>21</v>
      </c>
      <c r="AY75" s="70" t="s">
        <v>2422</v>
      </c>
      <c r="AZ75" s="70" t="s">
        <v>2422</v>
      </c>
      <c r="BA75" s="70">
        <v>0</v>
      </c>
      <c r="BB75" s="70" t="s">
        <v>20</v>
      </c>
      <c r="BC75" s="70" t="s">
        <v>20</v>
      </c>
      <c r="BD75" s="70" t="s">
        <v>20</v>
      </c>
      <c r="BE75" t="s">
        <v>165</v>
      </c>
      <c r="BF75" t="s">
        <v>23</v>
      </c>
      <c r="BG75" t="s">
        <v>155</v>
      </c>
      <c r="BH75" t="s">
        <v>172</v>
      </c>
      <c r="BI75" t="s">
        <v>165</v>
      </c>
      <c r="BJ75" t="s">
        <v>25</v>
      </c>
      <c r="BK75" s="70">
        <v>3</v>
      </c>
      <c r="BL75" s="70">
        <v>2</v>
      </c>
      <c r="BM75"/>
      <c r="BN75" t="s">
        <v>2478</v>
      </c>
      <c r="BO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 t="s">
        <v>809</v>
      </c>
      <c r="CZ75"/>
      <c r="DL75"/>
      <c r="DM75" s="70" t="s">
        <v>1730</v>
      </c>
      <c r="DN75"/>
      <c r="DO75" s="70" t="s">
        <v>1730</v>
      </c>
      <c r="DP75" t="s">
        <v>809</v>
      </c>
      <c r="DQ75" t="s">
        <v>2478</v>
      </c>
      <c r="DS75" t="s">
        <v>2078</v>
      </c>
      <c r="DT75" t="s">
        <v>1980</v>
      </c>
      <c r="DU75" t="s">
        <v>1946</v>
      </c>
      <c r="DV75"/>
    </row>
    <row r="76" spans="2:126" x14ac:dyDescent="0.25">
      <c r="B76">
        <v>40002760</v>
      </c>
      <c r="C76">
        <v>1</v>
      </c>
      <c r="D76">
        <v>8</v>
      </c>
      <c r="E76">
        <v>21</v>
      </c>
      <c r="F76">
        <v>1976</v>
      </c>
      <c r="G76">
        <v>4</v>
      </c>
      <c r="H76">
        <v>1</v>
      </c>
      <c r="I76">
        <v>2019</v>
      </c>
      <c r="J76" t="s">
        <v>547</v>
      </c>
      <c r="K76" t="s">
        <v>810</v>
      </c>
      <c r="L76">
        <v>67937605680</v>
      </c>
      <c r="M76" t="s">
        <v>1146</v>
      </c>
      <c r="N76" t="s">
        <v>400</v>
      </c>
      <c r="O76" t="s">
        <v>469</v>
      </c>
      <c r="P76" t="s">
        <v>1196</v>
      </c>
      <c r="Z76" t="s">
        <v>400</v>
      </c>
      <c r="AA76" t="s">
        <v>469</v>
      </c>
      <c r="AB76" t="s">
        <v>1196</v>
      </c>
      <c r="AU76" t="s">
        <v>161</v>
      </c>
      <c r="AV76" t="s">
        <v>180</v>
      </c>
      <c r="AW76" t="s">
        <v>182</v>
      </c>
      <c r="AX76" t="s">
        <v>22</v>
      </c>
      <c r="AY76" s="70" t="s">
        <v>2420</v>
      </c>
      <c r="AZ76" s="70" t="s">
        <v>27</v>
      </c>
      <c r="BA76" s="70">
        <v>0</v>
      </c>
      <c r="BB76" s="70" t="s">
        <v>2422</v>
      </c>
      <c r="BC76" s="70" t="s">
        <v>2418</v>
      </c>
      <c r="BD76" s="70" t="s">
        <v>20</v>
      </c>
      <c r="BE76" t="s">
        <v>21</v>
      </c>
      <c r="BF76" t="s">
        <v>23</v>
      </c>
      <c r="BG76" t="s">
        <v>155</v>
      </c>
      <c r="BH76" t="s">
        <v>25</v>
      </c>
      <c r="BI76" t="s">
        <v>177</v>
      </c>
      <c r="BJ76" t="s">
        <v>25</v>
      </c>
      <c r="BK76" s="70">
        <v>6</v>
      </c>
      <c r="BL76" s="70">
        <v>5</v>
      </c>
      <c r="BM76"/>
      <c r="BN76" t="s">
        <v>2479</v>
      </c>
      <c r="BO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 t="s">
        <v>810</v>
      </c>
      <c r="CZ76"/>
      <c r="DL76"/>
      <c r="DM76" s="70" t="s">
        <v>1731</v>
      </c>
      <c r="DN76"/>
      <c r="DO76" s="70" t="s">
        <v>1731</v>
      </c>
      <c r="DP76" t="s">
        <v>810</v>
      </c>
      <c r="DQ76" t="s">
        <v>2479</v>
      </c>
      <c r="DS76" t="s">
        <v>2079</v>
      </c>
      <c r="DT76" t="s">
        <v>1943</v>
      </c>
      <c r="DU76" t="s">
        <v>2080</v>
      </c>
      <c r="DV76"/>
    </row>
    <row r="77" spans="2:126" x14ac:dyDescent="0.25">
      <c r="B77">
        <v>9239918</v>
      </c>
      <c r="C77">
        <v>2</v>
      </c>
      <c r="D77">
        <v>9</v>
      </c>
      <c r="E77">
        <v>21</v>
      </c>
      <c r="F77">
        <v>1987</v>
      </c>
      <c r="G77">
        <v>2</v>
      </c>
      <c r="H77">
        <v>1</v>
      </c>
      <c r="I77">
        <v>2018</v>
      </c>
      <c r="J77" t="s">
        <v>548</v>
      </c>
      <c r="K77" t="s">
        <v>811</v>
      </c>
      <c r="L77">
        <v>92098712273</v>
      </c>
      <c r="M77" t="s">
        <v>1147</v>
      </c>
      <c r="N77" t="s">
        <v>1148</v>
      </c>
      <c r="O77" t="s">
        <v>426</v>
      </c>
      <c r="P77" t="s">
        <v>1536</v>
      </c>
      <c r="Z77" t="s">
        <v>1148</v>
      </c>
      <c r="AA77" t="s">
        <v>426</v>
      </c>
      <c r="AB77" t="s">
        <v>1149</v>
      </c>
      <c r="AU77" t="s">
        <v>22</v>
      </c>
      <c r="AV77" t="s">
        <v>146</v>
      </c>
      <c r="AW77" t="s">
        <v>177</v>
      </c>
      <c r="AX77" t="s">
        <v>24</v>
      </c>
      <c r="AY77" s="70" t="s">
        <v>2422</v>
      </c>
      <c r="AZ77" s="70" t="s">
        <v>2420</v>
      </c>
      <c r="BA77" s="70">
        <v>0</v>
      </c>
      <c r="BB77" s="70" t="s">
        <v>17</v>
      </c>
      <c r="BC77" s="70" t="s">
        <v>2418</v>
      </c>
      <c r="BD77" s="70" t="s">
        <v>20</v>
      </c>
      <c r="BE77" t="s">
        <v>165</v>
      </c>
      <c r="BF77" t="s">
        <v>23</v>
      </c>
      <c r="BG77" t="s">
        <v>155</v>
      </c>
      <c r="BH77" t="s">
        <v>149</v>
      </c>
      <c r="BI77" t="s">
        <v>166</v>
      </c>
      <c r="BJ77" t="s">
        <v>177</v>
      </c>
      <c r="BK77" s="70">
        <v>4</v>
      </c>
      <c r="BL77" s="70">
        <v>6</v>
      </c>
      <c r="BM77"/>
      <c r="BN77" t="s">
        <v>2480</v>
      </c>
      <c r="BO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 t="s">
        <v>811</v>
      </c>
      <c r="CZ77"/>
      <c r="DL77"/>
      <c r="DM77" s="70" t="s">
        <v>1732</v>
      </c>
      <c r="DN77"/>
      <c r="DO77" s="70" t="s">
        <v>1732</v>
      </c>
      <c r="DP77" t="s">
        <v>811</v>
      </c>
      <c r="DQ77" t="s">
        <v>2480</v>
      </c>
      <c r="DS77" t="s">
        <v>2081</v>
      </c>
      <c r="DT77" t="s">
        <v>2082</v>
      </c>
      <c r="DU77" t="s">
        <v>1990</v>
      </c>
      <c r="DV77"/>
    </row>
    <row r="78" spans="2:126" x14ac:dyDescent="0.25">
      <c r="B78">
        <v>40001583</v>
      </c>
      <c r="C78">
        <v>1</v>
      </c>
      <c r="D78">
        <v>5</v>
      </c>
      <c r="E78">
        <v>1</v>
      </c>
      <c r="F78">
        <v>1978</v>
      </c>
      <c r="G78">
        <v>10</v>
      </c>
      <c r="H78">
        <v>16</v>
      </c>
      <c r="I78">
        <v>2018</v>
      </c>
      <c r="J78" t="s">
        <v>549</v>
      </c>
      <c r="K78" t="s">
        <v>812</v>
      </c>
      <c r="L78">
        <v>1087801138</v>
      </c>
      <c r="M78" t="s">
        <v>1150</v>
      </c>
      <c r="N78" t="s">
        <v>407</v>
      </c>
      <c r="O78" t="s">
        <v>426</v>
      </c>
      <c r="P78" t="s">
        <v>74</v>
      </c>
      <c r="Z78" t="s">
        <v>407</v>
      </c>
      <c r="AA78" t="s">
        <v>426</v>
      </c>
      <c r="AB78" t="s">
        <v>442</v>
      </c>
      <c r="AU78" t="s">
        <v>24</v>
      </c>
      <c r="AV78" t="s">
        <v>170</v>
      </c>
      <c r="AW78" t="s">
        <v>177</v>
      </c>
      <c r="AX78" t="s">
        <v>161</v>
      </c>
      <c r="AY78" s="70" t="s">
        <v>2420</v>
      </c>
      <c r="AZ78" s="70" t="s">
        <v>2422</v>
      </c>
      <c r="BA78" s="70">
        <v>0</v>
      </c>
      <c r="BB78" s="70" t="s">
        <v>2427</v>
      </c>
      <c r="BC78" s="70" t="s">
        <v>19</v>
      </c>
      <c r="BD78" s="70" t="s">
        <v>20</v>
      </c>
      <c r="BE78" t="s">
        <v>21</v>
      </c>
      <c r="BF78" t="s">
        <v>23</v>
      </c>
      <c r="BG78" t="s">
        <v>155</v>
      </c>
      <c r="BH78" t="s">
        <v>172</v>
      </c>
      <c r="BI78" t="s">
        <v>166</v>
      </c>
      <c r="BJ78" t="s">
        <v>166</v>
      </c>
      <c r="BK78" s="70">
        <v>1</v>
      </c>
      <c r="BL78" s="70">
        <v>5</v>
      </c>
      <c r="BM78"/>
      <c r="BN78" t="s">
        <v>2481</v>
      </c>
      <c r="BO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 t="s">
        <v>812</v>
      </c>
      <c r="CZ78"/>
      <c r="DL78"/>
      <c r="DM78" s="70" t="s">
        <v>1733</v>
      </c>
      <c r="DN78"/>
      <c r="DO78" s="70" t="s">
        <v>1733</v>
      </c>
      <c r="DP78" t="s">
        <v>812</v>
      </c>
      <c r="DQ78" t="s">
        <v>2481</v>
      </c>
      <c r="DS78" t="s">
        <v>2018</v>
      </c>
      <c r="DT78" t="s">
        <v>1980</v>
      </c>
      <c r="DU78" t="s">
        <v>1990</v>
      </c>
      <c r="DV78"/>
    </row>
    <row r="79" spans="2:126" x14ac:dyDescent="0.25">
      <c r="B79">
        <v>40003967</v>
      </c>
      <c r="C79">
        <v>2</v>
      </c>
      <c r="D79">
        <v>10</v>
      </c>
      <c r="E79">
        <v>12</v>
      </c>
      <c r="F79">
        <v>1988</v>
      </c>
      <c r="G79">
        <v>9</v>
      </c>
      <c r="H79">
        <v>17</v>
      </c>
      <c r="I79">
        <v>2019</v>
      </c>
      <c r="J79" t="s">
        <v>550</v>
      </c>
      <c r="K79" t="s">
        <v>813</v>
      </c>
      <c r="L79">
        <v>1118805090</v>
      </c>
      <c r="M79" t="s">
        <v>1151</v>
      </c>
      <c r="N79" t="s">
        <v>415</v>
      </c>
      <c r="O79" t="s">
        <v>462</v>
      </c>
      <c r="P79" t="s">
        <v>1537</v>
      </c>
      <c r="Z79" t="s">
        <v>415</v>
      </c>
      <c r="AA79" t="s">
        <v>462</v>
      </c>
      <c r="AB79" t="s">
        <v>1152</v>
      </c>
      <c r="AU79" t="s">
        <v>25</v>
      </c>
      <c r="AV79" t="s">
        <v>146</v>
      </c>
      <c r="AW79" t="s">
        <v>146</v>
      </c>
      <c r="AX79" t="s">
        <v>22</v>
      </c>
      <c r="AY79" s="70" t="s">
        <v>2422</v>
      </c>
      <c r="AZ79" s="70" t="s">
        <v>2422</v>
      </c>
      <c r="BA79" s="70">
        <v>1</v>
      </c>
      <c r="BB79" s="70" t="s">
        <v>19</v>
      </c>
      <c r="BC79" s="70" t="s">
        <v>20</v>
      </c>
      <c r="BD79" s="70" t="s">
        <v>2418</v>
      </c>
      <c r="BE79" t="s">
        <v>165</v>
      </c>
      <c r="BF79" t="s">
        <v>23</v>
      </c>
      <c r="BG79" t="s">
        <v>155</v>
      </c>
      <c r="BH79" t="s">
        <v>165</v>
      </c>
      <c r="BI79" t="s">
        <v>157</v>
      </c>
      <c r="BJ79" t="s">
        <v>25</v>
      </c>
      <c r="BK79" s="70">
        <v>3</v>
      </c>
      <c r="BL79" s="70">
        <v>5</v>
      </c>
      <c r="BM79"/>
      <c r="BN79" t="s">
        <v>2482</v>
      </c>
      <c r="BO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 t="s">
        <v>813</v>
      </c>
      <c r="CZ79"/>
      <c r="DL79"/>
      <c r="DM79" s="70" t="s">
        <v>1734</v>
      </c>
      <c r="DN79"/>
      <c r="DO79" s="70" t="s">
        <v>1734</v>
      </c>
      <c r="DP79" t="s">
        <v>813</v>
      </c>
      <c r="DQ79" t="s">
        <v>2482</v>
      </c>
      <c r="DS79" t="s">
        <v>2083</v>
      </c>
      <c r="DT79" t="s">
        <v>2024</v>
      </c>
      <c r="DU79" t="s">
        <v>2066</v>
      </c>
      <c r="DV79"/>
    </row>
    <row r="80" spans="2:126" x14ac:dyDescent="0.25">
      <c r="B80">
        <v>9186547</v>
      </c>
      <c r="C80">
        <v>2</v>
      </c>
      <c r="D80">
        <v>7</v>
      </c>
      <c r="E80">
        <v>6</v>
      </c>
      <c r="F80">
        <v>1993</v>
      </c>
      <c r="G80">
        <v>5</v>
      </c>
      <c r="H80">
        <v>2</v>
      </c>
      <c r="I80">
        <v>2016</v>
      </c>
      <c r="J80" t="s">
        <v>551</v>
      </c>
      <c r="K80" t="s">
        <v>814</v>
      </c>
      <c r="L80">
        <v>94129379940</v>
      </c>
      <c r="M80" t="s">
        <v>1153</v>
      </c>
      <c r="N80" t="s">
        <v>1154</v>
      </c>
      <c r="O80" t="s">
        <v>1155</v>
      </c>
      <c r="P80" t="s">
        <v>1538</v>
      </c>
      <c r="Z80" t="s">
        <v>1154</v>
      </c>
      <c r="AA80" t="s">
        <v>1155</v>
      </c>
      <c r="AB80" t="s">
        <v>398</v>
      </c>
      <c r="AU80" t="s">
        <v>153</v>
      </c>
      <c r="AV80" t="s">
        <v>180</v>
      </c>
      <c r="AW80" t="s">
        <v>165</v>
      </c>
      <c r="AX80" t="s">
        <v>24</v>
      </c>
      <c r="AY80" s="70" t="s">
        <v>17</v>
      </c>
      <c r="AZ80" s="70" t="s">
        <v>18</v>
      </c>
      <c r="BA80" s="70">
        <v>0</v>
      </c>
      <c r="BB80" s="70" t="s">
        <v>2420</v>
      </c>
      <c r="BC80" s="70" t="s">
        <v>19</v>
      </c>
      <c r="BD80" s="70" t="s">
        <v>27</v>
      </c>
      <c r="BE80" t="s">
        <v>165</v>
      </c>
      <c r="BF80" t="s">
        <v>23</v>
      </c>
      <c r="BG80" t="s">
        <v>155</v>
      </c>
      <c r="BH80" t="s">
        <v>177</v>
      </c>
      <c r="BI80" t="s">
        <v>166</v>
      </c>
      <c r="BJ80" t="s">
        <v>26</v>
      </c>
      <c r="BK80" s="70">
        <v>7</v>
      </c>
      <c r="BL80" s="70">
        <v>2</v>
      </c>
      <c r="BM80"/>
      <c r="BN80" t="s">
        <v>2483</v>
      </c>
      <c r="BO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 t="s">
        <v>814</v>
      </c>
      <c r="CZ80"/>
      <c r="DL80"/>
      <c r="DM80" s="70" t="s">
        <v>1735</v>
      </c>
      <c r="DN80"/>
      <c r="DO80" s="70" t="s">
        <v>1735</v>
      </c>
      <c r="DP80" t="s">
        <v>814</v>
      </c>
      <c r="DQ80" t="s">
        <v>2483</v>
      </c>
      <c r="DS80" t="s">
        <v>2084</v>
      </c>
      <c r="DT80" t="s">
        <v>2085</v>
      </c>
      <c r="DU80" t="s">
        <v>2086</v>
      </c>
      <c r="DV80"/>
    </row>
    <row r="81" spans="2:126" x14ac:dyDescent="0.25">
      <c r="B81">
        <v>40004101</v>
      </c>
      <c r="C81">
        <v>1</v>
      </c>
      <c r="D81">
        <v>8</v>
      </c>
      <c r="E81">
        <v>30</v>
      </c>
      <c r="F81">
        <v>1995</v>
      </c>
      <c r="G81">
        <v>10</v>
      </c>
      <c r="H81">
        <v>1</v>
      </c>
      <c r="I81">
        <v>2019</v>
      </c>
      <c r="J81" t="s">
        <v>552</v>
      </c>
      <c r="K81" t="s">
        <v>815</v>
      </c>
      <c r="L81">
        <v>94109532427</v>
      </c>
      <c r="M81" t="s">
        <v>1156</v>
      </c>
      <c r="N81" t="s">
        <v>1157</v>
      </c>
      <c r="O81" t="s">
        <v>430</v>
      </c>
      <c r="P81" t="s">
        <v>1539</v>
      </c>
      <c r="Z81" t="s">
        <v>1157</v>
      </c>
      <c r="AA81" t="s">
        <v>430</v>
      </c>
      <c r="AB81" t="s">
        <v>95</v>
      </c>
      <c r="AU81" t="s">
        <v>157</v>
      </c>
      <c r="AV81" t="s">
        <v>146</v>
      </c>
      <c r="AW81" t="s">
        <v>182</v>
      </c>
      <c r="AX81" t="s">
        <v>146</v>
      </c>
      <c r="AY81" s="70" t="s">
        <v>17</v>
      </c>
      <c r="AZ81" s="70" t="s">
        <v>2427</v>
      </c>
      <c r="BA81" s="70">
        <v>0</v>
      </c>
      <c r="BB81" s="70" t="s">
        <v>2422</v>
      </c>
      <c r="BC81" s="70" t="s">
        <v>18</v>
      </c>
      <c r="BD81" s="70" t="s">
        <v>19</v>
      </c>
      <c r="BE81" t="s">
        <v>21</v>
      </c>
      <c r="BF81" t="s">
        <v>23</v>
      </c>
      <c r="BG81" t="s">
        <v>155</v>
      </c>
      <c r="BH81" t="s">
        <v>25</v>
      </c>
      <c r="BI81" t="s">
        <v>26</v>
      </c>
      <c r="BJ81" t="s">
        <v>23</v>
      </c>
      <c r="BK81" s="70">
        <v>5</v>
      </c>
      <c r="BL81" s="70">
        <v>5</v>
      </c>
      <c r="BM81"/>
      <c r="BN81" t="s">
        <v>2484</v>
      </c>
      <c r="BO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 t="s">
        <v>815</v>
      </c>
      <c r="CZ81"/>
      <c r="DL81"/>
      <c r="DM81" s="70" t="s">
        <v>1736</v>
      </c>
      <c r="DN81"/>
      <c r="DO81" s="70" t="s">
        <v>1736</v>
      </c>
      <c r="DP81" t="s">
        <v>815</v>
      </c>
      <c r="DQ81" t="s">
        <v>2484</v>
      </c>
      <c r="DS81" t="s">
        <v>2087</v>
      </c>
      <c r="DT81" t="s">
        <v>2088</v>
      </c>
      <c r="DU81" t="s">
        <v>2089</v>
      </c>
      <c r="DV81"/>
    </row>
    <row r="82" spans="2:126" x14ac:dyDescent="0.25">
      <c r="B82">
        <v>5955413</v>
      </c>
      <c r="C82">
        <v>2</v>
      </c>
      <c r="D82">
        <v>8</v>
      </c>
      <c r="E82">
        <v>11</v>
      </c>
      <c r="F82">
        <v>1975</v>
      </c>
      <c r="G82">
        <v>2</v>
      </c>
      <c r="H82">
        <v>1</v>
      </c>
      <c r="I82">
        <v>2001</v>
      </c>
      <c r="J82" t="s">
        <v>553</v>
      </c>
      <c r="K82" t="s">
        <v>816</v>
      </c>
      <c r="L82">
        <v>68977504429</v>
      </c>
      <c r="M82" t="s">
        <v>1158</v>
      </c>
      <c r="N82" t="s">
        <v>481</v>
      </c>
      <c r="O82" t="s">
        <v>401</v>
      </c>
      <c r="P82" t="s">
        <v>1540</v>
      </c>
      <c r="Z82" t="s">
        <v>481</v>
      </c>
      <c r="AA82" t="s">
        <v>401</v>
      </c>
      <c r="AB82" t="s">
        <v>1540</v>
      </c>
      <c r="AU82" t="s">
        <v>155</v>
      </c>
      <c r="AV82" t="s">
        <v>170</v>
      </c>
      <c r="AW82" t="s">
        <v>157</v>
      </c>
      <c r="AX82" t="s">
        <v>165</v>
      </c>
      <c r="AY82" s="70" t="s">
        <v>2420</v>
      </c>
      <c r="AZ82" s="70" t="s">
        <v>2427</v>
      </c>
      <c r="BA82" s="70">
        <v>0</v>
      </c>
      <c r="BB82" s="70" t="s">
        <v>2422</v>
      </c>
      <c r="BC82" s="70" t="s">
        <v>20</v>
      </c>
      <c r="BD82" s="70" t="s">
        <v>20</v>
      </c>
      <c r="BE82" t="s">
        <v>165</v>
      </c>
      <c r="BF82" t="s">
        <v>23</v>
      </c>
      <c r="BG82" t="s">
        <v>155</v>
      </c>
      <c r="BH82" t="s">
        <v>24</v>
      </c>
      <c r="BI82" t="s">
        <v>25</v>
      </c>
      <c r="BJ82" t="s">
        <v>25</v>
      </c>
      <c r="BK82" s="70">
        <v>9</v>
      </c>
      <c r="BL82" s="70">
        <v>3</v>
      </c>
      <c r="BM82"/>
      <c r="BN82" t="s">
        <v>2485</v>
      </c>
      <c r="BO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 t="s">
        <v>816</v>
      </c>
      <c r="CZ82"/>
      <c r="DL82"/>
      <c r="DM82" s="70" t="s">
        <v>1737</v>
      </c>
      <c r="DN82"/>
      <c r="DO82" s="70" t="s">
        <v>1737</v>
      </c>
      <c r="DP82" t="s">
        <v>816</v>
      </c>
      <c r="DQ82" t="s">
        <v>2485</v>
      </c>
      <c r="DS82" t="s">
        <v>2090</v>
      </c>
      <c r="DT82" t="s">
        <v>1968</v>
      </c>
      <c r="DU82" t="s">
        <v>2063</v>
      </c>
      <c r="DV82"/>
    </row>
    <row r="83" spans="2:126" x14ac:dyDescent="0.25">
      <c r="B83">
        <v>9106666</v>
      </c>
      <c r="C83">
        <v>2</v>
      </c>
      <c r="D83">
        <v>12</v>
      </c>
      <c r="E83">
        <v>23</v>
      </c>
      <c r="F83">
        <v>1988</v>
      </c>
      <c r="G83">
        <v>7</v>
      </c>
      <c r="H83">
        <v>6</v>
      </c>
      <c r="I83">
        <v>2015</v>
      </c>
      <c r="J83" t="s">
        <v>554</v>
      </c>
      <c r="K83" t="s">
        <v>817</v>
      </c>
      <c r="L83">
        <v>92118816773</v>
      </c>
      <c r="M83" t="s">
        <v>1159</v>
      </c>
      <c r="N83" t="s">
        <v>401</v>
      </c>
      <c r="O83" t="s">
        <v>1160</v>
      </c>
      <c r="P83" t="s">
        <v>1541</v>
      </c>
      <c r="Z83" t="s">
        <v>401</v>
      </c>
      <c r="AA83" t="s">
        <v>1160</v>
      </c>
      <c r="AB83" t="s">
        <v>1161</v>
      </c>
      <c r="AU83" t="s">
        <v>157</v>
      </c>
      <c r="AV83" t="s">
        <v>146</v>
      </c>
      <c r="AW83" t="s">
        <v>170</v>
      </c>
      <c r="AX83" t="s">
        <v>166</v>
      </c>
      <c r="AY83" s="70" t="s">
        <v>2422</v>
      </c>
      <c r="AZ83" s="70" t="s">
        <v>2422</v>
      </c>
      <c r="BA83" s="70">
        <v>1</v>
      </c>
      <c r="BB83" s="70" t="s">
        <v>2418</v>
      </c>
      <c r="BC83" s="70" t="s">
        <v>2418</v>
      </c>
      <c r="BD83" s="70" t="s">
        <v>18</v>
      </c>
      <c r="BE83" t="s">
        <v>165</v>
      </c>
      <c r="BF83" t="s">
        <v>23</v>
      </c>
      <c r="BG83" t="s">
        <v>155</v>
      </c>
      <c r="BH83" t="s">
        <v>25</v>
      </c>
      <c r="BI83" t="s">
        <v>25</v>
      </c>
      <c r="BJ83" t="s">
        <v>166</v>
      </c>
      <c r="BK83" s="70">
        <v>6</v>
      </c>
      <c r="BL83" s="70">
        <v>3</v>
      </c>
      <c r="BM83"/>
      <c r="BN83" t="s">
        <v>2486</v>
      </c>
      <c r="BO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 t="s">
        <v>817</v>
      </c>
      <c r="CZ83"/>
      <c r="DL83"/>
      <c r="DM83" s="70" t="s">
        <v>1738</v>
      </c>
      <c r="DN83"/>
      <c r="DO83" s="70" t="s">
        <v>1738</v>
      </c>
      <c r="DP83" t="s">
        <v>817</v>
      </c>
      <c r="DQ83" t="s">
        <v>2486</v>
      </c>
      <c r="DS83" t="s">
        <v>2091</v>
      </c>
      <c r="DT83" t="s">
        <v>2063</v>
      </c>
      <c r="DU83" t="s">
        <v>2092</v>
      </c>
      <c r="DV83"/>
    </row>
    <row r="84" spans="2:126" x14ac:dyDescent="0.25">
      <c r="B84">
        <v>40008084</v>
      </c>
      <c r="C84">
        <v>1</v>
      </c>
      <c r="D84">
        <v>6</v>
      </c>
      <c r="E84">
        <v>21</v>
      </c>
      <c r="F84">
        <v>1994</v>
      </c>
      <c r="G84">
        <v>5</v>
      </c>
      <c r="H84">
        <v>1</v>
      </c>
      <c r="I84">
        <v>2021</v>
      </c>
      <c r="J84" t="s">
        <v>555</v>
      </c>
      <c r="K84" t="s">
        <v>818</v>
      </c>
      <c r="L84">
        <v>26169418576</v>
      </c>
      <c r="M84" t="s">
        <v>1162</v>
      </c>
      <c r="N84" t="s">
        <v>456</v>
      </c>
      <c r="O84" t="s">
        <v>1163</v>
      </c>
      <c r="P84" t="s">
        <v>1542</v>
      </c>
      <c r="Z84" t="s">
        <v>456</v>
      </c>
      <c r="AA84" t="s">
        <v>1163</v>
      </c>
      <c r="AB84" t="s">
        <v>1542</v>
      </c>
      <c r="AU84" t="s">
        <v>22</v>
      </c>
      <c r="AV84" t="s">
        <v>146</v>
      </c>
      <c r="AW84" t="s">
        <v>24</v>
      </c>
      <c r="AX84" t="s">
        <v>177</v>
      </c>
      <c r="AY84" s="70" t="s">
        <v>17</v>
      </c>
      <c r="AZ84" s="70" t="s">
        <v>2428</v>
      </c>
      <c r="BA84" s="70">
        <v>0</v>
      </c>
      <c r="BB84" s="70" t="s">
        <v>27</v>
      </c>
      <c r="BC84" s="70" t="s">
        <v>2418</v>
      </c>
      <c r="BD84" s="70" t="s">
        <v>20</v>
      </c>
      <c r="BE84" t="s">
        <v>21</v>
      </c>
      <c r="BF84" t="s">
        <v>23</v>
      </c>
      <c r="BG84" t="s">
        <v>155</v>
      </c>
      <c r="BH84" t="s">
        <v>21</v>
      </c>
      <c r="BI84" t="s">
        <v>26</v>
      </c>
      <c r="BJ84" t="s">
        <v>165</v>
      </c>
      <c r="BK84" s="70">
        <v>0</v>
      </c>
      <c r="BL84" s="70">
        <v>0</v>
      </c>
      <c r="BM84"/>
      <c r="BN84" t="s">
        <v>2487</v>
      </c>
      <c r="BO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 t="s">
        <v>818</v>
      </c>
      <c r="CZ84"/>
      <c r="DL84"/>
      <c r="DM84" s="70" t="s">
        <v>1739</v>
      </c>
      <c r="DN84"/>
      <c r="DO84" s="70" t="s">
        <v>1739</v>
      </c>
      <c r="DP84" t="s">
        <v>818</v>
      </c>
      <c r="DQ84" t="s">
        <v>2487</v>
      </c>
      <c r="DS84" t="s">
        <v>2093</v>
      </c>
      <c r="DT84" t="s">
        <v>1940</v>
      </c>
      <c r="DU84" t="s">
        <v>2094</v>
      </c>
      <c r="DV84"/>
    </row>
    <row r="85" spans="2:126" x14ac:dyDescent="0.25">
      <c r="B85">
        <v>8271582</v>
      </c>
      <c r="C85">
        <v>2</v>
      </c>
      <c r="D85">
        <v>12</v>
      </c>
      <c r="E85">
        <v>13</v>
      </c>
      <c r="F85">
        <v>1989</v>
      </c>
      <c r="G85">
        <v>10</v>
      </c>
      <c r="H85">
        <v>8</v>
      </c>
      <c r="I85">
        <v>2012</v>
      </c>
      <c r="J85" t="s">
        <v>556</v>
      </c>
      <c r="K85" t="s">
        <v>819</v>
      </c>
      <c r="L85">
        <v>94128919217</v>
      </c>
      <c r="M85" t="s">
        <v>1164</v>
      </c>
      <c r="N85" t="s">
        <v>426</v>
      </c>
      <c r="O85" t="s">
        <v>400</v>
      </c>
      <c r="P85" t="s">
        <v>1543</v>
      </c>
      <c r="Z85" t="s">
        <v>426</v>
      </c>
      <c r="AA85" t="s">
        <v>400</v>
      </c>
      <c r="AB85" t="s">
        <v>1165</v>
      </c>
      <c r="AU85" t="s">
        <v>177</v>
      </c>
      <c r="AV85" t="s">
        <v>146</v>
      </c>
      <c r="AW85" t="s">
        <v>161</v>
      </c>
      <c r="AX85" t="s">
        <v>146</v>
      </c>
      <c r="AY85" s="70" t="s">
        <v>2422</v>
      </c>
      <c r="AZ85" s="70" t="s">
        <v>17</v>
      </c>
      <c r="BA85" s="70">
        <v>1</v>
      </c>
      <c r="BB85" s="70" t="s">
        <v>2418</v>
      </c>
      <c r="BC85" s="70" t="s">
        <v>20</v>
      </c>
      <c r="BD85" s="70" t="s">
        <v>18</v>
      </c>
      <c r="BE85" t="s">
        <v>165</v>
      </c>
      <c r="BF85" t="s">
        <v>23</v>
      </c>
      <c r="BG85" t="s">
        <v>155</v>
      </c>
      <c r="BH85" t="s">
        <v>166</v>
      </c>
      <c r="BI85" t="s">
        <v>25</v>
      </c>
      <c r="BJ85" t="s">
        <v>166</v>
      </c>
      <c r="BK85" s="70">
        <v>3</v>
      </c>
      <c r="BL85" s="70">
        <v>7</v>
      </c>
      <c r="BM85"/>
      <c r="BN85" t="s">
        <v>2488</v>
      </c>
      <c r="BO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 t="s">
        <v>819</v>
      </c>
      <c r="CZ85"/>
      <c r="DL85"/>
      <c r="DM85" s="70" t="s">
        <v>1740</v>
      </c>
      <c r="DN85"/>
      <c r="DO85" s="70" t="s">
        <v>1740</v>
      </c>
      <c r="DP85" t="s">
        <v>819</v>
      </c>
      <c r="DQ85" t="s">
        <v>2488</v>
      </c>
      <c r="DS85" t="s">
        <v>2095</v>
      </c>
      <c r="DT85" t="s">
        <v>1990</v>
      </c>
      <c r="DU85" t="s">
        <v>1943</v>
      </c>
      <c r="DV85"/>
    </row>
    <row r="86" spans="2:126" x14ac:dyDescent="0.25">
      <c r="B86">
        <v>40002889</v>
      </c>
      <c r="C86">
        <v>2</v>
      </c>
      <c r="D86">
        <v>9</v>
      </c>
      <c r="E86">
        <v>17</v>
      </c>
      <c r="F86">
        <v>1991</v>
      </c>
      <c r="G86">
        <v>4</v>
      </c>
      <c r="H86">
        <v>16</v>
      </c>
      <c r="I86">
        <v>2019</v>
      </c>
      <c r="J86" t="s">
        <v>557</v>
      </c>
      <c r="K86" t="s">
        <v>820</v>
      </c>
      <c r="L86">
        <v>1129100689</v>
      </c>
      <c r="M86" t="s">
        <v>1166</v>
      </c>
      <c r="N86" t="s">
        <v>454</v>
      </c>
      <c r="O86" t="s">
        <v>472</v>
      </c>
      <c r="P86" t="s">
        <v>1544</v>
      </c>
      <c r="Z86" t="s">
        <v>454</v>
      </c>
      <c r="AA86" t="s">
        <v>472</v>
      </c>
      <c r="AB86" t="s">
        <v>1167</v>
      </c>
      <c r="AU86" t="s">
        <v>23</v>
      </c>
      <c r="AV86" t="s">
        <v>170</v>
      </c>
      <c r="AW86" t="s">
        <v>16</v>
      </c>
      <c r="AX86" t="s">
        <v>25</v>
      </c>
      <c r="AY86" s="70" t="s">
        <v>17</v>
      </c>
      <c r="AZ86" s="70" t="s">
        <v>20</v>
      </c>
      <c r="BA86" s="70">
        <v>0</v>
      </c>
      <c r="BB86" s="70" t="s">
        <v>17</v>
      </c>
      <c r="BC86" s="70" t="s">
        <v>20</v>
      </c>
      <c r="BD86" s="70" t="s">
        <v>2420</v>
      </c>
      <c r="BE86" t="s">
        <v>165</v>
      </c>
      <c r="BF86" t="s">
        <v>23</v>
      </c>
      <c r="BG86" t="s">
        <v>155</v>
      </c>
      <c r="BH86" t="s">
        <v>165</v>
      </c>
      <c r="BI86" t="s">
        <v>25</v>
      </c>
      <c r="BJ86" t="s">
        <v>22</v>
      </c>
      <c r="BK86" s="70">
        <v>6</v>
      </c>
      <c r="BL86" s="70">
        <v>4</v>
      </c>
      <c r="BM86"/>
      <c r="BN86" t="s">
        <v>2489</v>
      </c>
      <c r="BO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 t="s">
        <v>820</v>
      </c>
      <c r="CZ86"/>
      <c r="DL86"/>
      <c r="DM86" s="70" t="s">
        <v>1741</v>
      </c>
      <c r="DN86"/>
      <c r="DO86" s="70" t="s">
        <v>1741</v>
      </c>
      <c r="DP86" t="s">
        <v>820</v>
      </c>
      <c r="DQ86" t="s">
        <v>2489</v>
      </c>
      <c r="DS86" t="s">
        <v>2096</v>
      </c>
      <c r="DT86" t="s">
        <v>2097</v>
      </c>
      <c r="DU86" t="s">
        <v>2098</v>
      </c>
      <c r="DV86"/>
    </row>
    <row r="87" spans="2:126" x14ac:dyDescent="0.25">
      <c r="B87">
        <v>5949227</v>
      </c>
      <c r="C87">
        <v>2</v>
      </c>
      <c r="D87">
        <v>11</v>
      </c>
      <c r="E87">
        <v>13</v>
      </c>
      <c r="F87">
        <v>1963</v>
      </c>
      <c r="G87">
        <v>5</v>
      </c>
      <c r="H87">
        <v>21</v>
      </c>
      <c r="I87">
        <v>1984</v>
      </c>
      <c r="J87" t="s">
        <v>558</v>
      </c>
      <c r="K87" t="s">
        <v>821</v>
      </c>
      <c r="L87">
        <v>42836321358</v>
      </c>
      <c r="M87" t="s">
        <v>1168</v>
      </c>
      <c r="N87" t="s">
        <v>1169</v>
      </c>
      <c r="O87" t="s">
        <v>1170</v>
      </c>
      <c r="P87" t="s">
        <v>84</v>
      </c>
      <c r="Z87" t="s">
        <v>1169</v>
      </c>
      <c r="AA87" t="s">
        <v>1170</v>
      </c>
      <c r="AB87" t="s">
        <v>84</v>
      </c>
      <c r="AU87" t="s">
        <v>146</v>
      </c>
      <c r="AV87" t="s">
        <v>170</v>
      </c>
      <c r="AW87" t="s">
        <v>146</v>
      </c>
      <c r="AX87" t="s">
        <v>165</v>
      </c>
      <c r="AY87" s="70" t="s">
        <v>27</v>
      </c>
      <c r="AZ87" s="70" t="s">
        <v>18</v>
      </c>
      <c r="BA87" s="70">
        <v>1</v>
      </c>
      <c r="BB87" s="70" t="s">
        <v>20</v>
      </c>
      <c r="BC87" s="70" t="s">
        <v>20</v>
      </c>
      <c r="BD87" s="70" t="s">
        <v>18</v>
      </c>
      <c r="BE87" t="s">
        <v>165</v>
      </c>
      <c r="BF87" t="s">
        <v>23</v>
      </c>
      <c r="BG87" t="s">
        <v>155</v>
      </c>
      <c r="BH87" t="s">
        <v>25</v>
      </c>
      <c r="BI87" t="s">
        <v>149</v>
      </c>
      <c r="BJ87" t="s">
        <v>25</v>
      </c>
      <c r="BK87" s="70">
        <v>2</v>
      </c>
      <c r="BL87" s="70">
        <v>2</v>
      </c>
      <c r="BM87"/>
      <c r="BN87" t="s">
        <v>2490</v>
      </c>
      <c r="BO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 t="s">
        <v>821</v>
      </c>
      <c r="CZ87"/>
      <c r="DL87"/>
      <c r="DM87" s="70" t="s">
        <v>1742</v>
      </c>
      <c r="DN87"/>
      <c r="DO87" s="70" t="s">
        <v>1742</v>
      </c>
      <c r="DP87" t="s">
        <v>821</v>
      </c>
      <c r="DQ87" t="s">
        <v>2490</v>
      </c>
      <c r="DS87" t="s">
        <v>2099</v>
      </c>
      <c r="DT87" t="s">
        <v>2100</v>
      </c>
      <c r="DU87" t="s">
        <v>2101</v>
      </c>
      <c r="DV87"/>
    </row>
    <row r="88" spans="2:126" x14ac:dyDescent="0.25">
      <c r="B88">
        <v>6267855</v>
      </c>
      <c r="C88">
        <v>1</v>
      </c>
      <c r="D88">
        <v>4</v>
      </c>
      <c r="E88">
        <v>13</v>
      </c>
      <c r="F88">
        <v>1976</v>
      </c>
      <c r="G88">
        <v>3</v>
      </c>
      <c r="H88">
        <v>20</v>
      </c>
      <c r="I88">
        <v>2007</v>
      </c>
      <c r="J88" t="s">
        <v>559</v>
      </c>
      <c r="K88" t="s">
        <v>822</v>
      </c>
      <c r="L88">
        <v>94977604209</v>
      </c>
      <c r="M88" t="s">
        <v>1171</v>
      </c>
      <c r="N88" t="s">
        <v>401</v>
      </c>
      <c r="O88" t="s">
        <v>426</v>
      </c>
      <c r="P88" t="s">
        <v>1545</v>
      </c>
      <c r="Z88" t="s">
        <v>401</v>
      </c>
      <c r="AA88" t="s">
        <v>426</v>
      </c>
      <c r="AB88" t="s">
        <v>444</v>
      </c>
      <c r="AU88" t="s">
        <v>157</v>
      </c>
      <c r="AV88" t="s">
        <v>146</v>
      </c>
      <c r="AW88" t="s">
        <v>177</v>
      </c>
      <c r="AX88" t="s">
        <v>165</v>
      </c>
      <c r="AY88" s="70" t="s">
        <v>2420</v>
      </c>
      <c r="AZ88" s="70" t="s">
        <v>27</v>
      </c>
      <c r="BA88" s="70">
        <v>0</v>
      </c>
      <c r="BB88" s="70" t="s">
        <v>2428</v>
      </c>
      <c r="BC88" s="70" t="s">
        <v>20</v>
      </c>
      <c r="BD88" s="70" t="s">
        <v>18</v>
      </c>
      <c r="BE88" t="s">
        <v>21</v>
      </c>
      <c r="BF88" t="s">
        <v>23</v>
      </c>
      <c r="BG88" t="s">
        <v>155</v>
      </c>
      <c r="BH88" t="s">
        <v>25</v>
      </c>
      <c r="BI88" t="s">
        <v>166</v>
      </c>
      <c r="BJ88" t="s">
        <v>157</v>
      </c>
      <c r="BK88" s="70">
        <v>5</v>
      </c>
      <c r="BL88" s="70">
        <v>8</v>
      </c>
      <c r="BM88"/>
      <c r="BN88" t="s">
        <v>2491</v>
      </c>
      <c r="BO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 t="s">
        <v>822</v>
      </c>
      <c r="CZ88"/>
      <c r="DL88"/>
      <c r="DM88" s="70" t="s">
        <v>1743</v>
      </c>
      <c r="DN88"/>
      <c r="DO88" s="70" t="s">
        <v>1743</v>
      </c>
      <c r="DP88" t="s">
        <v>822</v>
      </c>
      <c r="DQ88" t="s">
        <v>2491</v>
      </c>
      <c r="DS88" t="s">
        <v>2102</v>
      </c>
      <c r="DT88" t="s">
        <v>2063</v>
      </c>
      <c r="DU88" t="s">
        <v>1990</v>
      </c>
      <c r="DV88"/>
    </row>
    <row r="89" spans="2:126" x14ac:dyDescent="0.25">
      <c r="B89">
        <v>9179664</v>
      </c>
      <c r="C89">
        <v>2</v>
      </c>
      <c r="D89">
        <v>10</v>
      </c>
      <c r="E89">
        <v>31</v>
      </c>
      <c r="F89">
        <v>1991</v>
      </c>
      <c r="G89">
        <v>1</v>
      </c>
      <c r="H89">
        <v>4</v>
      </c>
      <c r="I89">
        <v>2016</v>
      </c>
      <c r="J89" t="s">
        <v>560</v>
      </c>
      <c r="K89" t="s">
        <v>823</v>
      </c>
      <c r="L89">
        <v>94099120928</v>
      </c>
      <c r="M89" t="s">
        <v>1172</v>
      </c>
      <c r="N89" t="s">
        <v>1173</v>
      </c>
      <c r="O89" t="s">
        <v>406</v>
      </c>
      <c r="P89" t="s">
        <v>1546</v>
      </c>
      <c r="Z89" t="s">
        <v>1173</v>
      </c>
      <c r="AA89" t="s">
        <v>406</v>
      </c>
      <c r="AB89" t="s">
        <v>1084</v>
      </c>
      <c r="AU89" t="s">
        <v>170</v>
      </c>
      <c r="AV89" t="s">
        <v>153</v>
      </c>
      <c r="AW89" t="s">
        <v>177</v>
      </c>
      <c r="AX89" t="s">
        <v>165</v>
      </c>
      <c r="AY89" s="70" t="s">
        <v>17</v>
      </c>
      <c r="AZ89" s="70" t="s">
        <v>20</v>
      </c>
      <c r="BA89" s="70">
        <v>1</v>
      </c>
      <c r="BB89" s="70" t="s">
        <v>19</v>
      </c>
      <c r="BC89" s="70" t="s">
        <v>18</v>
      </c>
      <c r="BD89" s="70" t="s">
        <v>20</v>
      </c>
      <c r="BE89" t="s">
        <v>165</v>
      </c>
      <c r="BF89" t="s">
        <v>23</v>
      </c>
      <c r="BG89" t="s">
        <v>155</v>
      </c>
      <c r="BH89" t="s">
        <v>149</v>
      </c>
      <c r="BI89" t="s">
        <v>25</v>
      </c>
      <c r="BJ89" t="s">
        <v>25</v>
      </c>
      <c r="BK89" s="70">
        <v>0</v>
      </c>
      <c r="BL89" s="70">
        <v>3</v>
      </c>
      <c r="BM89"/>
      <c r="BN89" t="s">
        <v>2492</v>
      </c>
      <c r="BO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 t="s">
        <v>1669</v>
      </c>
      <c r="CZ89"/>
      <c r="DL89"/>
      <c r="DM89" s="70" t="s">
        <v>1744</v>
      </c>
      <c r="DN89"/>
      <c r="DO89" s="70" t="s">
        <v>1744</v>
      </c>
      <c r="DP89" t="s">
        <v>1669</v>
      </c>
      <c r="DQ89" t="s">
        <v>2492</v>
      </c>
      <c r="DS89" t="s">
        <v>2103</v>
      </c>
      <c r="DT89" t="s">
        <v>2104</v>
      </c>
      <c r="DU89" t="s">
        <v>2105</v>
      </c>
      <c r="DV89"/>
    </row>
    <row r="90" spans="2:126" x14ac:dyDescent="0.25">
      <c r="B90">
        <v>9184331</v>
      </c>
      <c r="C90">
        <v>1</v>
      </c>
      <c r="D90">
        <v>2</v>
      </c>
      <c r="E90">
        <v>5</v>
      </c>
      <c r="F90">
        <v>1976</v>
      </c>
      <c r="G90">
        <v>3</v>
      </c>
      <c r="H90">
        <v>15</v>
      </c>
      <c r="I90">
        <v>2016</v>
      </c>
      <c r="J90" t="s">
        <v>561</v>
      </c>
      <c r="K90" t="s">
        <v>824</v>
      </c>
      <c r="L90">
        <v>68957621417</v>
      </c>
      <c r="M90" t="s">
        <v>1174</v>
      </c>
      <c r="N90" t="s">
        <v>1175</v>
      </c>
      <c r="O90" t="s">
        <v>1176</v>
      </c>
      <c r="P90" t="s">
        <v>65</v>
      </c>
      <c r="Z90" t="s">
        <v>1175</v>
      </c>
      <c r="AA90" t="s">
        <v>1176</v>
      </c>
      <c r="AB90" t="s">
        <v>1084</v>
      </c>
      <c r="AU90" t="s">
        <v>21</v>
      </c>
      <c r="AV90" t="s">
        <v>180</v>
      </c>
      <c r="AW90" t="s">
        <v>180</v>
      </c>
      <c r="AX90" t="s">
        <v>165</v>
      </c>
      <c r="AY90" s="70" t="s">
        <v>2420</v>
      </c>
      <c r="AZ90" s="70" t="s">
        <v>27</v>
      </c>
      <c r="BA90" s="70">
        <v>0</v>
      </c>
      <c r="BB90" s="70" t="s">
        <v>2418</v>
      </c>
      <c r="BC90" s="70" t="s">
        <v>19</v>
      </c>
      <c r="BD90" s="70" t="s">
        <v>2427</v>
      </c>
      <c r="BE90" t="s">
        <v>21</v>
      </c>
      <c r="BF90" t="s">
        <v>23</v>
      </c>
      <c r="BG90" t="s">
        <v>155</v>
      </c>
      <c r="BH90" t="s">
        <v>177</v>
      </c>
      <c r="BI90" t="s">
        <v>25</v>
      </c>
      <c r="BJ90" t="s">
        <v>25</v>
      </c>
      <c r="BK90" s="70">
        <v>1</v>
      </c>
      <c r="BL90" s="70">
        <v>6</v>
      </c>
      <c r="BM90"/>
      <c r="BN90" t="s">
        <v>2493</v>
      </c>
      <c r="BO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 t="s">
        <v>824</v>
      </c>
      <c r="CZ90"/>
      <c r="DL90"/>
      <c r="DM90" s="70" t="s">
        <v>1745</v>
      </c>
      <c r="DN90"/>
      <c r="DO90" s="70" t="s">
        <v>1745</v>
      </c>
      <c r="DP90" t="s">
        <v>824</v>
      </c>
      <c r="DQ90" t="s">
        <v>2493</v>
      </c>
      <c r="DS90" t="s">
        <v>2015</v>
      </c>
      <c r="DT90" t="s">
        <v>2106</v>
      </c>
      <c r="DU90" t="s">
        <v>2107</v>
      </c>
      <c r="DV90"/>
    </row>
    <row r="91" spans="2:126" x14ac:dyDescent="0.25">
      <c r="B91">
        <v>9006610</v>
      </c>
      <c r="C91">
        <v>2</v>
      </c>
      <c r="D91">
        <v>9</v>
      </c>
      <c r="E91">
        <v>18</v>
      </c>
      <c r="F91">
        <v>1978</v>
      </c>
      <c r="G91">
        <v>4</v>
      </c>
      <c r="H91">
        <v>13</v>
      </c>
      <c r="I91">
        <v>2015</v>
      </c>
      <c r="J91" t="s">
        <v>562</v>
      </c>
      <c r="K91" t="s">
        <v>825</v>
      </c>
      <c r="L91">
        <v>68977846366</v>
      </c>
      <c r="M91" t="s">
        <v>1177</v>
      </c>
      <c r="N91" t="s">
        <v>465</v>
      </c>
      <c r="O91" t="s">
        <v>1178</v>
      </c>
      <c r="P91" t="s">
        <v>90</v>
      </c>
      <c r="Z91" t="s">
        <v>465</v>
      </c>
      <c r="AA91" t="s">
        <v>1178</v>
      </c>
      <c r="AB91" t="s">
        <v>90</v>
      </c>
      <c r="AU91" t="s">
        <v>146</v>
      </c>
      <c r="AV91" t="s">
        <v>146</v>
      </c>
      <c r="AW91" t="s">
        <v>149</v>
      </c>
      <c r="AX91" t="s">
        <v>153</v>
      </c>
      <c r="AY91" s="70" t="s">
        <v>2420</v>
      </c>
      <c r="AZ91" s="70" t="s">
        <v>2422</v>
      </c>
      <c r="BA91" s="70">
        <v>0</v>
      </c>
      <c r="BB91" s="70" t="s">
        <v>17</v>
      </c>
      <c r="BC91" s="70" t="s">
        <v>20</v>
      </c>
      <c r="BD91" s="70" t="s">
        <v>2422</v>
      </c>
      <c r="BE91" t="s">
        <v>165</v>
      </c>
      <c r="BF91" t="s">
        <v>23</v>
      </c>
      <c r="BG91" t="s">
        <v>155</v>
      </c>
      <c r="BH91" t="s">
        <v>24</v>
      </c>
      <c r="BI91" t="s">
        <v>25</v>
      </c>
      <c r="BJ91" t="s">
        <v>23</v>
      </c>
      <c r="BK91" s="70">
        <v>6</v>
      </c>
      <c r="BL91" s="70">
        <v>5</v>
      </c>
      <c r="BM91"/>
      <c r="BN91" t="s">
        <v>2494</v>
      </c>
      <c r="BO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 t="s">
        <v>825</v>
      </c>
      <c r="CZ91"/>
      <c r="DL91"/>
      <c r="DM91" s="70" t="s">
        <v>1746</v>
      </c>
      <c r="DN91"/>
      <c r="DO91" s="70" t="s">
        <v>1746</v>
      </c>
      <c r="DP91" t="s">
        <v>825</v>
      </c>
      <c r="DQ91" t="s">
        <v>2494</v>
      </c>
      <c r="DS91" t="s">
        <v>2108</v>
      </c>
      <c r="DT91" t="s">
        <v>2109</v>
      </c>
      <c r="DU91" t="s">
        <v>2110</v>
      </c>
      <c r="DV91"/>
    </row>
    <row r="92" spans="2:126" x14ac:dyDescent="0.25">
      <c r="B92">
        <v>40005612</v>
      </c>
      <c r="C92">
        <v>1</v>
      </c>
      <c r="D92">
        <v>10</v>
      </c>
      <c r="E92">
        <v>4</v>
      </c>
      <c r="F92">
        <v>1998</v>
      </c>
      <c r="G92">
        <v>11</v>
      </c>
      <c r="H92">
        <v>30</v>
      </c>
      <c r="I92">
        <v>2020</v>
      </c>
      <c r="J92" t="s">
        <v>563</v>
      </c>
      <c r="K92" t="s">
        <v>826</v>
      </c>
      <c r="L92">
        <v>94139828381</v>
      </c>
      <c r="M92" t="s">
        <v>1179</v>
      </c>
      <c r="N92" t="s">
        <v>1180</v>
      </c>
      <c r="O92" t="s">
        <v>431</v>
      </c>
      <c r="P92" t="s">
        <v>1547</v>
      </c>
      <c r="Z92" t="s">
        <v>1180</v>
      </c>
      <c r="AA92" t="s">
        <v>431</v>
      </c>
      <c r="AB92" t="s">
        <v>1547</v>
      </c>
      <c r="AU92" t="s">
        <v>24</v>
      </c>
      <c r="AV92" t="s">
        <v>153</v>
      </c>
      <c r="AW92" t="s">
        <v>25</v>
      </c>
      <c r="AX92" t="s">
        <v>23</v>
      </c>
      <c r="AY92" s="70" t="s">
        <v>17</v>
      </c>
      <c r="AZ92" s="70" t="s">
        <v>2422</v>
      </c>
      <c r="BA92" s="70">
        <v>1</v>
      </c>
      <c r="BB92" s="70" t="s">
        <v>19</v>
      </c>
      <c r="BC92" s="70" t="s">
        <v>19</v>
      </c>
      <c r="BD92" s="70" t="s">
        <v>2428</v>
      </c>
      <c r="BE92" t="s">
        <v>21</v>
      </c>
      <c r="BF92" t="s">
        <v>23</v>
      </c>
      <c r="BG92" t="s">
        <v>155</v>
      </c>
      <c r="BH92" t="s">
        <v>166</v>
      </c>
      <c r="BI92" t="s">
        <v>186</v>
      </c>
      <c r="BJ92" t="s">
        <v>24</v>
      </c>
      <c r="BK92" s="70">
        <v>9</v>
      </c>
      <c r="BL92" s="70">
        <v>0</v>
      </c>
      <c r="BM92"/>
      <c r="BN92" t="s">
        <v>2495</v>
      </c>
      <c r="BO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 t="s">
        <v>1670</v>
      </c>
      <c r="CZ92"/>
      <c r="DL92"/>
      <c r="DM92" s="70" t="s">
        <v>1747</v>
      </c>
      <c r="DN92"/>
      <c r="DO92" s="70" t="s">
        <v>1747</v>
      </c>
      <c r="DP92" t="s">
        <v>1670</v>
      </c>
      <c r="DQ92" t="s">
        <v>2495</v>
      </c>
      <c r="DS92" t="s">
        <v>2111</v>
      </c>
      <c r="DT92" t="s">
        <v>2112</v>
      </c>
      <c r="DU92" t="s">
        <v>2113</v>
      </c>
      <c r="DV92"/>
    </row>
    <row r="93" spans="2:126" x14ac:dyDescent="0.25">
      <c r="B93">
        <v>5956258</v>
      </c>
      <c r="C93">
        <v>2</v>
      </c>
      <c r="D93">
        <v>4</v>
      </c>
      <c r="E93">
        <v>5</v>
      </c>
      <c r="F93">
        <v>1967</v>
      </c>
      <c r="G93">
        <v>7</v>
      </c>
      <c r="H93">
        <v>2</v>
      </c>
      <c r="I93">
        <v>1987</v>
      </c>
      <c r="J93" t="s">
        <v>564</v>
      </c>
      <c r="K93" t="s">
        <v>827</v>
      </c>
      <c r="L93">
        <v>42836712119</v>
      </c>
      <c r="M93" t="s">
        <v>1181</v>
      </c>
      <c r="N93" t="s">
        <v>401</v>
      </c>
      <c r="O93" t="s">
        <v>1182</v>
      </c>
      <c r="P93" t="s">
        <v>1548</v>
      </c>
      <c r="Z93" t="s">
        <v>401</v>
      </c>
      <c r="AA93" t="s">
        <v>1182</v>
      </c>
      <c r="AB93" t="s">
        <v>1548</v>
      </c>
      <c r="AU93" t="s">
        <v>157</v>
      </c>
      <c r="AV93" t="s">
        <v>146</v>
      </c>
      <c r="AW93" t="s">
        <v>146</v>
      </c>
      <c r="AX93" t="s">
        <v>22</v>
      </c>
      <c r="AY93" s="70" t="s">
        <v>27</v>
      </c>
      <c r="AZ93" s="70" t="s">
        <v>2420</v>
      </c>
      <c r="BA93" s="70">
        <v>0</v>
      </c>
      <c r="BB93" s="70" t="s">
        <v>2428</v>
      </c>
      <c r="BC93" s="70" t="s">
        <v>19</v>
      </c>
      <c r="BD93" s="70" t="s">
        <v>2427</v>
      </c>
      <c r="BE93" t="s">
        <v>165</v>
      </c>
      <c r="BF93" t="s">
        <v>23</v>
      </c>
      <c r="BG93" t="s">
        <v>155</v>
      </c>
      <c r="BH93" t="s">
        <v>25</v>
      </c>
      <c r="BI93" t="s">
        <v>25</v>
      </c>
      <c r="BJ93" t="s">
        <v>166</v>
      </c>
      <c r="BK93" s="70">
        <v>2</v>
      </c>
      <c r="BL93" s="70">
        <v>9</v>
      </c>
      <c r="BM93"/>
      <c r="BN93" t="s">
        <v>2496</v>
      </c>
      <c r="BO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 t="s">
        <v>827</v>
      </c>
      <c r="CZ93"/>
      <c r="DL93"/>
      <c r="DM93" s="70" t="s">
        <v>1748</v>
      </c>
      <c r="DN93"/>
      <c r="DO93" s="70" t="s">
        <v>1748</v>
      </c>
      <c r="DP93" t="s">
        <v>827</v>
      </c>
      <c r="DQ93" t="s">
        <v>2496</v>
      </c>
      <c r="DS93" t="s">
        <v>2114</v>
      </c>
      <c r="DT93" t="s">
        <v>2063</v>
      </c>
      <c r="DU93" t="s">
        <v>2115</v>
      </c>
      <c r="DV93"/>
    </row>
    <row r="94" spans="2:126" x14ac:dyDescent="0.25">
      <c r="B94">
        <v>7663169</v>
      </c>
      <c r="C94">
        <v>1</v>
      </c>
      <c r="D94">
        <v>6</v>
      </c>
      <c r="E94">
        <v>7</v>
      </c>
      <c r="F94">
        <v>1977</v>
      </c>
      <c r="G94">
        <v>10</v>
      </c>
      <c r="H94">
        <v>25</v>
      </c>
      <c r="I94">
        <v>2010</v>
      </c>
      <c r="J94" t="s">
        <v>565</v>
      </c>
      <c r="K94" t="s">
        <v>828</v>
      </c>
      <c r="L94">
        <v>94967720783</v>
      </c>
      <c r="M94" t="s">
        <v>1183</v>
      </c>
      <c r="N94" t="s">
        <v>1021</v>
      </c>
      <c r="O94" t="s">
        <v>470</v>
      </c>
      <c r="P94" t="s">
        <v>87</v>
      </c>
      <c r="Z94" t="s">
        <v>1021</v>
      </c>
      <c r="AA94" t="s">
        <v>470</v>
      </c>
      <c r="AB94" t="s">
        <v>87</v>
      </c>
      <c r="AU94" t="s">
        <v>172</v>
      </c>
      <c r="AV94" t="s">
        <v>159</v>
      </c>
      <c r="AW94" t="s">
        <v>182</v>
      </c>
      <c r="AX94" t="s">
        <v>25</v>
      </c>
      <c r="AY94" s="70" t="s">
        <v>2420</v>
      </c>
      <c r="AZ94" s="70" t="s">
        <v>2420</v>
      </c>
      <c r="BA94" s="70">
        <v>0</v>
      </c>
      <c r="BB94" s="70" t="s">
        <v>27</v>
      </c>
      <c r="BC94" s="70" t="s">
        <v>19</v>
      </c>
      <c r="BD94" s="70" t="s">
        <v>2420</v>
      </c>
      <c r="BE94" t="s">
        <v>21</v>
      </c>
      <c r="BF94" t="s">
        <v>23</v>
      </c>
      <c r="BG94" t="s">
        <v>155</v>
      </c>
      <c r="BH94" t="s">
        <v>166</v>
      </c>
      <c r="BI94" t="s">
        <v>25</v>
      </c>
      <c r="BJ94" t="s">
        <v>149</v>
      </c>
      <c r="BK94" s="70">
        <v>4</v>
      </c>
      <c r="BL94" s="70">
        <v>7</v>
      </c>
      <c r="BM94"/>
      <c r="BN94" t="s">
        <v>2497</v>
      </c>
      <c r="BO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 t="s">
        <v>828</v>
      </c>
      <c r="CZ94"/>
      <c r="DL94"/>
      <c r="DM94" s="70" t="s">
        <v>1749</v>
      </c>
      <c r="DN94"/>
      <c r="DO94" s="70" t="s">
        <v>1749</v>
      </c>
      <c r="DP94" t="s">
        <v>828</v>
      </c>
      <c r="DQ94" t="s">
        <v>2497</v>
      </c>
      <c r="DS94" t="s">
        <v>1939</v>
      </c>
      <c r="DT94" t="s">
        <v>1944</v>
      </c>
      <c r="DU94" t="s">
        <v>2116</v>
      </c>
      <c r="DV94"/>
    </row>
    <row r="95" spans="2:126" x14ac:dyDescent="0.25">
      <c r="B95">
        <v>5974469</v>
      </c>
      <c r="C95">
        <v>2</v>
      </c>
      <c r="D95">
        <v>10</v>
      </c>
      <c r="E95">
        <v>6</v>
      </c>
      <c r="F95">
        <v>1978</v>
      </c>
      <c r="G95">
        <v>9</v>
      </c>
      <c r="H95">
        <v>1</v>
      </c>
      <c r="I95">
        <v>1996</v>
      </c>
      <c r="J95" t="s">
        <v>566</v>
      </c>
      <c r="K95" t="s">
        <v>829</v>
      </c>
      <c r="L95">
        <v>94967820732</v>
      </c>
      <c r="M95" t="s">
        <v>1184</v>
      </c>
      <c r="N95" t="s">
        <v>1185</v>
      </c>
      <c r="O95" t="s">
        <v>1160</v>
      </c>
      <c r="P95" t="s">
        <v>1549</v>
      </c>
      <c r="Z95" t="s">
        <v>1185</v>
      </c>
      <c r="AA95" t="s">
        <v>1160</v>
      </c>
      <c r="AB95" t="s">
        <v>1549</v>
      </c>
      <c r="AU95" t="s">
        <v>177</v>
      </c>
      <c r="AV95" t="s">
        <v>170</v>
      </c>
      <c r="AW95" t="s">
        <v>170</v>
      </c>
      <c r="AX95" t="s">
        <v>146</v>
      </c>
      <c r="AY95" s="70" t="s">
        <v>2420</v>
      </c>
      <c r="AZ95" s="70" t="s">
        <v>2422</v>
      </c>
      <c r="BA95" s="70">
        <v>1</v>
      </c>
      <c r="BB95" s="70" t="s">
        <v>19</v>
      </c>
      <c r="BC95" s="70" t="s">
        <v>19</v>
      </c>
      <c r="BD95" s="70" t="s">
        <v>27</v>
      </c>
      <c r="BE95" t="s">
        <v>165</v>
      </c>
      <c r="BF95" t="s">
        <v>23</v>
      </c>
      <c r="BG95" t="s">
        <v>155</v>
      </c>
      <c r="BH95" t="s">
        <v>24</v>
      </c>
      <c r="BI95" t="s">
        <v>25</v>
      </c>
      <c r="BJ95" t="s">
        <v>24</v>
      </c>
      <c r="BK95" s="70">
        <v>3</v>
      </c>
      <c r="BL95" s="70">
        <v>7</v>
      </c>
      <c r="BM95"/>
      <c r="BN95" t="s">
        <v>2498</v>
      </c>
      <c r="BO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 t="s">
        <v>829</v>
      </c>
      <c r="CZ95"/>
      <c r="DL95"/>
      <c r="DM95" s="70" t="s">
        <v>1750</v>
      </c>
      <c r="DN95"/>
      <c r="DO95" s="70" t="s">
        <v>1750</v>
      </c>
      <c r="DP95" t="s">
        <v>829</v>
      </c>
      <c r="DQ95" t="s">
        <v>2498</v>
      </c>
      <c r="DS95" t="s">
        <v>2117</v>
      </c>
      <c r="DT95" t="s">
        <v>2118</v>
      </c>
      <c r="DU95" t="s">
        <v>2092</v>
      </c>
      <c r="DV95"/>
    </row>
    <row r="96" spans="2:126" x14ac:dyDescent="0.25">
      <c r="B96">
        <v>5952511</v>
      </c>
      <c r="C96">
        <v>2</v>
      </c>
      <c r="D96">
        <v>3</v>
      </c>
      <c r="E96">
        <v>11</v>
      </c>
      <c r="F96">
        <v>1975</v>
      </c>
      <c r="G96">
        <v>3</v>
      </c>
      <c r="H96">
        <v>1</v>
      </c>
      <c r="I96">
        <v>2000</v>
      </c>
      <c r="J96" t="s">
        <v>567</v>
      </c>
      <c r="K96" t="s">
        <v>830</v>
      </c>
      <c r="L96">
        <v>94957514048</v>
      </c>
      <c r="M96" t="s">
        <v>1186</v>
      </c>
      <c r="N96" t="s">
        <v>456</v>
      </c>
      <c r="O96" t="s">
        <v>437</v>
      </c>
      <c r="P96" t="s">
        <v>1550</v>
      </c>
      <c r="Z96" t="s">
        <v>456</v>
      </c>
      <c r="AA96" t="s">
        <v>437</v>
      </c>
      <c r="AB96" t="s">
        <v>75</v>
      </c>
      <c r="AU96" t="s">
        <v>22</v>
      </c>
      <c r="AV96" t="s">
        <v>146</v>
      </c>
      <c r="AW96" t="s">
        <v>25</v>
      </c>
      <c r="AX96" t="s">
        <v>22</v>
      </c>
      <c r="AY96" s="70" t="s">
        <v>2420</v>
      </c>
      <c r="AZ96" s="70" t="s">
        <v>2427</v>
      </c>
      <c r="BA96" s="70">
        <v>0</v>
      </c>
      <c r="BB96" s="70" t="s">
        <v>18</v>
      </c>
      <c r="BC96" s="70" t="s">
        <v>20</v>
      </c>
      <c r="BD96" s="70" t="s">
        <v>20</v>
      </c>
      <c r="BE96" t="s">
        <v>165</v>
      </c>
      <c r="BF96" t="s">
        <v>23</v>
      </c>
      <c r="BG96" t="s">
        <v>155</v>
      </c>
      <c r="BH96" t="s">
        <v>21</v>
      </c>
      <c r="BI96" t="s">
        <v>23</v>
      </c>
      <c r="BJ96" t="s">
        <v>177</v>
      </c>
      <c r="BK96" s="70">
        <v>1</v>
      </c>
      <c r="BL96" s="70">
        <v>4</v>
      </c>
      <c r="BM96"/>
      <c r="BN96" t="s">
        <v>2499</v>
      </c>
      <c r="BO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 t="s">
        <v>830</v>
      </c>
      <c r="CZ96"/>
      <c r="DL96"/>
      <c r="DM96" s="70" t="s">
        <v>1751</v>
      </c>
      <c r="DN96"/>
      <c r="DO96" s="70" t="s">
        <v>1751</v>
      </c>
      <c r="DP96" t="s">
        <v>830</v>
      </c>
      <c r="DQ96" t="s">
        <v>2499</v>
      </c>
      <c r="DS96" t="s">
        <v>2119</v>
      </c>
      <c r="DT96" t="s">
        <v>1940</v>
      </c>
      <c r="DU96" t="s">
        <v>2054</v>
      </c>
      <c r="DV96"/>
    </row>
    <row r="97" spans="2:126" x14ac:dyDescent="0.25">
      <c r="B97">
        <v>40003466</v>
      </c>
      <c r="C97">
        <v>1</v>
      </c>
      <c r="D97">
        <v>11</v>
      </c>
      <c r="E97">
        <v>10</v>
      </c>
      <c r="F97">
        <v>1996</v>
      </c>
      <c r="G97">
        <v>7</v>
      </c>
      <c r="H97">
        <v>16</v>
      </c>
      <c r="I97">
        <v>2019</v>
      </c>
      <c r="J97" t="s">
        <v>568</v>
      </c>
      <c r="K97" t="s">
        <v>831</v>
      </c>
      <c r="L97">
        <v>94119655853</v>
      </c>
      <c r="M97" t="s">
        <v>1187</v>
      </c>
      <c r="N97" t="s">
        <v>427</v>
      </c>
      <c r="O97" t="s">
        <v>1188</v>
      </c>
      <c r="P97" t="s">
        <v>1551</v>
      </c>
      <c r="Z97" t="s">
        <v>427</v>
      </c>
      <c r="AA97" t="s">
        <v>1188</v>
      </c>
      <c r="AB97" t="s">
        <v>1189</v>
      </c>
      <c r="AU97" t="s">
        <v>177</v>
      </c>
      <c r="AV97" t="s">
        <v>146</v>
      </c>
      <c r="AW97" t="s">
        <v>166</v>
      </c>
      <c r="AX97" t="s">
        <v>22</v>
      </c>
      <c r="AY97" s="70" t="s">
        <v>17</v>
      </c>
      <c r="AZ97" s="70" t="s">
        <v>27</v>
      </c>
      <c r="BA97" s="70">
        <v>1</v>
      </c>
      <c r="BB97" s="70" t="s">
        <v>20</v>
      </c>
      <c r="BC97" s="70" t="s">
        <v>20</v>
      </c>
      <c r="BD97" s="70" t="s">
        <v>19</v>
      </c>
      <c r="BE97" t="s">
        <v>21</v>
      </c>
      <c r="BF97" t="s">
        <v>23</v>
      </c>
      <c r="BG97" t="s">
        <v>155</v>
      </c>
      <c r="BH97" t="s">
        <v>24</v>
      </c>
      <c r="BI97" t="s">
        <v>166</v>
      </c>
      <c r="BJ97" t="s">
        <v>24</v>
      </c>
      <c r="BK97" s="70">
        <v>3</v>
      </c>
      <c r="BL97" s="70">
        <v>1</v>
      </c>
      <c r="BM97"/>
      <c r="BN97" t="s">
        <v>2500</v>
      </c>
      <c r="BO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 t="s">
        <v>831</v>
      </c>
      <c r="CZ97"/>
      <c r="DL97"/>
      <c r="DM97" s="70" t="s">
        <v>1752</v>
      </c>
      <c r="DN97"/>
      <c r="DO97" s="70" t="s">
        <v>1752</v>
      </c>
      <c r="DP97" t="s">
        <v>831</v>
      </c>
      <c r="DQ97" t="s">
        <v>2500</v>
      </c>
      <c r="DS97" t="s">
        <v>2120</v>
      </c>
      <c r="DT97" t="s">
        <v>1991</v>
      </c>
      <c r="DU97" t="s">
        <v>2121</v>
      </c>
      <c r="DV97"/>
    </row>
    <row r="98" spans="2:126" x14ac:dyDescent="0.25">
      <c r="B98">
        <v>5975597</v>
      </c>
      <c r="C98">
        <v>1</v>
      </c>
      <c r="D98">
        <v>3</v>
      </c>
      <c r="E98">
        <v>12</v>
      </c>
      <c r="F98">
        <v>1977</v>
      </c>
      <c r="G98">
        <v>9</v>
      </c>
      <c r="H98">
        <v>15</v>
      </c>
      <c r="I98">
        <v>1997</v>
      </c>
      <c r="J98" t="s">
        <v>569</v>
      </c>
      <c r="K98" t="s">
        <v>832</v>
      </c>
      <c r="L98">
        <v>94967720791</v>
      </c>
      <c r="M98" t="s">
        <v>1190</v>
      </c>
      <c r="N98" t="s">
        <v>1191</v>
      </c>
      <c r="O98" t="s">
        <v>410</v>
      </c>
      <c r="P98" t="s">
        <v>1061</v>
      </c>
      <c r="Z98" t="s">
        <v>1191</v>
      </c>
      <c r="AA98" t="s">
        <v>410</v>
      </c>
      <c r="AB98" t="s">
        <v>1061</v>
      </c>
      <c r="AU98" t="s">
        <v>180</v>
      </c>
      <c r="AV98" t="s">
        <v>146</v>
      </c>
      <c r="AW98" t="s">
        <v>21</v>
      </c>
      <c r="AX98" t="s">
        <v>25</v>
      </c>
      <c r="AY98" s="70" t="s">
        <v>2420</v>
      </c>
      <c r="AZ98" s="70" t="s">
        <v>2420</v>
      </c>
      <c r="BA98" s="70">
        <v>0</v>
      </c>
      <c r="BB98" s="70" t="s">
        <v>18</v>
      </c>
      <c r="BC98" s="70" t="s">
        <v>20</v>
      </c>
      <c r="BD98" s="70" t="s">
        <v>2418</v>
      </c>
      <c r="BE98" t="s">
        <v>21</v>
      </c>
      <c r="BF98" t="s">
        <v>23</v>
      </c>
      <c r="BG98" t="s">
        <v>155</v>
      </c>
      <c r="BH98" t="s">
        <v>157</v>
      </c>
      <c r="BI98" t="s">
        <v>25</v>
      </c>
      <c r="BJ98" t="s">
        <v>186</v>
      </c>
      <c r="BK98" s="70">
        <v>3</v>
      </c>
      <c r="BL98" s="70">
        <v>5</v>
      </c>
      <c r="BM98"/>
      <c r="BN98" t="s">
        <v>2501</v>
      </c>
      <c r="BO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 t="s">
        <v>832</v>
      </c>
      <c r="CZ98"/>
      <c r="DL98"/>
      <c r="DM98" s="70" t="s">
        <v>1753</v>
      </c>
      <c r="DN98"/>
      <c r="DO98" s="70" t="s">
        <v>1753</v>
      </c>
      <c r="DP98" t="s">
        <v>832</v>
      </c>
      <c r="DQ98" t="s">
        <v>2501</v>
      </c>
      <c r="DS98" t="s">
        <v>2122</v>
      </c>
      <c r="DT98" t="s">
        <v>2123</v>
      </c>
      <c r="DU98" t="s">
        <v>1987</v>
      </c>
      <c r="DV98"/>
    </row>
    <row r="99" spans="2:126" x14ac:dyDescent="0.25">
      <c r="B99">
        <v>40004702</v>
      </c>
      <c r="C99">
        <v>1</v>
      </c>
      <c r="D99">
        <v>3</v>
      </c>
      <c r="E99">
        <v>4</v>
      </c>
      <c r="F99">
        <v>1985</v>
      </c>
      <c r="G99">
        <v>1</v>
      </c>
      <c r="H99">
        <v>20</v>
      </c>
      <c r="I99">
        <v>2020</v>
      </c>
      <c r="J99" t="s">
        <v>570</v>
      </c>
      <c r="K99" t="s">
        <v>833</v>
      </c>
      <c r="L99">
        <v>7098501476</v>
      </c>
      <c r="M99" t="s">
        <v>1192</v>
      </c>
      <c r="N99" t="s">
        <v>1193</v>
      </c>
      <c r="O99" t="s">
        <v>487</v>
      </c>
      <c r="P99" t="s">
        <v>1552</v>
      </c>
      <c r="Z99" t="s">
        <v>1193</v>
      </c>
      <c r="AA99" t="s">
        <v>487</v>
      </c>
      <c r="AB99" t="s">
        <v>1149</v>
      </c>
      <c r="AU99" t="s">
        <v>155</v>
      </c>
      <c r="AV99" t="s">
        <v>146</v>
      </c>
      <c r="AW99" t="s">
        <v>22</v>
      </c>
      <c r="AX99" t="s">
        <v>24</v>
      </c>
      <c r="AY99" s="70" t="s">
        <v>2422</v>
      </c>
      <c r="AZ99" s="70" t="s">
        <v>2427</v>
      </c>
      <c r="BA99" s="70">
        <v>0</v>
      </c>
      <c r="BB99" s="70" t="s">
        <v>18</v>
      </c>
      <c r="BC99" s="70" t="s">
        <v>19</v>
      </c>
      <c r="BD99" s="70" t="s">
        <v>2428</v>
      </c>
      <c r="BE99" t="s">
        <v>21</v>
      </c>
      <c r="BF99" t="s">
        <v>23</v>
      </c>
      <c r="BG99" t="s">
        <v>155</v>
      </c>
      <c r="BH99" t="s">
        <v>25</v>
      </c>
      <c r="BI99" t="s">
        <v>177</v>
      </c>
      <c r="BJ99" t="s">
        <v>177</v>
      </c>
      <c r="BK99" s="70">
        <v>0</v>
      </c>
      <c r="BL99" s="70">
        <v>0</v>
      </c>
      <c r="BM99"/>
      <c r="BN99" t="s">
        <v>2502</v>
      </c>
      <c r="BO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 t="s">
        <v>833</v>
      </c>
      <c r="CZ99"/>
      <c r="DL99"/>
      <c r="DM99" s="70" t="s">
        <v>1754</v>
      </c>
      <c r="DN99"/>
      <c r="DO99" s="70" t="s">
        <v>1754</v>
      </c>
      <c r="DP99" t="s">
        <v>833</v>
      </c>
      <c r="DQ99" t="s">
        <v>2502</v>
      </c>
      <c r="DS99" t="s">
        <v>2124</v>
      </c>
      <c r="DT99" t="s">
        <v>2125</v>
      </c>
      <c r="DU99" t="s">
        <v>2126</v>
      </c>
      <c r="DV99"/>
    </row>
    <row r="100" spans="2:126" x14ac:dyDescent="0.25">
      <c r="B100">
        <v>8683376</v>
      </c>
      <c r="C100">
        <v>2</v>
      </c>
      <c r="D100">
        <v>6</v>
      </c>
      <c r="E100">
        <v>15</v>
      </c>
      <c r="F100">
        <v>1988</v>
      </c>
      <c r="G100">
        <v>3</v>
      </c>
      <c r="H100">
        <v>3</v>
      </c>
      <c r="I100">
        <v>2014</v>
      </c>
      <c r="J100" t="s">
        <v>571</v>
      </c>
      <c r="K100" t="s">
        <v>834</v>
      </c>
      <c r="L100">
        <v>28068808808</v>
      </c>
      <c r="M100" t="s">
        <v>1194</v>
      </c>
      <c r="N100" t="s">
        <v>481</v>
      </c>
      <c r="O100" t="s">
        <v>1026</v>
      </c>
      <c r="P100" t="s">
        <v>1553</v>
      </c>
      <c r="Z100" t="s">
        <v>481</v>
      </c>
      <c r="AA100" t="s">
        <v>1026</v>
      </c>
      <c r="AB100" t="s">
        <v>81</v>
      </c>
      <c r="AU100" t="s">
        <v>155</v>
      </c>
      <c r="AV100" t="s">
        <v>170</v>
      </c>
      <c r="AW100" t="s">
        <v>165</v>
      </c>
      <c r="AX100" t="s">
        <v>177</v>
      </c>
      <c r="AY100" s="70" t="s">
        <v>2422</v>
      </c>
      <c r="AZ100" s="70" t="s">
        <v>2422</v>
      </c>
      <c r="BA100" s="70">
        <v>0</v>
      </c>
      <c r="BB100" s="70" t="s">
        <v>27</v>
      </c>
      <c r="BC100" s="70" t="s">
        <v>20</v>
      </c>
      <c r="BD100" s="70" t="s">
        <v>2427</v>
      </c>
      <c r="BE100" t="s">
        <v>165</v>
      </c>
      <c r="BF100" t="s">
        <v>23</v>
      </c>
      <c r="BG100" t="s">
        <v>155</v>
      </c>
      <c r="BH100" t="s">
        <v>24</v>
      </c>
      <c r="BI100" t="s">
        <v>166</v>
      </c>
      <c r="BJ100" t="s">
        <v>25</v>
      </c>
      <c r="BK100" s="70">
        <v>4</v>
      </c>
      <c r="BL100" s="70">
        <v>9</v>
      </c>
      <c r="BM100"/>
      <c r="BN100" t="s">
        <v>2503</v>
      </c>
      <c r="BO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 t="s">
        <v>834</v>
      </c>
      <c r="CZ100"/>
      <c r="DL100"/>
      <c r="DM100" s="70" t="s">
        <v>1755</v>
      </c>
      <c r="DN100"/>
      <c r="DO100" s="70" t="s">
        <v>1755</v>
      </c>
      <c r="DP100" t="s">
        <v>834</v>
      </c>
      <c r="DQ100" t="s">
        <v>2503</v>
      </c>
      <c r="DS100" t="s">
        <v>2127</v>
      </c>
      <c r="DT100" t="s">
        <v>1968</v>
      </c>
      <c r="DU100" t="s">
        <v>1950</v>
      </c>
      <c r="DV100"/>
    </row>
    <row r="101" spans="2:126" x14ac:dyDescent="0.25">
      <c r="B101">
        <v>5951787</v>
      </c>
      <c r="C101">
        <v>1</v>
      </c>
      <c r="D101">
        <v>3</v>
      </c>
      <c r="E101">
        <v>2</v>
      </c>
      <c r="F101">
        <v>1960</v>
      </c>
      <c r="G101">
        <v>5</v>
      </c>
      <c r="H101">
        <v>1</v>
      </c>
      <c r="I101">
        <v>1989</v>
      </c>
      <c r="J101" t="s">
        <v>572</v>
      </c>
      <c r="K101" t="s">
        <v>835</v>
      </c>
      <c r="L101">
        <v>89856004224</v>
      </c>
      <c r="M101" t="s">
        <v>1195</v>
      </c>
      <c r="N101" t="s">
        <v>404</v>
      </c>
      <c r="O101" t="s">
        <v>420</v>
      </c>
      <c r="P101" t="s">
        <v>1554</v>
      </c>
      <c r="Z101" t="s">
        <v>404</v>
      </c>
      <c r="AA101" t="s">
        <v>420</v>
      </c>
      <c r="AB101" t="s">
        <v>1196</v>
      </c>
      <c r="AU101" t="s">
        <v>22</v>
      </c>
      <c r="AV101" t="s">
        <v>146</v>
      </c>
      <c r="AW101" t="s">
        <v>25</v>
      </c>
      <c r="AX101" t="s">
        <v>22</v>
      </c>
      <c r="AY101" s="70" t="s">
        <v>27</v>
      </c>
      <c r="AZ101" s="70" t="s">
        <v>19</v>
      </c>
      <c r="BA101" s="70">
        <v>0</v>
      </c>
      <c r="BB101" s="70" t="s">
        <v>18</v>
      </c>
      <c r="BC101" s="70" t="s">
        <v>19</v>
      </c>
      <c r="BD101" s="70" t="s">
        <v>2418</v>
      </c>
      <c r="BE101" t="s">
        <v>21</v>
      </c>
      <c r="BF101" t="s">
        <v>23</v>
      </c>
      <c r="BG101" t="s">
        <v>155</v>
      </c>
      <c r="BH101" t="s">
        <v>177</v>
      </c>
      <c r="BI101" t="s">
        <v>26</v>
      </c>
      <c r="BJ101" t="s">
        <v>25</v>
      </c>
      <c r="BK101" s="70">
        <v>4</v>
      </c>
      <c r="BL101" s="70">
        <v>4</v>
      </c>
      <c r="BM101"/>
      <c r="BN101" t="s">
        <v>2504</v>
      </c>
      <c r="BO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 t="s">
        <v>835</v>
      </c>
      <c r="CZ101"/>
      <c r="DL101"/>
      <c r="DM101" s="70" t="s">
        <v>1756</v>
      </c>
      <c r="DN101"/>
      <c r="DO101" s="70" t="s">
        <v>1756</v>
      </c>
      <c r="DP101" t="s">
        <v>835</v>
      </c>
      <c r="DQ101" t="s">
        <v>2504</v>
      </c>
      <c r="DS101" t="s">
        <v>2128</v>
      </c>
      <c r="DT101" t="s">
        <v>2129</v>
      </c>
      <c r="DU101" t="s">
        <v>2060</v>
      </c>
      <c r="DV101"/>
    </row>
    <row r="102" spans="2:126" x14ac:dyDescent="0.25">
      <c r="B102">
        <v>9176339</v>
      </c>
      <c r="C102">
        <v>2</v>
      </c>
      <c r="D102">
        <v>7</v>
      </c>
      <c r="E102">
        <v>22</v>
      </c>
      <c r="F102">
        <v>1992</v>
      </c>
      <c r="G102">
        <v>11</v>
      </c>
      <c r="H102">
        <v>1</v>
      </c>
      <c r="I102">
        <v>2015</v>
      </c>
      <c r="J102" t="s">
        <v>573</v>
      </c>
      <c r="K102" t="s">
        <v>836</v>
      </c>
      <c r="L102">
        <v>26159230023</v>
      </c>
      <c r="M102" t="s">
        <v>1197</v>
      </c>
      <c r="N102" t="s">
        <v>426</v>
      </c>
      <c r="O102" t="s">
        <v>409</v>
      </c>
      <c r="P102" t="s">
        <v>1555</v>
      </c>
      <c r="Z102" t="s">
        <v>426</v>
      </c>
      <c r="AA102" t="s">
        <v>409</v>
      </c>
      <c r="AB102" t="s">
        <v>1198</v>
      </c>
      <c r="AU102" t="s">
        <v>177</v>
      </c>
      <c r="AV102" t="s">
        <v>146</v>
      </c>
      <c r="AW102" t="s">
        <v>165</v>
      </c>
      <c r="AX102" t="s">
        <v>165</v>
      </c>
      <c r="AY102" s="70" t="s">
        <v>17</v>
      </c>
      <c r="AZ102" s="70" t="s">
        <v>2418</v>
      </c>
      <c r="BA102" s="70">
        <v>0</v>
      </c>
      <c r="BB102" s="70" t="s">
        <v>2420</v>
      </c>
      <c r="BC102" s="70" t="s">
        <v>2418</v>
      </c>
      <c r="BD102" s="70" t="s">
        <v>2418</v>
      </c>
      <c r="BE102" t="s">
        <v>165</v>
      </c>
      <c r="BF102" t="s">
        <v>23</v>
      </c>
      <c r="BG102" t="s">
        <v>155</v>
      </c>
      <c r="BH102" t="s">
        <v>166</v>
      </c>
      <c r="BI102" t="s">
        <v>25</v>
      </c>
      <c r="BJ102" t="s">
        <v>25</v>
      </c>
      <c r="BK102" s="70">
        <v>5</v>
      </c>
      <c r="BL102" s="70">
        <v>1</v>
      </c>
      <c r="BM102"/>
      <c r="BN102" t="s">
        <v>2505</v>
      </c>
      <c r="BO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 t="s">
        <v>836</v>
      </c>
      <c r="CZ102"/>
      <c r="DL102"/>
      <c r="DM102" s="70" t="s">
        <v>1757</v>
      </c>
      <c r="DN102"/>
      <c r="DO102" s="70" t="s">
        <v>1757</v>
      </c>
      <c r="DP102" t="s">
        <v>836</v>
      </c>
      <c r="DQ102" t="s">
        <v>2505</v>
      </c>
      <c r="DS102" t="s">
        <v>2130</v>
      </c>
      <c r="DT102" t="s">
        <v>1990</v>
      </c>
      <c r="DU102" t="s">
        <v>2016</v>
      </c>
      <c r="DV102"/>
    </row>
    <row r="103" spans="2:126" x14ac:dyDescent="0.25">
      <c r="B103">
        <v>5964153</v>
      </c>
      <c r="C103">
        <v>1</v>
      </c>
      <c r="D103">
        <v>2</v>
      </c>
      <c r="E103">
        <v>19</v>
      </c>
      <c r="F103">
        <v>1979</v>
      </c>
      <c r="G103">
        <v>12</v>
      </c>
      <c r="H103">
        <v>21</v>
      </c>
      <c r="I103">
        <v>1998</v>
      </c>
      <c r="J103" t="s">
        <v>574</v>
      </c>
      <c r="K103" t="s">
        <v>837</v>
      </c>
      <c r="L103">
        <v>94977922130</v>
      </c>
      <c r="M103" t="s">
        <v>1199</v>
      </c>
      <c r="N103" t="s">
        <v>409</v>
      </c>
      <c r="O103" t="s">
        <v>431</v>
      </c>
      <c r="P103" t="s">
        <v>1556</v>
      </c>
      <c r="Z103" t="s">
        <v>409</v>
      </c>
      <c r="AA103" t="s">
        <v>431</v>
      </c>
      <c r="AB103" t="s">
        <v>59</v>
      </c>
      <c r="AU103" t="s">
        <v>165</v>
      </c>
      <c r="AV103" t="s">
        <v>146</v>
      </c>
      <c r="AW103" t="s">
        <v>25</v>
      </c>
      <c r="AX103" t="s">
        <v>153</v>
      </c>
      <c r="AY103" s="70" t="s">
        <v>2420</v>
      </c>
      <c r="AZ103" s="70" t="s">
        <v>17</v>
      </c>
      <c r="BA103" s="70">
        <v>0</v>
      </c>
      <c r="BB103" s="70" t="s">
        <v>2418</v>
      </c>
      <c r="BC103" s="70" t="s">
        <v>20</v>
      </c>
      <c r="BD103" s="70" t="s">
        <v>17</v>
      </c>
      <c r="BE103" t="s">
        <v>21</v>
      </c>
      <c r="BF103" t="s">
        <v>23</v>
      </c>
      <c r="BG103" t="s">
        <v>155</v>
      </c>
      <c r="BH103" t="s">
        <v>25</v>
      </c>
      <c r="BI103" t="s">
        <v>186</v>
      </c>
      <c r="BJ103" t="s">
        <v>166</v>
      </c>
      <c r="BK103" s="70">
        <v>9</v>
      </c>
      <c r="BL103" s="70">
        <v>4</v>
      </c>
      <c r="BM103"/>
      <c r="BN103" t="s">
        <v>2506</v>
      </c>
      <c r="BO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 t="s">
        <v>837</v>
      </c>
      <c r="CZ103"/>
      <c r="DL103"/>
      <c r="DM103" s="70" t="s">
        <v>1758</v>
      </c>
      <c r="DN103"/>
      <c r="DO103" s="70" t="s">
        <v>1758</v>
      </c>
      <c r="DP103" t="s">
        <v>837</v>
      </c>
      <c r="DQ103" t="s">
        <v>2506</v>
      </c>
      <c r="DS103" t="s">
        <v>2131</v>
      </c>
      <c r="DT103" t="s">
        <v>2016</v>
      </c>
      <c r="DU103" t="s">
        <v>2113</v>
      </c>
      <c r="DV103"/>
    </row>
    <row r="104" spans="2:126" x14ac:dyDescent="0.25">
      <c r="B104">
        <v>5948786</v>
      </c>
      <c r="C104">
        <v>2</v>
      </c>
      <c r="D104">
        <v>11</v>
      </c>
      <c r="E104">
        <v>25</v>
      </c>
      <c r="F104">
        <v>1975</v>
      </c>
      <c r="G104">
        <v>12</v>
      </c>
      <c r="H104">
        <v>18</v>
      </c>
      <c r="I104">
        <v>2000</v>
      </c>
      <c r="J104" t="s">
        <v>575</v>
      </c>
      <c r="K104" t="s">
        <v>838</v>
      </c>
      <c r="L104">
        <v>1957504119</v>
      </c>
      <c r="M104" t="s">
        <v>1200</v>
      </c>
      <c r="N104" t="s">
        <v>1024</v>
      </c>
      <c r="O104" t="s">
        <v>483</v>
      </c>
      <c r="P104" t="s">
        <v>1557</v>
      </c>
      <c r="Z104" t="s">
        <v>1024</v>
      </c>
      <c r="AA104" t="s">
        <v>483</v>
      </c>
      <c r="AB104" t="s">
        <v>96</v>
      </c>
      <c r="AU104" t="s">
        <v>146</v>
      </c>
      <c r="AV104" t="s">
        <v>180</v>
      </c>
      <c r="AW104" t="s">
        <v>21</v>
      </c>
      <c r="AX104" t="s">
        <v>159</v>
      </c>
      <c r="AY104" s="70" t="s">
        <v>2420</v>
      </c>
      <c r="AZ104" s="70" t="s">
        <v>2427</v>
      </c>
      <c r="BA104" s="70">
        <v>1</v>
      </c>
      <c r="BB104" s="70" t="s">
        <v>20</v>
      </c>
      <c r="BC104" s="70" t="s">
        <v>2418</v>
      </c>
      <c r="BD104" s="70" t="s">
        <v>2427</v>
      </c>
      <c r="BE104" t="s">
        <v>165</v>
      </c>
      <c r="BF104" t="s">
        <v>23</v>
      </c>
      <c r="BG104" t="s">
        <v>155</v>
      </c>
      <c r="BH104" t="s">
        <v>157</v>
      </c>
      <c r="BI104" t="s">
        <v>25</v>
      </c>
      <c r="BJ104" t="s">
        <v>182</v>
      </c>
      <c r="BK104" s="70">
        <v>5</v>
      </c>
      <c r="BL104" s="70">
        <v>6</v>
      </c>
      <c r="BM104"/>
      <c r="BN104" t="s">
        <v>2507</v>
      </c>
      <c r="BO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 t="s">
        <v>838</v>
      </c>
      <c r="CZ104"/>
      <c r="DL104"/>
      <c r="DM104" s="70" t="s">
        <v>1759</v>
      </c>
      <c r="DN104"/>
      <c r="DO104" s="70" t="s">
        <v>1759</v>
      </c>
      <c r="DP104" t="s">
        <v>838</v>
      </c>
      <c r="DQ104" t="s">
        <v>2507</v>
      </c>
      <c r="DS104" t="s">
        <v>2132</v>
      </c>
      <c r="DT104" t="s">
        <v>1947</v>
      </c>
      <c r="DU104" t="s">
        <v>2133</v>
      </c>
      <c r="DV104"/>
    </row>
    <row r="105" spans="2:126" x14ac:dyDescent="0.25">
      <c r="B105">
        <v>5967284</v>
      </c>
      <c r="C105">
        <v>1</v>
      </c>
      <c r="D105">
        <v>8</v>
      </c>
      <c r="E105">
        <v>9</v>
      </c>
      <c r="F105">
        <v>1975</v>
      </c>
      <c r="G105">
        <v>6</v>
      </c>
      <c r="H105">
        <v>3</v>
      </c>
      <c r="I105">
        <v>1995</v>
      </c>
      <c r="J105" t="s">
        <v>576</v>
      </c>
      <c r="K105" t="s">
        <v>839</v>
      </c>
      <c r="L105">
        <v>94947521004</v>
      </c>
      <c r="M105" t="s">
        <v>1201</v>
      </c>
      <c r="N105" t="s">
        <v>1202</v>
      </c>
      <c r="O105" t="s">
        <v>1017</v>
      </c>
      <c r="P105" t="s">
        <v>1558</v>
      </c>
      <c r="Z105" t="s">
        <v>1202</v>
      </c>
      <c r="AA105" t="s">
        <v>1017</v>
      </c>
      <c r="AB105" t="s">
        <v>2408</v>
      </c>
      <c r="AU105" t="s">
        <v>170</v>
      </c>
      <c r="AV105" t="s">
        <v>170</v>
      </c>
      <c r="AW105" t="s">
        <v>165</v>
      </c>
      <c r="AX105" t="s">
        <v>155</v>
      </c>
      <c r="AY105" s="70" t="s">
        <v>2420</v>
      </c>
      <c r="AZ105" s="70" t="s">
        <v>2427</v>
      </c>
      <c r="BA105" s="70">
        <v>0</v>
      </c>
      <c r="BB105" s="70" t="s">
        <v>2422</v>
      </c>
      <c r="BC105" s="70" t="s">
        <v>19</v>
      </c>
      <c r="BD105" s="70" t="s">
        <v>17</v>
      </c>
      <c r="BE105" t="s">
        <v>21</v>
      </c>
      <c r="BF105" t="s">
        <v>23</v>
      </c>
      <c r="BG105" t="s">
        <v>155</v>
      </c>
      <c r="BH105" t="s">
        <v>24</v>
      </c>
      <c r="BI105" t="s">
        <v>24</v>
      </c>
      <c r="BJ105" t="s">
        <v>24</v>
      </c>
      <c r="BK105" s="70">
        <v>0</v>
      </c>
      <c r="BL105" s="70">
        <v>7</v>
      </c>
      <c r="BM105"/>
      <c r="BN105" t="s">
        <v>576</v>
      </c>
      <c r="BO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 t="s">
        <v>839</v>
      </c>
      <c r="CZ105"/>
      <c r="DL105"/>
      <c r="DM105" s="70" t="s">
        <v>1760</v>
      </c>
      <c r="DN105"/>
      <c r="DO105" s="70" t="s">
        <v>1760</v>
      </c>
      <c r="DP105" t="s">
        <v>839</v>
      </c>
      <c r="DQ105" t="s">
        <v>576</v>
      </c>
      <c r="DS105" t="s">
        <v>2134</v>
      </c>
      <c r="DT105" t="s">
        <v>2135</v>
      </c>
      <c r="DU105" t="s">
        <v>2136</v>
      </c>
      <c r="DV105"/>
    </row>
    <row r="106" spans="2:126" x14ac:dyDescent="0.25">
      <c r="B106">
        <v>5964412</v>
      </c>
      <c r="C106">
        <v>1</v>
      </c>
      <c r="D106">
        <v>2</v>
      </c>
      <c r="E106">
        <v>25</v>
      </c>
      <c r="F106">
        <v>1976</v>
      </c>
      <c r="G106">
        <v>6</v>
      </c>
      <c r="H106">
        <v>3</v>
      </c>
      <c r="I106">
        <v>1995</v>
      </c>
      <c r="J106" t="s">
        <v>577</v>
      </c>
      <c r="K106" t="s">
        <v>840</v>
      </c>
      <c r="L106">
        <v>94947622927</v>
      </c>
      <c r="M106" t="s">
        <v>1203</v>
      </c>
      <c r="N106" t="s">
        <v>1204</v>
      </c>
      <c r="O106" t="s">
        <v>1205</v>
      </c>
      <c r="P106" t="s">
        <v>1559</v>
      </c>
      <c r="Z106" t="s">
        <v>1204</v>
      </c>
      <c r="AA106" t="s">
        <v>1205</v>
      </c>
      <c r="AB106" t="s">
        <v>1196</v>
      </c>
      <c r="AU106" t="s">
        <v>165</v>
      </c>
      <c r="AV106" t="s">
        <v>146</v>
      </c>
      <c r="AW106" t="s">
        <v>26</v>
      </c>
      <c r="AX106" t="s">
        <v>22</v>
      </c>
      <c r="AY106" s="70" t="s">
        <v>2420</v>
      </c>
      <c r="AZ106" s="70" t="s">
        <v>27</v>
      </c>
      <c r="BA106" s="70">
        <v>0</v>
      </c>
      <c r="BB106" s="70" t="s">
        <v>2418</v>
      </c>
      <c r="BC106" s="70" t="s">
        <v>2418</v>
      </c>
      <c r="BD106" s="70" t="s">
        <v>2427</v>
      </c>
      <c r="BE106" t="s">
        <v>21</v>
      </c>
      <c r="BF106" t="s">
        <v>23</v>
      </c>
      <c r="BG106" t="s">
        <v>155</v>
      </c>
      <c r="BH106" t="s">
        <v>177</v>
      </c>
      <c r="BI106" t="s">
        <v>24</v>
      </c>
      <c r="BJ106" t="s">
        <v>25</v>
      </c>
      <c r="BK106" s="70">
        <v>4</v>
      </c>
      <c r="BL106" s="70">
        <v>3</v>
      </c>
      <c r="BM106"/>
      <c r="BN106" t="s">
        <v>2508</v>
      </c>
      <c r="BO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 t="s">
        <v>840</v>
      </c>
      <c r="CZ106"/>
      <c r="DL106"/>
      <c r="DM106" s="70" t="s">
        <v>1761</v>
      </c>
      <c r="DN106"/>
      <c r="DO106" s="70" t="s">
        <v>1761</v>
      </c>
      <c r="DP106" t="s">
        <v>840</v>
      </c>
      <c r="DQ106" t="s">
        <v>2508</v>
      </c>
      <c r="DS106" t="s">
        <v>2137</v>
      </c>
      <c r="DT106" t="s">
        <v>2138</v>
      </c>
      <c r="DU106" t="s">
        <v>2139</v>
      </c>
      <c r="DV106"/>
    </row>
    <row r="107" spans="2:126" x14ac:dyDescent="0.25">
      <c r="B107">
        <v>5954883</v>
      </c>
      <c r="C107">
        <v>1</v>
      </c>
      <c r="D107">
        <v>6</v>
      </c>
      <c r="E107">
        <v>7</v>
      </c>
      <c r="F107">
        <v>1986</v>
      </c>
      <c r="G107">
        <v>9</v>
      </c>
      <c r="H107">
        <v>12</v>
      </c>
      <c r="I107">
        <v>2005</v>
      </c>
      <c r="J107" t="s">
        <v>578</v>
      </c>
      <c r="K107" t="s">
        <v>841</v>
      </c>
      <c r="L107">
        <v>94058643274</v>
      </c>
      <c r="M107" t="s">
        <v>1206</v>
      </c>
      <c r="N107" t="s">
        <v>1207</v>
      </c>
      <c r="O107" t="s">
        <v>462</v>
      </c>
      <c r="P107" t="s">
        <v>1560</v>
      </c>
      <c r="Z107" t="s">
        <v>1207</v>
      </c>
      <c r="AA107" t="s">
        <v>462</v>
      </c>
      <c r="AB107" t="s">
        <v>1208</v>
      </c>
      <c r="AU107" t="s">
        <v>153</v>
      </c>
      <c r="AV107" t="s">
        <v>146</v>
      </c>
      <c r="AW107" t="s">
        <v>146</v>
      </c>
      <c r="AX107" t="s">
        <v>165</v>
      </c>
      <c r="AY107" s="70" t="s">
        <v>2422</v>
      </c>
      <c r="AZ107" s="70" t="s">
        <v>27</v>
      </c>
      <c r="BA107" s="70">
        <v>0</v>
      </c>
      <c r="BB107" s="70" t="s">
        <v>27</v>
      </c>
      <c r="BC107" s="70" t="s">
        <v>19</v>
      </c>
      <c r="BD107" s="70" t="s">
        <v>2420</v>
      </c>
      <c r="BE107" t="s">
        <v>21</v>
      </c>
      <c r="BF107" t="s">
        <v>23</v>
      </c>
      <c r="BG107" t="s">
        <v>155</v>
      </c>
      <c r="BH107" t="s">
        <v>177</v>
      </c>
      <c r="BI107" t="s">
        <v>157</v>
      </c>
      <c r="BJ107" t="s">
        <v>22</v>
      </c>
      <c r="BK107" s="70">
        <v>0</v>
      </c>
      <c r="BL107" s="70">
        <v>1</v>
      </c>
      <c r="BM107"/>
      <c r="BN107" t="s">
        <v>2509</v>
      </c>
      <c r="BO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 t="s">
        <v>841</v>
      </c>
      <c r="CZ107"/>
      <c r="DL107"/>
      <c r="DM107" s="70" t="s">
        <v>1762</v>
      </c>
      <c r="DN107"/>
      <c r="DO107" s="70" t="s">
        <v>1762</v>
      </c>
      <c r="DP107" t="s">
        <v>841</v>
      </c>
      <c r="DQ107" t="s">
        <v>2509</v>
      </c>
      <c r="DS107" t="s">
        <v>2140</v>
      </c>
      <c r="DT107" t="s">
        <v>2141</v>
      </c>
      <c r="DU107" t="s">
        <v>2066</v>
      </c>
      <c r="DV107"/>
    </row>
    <row r="108" spans="2:126" x14ac:dyDescent="0.25">
      <c r="B108">
        <v>5953070</v>
      </c>
      <c r="C108">
        <v>1</v>
      </c>
      <c r="D108">
        <v>11</v>
      </c>
      <c r="E108">
        <v>15</v>
      </c>
      <c r="F108">
        <v>1977</v>
      </c>
      <c r="G108">
        <v>5</v>
      </c>
      <c r="H108">
        <v>1</v>
      </c>
      <c r="I108">
        <v>2000</v>
      </c>
      <c r="J108" t="s">
        <v>579</v>
      </c>
      <c r="K108" t="s">
        <v>842</v>
      </c>
      <c r="L108">
        <v>94957704862</v>
      </c>
      <c r="M108" t="s">
        <v>1209</v>
      </c>
      <c r="N108" t="s">
        <v>1080</v>
      </c>
      <c r="O108" t="s">
        <v>1210</v>
      </c>
      <c r="P108" t="s">
        <v>1561</v>
      </c>
      <c r="Z108" t="s">
        <v>1080</v>
      </c>
      <c r="AA108" t="s">
        <v>1210</v>
      </c>
      <c r="AB108" t="s">
        <v>1561</v>
      </c>
      <c r="AU108" t="s">
        <v>22</v>
      </c>
      <c r="AV108" t="s">
        <v>170</v>
      </c>
      <c r="AW108" t="s">
        <v>177</v>
      </c>
      <c r="AX108" t="s">
        <v>23</v>
      </c>
      <c r="AY108" s="70" t="s">
        <v>2420</v>
      </c>
      <c r="AZ108" s="70" t="s">
        <v>2420</v>
      </c>
      <c r="BA108" s="70">
        <v>1</v>
      </c>
      <c r="BB108" s="70" t="s">
        <v>20</v>
      </c>
      <c r="BC108" s="70" t="s">
        <v>20</v>
      </c>
      <c r="BD108" s="70" t="s">
        <v>2427</v>
      </c>
      <c r="BE108" t="s">
        <v>21</v>
      </c>
      <c r="BF108" t="s">
        <v>23</v>
      </c>
      <c r="BG108" t="s">
        <v>155</v>
      </c>
      <c r="BH108" t="s">
        <v>25</v>
      </c>
      <c r="BI108" t="s">
        <v>24</v>
      </c>
      <c r="BJ108" t="s">
        <v>165</v>
      </c>
      <c r="BK108" s="70">
        <v>4</v>
      </c>
      <c r="BL108" s="70">
        <v>0</v>
      </c>
      <c r="BM108"/>
      <c r="BN108" t="s">
        <v>2510</v>
      </c>
      <c r="BO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 t="s">
        <v>842</v>
      </c>
      <c r="CZ108"/>
      <c r="DL108"/>
      <c r="DM108" s="70" t="s">
        <v>1763</v>
      </c>
      <c r="DN108"/>
      <c r="DO108" s="70" t="s">
        <v>1763</v>
      </c>
      <c r="DP108" t="s">
        <v>842</v>
      </c>
      <c r="DQ108" t="s">
        <v>2510</v>
      </c>
      <c r="DS108" t="s">
        <v>2142</v>
      </c>
      <c r="DT108" t="s">
        <v>2011</v>
      </c>
      <c r="DU108" t="s">
        <v>2143</v>
      </c>
      <c r="DV108"/>
    </row>
    <row r="109" spans="2:126" x14ac:dyDescent="0.25">
      <c r="B109">
        <v>5949081</v>
      </c>
      <c r="C109">
        <v>2</v>
      </c>
      <c r="D109">
        <v>8</v>
      </c>
      <c r="E109">
        <v>6</v>
      </c>
      <c r="F109">
        <v>1978</v>
      </c>
      <c r="G109">
        <v>9</v>
      </c>
      <c r="H109">
        <v>15</v>
      </c>
      <c r="I109">
        <v>1997</v>
      </c>
      <c r="J109" t="s">
        <v>580</v>
      </c>
      <c r="K109" t="s">
        <v>843</v>
      </c>
      <c r="L109">
        <v>94967820575</v>
      </c>
      <c r="M109" t="s">
        <v>1211</v>
      </c>
      <c r="N109" t="s">
        <v>1212</v>
      </c>
      <c r="O109" t="s">
        <v>408</v>
      </c>
      <c r="P109" t="s">
        <v>1562</v>
      </c>
      <c r="Z109" t="s">
        <v>1212</v>
      </c>
      <c r="AA109" t="s">
        <v>408</v>
      </c>
      <c r="AB109" t="s">
        <v>1213</v>
      </c>
      <c r="AU109" t="s">
        <v>146</v>
      </c>
      <c r="AV109" t="s">
        <v>146</v>
      </c>
      <c r="AW109" t="s">
        <v>25</v>
      </c>
      <c r="AX109" t="s">
        <v>161</v>
      </c>
      <c r="AY109" s="70" t="s">
        <v>2420</v>
      </c>
      <c r="AZ109" s="70" t="s">
        <v>2422</v>
      </c>
      <c r="BA109" s="70">
        <v>0</v>
      </c>
      <c r="BB109" s="70" t="s">
        <v>2422</v>
      </c>
      <c r="BC109" s="70" t="s">
        <v>19</v>
      </c>
      <c r="BD109" s="70" t="s">
        <v>27</v>
      </c>
      <c r="BE109" t="s">
        <v>165</v>
      </c>
      <c r="BF109" t="s">
        <v>23</v>
      </c>
      <c r="BG109" t="s">
        <v>155</v>
      </c>
      <c r="BH109" t="s">
        <v>25</v>
      </c>
      <c r="BI109" t="s">
        <v>165</v>
      </c>
      <c r="BJ109" t="s">
        <v>177</v>
      </c>
      <c r="BK109" s="70">
        <v>4</v>
      </c>
      <c r="BL109" s="70">
        <v>5</v>
      </c>
      <c r="BM109"/>
      <c r="BN109" t="s">
        <v>2511</v>
      </c>
      <c r="BO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 t="s">
        <v>843</v>
      </c>
      <c r="CZ109"/>
      <c r="DL109"/>
      <c r="DM109" s="70" t="s">
        <v>1764</v>
      </c>
      <c r="DN109"/>
      <c r="DO109" s="70" t="s">
        <v>1764</v>
      </c>
      <c r="DP109" t="s">
        <v>843</v>
      </c>
      <c r="DQ109" t="s">
        <v>2511</v>
      </c>
      <c r="DS109" t="s">
        <v>2144</v>
      </c>
      <c r="DT109" t="s">
        <v>2145</v>
      </c>
      <c r="DU109" t="s">
        <v>2043</v>
      </c>
      <c r="DV109"/>
    </row>
    <row r="110" spans="2:126" x14ac:dyDescent="0.25">
      <c r="B110">
        <v>7438785</v>
      </c>
      <c r="C110">
        <v>2</v>
      </c>
      <c r="D110">
        <v>11</v>
      </c>
      <c r="E110">
        <v>12</v>
      </c>
      <c r="F110">
        <v>1983</v>
      </c>
      <c r="G110">
        <v>1</v>
      </c>
      <c r="H110">
        <v>4</v>
      </c>
      <c r="I110">
        <v>2010</v>
      </c>
      <c r="J110" t="s">
        <v>581</v>
      </c>
      <c r="K110" t="s">
        <v>844</v>
      </c>
      <c r="L110">
        <v>94048326188</v>
      </c>
      <c r="M110" t="s">
        <v>1214</v>
      </c>
      <c r="N110" t="s">
        <v>1202</v>
      </c>
      <c r="O110" t="s">
        <v>1017</v>
      </c>
      <c r="P110" t="s">
        <v>96</v>
      </c>
      <c r="Z110" t="s">
        <v>1202</v>
      </c>
      <c r="AA110" t="s">
        <v>1017</v>
      </c>
      <c r="AB110" t="s">
        <v>96</v>
      </c>
      <c r="AU110" t="s">
        <v>170</v>
      </c>
      <c r="AV110" t="s">
        <v>170</v>
      </c>
      <c r="AW110" t="s">
        <v>165</v>
      </c>
      <c r="AX110" t="s">
        <v>159</v>
      </c>
      <c r="AY110" s="70" t="s">
        <v>2422</v>
      </c>
      <c r="AZ110" s="70" t="s">
        <v>18</v>
      </c>
      <c r="BA110" s="70">
        <v>1</v>
      </c>
      <c r="BB110" s="70" t="s">
        <v>20</v>
      </c>
      <c r="BC110" s="70" t="s">
        <v>20</v>
      </c>
      <c r="BD110" s="70" t="s">
        <v>2418</v>
      </c>
      <c r="BE110" t="s">
        <v>165</v>
      </c>
      <c r="BF110" t="s">
        <v>23</v>
      </c>
      <c r="BG110" t="s">
        <v>155</v>
      </c>
      <c r="BH110" t="s">
        <v>24</v>
      </c>
      <c r="BI110" t="s">
        <v>24</v>
      </c>
      <c r="BJ110" t="s">
        <v>182</v>
      </c>
      <c r="BK110" s="70">
        <v>1</v>
      </c>
      <c r="BL110" s="70">
        <v>5</v>
      </c>
      <c r="BM110"/>
      <c r="BN110" t="s">
        <v>2512</v>
      </c>
      <c r="BO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 t="s">
        <v>844</v>
      </c>
      <c r="CZ110"/>
      <c r="DL110"/>
      <c r="DM110" s="70" t="s">
        <v>1765</v>
      </c>
      <c r="DN110"/>
      <c r="DO110" s="70" t="s">
        <v>1765</v>
      </c>
      <c r="DP110" t="s">
        <v>844</v>
      </c>
      <c r="DQ110" t="s">
        <v>2512</v>
      </c>
      <c r="DS110" t="s">
        <v>2146</v>
      </c>
      <c r="DT110" t="s">
        <v>2135</v>
      </c>
      <c r="DU110" t="s">
        <v>2136</v>
      </c>
      <c r="DV110"/>
    </row>
    <row r="111" spans="2:126" x14ac:dyDescent="0.25">
      <c r="B111">
        <v>5958404</v>
      </c>
      <c r="C111">
        <v>2</v>
      </c>
      <c r="D111">
        <v>6</v>
      </c>
      <c r="E111">
        <v>14</v>
      </c>
      <c r="F111">
        <v>1975</v>
      </c>
      <c r="G111">
        <v>4</v>
      </c>
      <c r="H111">
        <v>19</v>
      </c>
      <c r="I111">
        <v>2004</v>
      </c>
      <c r="J111" t="s">
        <v>582</v>
      </c>
      <c r="K111" t="s">
        <v>845</v>
      </c>
      <c r="L111">
        <v>94947520931</v>
      </c>
      <c r="M111" t="s">
        <v>1215</v>
      </c>
      <c r="N111" t="s">
        <v>416</v>
      </c>
      <c r="O111" t="s">
        <v>408</v>
      </c>
      <c r="P111" t="s">
        <v>1497</v>
      </c>
      <c r="Z111" t="s">
        <v>416</v>
      </c>
      <c r="AA111" t="s">
        <v>408</v>
      </c>
      <c r="AB111" t="s">
        <v>1497</v>
      </c>
      <c r="AU111" t="s">
        <v>157</v>
      </c>
      <c r="AV111" t="s">
        <v>170</v>
      </c>
      <c r="AW111" t="s">
        <v>25</v>
      </c>
      <c r="AX111" t="s">
        <v>146</v>
      </c>
      <c r="AY111" s="70" t="s">
        <v>2420</v>
      </c>
      <c r="AZ111" s="70" t="s">
        <v>2427</v>
      </c>
      <c r="BA111" s="70">
        <v>0</v>
      </c>
      <c r="BB111" s="70" t="s">
        <v>27</v>
      </c>
      <c r="BC111" s="70" t="s">
        <v>20</v>
      </c>
      <c r="BD111" s="70" t="s">
        <v>2428</v>
      </c>
      <c r="BE111" t="s">
        <v>165</v>
      </c>
      <c r="BF111" t="s">
        <v>23</v>
      </c>
      <c r="BG111" t="s">
        <v>155</v>
      </c>
      <c r="BH111" t="s">
        <v>166</v>
      </c>
      <c r="BI111" t="s">
        <v>165</v>
      </c>
      <c r="BJ111" t="s">
        <v>25</v>
      </c>
      <c r="BK111" s="70">
        <v>9</v>
      </c>
      <c r="BL111" s="70">
        <v>6</v>
      </c>
      <c r="BM111"/>
      <c r="BN111" t="s">
        <v>2513</v>
      </c>
      <c r="BO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 t="s">
        <v>845</v>
      </c>
      <c r="CZ111"/>
      <c r="DL111"/>
      <c r="DM111" s="70" t="s">
        <v>1766</v>
      </c>
      <c r="DN111"/>
      <c r="DO111" s="70" t="s">
        <v>1766</v>
      </c>
      <c r="DP111" t="s">
        <v>845</v>
      </c>
      <c r="DQ111" t="s">
        <v>2513</v>
      </c>
      <c r="DS111" t="s">
        <v>1937</v>
      </c>
      <c r="DT111" t="s">
        <v>1966</v>
      </c>
      <c r="DU111" t="s">
        <v>2043</v>
      </c>
      <c r="DV111"/>
    </row>
    <row r="112" spans="2:126" x14ac:dyDescent="0.25">
      <c r="B112">
        <v>9176550</v>
      </c>
      <c r="C112">
        <v>2</v>
      </c>
      <c r="D112">
        <v>5</v>
      </c>
      <c r="E112">
        <v>16</v>
      </c>
      <c r="F112">
        <v>1983</v>
      </c>
      <c r="G112">
        <v>11</v>
      </c>
      <c r="H112">
        <v>3</v>
      </c>
      <c r="I112">
        <v>2015</v>
      </c>
      <c r="J112" t="s">
        <v>583</v>
      </c>
      <c r="K112" t="s">
        <v>846</v>
      </c>
      <c r="L112">
        <v>16028319784</v>
      </c>
      <c r="M112" t="s">
        <v>1216</v>
      </c>
      <c r="N112" t="s">
        <v>426</v>
      </c>
      <c r="O112" t="s">
        <v>404</v>
      </c>
      <c r="P112" t="s">
        <v>1563</v>
      </c>
      <c r="Z112" t="s">
        <v>426</v>
      </c>
      <c r="AA112" t="s">
        <v>404</v>
      </c>
      <c r="AB112" t="s">
        <v>1563</v>
      </c>
      <c r="AU112" t="s">
        <v>177</v>
      </c>
      <c r="AV112" t="s">
        <v>146</v>
      </c>
      <c r="AW112" t="s">
        <v>22</v>
      </c>
      <c r="AX112" t="s">
        <v>170</v>
      </c>
      <c r="AY112" s="70" t="s">
        <v>2422</v>
      </c>
      <c r="AZ112" s="70" t="s">
        <v>18</v>
      </c>
      <c r="BA112" s="70">
        <v>0</v>
      </c>
      <c r="BB112" s="70" t="s">
        <v>2427</v>
      </c>
      <c r="BC112" s="70" t="s">
        <v>20</v>
      </c>
      <c r="BD112" s="70" t="s">
        <v>27</v>
      </c>
      <c r="BE112" t="s">
        <v>165</v>
      </c>
      <c r="BF112" t="s">
        <v>23</v>
      </c>
      <c r="BG112" t="s">
        <v>155</v>
      </c>
      <c r="BH112" t="s">
        <v>166</v>
      </c>
      <c r="BI112" t="s">
        <v>177</v>
      </c>
      <c r="BJ112" t="s">
        <v>177</v>
      </c>
      <c r="BK112" s="70">
        <v>3</v>
      </c>
      <c r="BL112" s="70">
        <v>0</v>
      </c>
      <c r="BM112"/>
      <c r="BN112" t="s">
        <v>2514</v>
      </c>
      <c r="BO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 t="s">
        <v>846</v>
      </c>
      <c r="CZ112"/>
      <c r="DL112"/>
      <c r="DM112" s="70" t="s">
        <v>1767</v>
      </c>
      <c r="DN112"/>
      <c r="DO112" s="70" t="s">
        <v>1767</v>
      </c>
      <c r="DP112" t="s">
        <v>846</v>
      </c>
      <c r="DQ112" t="s">
        <v>2514</v>
      </c>
      <c r="DS112" t="s">
        <v>2147</v>
      </c>
      <c r="DT112" t="s">
        <v>1990</v>
      </c>
      <c r="DU112" t="s">
        <v>2129</v>
      </c>
      <c r="DV112"/>
    </row>
    <row r="113" spans="2:126" x14ac:dyDescent="0.25">
      <c r="B113">
        <v>8686316</v>
      </c>
      <c r="C113">
        <v>1</v>
      </c>
      <c r="D113">
        <v>6</v>
      </c>
      <c r="E113">
        <v>12</v>
      </c>
      <c r="F113">
        <v>1993</v>
      </c>
      <c r="G113">
        <v>1</v>
      </c>
      <c r="H113">
        <v>12</v>
      </c>
      <c r="I113">
        <v>2015</v>
      </c>
      <c r="J113" t="s">
        <v>584</v>
      </c>
      <c r="K113" t="s">
        <v>847</v>
      </c>
      <c r="L113">
        <v>95119309250</v>
      </c>
      <c r="M113" t="s">
        <v>1217</v>
      </c>
      <c r="N113" t="s">
        <v>401</v>
      </c>
      <c r="O113" t="s">
        <v>1218</v>
      </c>
      <c r="P113" t="s">
        <v>443</v>
      </c>
      <c r="Z113" t="s">
        <v>401</v>
      </c>
      <c r="AA113" t="s">
        <v>1218</v>
      </c>
      <c r="AB113" t="s">
        <v>56</v>
      </c>
      <c r="AU113" t="s">
        <v>157</v>
      </c>
      <c r="AV113" t="s">
        <v>146</v>
      </c>
      <c r="AW113" t="s">
        <v>153</v>
      </c>
      <c r="AX113" t="s">
        <v>155</v>
      </c>
      <c r="AY113" s="70" t="s">
        <v>17</v>
      </c>
      <c r="AZ113" s="70" t="s">
        <v>18</v>
      </c>
      <c r="BA113" s="70">
        <v>0</v>
      </c>
      <c r="BB113" s="70" t="s">
        <v>27</v>
      </c>
      <c r="BC113" s="70" t="s">
        <v>20</v>
      </c>
      <c r="BD113" s="70" t="s">
        <v>2418</v>
      </c>
      <c r="BE113" t="s">
        <v>21</v>
      </c>
      <c r="BF113" t="s">
        <v>23</v>
      </c>
      <c r="BG113" t="s">
        <v>155</v>
      </c>
      <c r="BH113" t="s">
        <v>25</v>
      </c>
      <c r="BI113" t="s">
        <v>177</v>
      </c>
      <c r="BJ113" t="s">
        <v>25</v>
      </c>
      <c r="BK113" s="70">
        <v>5</v>
      </c>
      <c r="BL113" s="70">
        <v>2</v>
      </c>
      <c r="BM113"/>
      <c r="BN113" t="s">
        <v>2515</v>
      </c>
      <c r="BO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 t="s">
        <v>847</v>
      </c>
      <c r="CZ113"/>
      <c r="DL113"/>
      <c r="DM113" s="70" t="s">
        <v>1768</v>
      </c>
      <c r="DN113"/>
      <c r="DO113" s="70" t="s">
        <v>1768</v>
      </c>
      <c r="DP113" t="s">
        <v>847</v>
      </c>
      <c r="DQ113" t="s">
        <v>2515</v>
      </c>
      <c r="DS113" t="s">
        <v>2148</v>
      </c>
      <c r="DT113" t="s">
        <v>2063</v>
      </c>
      <c r="DU113" t="s">
        <v>2149</v>
      </c>
      <c r="DV113"/>
    </row>
    <row r="114" spans="2:126" x14ac:dyDescent="0.25">
      <c r="B114">
        <v>40005615</v>
      </c>
      <c r="C114">
        <v>1</v>
      </c>
      <c r="D114">
        <v>10</v>
      </c>
      <c r="E114">
        <v>5</v>
      </c>
      <c r="F114">
        <v>1987</v>
      </c>
      <c r="G114">
        <v>11</v>
      </c>
      <c r="H114">
        <v>30</v>
      </c>
      <c r="I114">
        <v>2020</v>
      </c>
      <c r="J114" t="s">
        <v>585</v>
      </c>
      <c r="K114" t="s">
        <v>848</v>
      </c>
      <c r="L114">
        <v>28068720615</v>
      </c>
      <c r="M114" t="s">
        <v>1219</v>
      </c>
      <c r="N114" t="s">
        <v>399</v>
      </c>
      <c r="O114" t="s">
        <v>407</v>
      </c>
      <c r="P114" t="s">
        <v>1564</v>
      </c>
      <c r="Z114" t="s">
        <v>399</v>
      </c>
      <c r="AA114" t="s">
        <v>407</v>
      </c>
      <c r="AB114" t="s">
        <v>1220</v>
      </c>
      <c r="AU114" t="s">
        <v>165</v>
      </c>
      <c r="AV114" t="s">
        <v>153</v>
      </c>
      <c r="AW114" t="s">
        <v>24</v>
      </c>
      <c r="AX114" t="s">
        <v>146</v>
      </c>
      <c r="AY114" s="70" t="s">
        <v>2422</v>
      </c>
      <c r="AZ114" s="70" t="s">
        <v>2420</v>
      </c>
      <c r="BA114" s="70">
        <v>1</v>
      </c>
      <c r="BB114" s="70" t="s">
        <v>19</v>
      </c>
      <c r="BC114" s="70" t="s">
        <v>19</v>
      </c>
      <c r="BD114" s="70" t="s">
        <v>2427</v>
      </c>
      <c r="BE114" t="s">
        <v>21</v>
      </c>
      <c r="BF114" t="s">
        <v>23</v>
      </c>
      <c r="BG114" t="s">
        <v>155</v>
      </c>
      <c r="BH114" t="s">
        <v>166</v>
      </c>
      <c r="BI114" t="s">
        <v>172</v>
      </c>
      <c r="BJ114" t="s">
        <v>166</v>
      </c>
      <c r="BK114" s="70">
        <v>6</v>
      </c>
      <c r="BL114" s="70">
        <v>2</v>
      </c>
      <c r="BM114"/>
      <c r="BN114" t="s">
        <v>2516</v>
      </c>
      <c r="BO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 t="s">
        <v>848</v>
      </c>
      <c r="CZ114"/>
      <c r="DL114"/>
      <c r="DM114" s="70" t="s">
        <v>1769</v>
      </c>
      <c r="DN114"/>
      <c r="DO114" s="70" t="s">
        <v>1769</v>
      </c>
      <c r="DP114" t="s">
        <v>848</v>
      </c>
      <c r="DQ114" t="s">
        <v>2516</v>
      </c>
      <c r="DS114" t="s">
        <v>2150</v>
      </c>
      <c r="DT114" t="s">
        <v>1949</v>
      </c>
      <c r="DU114" t="s">
        <v>1980</v>
      </c>
      <c r="DV114"/>
    </row>
    <row r="115" spans="2:126" x14ac:dyDescent="0.25">
      <c r="B115">
        <v>5963785</v>
      </c>
      <c r="C115">
        <v>1</v>
      </c>
      <c r="D115">
        <v>4</v>
      </c>
      <c r="E115">
        <v>24</v>
      </c>
      <c r="F115">
        <v>1966</v>
      </c>
      <c r="G115">
        <v>6</v>
      </c>
      <c r="H115">
        <v>11</v>
      </c>
      <c r="I115">
        <v>1990</v>
      </c>
      <c r="J115" t="s">
        <v>586</v>
      </c>
      <c r="K115" t="s">
        <v>849</v>
      </c>
      <c r="L115">
        <v>42856643459</v>
      </c>
      <c r="M115" t="s">
        <v>1221</v>
      </c>
      <c r="N115" t="s">
        <v>409</v>
      </c>
      <c r="O115" t="s">
        <v>409</v>
      </c>
      <c r="P115" t="s">
        <v>1565</v>
      </c>
      <c r="Z115" t="s">
        <v>409</v>
      </c>
      <c r="AA115" t="s">
        <v>409</v>
      </c>
      <c r="AB115" t="s">
        <v>1565</v>
      </c>
      <c r="AU115" t="s">
        <v>165</v>
      </c>
      <c r="AV115" t="s">
        <v>146</v>
      </c>
      <c r="AW115" t="s">
        <v>165</v>
      </c>
      <c r="AX115" t="s">
        <v>155</v>
      </c>
      <c r="AY115" s="70" t="s">
        <v>27</v>
      </c>
      <c r="AZ115" s="70" t="s">
        <v>27</v>
      </c>
      <c r="BA115" s="70">
        <v>0</v>
      </c>
      <c r="BB115" s="70" t="s">
        <v>2428</v>
      </c>
      <c r="BC115" s="70" t="s">
        <v>2418</v>
      </c>
      <c r="BD115" s="70" t="s">
        <v>2428</v>
      </c>
      <c r="BE115" t="s">
        <v>21</v>
      </c>
      <c r="BF115" t="s">
        <v>23</v>
      </c>
      <c r="BG115" t="s">
        <v>155</v>
      </c>
      <c r="BH115" t="s">
        <v>25</v>
      </c>
      <c r="BI115" t="s">
        <v>25</v>
      </c>
      <c r="BJ115" t="s">
        <v>23</v>
      </c>
      <c r="BK115" s="70">
        <v>5</v>
      </c>
      <c r="BL115" s="70">
        <v>1</v>
      </c>
      <c r="BM115"/>
      <c r="BN115" t="s">
        <v>2517</v>
      </c>
      <c r="BO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 t="s">
        <v>849</v>
      </c>
      <c r="CZ115"/>
      <c r="DL115"/>
      <c r="DM115" s="70" t="s">
        <v>1770</v>
      </c>
      <c r="DN115"/>
      <c r="DO115" s="70" t="s">
        <v>1770</v>
      </c>
      <c r="DP115" t="s">
        <v>849</v>
      </c>
      <c r="DQ115" t="s">
        <v>2517</v>
      </c>
      <c r="DS115" t="s">
        <v>2151</v>
      </c>
      <c r="DT115" t="s">
        <v>2016</v>
      </c>
      <c r="DU115" t="s">
        <v>2016</v>
      </c>
      <c r="DV115"/>
    </row>
    <row r="116" spans="2:126" x14ac:dyDescent="0.25">
      <c r="B116">
        <v>6861145</v>
      </c>
      <c r="C116">
        <v>1</v>
      </c>
      <c r="D116">
        <v>6</v>
      </c>
      <c r="E116">
        <v>29</v>
      </c>
      <c r="F116">
        <v>1987</v>
      </c>
      <c r="G116">
        <v>1</v>
      </c>
      <c r="H116">
        <v>4</v>
      </c>
      <c r="I116">
        <v>2010</v>
      </c>
      <c r="J116" t="s">
        <v>587</v>
      </c>
      <c r="K116" t="s">
        <v>850</v>
      </c>
      <c r="L116">
        <v>94068733891</v>
      </c>
      <c r="M116" t="s">
        <v>1222</v>
      </c>
      <c r="N116" t="s">
        <v>412</v>
      </c>
      <c r="O116" t="s">
        <v>1031</v>
      </c>
      <c r="P116" t="s">
        <v>1566</v>
      </c>
      <c r="Z116" t="s">
        <v>412</v>
      </c>
      <c r="AA116" t="s">
        <v>1031</v>
      </c>
      <c r="AB116" t="s">
        <v>1549</v>
      </c>
      <c r="AU116" t="s">
        <v>16</v>
      </c>
      <c r="AV116" t="s">
        <v>146</v>
      </c>
      <c r="AW116" t="s">
        <v>24</v>
      </c>
      <c r="AX116" t="s">
        <v>146</v>
      </c>
      <c r="AY116" s="70" t="s">
        <v>2422</v>
      </c>
      <c r="AZ116" s="70" t="s">
        <v>2420</v>
      </c>
      <c r="BA116" s="70">
        <v>0</v>
      </c>
      <c r="BB116" s="70" t="s">
        <v>27</v>
      </c>
      <c r="BC116" s="70" t="s">
        <v>2418</v>
      </c>
      <c r="BD116" s="70" t="s">
        <v>17</v>
      </c>
      <c r="BE116" t="s">
        <v>21</v>
      </c>
      <c r="BF116" t="s">
        <v>23</v>
      </c>
      <c r="BG116" t="s">
        <v>155</v>
      </c>
      <c r="BH116" t="s">
        <v>172</v>
      </c>
      <c r="BI116" t="s">
        <v>166</v>
      </c>
      <c r="BJ116" t="s">
        <v>24</v>
      </c>
      <c r="BK116" s="70">
        <v>4</v>
      </c>
      <c r="BL116" s="70">
        <v>9</v>
      </c>
      <c r="BM116"/>
      <c r="BN116" t="s">
        <v>2518</v>
      </c>
      <c r="BO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 t="s">
        <v>850</v>
      </c>
      <c r="CZ116"/>
      <c r="DL116"/>
      <c r="DM116" s="70" t="s">
        <v>1771</v>
      </c>
      <c r="DN116"/>
      <c r="DO116" s="70" t="s">
        <v>1771</v>
      </c>
      <c r="DP116" t="s">
        <v>850</v>
      </c>
      <c r="DQ116" t="s">
        <v>2518</v>
      </c>
      <c r="DS116" t="s">
        <v>2152</v>
      </c>
      <c r="DT116" t="s">
        <v>2153</v>
      </c>
      <c r="DU116" t="s">
        <v>1955</v>
      </c>
      <c r="DV116"/>
    </row>
    <row r="117" spans="2:126" x14ac:dyDescent="0.25">
      <c r="B117">
        <v>5973322</v>
      </c>
      <c r="C117">
        <v>1</v>
      </c>
      <c r="D117">
        <v>7</v>
      </c>
      <c r="E117">
        <v>25</v>
      </c>
      <c r="F117">
        <v>1978</v>
      </c>
      <c r="G117">
        <v>12</v>
      </c>
      <c r="H117">
        <v>6</v>
      </c>
      <c r="I117">
        <v>2010</v>
      </c>
      <c r="J117" t="s">
        <v>588</v>
      </c>
      <c r="K117" t="s">
        <v>851</v>
      </c>
      <c r="L117">
        <v>1967826734</v>
      </c>
      <c r="M117" t="s">
        <v>1223</v>
      </c>
      <c r="N117" t="s">
        <v>426</v>
      </c>
      <c r="O117" t="s">
        <v>486</v>
      </c>
      <c r="P117" t="s">
        <v>1567</v>
      </c>
      <c r="Z117" t="s">
        <v>426</v>
      </c>
      <c r="AA117" t="s">
        <v>486</v>
      </c>
      <c r="AB117" t="s">
        <v>88</v>
      </c>
      <c r="AU117" t="s">
        <v>177</v>
      </c>
      <c r="AV117" t="s">
        <v>146</v>
      </c>
      <c r="AW117" t="s">
        <v>170</v>
      </c>
      <c r="AX117" t="s">
        <v>157</v>
      </c>
      <c r="AY117" s="70" t="s">
        <v>2420</v>
      </c>
      <c r="AZ117" s="70" t="s">
        <v>2422</v>
      </c>
      <c r="BA117" s="70">
        <v>0</v>
      </c>
      <c r="BB117" s="70" t="s">
        <v>2420</v>
      </c>
      <c r="BC117" s="70" t="s">
        <v>2418</v>
      </c>
      <c r="BD117" s="70" t="s">
        <v>2427</v>
      </c>
      <c r="BE117" t="s">
        <v>21</v>
      </c>
      <c r="BF117" t="s">
        <v>23</v>
      </c>
      <c r="BG117" t="s">
        <v>155</v>
      </c>
      <c r="BH117" t="s">
        <v>166</v>
      </c>
      <c r="BI117" t="s">
        <v>24</v>
      </c>
      <c r="BJ117" t="s">
        <v>149</v>
      </c>
      <c r="BK117" s="70">
        <v>2</v>
      </c>
      <c r="BL117" s="70">
        <v>2</v>
      </c>
      <c r="BM117"/>
      <c r="BN117" t="s">
        <v>2519</v>
      </c>
      <c r="BO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 t="s">
        <v>851</v>
      </c>
      <c r="CZ117"/>
      <c r="DL117"/>
      <c r="DM117" s="70" t="s">
        <v>1772</v>
      </c>
      <c r="DN117"/>
      <c r="DO117" s="70" t="s">
        <v>1772</v>
      </c>
      <c r="DP117" t="s">
        <v>851</v>
      </c>
      <c r="DQ117" t="s">
        <v>2519</v>
      </c>
      <c r="DS117" t="s">
        <v>2154</v>
      </c>
      <c r="DT117" t="s">
        <v>1990</v>
      </c>
      <c r="DU117" t="s">
        <v>2155</v>
      </c>
      <c r="DV117"/>
    </row>
    <row r="118" spans="2:126" x14ac:dyDescent="0.25">
      <c r="B118">
        <v>40002565</v>
      </c>
      <c r="C118">
        <v>2</v>
      </c>
      <c r="D118">
        <v>12</v>
      </c>
      <c r="E118">
        <v>4</v>
      </c>
      <c r="F118">
        <v>1982</v>
      </c>
      <c r="G118">
        <v>3</v>
      </c>
      <c r="H118">
        <v>4</v>
      </c>
      <c r="I118">
        <v>2019</v>
      </c>
      <c r="J118" t="s">
        <v>589</v>
      </c>
      <c r="K118" t="s">
        <v>852</v>
      </c>
      <c r="L118">
        <v>94078204032</v>
      </c>
      <c r="M118" t="s">
        <v>1224</v>
      </c>
      <c r="N118" t="s">
        <v>1225</v>
      </c>
      <c r="O118" t="s">
        <v>1193</v>
      </c>
      <c r="P118" t="s">
        <v>1568</v>
      </c>
      <c r="Z118" t="s">
        <v>1225</v>
      </c>
      <c r="AA118" t="s">
        <v>1193</v>
      </c>
      <c r="AB118" t="s">
        <v>1226</v>
      </c>
      <c r="AU118" t="s">
        <v>149</v>
      </c>
      <c r="AV118" t="s">
        <v>146</v>
      </c>
      <c r="AW118" t="s">
        <v>155</v>
      </c>
      <c r="AX118" t="s">
        <v>25</v>
      </c>
      <c r="AY118" s="70" t="s">
        <v>2422</v>
      </c>
      <c r="AZ118" s="70" t="s">
        <v>2418</v>
      </c>
      <c r="BA118" s="70">
        <v>1</v>
      </c>
      <c r="BB118" s="70" t="s">
        <v>2418</v>
      </c>
      <c r="BC118" s="70" t="s">
        <v>19</v>
      </c>
      <c r="BD118" s="70" t="s">
        <v>2428</v>
      </c>
      <c r="BE118" t="s">
        <v>165</v>
      </c>
      <c r="BF118" t="s">
        <v>23</v>
      </c>
      <c r="BG118" t="s">
        <v>155</v>
      </c>
      <c r="BH118" t="s">
        <v>25</v>
      </c>
      <c r="BI118" t="s">
        <v>25</v>
      </c>
      <c r="BJ118" t="s">
        <v>23</v>
      </c>
      <c r="BK118" s="70">
        <v>2</v>
      </c>
      <c r="BL118" s="70">
        <v>9</v>
      </c>
      <c r="BM118"/>
      <c r="BN118" t="s">
        <v>2520</v>
      </c>
      <c r="BO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 t="s">
        <v>852</v>
      </c>
      <c r="CZ118"/>
      <c r="DL118"/>
      <c r="DM118" s="70" t="s">
        <v>1773</v>
      </c>
      <c r="DN118"/>
      <c r="DO118" s="70" t="s">
        <v>1773</v>
      </c>
      <c r="DP118" t="s">
        <v>852</v>
      </c>
      <c r="DQ118" t="s">
        <v>2520</v>
      </c>
      <c r="DS118" t="s">
        <v>2156</v>
      </c>
      <c r="DT118" t="s">
        <v>2157</v>
      </c>
      <c r="DU118" t="s">
        <v>2125</v>
      </c>
      <c r="DV118"/>
    </row>
    <row r="119" spans="2:126" x14ac:dyDescent="0.25">
      <c r="B119">
        <v>7464719</v>
      </c>
      <c r="C119">
        <v>1</v>
      </c>
      <c r="D119">
        <v>1</v>
      </c>
      <c r="E119">
        <v>17</v>
      </c>
      <c r="F119">
        <v>1979</v>
      </c>
      <c r="G119">
        <v>1</v>
      </c>
      <c r="H119">
        <v>5</v>
      </c>
      <c r="I119">
        <v>2015</v>
      </c>
      <c r="J119" t="s">
        <v>590</v>
      </c>
      <c r="K119" t="s">
        <v>853</v>
      </c>
      <c r="L119">
        <v>94947906098</v>
      </c>
      <c r="M119" t="s">
        <v>1227</v>
      </c>
      <c r="N119" t="s">
        <v>1228</v>
      </c>
      <c r="O119" t="s">
        <v>481</v>
      </c>
      <c r="P119" t="s">
        <v>99</v>
      </c>
      <c r="Z119" t="s">
        <v>1228</v>
      </c>
      <c r="AA119" t="s">
        <v>481</v>
      </c>
      <c r="AB119" t="s">
        <v>99</v>
      </c>
      <c r="AU119" t="s">
        <v>24</v>
      </c>
      <c r="AV119" t="s">
        <v>159</v>
      </c>
      <c r="AW119" t="s">
        <v>155</v>
      </c>
      <c r="AX119" t="s">
        <v>166</v>
      </c>
      <c r="AY119" s="70" t="s">
        <v>2420</v>
      </c>
      <c r="AZ119" s="70" t="s">
        <v>17</v>
      </c>
      <c r="BA119" s="70">
        <v>0</v>
      </c>
      <c r="BB119" s="70" t="s">
        <v>20</v>
      </c>
      <c r="BC119" s="70" t="s">
        <v>20</v>
      </c>
      <c r="BD119" s="70" t="s">
        <v>2420</v>
      </c>
      <c r="BE119" t="s">
        <v>21</v>
      </c>
      <c r="BF119" t="s">
        <v>23</v>
      </c>
      <c r="BG119" t="s">
        <v>155</v>
      </c>
      <c r="BH119" t="s">
        <v>25</v>
      </c>
      <c r="BI119" t="s">
        <v>24</v>
      </c>
      <c r="BJ119" t="s">
        <v>94</v>
      </c>
      <c r="BK119" s="70">
        <v>3</v>
      </c>
      <c r="BL119" s="70">
        <v>4</v>
      </c>
      <c r="BM119"/>
      <c r="BN119" t="s">
        <v>2521</v>
      </c>
      <c r="BO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 t="s">
        <v>853</v>
      </c>
      <c r="CZ119"/>
      <c r="DL119"/>
      <c r="DM119" s="70" t="s">
        <v>1774</v>
      </c>
      <c r="DN119"/>
      <c r="DO119" s="70" t="s">
        <v>1774</v>
      </c>
      <c r="DP119" t="s">
        <v>853</v>
      </c>
      <c r="DQ119" t="s">
        <v>2521</v>
      </c>
      <c r="DS119" t="s">
        <v>2158</v>
      </c>
      <c r="DT119" t="s">
        <v>2159</v>
      </c>
      <c r="DU119" t="s">
        <v>1968</v>
      </c>
      <c r="DV119"/>
    </row>
    <row r="120" spans="2:126" x14ac:dyDescent="0.25">
      <c r="B120">
        <v>7754296</v>
      </c>
      <c r="C120">
        <v>1</v>
      </c>
      <c r="D120">
        <v>7</v>
      </c>
      <c r="E120">
        <v>23</v>
      </c>
      <c r="F120">
        <v>1974</v>
      </c>
      <c r="G120">
        <v>3</v>
      </c>
      <c r="H120">
        <v>30</v>
      </c>
      <c r="I120">
        <v>2011</v>
      </c>
      <c r="J120" t="s">
        <v>591</v>
      </c>
      <c r="K120" t="s">
        <v>854</v>
      </c>
      <c r="L120">
        <v>37947422715</v>
      </c>
      <c r="M120" t="s">
        <v>1229</v>
      </c>
      <c r="N120" t="s">
        <v>399</v>
      </c>
      <c r="O120" t="s">
        <v>1230</v>
      </c>
      <c r="P120" t="s">
        <v>60</v>
      </c>
      <c r="Z120" t="s">
        <v>399</v>
      </c>
      <c r="AA120" t="s">
        <v>1230</v>
      </c>
      <c r="AB120" t="s">
        <v>1288</v>
      </c>
      <c r="AU120" t="s">
        <v>165</v>
      </c>
      <c r="AV120" t="s">
        <v>153</v>
      </c>
      <c r="AW120" t="s">
        <v>153</v>
      </c>
      <c r="AX120" t="s">
        <v>165</v>
      </c>
      <c r="AY120" s="70" t="s">
        <v>2420</v>
      </c>
      <c r="AZ120" s="70" t="s">
        <v>2428</v>
      </c>
      <c r="BA120" s="70">
        <v>0</v>
      </c>
      <c r="BB120" s="70" t="s">
        <v>2420</v>
      </c>
      <c r="BC120" s="70" t="s">
        <v>2418</v>
      </c>
      <c r="BD120" s="70" t="s">
        <v>18</v>
      </c>
      <c r="BE120" t="s">
        <v>21</v>
      </c>
      <c r="BF120" t="s">
        <v>23</v>
      </c>
      <c r="BG120" t="s">
        <v>155</v>
      </c>
      <c r="BH120" t="s">
        <v>166</v>
      </c>
      <c r="BI120" t="s">
        <v>177</v>
      </c>
      <c r="BJ120" t="s">
        <v>166</v>
      </c>
      <c r="BK120" s="70">
        <v>7</v>
      </c>
      <c r="BL120" s="70">
        <v>1</v>
      </c>
      <c r="BM120"/>
      <c r="BN120" t="s">
        <v>2522</v>
      </c>
      <c r="BO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 t="s">
        <v>854</v>
      </c>
      <c r="CZ120"/>
      <c r="DL120"/>
      <c r="DM120" s="70" t="s">
        <v>1775</v>
      </c>
      <c r="DN120"/>
      <c r="DO120" s="70" t="s">
        <v>1775</v>
      </c>
      <c r="DP120" t="s">
        <v>854</v>
      </c>
      <c r="DQ120" t="s">
        <v>2522</v>
      </c>
      <c r="DS120" t="s">
        <v>2160</v>
      </c>
      <c r="DT120" t="s">
        <v>1949</v>
      </c>
      <c r="DU120" t="s">
        <v>2161</v>
      </c>
      <c r="DV120"/>
    </row>
    <row r="121" spans="2:126" x14ac:dyDescent="0.25">
      <c r="B121">
        <v>7754326</v>
      </c>
      <c r="C121">
        <v>1</v>
      </c>
      <c r="D121">
        <v>12</v>
      </c>
      <c r="E121">
        <v>22</v>
      </c>
      <c r="F121">
        <v>1976</v>
      </c>
      <c r="G121">
        <v>3</v>
      </c>
      <c r="H121">
        <v>30</v>
      </c>
      <c r="I121">
        <v>2011</v>
      </c>
      <c r="J121" t="s">
        <v>592</v>
      </c>
      <c r="K121" t="s">
        <v>855</v>
      </c>
      <c r="L121">
        <v>94977610685</v>
      </c>
      <c r="M121" t="s">
        <v>1231</v>
      </c>
      <c r="N121" t="s">
        <v>1232</v>
      </c>
      <c r="O121" t="s">
        <v>433</v>
      </c>
      <c r="P121" t="s">
        <v>1569</v>
      </c>
      <c r="Z121" t="s">
        <v>1232</v>
      </c>
      <c r="AA121" t="s">
        <v>433</v>
      </c>
      <c r="AB121" t="s">
        <v>1233</v>
      </c>
      <c r="AU121" t="s">
        <v>146</v>
      </c>
      <c r="AV121" t="s">
        <v>180</v>
      </c>
      <c r="AW121" t="s">
        <v>149</v>
      </c>
      <c r="AX121" t="s">
        <v>170</v>
      </c>
      <c r="AY121" s="70" t="s">
        <v>2420</v>
      </c>
      <c r="AZ121" s="70" t="s">
        <v>27</v>
      </c>
      <c r="BA121" s="70">
        <v>1</v>
      </c>
      <c r="BB121" s="70" t="s">
        <v>2418</v>
      </c>
      <c r="BC121" s="70" t="s">
        <v>2418</v>
      </c>
      <c r="BD121" s="70" t="s">
        <v>2418</v>
      </c>
      <c r="BE121" t="s">
        <v>21</v>
      </c>
      <c r="BF121" t="s">
        <v>23</v>
      </c>
      <c r="BG121" t="s">
        <v>155</v>
      </c>
      <c r="BH121" t="s">
        <v>157</v>
      </c>
      <c r="BI121" t="s">
        <v>25</v>
      </c>
      <c r="BJ121" t="s">
        <v>165</v>
      </c>
      <c r="BK121" s="70">
        <v>9</v>
      </c>
      <c r="BL121" s="70">
        <v>9</v>
      </c>
      <c r="BM121"/>
      <c r="BN121" t="s">
        <v>2523</v>
      </c>
      <c r="BO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 t="s">
        <v>855</v>
      </c>
      <c r="CZ121"/>
      <c r="DL121"/>
      <c r="DM121" s="70" t="s">
        <v>1776</v>
      </c>
      <c r="DN121"/>
      <c r="DO121" s="70" t="s">
        <v>1776</v>
      </c>
      <c r="DP121" t="s">
        <v>855</v>
      </c>
      <c r="DQ121" t="s">
        <v>2523</v>
      </c>
      <c r="DS121" t="s">
        <v>2162</v>
      </c>
      <c r="DT121" t="s">
        <v>2163</v>
      </c>
      <c r="DU121" t="s">
        <v>2164</v>
      </c>
      <c r="DV121"/>
    </row>
    <row r="122" spans="2:126" x14ac:dyDescent="0.25">
      <c r="B122">
        <v>9196461</v>
      </c>
      <c r="C122">
        <v>1</v>
      </c>
      <c r="D122">
        <v>9</v>
      </c>
      <c r="E122">
        <v>3</v>
      </c>
      <c r="F122">
        <v>1995</v>
      </c>
      <c r="G122">
        <v>8</v>
      </c>
      <c r="H122">
        <v>22</v>
      </c>
      <c r="I122">
        <v>2016</v>
      </c>
      <c r="J122" t="s">
        <v>593</v>
      </c>
      <c r="K122" t="s">
        <v>856</v>
      </c>
      <c r="L122">
        <v>94139551256</v>
      </c>
      <c r="M122" t="s">
        <v>1234</v>
      </c>
      <c r="N122" t="s">
        <v>1235</v>
      </c>
      <c r="O122" t="s">
        <v>1236</v>
      </c>
      <c r="P122" t="s">
        <v>1570</v>
      </c>
      <c r="Z122" t="s">
        <v>1235</v>
      </c>
      <c r="AA122" t="s">
        <v>1236</v>
      </c>
      <c r="AB122" t="s">
        <v>68</v>
      </c>
      <c r="AU122" t="s">
        <v>157</v>
      </c>
      <c r="AV122" t="s">
        <v>146</v>
      </c>
      <c r="AW122" t="s">
        <v>23</v>
      </c>
      <c r="AX122" t="s">
        <v>165</v>
      </c>
      <c r="AY122" s="70" t="s">
        <v>17</v>
      </c>
      <c r="AZ122" s="70" t="s">
        <v>2427</v>
      </c>
      <c r="BA122" s="70">
        <v>0</v>
      </c>
      <c r="BB122" s="70" t="s">
        <v>17</v>
      </c>
      <c r="BC122" s="70" t="s">
        <v>19</v>
      </c>
      <c r="BD122" s="70" t="s">
        <v>18</v>
      </c>
      <c r="BE122" t="s">
        <v>21</v>
      </c>
      <c r="BF122" t="s">
        <v>23</v>
      </c>
      <c r="BG122" t="s">
        <v>155</v>
      </c>
      <c r="BH122" t="s">
        <v>177</v>
      </c>
      <c r="BI122" t="s">
        <v>166</v>
      </c>
      <c r="BJ122" t="s">
        <v>25</v>
      </c>
      <c r="BK122" s="70">
        <v>3</v>
      </c>
      <c r="BL122" s="70">
        <v>0</v>
      </c>
      <c r="BM122"/>
      <c r="BN122" t="s">
        <v>2524</v>
      </c>
      <c r="BO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 t="s">
        <v>856</v>
      </c>
      <c r="CZ122"/>
      <c r="DL122"/>
      <c r="DM122" s="70" t="s">
        <v>1777</v>
      </c>
      <c r="DN122"/>
      <c r="DO122" s="70" t="s">
        <v>1777</v>
      </c>
      <c r="DP122" t="s">
        <v>856</v>
      </c>
      <c r="DQ122" t="s">
        <v>2524</v>
      </c>
      <c r="DS122" t="s">
        <v>2165</v>
      </c>
      <c r="DT122" t="s">
        <v>2166</v>
      </c>
      <c r="DU122" t="s">
        <v>2167</v>
      </c>
      <c r="DV122"/>
    </row>
    <row r="123" spans="2:126" x14ac:dyDescent="0.25">
      <c r="B123">
        <v>40002545</v>
      </c>
      <c r="C123">
        <v>2</v>
      </c>
      <c r="D123">
        <v>10</v>
      </c>
      <c r="E123">
        <v>21</v>
      </c>
      <c r="F123">
        <v>1979</v>
      </c>
      <c r="G123">
        <v>3</v>
      </c>
      <c r="H123">
        <v>4</v>
      </c>
      <c r="I123">
        <v>2019</v>
      </c>
      <c r="J123" t="s">
        <v>594</v>
      </c>
      <c r="K123" t="s">
        <v>857</v>
      </c>
      <c r="L123">
        <v>45997924530</v>
      </c>
      <c r="M123" t="s">
        <v>1237</v>
      </c>
      <c r="N123" t="s">
        <v>80</v>
      </c>
      <c r="O123" t="s">
        <v>421</v>
      </c>
      <c r="P123" t="s">
        <v>1571</v>
      </c>
      <c r="Z123" t="s">
        <v>80</v>
      </c>
      <c r="AA123" t="s">
        <v>421</v>
      </c>
      <c r="AB123" t="s">
        <v>1571</v>
      </c>
      <c r="AU123" t="s">
        <v>157</v>
      </c>
      <c r="AV123" t="s">
        <v>180</v>
      </c>
      <c r="AW123" t="s">
        <v>25</v>
      </c>
      <c r="AX123" t="s">
        <v>186</v>
      </c>
      <c r="AY123" s="70" t="s">
        <v>2420</v>
      </c>
      <c r="AZ123" s="70" t="s">
        <v>17</v>
      </c>
      <c r="BA123" s="70">
        <v>1</v>
      </c>
      <c r="BB123" s="70" t="s">
        <v>19</v>
      </c>
      <c r="BC123" s="70" t="s">
        <v>2418</v>
      </c>
      <c r="BD123" s="70" t="s">
        <v>20</v>
      </c>
      <c r="BE123" t="s">
        <v>165</v>
      </c>
      <c r="BF123" t="s">
        <v>23</v>
      </c>
      <c r="BG123" t="s">
        <v>155</v>
      </c>
      <c r="BH123" t="s">
        <v>25</v>
      </c>
      <c r="BI123" t="s">
        <v>166</v>
      </c>
      <c r="BJ123" t="s">
        <v>16</v>
      </c>
      <c r="BK123" s="70">
        <v>2</v>
      </c>
      <c r="BL123" s="70">
        <v>7</v>
      </c>
      <c r="BM123"/>
      <c r="BN123" t="s">
        <v>2525</v>
      </c>
      <c r="BO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 t="s">
        <v>2690</v>
      </c>
      <c r="CZ123"/>
      <c r="DL123"/>
      <c r="DM123" s="70" t="s">
        <v>1778</v>
      </c>
      <c r="DN123"/>
      <c r="DO123" s="70" t="s">
        <v>1778</v>
      </c>
      <c r="DP123" t="s">
        <v>2690</v>
      </c>
      <c r="DQ123" t="s">
        <v>2525</v>
      </c>
      <c r="DS123" t="s">
        <v>2168</v>
      </c>
      <c r="DT123" t="s">
        <v>2169</v>
      </c>
      <c r="DU123" t="s">
        <v>2070</v>
      </c>
      <c r="DV123"/>
    </row>
    <row r="124" spans="2:126" x14ac:dyDescent="0.25">
      <c r="B124">
        <v>6111774</v>
      </c>
      <c r="C124">
        <v>2</v>
      </c>
      <c r="D124">
        <v>3</v>
      </c>
      <c r="E124">
        <v>12</v>
      </c>
      <c r="F124">
        <v>1977</v>
      </c>
      <c r="G124">
        <v>7</v>
      </c>
      <c r="H124">
        <v>31</v>
      </c>
      <c r="I124">
        <v>2006</v>
      </c>
      <c r="J124" t="s">
        <v>595</v>
      </c>
      <c r="K124" t="s">
        <v>858</v>
      </c>
      <c r="L124">
        <v>94967720775</v>
      </c>
      <c r="M124" t="s">
        <v>1238</v>
      </c>
      <c r="N124" t="s">
        <v>1239</v>
      </c>
      <c r="O124" t="s">
        <v>1240</v>
      </c>
      <c r="P124" t="s">
        <v>1572</v>
      </c>
      <c r="Z124" t="s">
        <v>1239</v>
      </c>
      <c r="AA124" t="s">
        <v>1240</v>
      </c>
      <c r="AB124" t="s">
        <v>1241</v>
      </c>
      <c r="AU124" t="s">
        <v>177</v>
      </c>
      <c r="AV124" t="s">
        <v>146</v>
      </c>
      <c r="AW124" t="s">
        <v>177</v>
      </c>
      <c r="AX124" t="s">
        <v>161</v>
      </c>
      <c r="AY124" s="70" t="s">
        <v>2420</v>
      </c>
      <c r="AZ124" s="70" t="s">
        <v>2420</v>
      </c>
      <c r="BA124" s="70">
        <v>0</v>
      </c>
      <c r="BB124" s="70" t="s">
        <v>18</v>
      </c>
      <c r="BC124" s="70" t="s">
        <v>20</v>
      </c>
      <c r="BD124" s="70" t="s">
        <v>2418</v>
      </c>
      <c r="BE124" t="s">
        <v>165</v>
      </c>
      <c r="BF124" t="s">
        <v>23</v>
      </c>
      <c r="BG124" t="s">
        <v>155</v>
      </c>
      <c r="BH124" t="s">
        <v>166</v>
      </c>
      <c r="BI124" t="s">
        <v>25</v>
      </c>
      <c r="BJ124" t="s">
        <v>25</v>
      </c>
      <c r="BK124" s="70">
        <v>1</v>
      </c>
      <c r="BL124" s="70">
        <v>0</v>
      </c>
      <c r="BM124"/>
      <c r="BN124" t="s">
        <v>2526</v>
      </c>
      <c r="BO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 t="s">
        <v>858</v>
      </c>
      <c r="CZ124"/>
      <c r="DL124"/>
      <c r="DM124" s="70" t="s">
        <v>1779</v>
      </c>
      <c r="DN124"/>
      <c r="DO124" s="70" t="s">
        <v>1779</v>
      </c>
      <c r="DP124" t="s">
        <v>858</v>
      </c>
      <c r="DQ124" t="s">
        <v>2526</v>
      </c>
      <c r="DS124" t="s">
        <v>2170</v>
      </c>
      <c r="DT124" t="s">
        <v>2171</v>
      </c>
      <c r="DU124" t="s">
        <v>2172</v>
      </c>
      <c r="DV124"/>
    </row>
    <row r="125" spans="2:126" x14ac:dyDescent="0.25">
      <c r="B125">
        <v>5974035</v>
      </c>
      <c r="C125">
        <v>2</v>
      </c>
      <c r="D125">
        <v>8</v>
      </c>
      <c r="E125">
        <v>23</v>
      </c>
      <c r="F125">
        <v>1985</v>
      </c>
      <c r="G125">
        <v>1</v>
      </c>
      <c r="H125">
        <v>7</v>
      </c>
      <c r="I125">
        <v>2008</v>
      </c>
      <c r="J125" t="s">
        <v>596</v>
      </c>
      <c r="K125" t="s">
        <v>859</v>
      </c>
      <c r="L125">
        <v>94038524222</v>
      </c>
      <c r="M125" t="s">
        <v>1242</v>
      </c>
      <c r="N125" t="s">
        <v>1243</v>
      </c>
      <c r="O125" t="s">
        <v>1244</v>
      </c>
      <c r="P125" t="s">
        <v>1573</v>
      </c>
      <c r="Z125" t="s">
        <v>1243</v>
      </c>
      <c r="AA125" t="s">
        <v>1244</v>
      </c>
      <c r="AB125" t="s">
        <v>1573</v>
      </c>
      <c r="AU125" t="s">
        <v>177</v>
      </c>
      <c r="AV125" t="s">
        <v>153</v>
      </c>
      <c r="AW125" t="s">
        <v>161</v>
      </c>
      <c r="AX125" t="s">
        <v>146</v>
      </c>
      <c r="AY125" s="70" t="s">
        <v>2422</v>
      </c>
      <c r="AZ125" s="70" t="s">
        <v>2427</v>
      </c>
      <c r="BA125" s="70">
        <v>0</v>
      </c>
      <c r="BB125" s="70" t="s">
        <v>2422</v>
      </c>
      <c r="BC125" s="70" t="s">
        <v>2418</v>
      </c>
      <c r="BD125" s="70" t="s">
        <v>18</v>
      </c>
      <c r="BE125" t="s">
        <v>165</v>
      </c>
      <c r="BF125" t="s">
        <v>23</v>
      </c>
      <c r="BG125" t="s">
        <v>155</v>
      </c>
      <c r="BH125" t="s">
        <v>157</v>
      </c>
      <c r="BI125" t="s">
        <v>165</v>
      </c>
      <c r="BJ125" t="s">
        <v>23</v>
      </c>
      <c r="BK125" s="70">
        <v>0</v>
      </c>
      <c r="BL125" s="70">
        <v>1</v>
      </c>
      <c r="BM125"/>
      <c r="BN125" t="s">
        <v>2527</v>
      </c>
      <c r="BO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 t="s">
        <v>2691</v>
      </c>
      <c r="CZ125"/>
      <c r="DL125"/>
      <c r="DM125" s="70" t="s">
        <v>1780</v>
      </c>
      <c r="DN125"/>
      <c r="DO125" s="70" t="s">
        <v>1780</v>
      </c>
      <c r="DP125" t="s">
        <v>2691</v>
      </c>
      <c r="DQ125" t="s">
        <v>2527</v>
      </c>
      <c r="DS125" t="s">
        <v>2173</v>
      </c>
      <c r="DT125" t="s">
        <v>2174</v>
      </c>
      <c r="DU125" t="s">
        <v>2175</v>
      </c>
      <c r="DV125"/>
    </row>
    <row r="126" spans="2:126" x14ac:dyDescent="0.25">
      <c r="B126">
        <v>5965397</v>
      </c>
      <c r="C126">
        <v>1</v>
      </c>
      <c r="D126">
        <v>9</v>
      </c>
      <c r="E126">
        <v>24</v>
      </c>
      <c r="F126">
        <v>1969</v>
      </c>
      <c r="G126">
        <v>3</v>
      </c>
      <c r="H126">
        <v>13</v>
      </c>
      <c r="I126">
        <v>1991</v>
      </c>
      <c r="J126" t="s">
        <v>597</v>
      </c>
      <c r="K126" t="s">
        <v>860</v>
      </c>
      <c r="L126">
        <v>94896906099</v>
      </c>
      <c r="M126" t="s">
        <v>1245</v>
      </c>
      <c r="N126" t="s">
        <v>471</v>
      </c>
      <c r="O126" t="s">
        <v>460</v>
      </c>
      <c r="P126" t="s">
        <v>1574</v>
      </c>
      <c r="Z126" t="s">
        <v>471</v>
      </c>
      <c r="AA126" t="s">
        <v>460</v>
      </c>
      <c r="AB126" t="s">
        <v>1574</v>
      </c>
      <c r="AU126" t="s">
        <v>165</v>
      </c>
      <c r="AV126" t="s">
        <v>159</v>
      </c>
      <c r="AW126" t="s">
        <v>25</v>
      </c>
      <c r="AX126" t="s">
        <v>165</v>
      </c>
      <c r="AY126" s="70" t="s">
        <v>27</v>
      </c>
      <c r="AZ126" s="70" t="s">
        <v>17</v>
      </c>
      <c r="BA126" s="70">
        <v>0</v>
      </c>
      <c r="BB126" s="70" t="s">
        <v>17</v>
      </c>
      <c r="BC126" s="70" t="s">
        <v>2418</v>
      </c>
      <c r="BD126" s="70" t="s">
        <v>2428</v>
      </c>
      <c r="BE126" t="s">
        <v>21</v>
      </c>
      <c r="BF126" t="s">
        <v>23</v>
      </c>
      <c r="BG126" t="s">
        <v>155</v>
      </c>
      <c r="BH126" t="s">
        <v>25</v>
      </c>
      <c r="BI126" t="s">
        <v>161</v>
      </c>
      <c r="BJ126" t="s">
        <v>25</v>
      </c>
      <c r="BK126" s="70">
        <v>2</v>
      </c>
      <c r="BL126" s="70">
        <v>1</v>
      </c>
      <c r="BM126"/>
      <c r="BN126" t="s">
        <v>2528</v>
      </c>
      <c r="BO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 t="s">
        <v>860</v>
      </c>
      <c r="CZ126"/>
      <c r="DL126"/>
      <c r="DM126" s="70" t="s">
        <v>1781</v>
      </c>
      <c r="DN126"/>
      <c r="DO126" s="70" t="s">
        <v>1781</v>
      </c>
      <c r="DP126" t="s">
        <v>860</v>
      </c>
      <c r="DQ126" t="s">
        <v>2528</v>
      </c>
      <c r="DS126" t="s">
        <v>2176</v>
      </c>
      <c r="DT126" t="s">
        <v>2002</v>
      </c>
      <c r="DU126" t="s">
        <v>2177</v>
      </c>
      <c r="DV126"/>
    </row>
    <row r="127" spans="2:126" x14ac:dyDescent="0.25">
      <c r="B127">
        <v>5973454</v>
      </c>
      <c r="C127">
        <v>1</v>
      </c>
      <c r="D127">
        <v>10</v>
      </c>
      <c r="E127">
        <v>10</v>
      </c>
      <c r="F127">
        <v>1968</v>
      </c>
      <c r="G127">
        <v>1</v>
      </c>
      <c r="H127">
        <v>8</v>
      </c>
      <c r="I127">
        <v>2001</v>
      </c>
      <c r="J127" t="s">
        <v>598</v>
      </c>
      <c r="K127" t="s">
        <v>861</v>
      </c>
      <c r="L127">
        <v>94896818203</v>
      </c>
      <c r="M127" t="s">
        <v>1246</v>
      </c>
      <c r="N127" t="s">
        <v>426</v>
      </c>
      <c r="O127" t="s">
        <v>426</v>
      </c>
      <c r="P127" t="s">
        <v>1517</v>
      </c>
      <c r="Z127" t="s">
        <v>426</v>
      </c>
      <c r="AA127" t="s">
        <v>426</v>
      </c>
      <c r="AB127" t="s">
        <v>1517</v>
      </c>
      <c r="AU127" t="s">
        <v>177</v>
      </c>
      <c r="AV127" t="s">
        <v>146</v>
      </c>
      <c r="AW127" t="s">
        <v>177</v>
      </c>
      <c r="AX127" t="s">
        <v>161</v>
      </c>
      <c r="AY127" s="70" t="s">
        <v>27</v>
      </c>
      <c r="AZ127" s="70" t="s">
        <v>2422</v>
      </c>
      <c r="BA127" s="70">
        <v>1</v>
      </c>
      <c r="BB127" s="70" t="s">
        <v>19</v>
      </c>
      <c r="BC127" s="70" t="s">
        <v>20</v>
      </c>
      <c r="BD127" s="70" t="s">
        <v>19</v>
      </c>
      <c r="BE127" t="s">
        <v>21</v>
      </c>
      <c r="BF127" t="s">
        <v>23</v>
      </c>
      <c r="BG127" t="s">
        <v>155</v>
      </c>
      <c r="BH127" t="s">
        <v>166</v>
      </c>
      <c r="BI127" t="s">
        <v>166</v>
      </c>
      <c r="BJ127" t="s">
        <v>165</v>
      </c>
      <c r="BK127" s="70">
        <v>6</v>
      </c>
      <c r="BL127" s="70">
        <v>9</v>
      </c>
      <c r="BM127"/>
      <c r="BN127" t="s">
        <v>2529</v>
      </c>
      <c r="BO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 t="s">
        <v>861</v>
      </c>
      <c r="CZ127"/>
      <c r="DL127"/>
      <c r="DM127" s="70" t="s">
        <v>1782</v>
      </c>
      <c r="DN127"/>
      <c r="DO127" s="70" t="s">
        <v>1782</v>
      </c>
      <c r="DP127" t="s">
        <v>861</v>
      </c>
      <c r="DQ127" t="s">
        <v>2529</v>
      </c>
      <c r="DS127" t="s">
        <v>2026</v>
      </c>
      <c r="DT127" t="s">
        <v>1990</v>
      </c>
      <c r="DU127" t="s">
        <v>1990</v>
      </c>
      <c r="DV127"/>
    </row>
    <row r="128" spans="2:126" x14ac:dyDescent="0.25">
      <c r="B128">
        <v>5971680</v>
      </c>
      <c r="C128">
        <v>2</v>
      </c>
      <c r="D128">
        <v>8</v>
      </c>
      <c r="E128">
        <v>18</v>
      </c>
      <c r="F128">
        <v>1981</v>
      </c>
      <c r="G128">
        <v>1</v>
      </c>
      <c r="H128">
        <v>19</v>
      </c>
      <c r="I128">
        <v>2004</v>
      </c>
      <c r="J128" t="s">
        <v>599</v>
      </c>
      <c r="K128" t="s">
        <v>862</v>
      </c>
      <c r="L128">
        <v>94018100811</v>
      </c>
      <c r="M128" t="s">
        <v>1247</v>
      </c>
      <c r="N128" t="s">
        <v>460</v>
      </c>
      <c r="O128" t="s">
        <v>408</v>
      </c>
      <c r="P128" t="s">
        <v>69</v>
      </c>
      <c r="Z128" t="s">
        <v>460</v>
      </c>
      <c r="AA128" t="s">
        <v>408</v>
      </c>
      <c r="AB128" t="s">
        <v>69</v>
      </c>
      <c r="AU128" t="s">
        <v>25</v>
      </c>
      <c r="AV128" t="s">
        <v>170</v>
      </c>
      <c r="AW128" t="s">
        <v>25</v>
      </c>
      <c r="AX128" t="s">
        <v>146</v>
      </c>
      <c r="AY128" s="70" t="s">
        <v>2422</v>
      </c>
      <c r="AZ128" s="70" t="s">
        <v>20</v>
      </c>
      <c r="BA128" s="70">
        <v>0</v>
      </c>
      <c r="BB128" s="70" t="s">
        <v>2422</v>
      </c>
      <c r="BC128" s="70" t="s">
        <v>20</v>
      </c>
      <c r="BD128" s="70" t="s">
        <v>2422</v>
      </c>
      <c r="BE128" t="s">
        <v>165</v>
      </c>
      <c r="BF128" t="s">
        <v>23</v>
      </c>
      <c r="BG128" t="s">
        <v>155</v>
      </c>
      <c r="BH128" t="s">
        <v>161</v>
      </c>
      <c r="BI128" t="s">
        <v>165</v>
      </c>
      <c r="BJ128" t="s">
        <v>166</v>
      </c>
      <c r="BK128" s="70">
        <v>1</v>
      </c>
      <c r="BL128" s="70">
        <v>3</v>
      </c>
      <c r="BM128"/>
      <c r="BN128" t="s">
        <v>2530</v>
      </c>
      <c r="BO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 t="s">
        <v>862</v>
      </c>
      <c r="CZ128"/>
      <c r="DL128"/>
      <c r="DM128" s="70" t="s">
        <v>1783</v>
      </c>
      <c r="DN128"/>
      <c r="DO128" s="70" t="s">
        <v>1783</v>
      </c>
      <c r="DP128" t="s">
        <v>862</v>
      </c>
      <c r="DQ128" t="s">
        <v>2530</v>
      </c>
      <c r="DS128" t="s">
        <v>1970</v>
      </c>
      <c r="DT128" t="s">
        <v>2177</v>
      </c>
      <c r="DU128" t="s">
        <v>2043</v>
      </c>
      <c r="DV128"/>
    </row>
    <row r="129" spans="2:126" x14ac:dyDescent="0.25">
      <c r="B129">
        <v>8139595</v>
      </c>
      <c r="C129">
        <v>2</v>
      </c>
      <c r="D129">
        <v>3</v>
      </c>
      <c r="E129">
        <v>27</v>
      </c>
      <c r="F129">
        <v>1991</v>
      </c>
      <c r="G129">
        <v>6</v>
      </c>
      <c r="H129">
        <v>25</v>
      </c>
      <c r="I129">
        <v>2012</v>
      </c>
      <c r="J129" t="s">
        <v>600</v>
      </c>
      <c r="K129" t="s">
        <v>863</v>
      </c>
      <c r="L129">
        <v>94109109911</v>
      </c>
      <c r="M129" t="s">
        <v>1248</v>
      </c>
      <c r="N129" t="s">
        <v>478</v>
      </c>
      <c r="O129" t="s">
        <v>429</v>
      </c>
      <c r="P129" t="s">
        <v>79</v>
      </c>
      <c r="Z129" t="s">
        <v>478</v>
      </c>
      <c r="AA129" t="s">
        <v>429</v>
      </c>
      <c r="AB129" t="s">
        <v>79</v>
      </c>
      <c r="AU129" t="s">
        <v>24</v>
      </c>
      <c r="AV129" t="s">
        <v>180</v>
      </c>
      <c r="AW129" t="s">
        <v>165</v>
      </c>
      <c r="AX129" t="s">
        <v>146</v>
      </c>
      <c r="AY129" s="70" t="s">
        <v>17</v>
      </c>
      <c r="AZ129" s="70" t="s">
        <v>20</v>
      </c>
      <c r="BA129" s="70">
        <v>0</v>
      </c>
      <c r="BB129" s="70" t="s">
        <v>18</v>
      </c>
      <c r="BC129" s="70" t="s">
        <v>2418</v>
      </c>
      <c r="BD129" s="70" t="s">
        <v>2420</v>
      </c>
      <c r="BE129" t="s">
        <v>165</v>
      </c>
      <c r="BF129" t="s">
        <v>23</v>
      </c>
      <c r="BG129" t="s">
        <v>155</v>
      </c>
      <c r="BH129" t="s">
        <v>166</v>
      </c>
      <c r="BI129" t="s">
        <v>161</v>
      </c>
      <c r="BJ129" t="s">
        <v>25</v>
      </c>
      <c r="BK129" s="70">
        <v>5</v>
      </c>
      <c r="BL129" s="70">
        <v>7</v>
      </c>
      <c r="BM129"/>
      <c r="BN129" t="s">
        <v>2531</v>
      </c>
      <c r="BO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 t="s">
        <v>863</v>
      </c>
      <c r="CZ129"/>
      <c r="DL129"/>
      <c r="DM129" s="70" t="s">
        <v>1784</v>
      </c>
      <c r="DN129"/>
      <c r="DO129" s="70" t="s">
        <v>1784</v>
      </c>
      <c r="DP129" t="s">
        <v>863</v>
      </c>
      <c r="DQ129" t="s">
        <v>2531</v>
      </c>
      <c r="DS129" t="s">
        <v>2178</v>
      </c>
      <c r="DT129" t="s">
        <v>2064</v>
      </c>
      <c r="DU129" t="s">
        <v>2179</v>
      </c>
      <c r="DV129"/>
    </row>
    <row r="130" spans="2:126" x14ac:dyDescent="0.25">
      <c r="B130">
        <v>7436057</v>
      </c>
      <c r="C130">
        <v>1</v>
      </c>
      <c r="D130">
        <v>2</v>
      </c>
      <c r="E130">
        <v>1</v>
      </c>
      <c r="F130">
        <v>1978</v>
      </c>
      <c r="G130">
        <v>1</v>
      </c>
      <c r="H130">
        <v>9</v>
      </c>
      <c r="I130">
        <v>2012</v>
      </c>
      <c r="J130" t="s">
        <v>601</v>
      </c>
      <c r="K130" t="s">
        <v>864</v>
      </c>
      <c r="L130">
        <v>96957860149</v>
      </c>
      <c r="M130" t="s">
        <v>1249</v>
      </c>
      <c r="N130" t="s">
        <v>1250</v>
      </c>
      <c r="O130" t="s">
        <v>410</v>
      </c>
      <c r="P130" t="s">
        <v>1575</v>
      </c>
      <c r="Z130" t="s">
        <v>1250</v>
      </c>
      <c r="AA130" t="s">
        <v>410</v>
      </c>
      <c r="AB130" t="s">
        <v>67</v>
      </c>
      <c r="AU130" t="s">
        <v>22</v>
      </c>
      <c r="AV130" t="s">
        <v>146</v>
      </c>
      <c r="AW130" t="s">
        <v>21</v>
      </c>
      <c r="AX130" t="s">
        <v>146</v>
      </c>
      <c r="AY130" s="70" t="s">
        <v>2420</v>
      </c>
      <c r="AZ130" s="70" t="s">
        <v>2422</v>
      </c>
      <c r="BA130" s="70">
        <v>0</v>
      </c>
      <c r="BB130" s="70" t="s">
        <v>2418</v>
      </c>
      <c r="BC130" s="70" t="s">
        <v>19</v>
      </c>
      <c r="BD130" s="70" t="s">
        <v>20</v>
      </c>
      <c r="BE130" t="s">
        <v>21</v>
      </c>
      <c r="BF130" t="s">
        <v>23</v>
      </c>
      <c r="BG130" t="s">
        <v>155</v>
      </c>
      <c r="BH130" t="s">
        <v>25</v>
      </c>
      <c r="BI130" t="s">
        <v>25</v>
      </c>
      <c r="BJ130" t="s">
        <v>24</v>
      </c>
      <c r="BK130" s="70">
        <v>9</v>
      </c>
      <c r="BL130" s="70">
        <v>5</v>
      </c>
      <c r="BM130"/>
      <c r="BN130" t="s">
        <v>2532</v>
      </c>
      <c r="BO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 t="s">
        <v>864</v>
      </c>
      <c r="CZ130"/>
      <c r="DL130"/>
      <c r="DM130" s="70" t="s">
        <v>1785</v>
      </c>
      <c r="DN130"/>
      <c r="DO130" s="70" t="s">
        <v>1785</v>
      </c>
      <c r="DP130" t="s">
        <v>864</v>
      </c>
      <c r="DQ130" t="s">
        <v>2532</v>
      </c>
      <c r="DS130" t="s">
        <v>2180</v>
      </c>
      <c r="DT130" t="s">
        <v>2181</v>
      </c>
      <c r="DU130" t="s">
        <v>1987</v>
      </c>
      <c r="DV130"/>
    </row>
    <row r="131" spans="2:126" x14ac:dyDescent="0.25">
      <c r="B131">
        <v>40003233</v>
      </c>
      <c r="C131">
        <v>2</v>
      </c>
      <c r="D131">
        <v>11</v>
      </c>
      <c r="E131">
        <v>10</v>
      </c>
      <c r="F131">
        <v>1989</v>
      </c>
      <c r="G131">
        <v>5</v>
      </c>
      <c r="H131">
        <v>27</v>
      </c>
      <c r="I131">
        <v>2019</v>
      </c>
      <c r="J131" t="s">
        <v>602</v>
      </c>
      <c r="K131" t="s">
        <v>865</v>
      </c>
      <c r="L131">
        <v>96108916576</v>
      </c>
      <c r="M131" t="s">
        <v>1251</v>
      </c>
      <c r="N131" t="s">
        <v>421</v>
      </c>
      <c r="O131" t="s">
        <v>1252</v>
      </c>
      <c r="P131" t="s">
        <v>1576</v>
      </c>
      <c r="Z131" t="s">
        <v>421</v>
      </c>
      <c r="AA131" t="s">
        <v>1252</v>
      </c>
      <c r="AB131" t="s">
        <v>61</v>
      </c>
      <c r="AU131" t="s">
        <v>25</v>
      </c>
      <c r="AV131" t="s">
        <v>146</v>
      </c>
      <c r="AW131" t="s">
        <v>16</v>
      </c>
      <c r="AX131" t="s">
        <v>155</v>
      </c>
      <c r="AY131" s="70" t="s">
        <v>2422</v>
      </c>
      <c r="AZ131" s="70" t="s">
        <v>17</v>
      </c>
      <c r="BA131" s="70">
        <v>1</v>
      </c>
      <c r="BB131" s="70" t="s">
        <v>20</v>
      </c>
      <c r="BC131" s="70" t="s">
        <v>20</v>
      </c>
      <c r="BD131" s="70" t="s">
        <v>19</v>
      </c>
      <c r="BE131" t="s">
        <v>165</v>
      </c>
      <c r="BF131" t="s">
        <v>23</v>
      </c>
      <c r="BG131" t="s">
        <v>155</v>
      </c>
      <c r="BH131" t="s">
        <v>166</v>
      </c>
      <c r="BI131" t="s">
        <v>166</v>
      </c>
      <c r="BJ131" t="s">
        <v>25</v>
      </c>
      <c r="BK131" s="70">
        <v>1</v>
      </c>
      <c r="BL131" s="70">
        <v>7</v>
      </c>
      <c r="BM131"/>
      <c r="BN131" t="s">
        <v>2533</v>
      </c>
      <c r="BO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 t="s">
        <v>865</v>
      </c>
      <c r="CZ131"/>
      <c r="DL131"/>
      <c r="DM131" s="70" t="s">
        <v>1786</v>
      </c>
      <c r="DN131"/>
      <c r="DO131" s="70" t="s">
        <v>1786</v>
      </c>
      <c r="DP131" t="s">
        <v>865</v>
      </c>
      <c r="DQ131" t="s">
        <v>2533</v>
      </c>
      <c r="DS131" t="s">
        <v>2182</v>
      </c>
      <c r="DT131" t="s">
        <v>2070</v>
      </c>
      <c r="DU131" t="s">
        <v>2183</v>
      </c>
      <c r="DV131"/>
    </row>
    <row r="132" spans="2:126" x14ac:dyDescent="0.25">
      <c r="B132">
        <v>40005657</v>
      </c>
      <c r="C132">
        <v>1</v>
      </c>
      <c r="D132">
        <v>5</v>
      </c>
      <c r="E132">
        <v>16</v>
      </c>
      <c r="F132">
        <v>1990</v>
      </c>
      <c r="G132">
        <v>12</v>
      </c>
      <c r="H132">
        <v>7</v>
      </c>
      <c r="I132">
        <v>2020</v>
      </c>
      <c r="J132" t="s">
        <v>603</v>
      </c>
      <c r="K132" t="s">
        <v>866</v>
      </c>
      <c r="L132">
        <v>94099016027</v>
      </c>
      <c r="M132" t="s">
        <v>1253</v>
      </c>
      <c r="N132" t="s">
        <v>466</v>
      </c>
      <c r="O132" t="s">
        <v>401</v>
      </c>
      <c r="P132" t="s">
        <v>1577</v>
      </c>
      <c r="Z132" t="s">
        <v>466</v>
      </c>
      <c r="AA132" t="s">
        <v>401</v>
      </c>
      <c r="AB132" t="s">
        <v>71</v>
      </c>
      <c r="AU132" t="s">
        <v>25</v>
      </c>
      <c r="AV132" t="s">
        <v>159</v>
      </c>
      <c r="AW132" t="s">
        <v>157</v>
      </c>
      <c r="AX132" t="s">
        <v>21</v>
      </c>
      <c r="AY132" s="70" t="s">
        <v>17</v>
      </c>
      <c r="AZ132" s="70" t="s">
        <v>19</v>
      </c>
      <c r="BA132" s="70">
        <v>0</v>
      </c>
      <c r="BB132" s="70" t="s">
        <v>2427</v>
      </c>
      <c r="BC132" s="70" t="s">
        <v>20</v>
      </c>
      <c r="BD132" s="70" t="s">
        <v>27</v>
      </c>
      <c r="BE132" t="s">
        <v>21</v>
      </c>
      <c r="BF132" t="s">
        <v>23</v>
      </c>
      <c r="BG132" t="s">
        <v>155</v>
      </c>
      <c r="BH132" t="s">
        <v>182</v>
      </c>
      <c r="BI132" t="s">
        <v>25</v>
      </c>
      <c r="BJ132" t="s">
        <v>22</v>
      </c>
      <c r="BK132" s="70">
        <v>5</v>
      </c>
      <c r="BL132" s="70">
        <v>0</v>
      </c>
      <c r="BM132"/>
      <c r="BN132" t="s">
        <v>2534</v>
      </c>
      <c r="BO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 t="s">
        <v>866</v>
      </c>
      <c r="CZ132"/>
      <c r="DL132"/>
      <c r="DM132" s="70" t="s">
        <v>1787</v>
      </c>
      <c r="DN132"/>
      <c r="DO132" s="70" t="s">
        <v>1787</v>
      </c>
      <c r="DP132" t="s">
        <v>866</v>
      </c>
      <c r="DQ132" t="s">
        <v>2534</v>
      </c>
      <c r="DS132" t="s">
        <v>2184</v>
      </c>
      <c r="DT132" t="s">
        <v>2052</v>
      </c>
      <c r="DU132" t="s">
        <v>2063</v>
      </c>
      <c r="DV132"/>
    </row>
    <row r="133" spans="2:126" x14ac:dyDescent="0.25">
      <c r="B133">
        <v>5968337</v>
      </c>
      <c r="C133">
        <v>1</v>
      </c>
      <c r="D133">
        <v>10</v>
      </c>
      <c r="E133">
        <v>12</v>
      </c>
      <c r="F133">
        <v>1980</v>
      </c>
      <c r="G133">
        <v>1</v>
      </c>
      <c r="H133">
        <v>16</v>
      </c>
      <c r="I133">
        <v>2006</v>
      </c>
      <c r="J133" t="s">
        <v>604</v>
      </c>
      <c r="K133" t="s">
        <v>867</v>
      </c>
      <c r="L133">
        <v>92988059900</v>
      </c>
      <c r="M133" t="s">
        <v>1254</v>
      </c>
      <c r="N133" t="s">
        <v>1255</v>
      </c>
      <c r="O133" t="s">
        <v>457</v>
      </c>
      <c r="P133" t="s">
        <v>56</v>
      </c>
      <c r="Z133" t="s">
        <v>1255</v>
      </c>
      <c r="AA133" t="s">
        <v>457</v>
      </c>
      <c r="AB133" t="s">
        <v>56</v>
      </c>
      <c r="AU133" t="s">
        <v>172</v>
      </c>
      <c r="AV133" t="s">
        <v>153</v>
      </c>
      <c r="AW133" t="s">
        <v>25</v>
      </c>
      <c r="AX133" t="s">
        <v>155</v>
      </c>
      <c r="AY133" s="70" t="s">
        <v>2422</v>
      </c>
      <c r="AZ133" s="70" t="s">
        <v>19</v>
      </c>
      <c r="BA133" s="70">
        <v>1</v>
      </c>
      <c r="BB133" s="70" t="s">
        <v>19</v>
      </c>
      <c r="BC133" s="70" t="s">
        <v>20</v>
      </c>
      <c r="BD133" s="70" t="s">
        <v>2418</v>
      </c>
      <c r="BE133" t="s">
        <v>21</v>
      </c>
      <c r="BF133" t="s">
        <v>23</v>
      </c>
      <c r="BG133" t="s">
        <v>155</v>
      </c>
      <c r="BH133" t="s">
        <v>23</v>
      </c>
      <c r="BI133" t="s">
        <v>149</v>
      </c>
      <c r="BJ133" t="s">
        <v>25</v>
      </c>
      <c r="BK133" s="70">
        <v>1</v>
      </c>
      <c r="BL133" s="70">
        <v>2</v>
      </c>
      <c r="BM133"/>
      <c r="BN133" t="s">
        <v>2535</v>
      </c>
      <c r="BO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 t="s">
        <v>867</v>
      </c>
      <c r="CZ133"/>
      <c r="DL133"/>
      <c r="DM133" s="70" t="s">
        <v>1788</v>
      </c>
      <c r="DN133"/>
      <c r="DO133" s="70" t="s">
        <v>1788</v>
      </c>
      <c r="DP133" t="s">
        <v>867</v>
      </c>
      <c r="DQ133" t="s">
        <v>2535</v>
      </c>
      <c r="DS133" t="s">
        <v>2030</v>
      </c>
      <c r="DT133" t="s">
        <v>2185</v>
      </c>
      <c r="DU133" t="s">
        <v>2046</v>
      </c>
      <c r="DV133"/>
    </row>
    <row r="134" spans="2:126" x14ac:dyDescent="0.25">
      <c r="B134">
        <v>7436138</v>
      </c>
      <c r="C134">
        <v>1</v>
      </c>
      <c r="D134">
        <v>10</v>
      </c>
      <c r="E134">
        <v>21</v>
      </c>
      <c r="F134">
        <v>1988</v>
      </c>
      <c r="G134">
        <v>1</v>
      </c>
      <c r="H134">
        <v>4</v>
      </c>
      <c r="I134">
        <v>2010</v>
      </c>
      <c r="J134" t="s">
        <v>605</v>
      </c>
      <c r="K134" t="s">
        <v>868</v>
      </c>
      <c r="L134">
        <v>96078874821</v>
      </c>
      <c r="M134" t="s">
        <v>1256</v>
      </c>
      <c r="N134" t="s">
        <v>409</v>
      </c>
      <c r="O134" t="s">
        <v>1257</v>
      </c>
      <c r="P134" t="s">
        <v>1578</v>
      </c>
      <c r="Z134" t="s">
        <v>409</v>
      </c>
      <c r="AA134" t="s">
        <v>1257</v>
      </c>
      <c r="AB134" t="s">
        <v>1578</v>
      </c>
      <c r="AU134" t="s">
        <v>165</v>
      </c>
      <c r="AV134" t="s">
        <v>146</v>
      </c>
      <c r="AW134" t="s">
        <v>182</v>
      </c>
      <c r="AX134" t="s">
        <v>26</v>
      </c>
      <c r="AY134" s="70" t="s">
        <v>2422</v>
      </c>
      <c r="AZ134" s="70" t="s">
        <v>2422</v>
      </c>
      <c r="BA134" s="70">
        <v>1</v>
      </c>
      <c r="BB134" s="70" t="s">
        <v>19</v>
      </c>
      <c r="BC134" s="70" t="s">
        <v>2418</v>
      </c>
      <c r="BD134" s="70" t="s">
        <v>20</v>
      </c>
      <c r="BE134" t="s">
        <v>21</v>
      </c>
      <c r="BF134" t="s">
        <v>23</v>
      </c>
      <c r="BG134" t="s">
        <v>155</v>
      </c>
      <c r="BH134" t="s">
        <v>25</v>
      </c>
      <c r="BI134" t="s">
        <v>24</v>
      </c>
      <c r="BJ134" t="s">
        <v>186</v>
      </c>
      <c r="BK134" s="70">
        <v>0</v>
      </c>
      <c r="BL134" s="70">
        <v>5</v>
      </c>
      <c r="BM134"/>
      <c r="BN134" t="s">
        <v>2536</v>
      </c>
      <c r="BO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 t="s">
        <v>868</v>
      </c>
      <c r="CZ134"/>
      <c r="DL134"/>
      <c r="DM134" s="70" t="s">
        <v>1789</v>
      </c>
      <c r="DN134"/>
      <c r="DO134" s="70" t="s">
        <v>1789</v>
      </c>
      <c r="DP134" t="s">
        <v>868</v>
      </c>
      <c r="DQ134" t="s">
        <v>2536</v>
      </c>
      <c r="DS134" t="s">
        <v>2186</v>
      </c>
      <c r="DT134" t="s">
        <v>2016</v>
      </c>
      <c r="DU134" t="s">
        <v>2187</v>
      </c>
      <c r="DV134"/>
    </row>
    <row r="135" spans="2:126" x14ac:dyDescent="0.25">
      <c r="B135">
        <v>9243206</v>
      </c>
      <c r="C135">
        <v>2</v>
      </c>
      <c r="D135">
        <v>10</v>
      </c>
      <c r="E135">
        <v>26</v>
      </c>
      <c r="F135">
        <v>1991</v>
      </c>
      <c r="G135">
        <v>3</v>
      </c>
      <c r="H135">
        <v>20</v>
      </c>
      <c r="I135">
        <v>2018</v>
      </c>
      <c r="J135" t="s">
        <v>606</v>
      </c>
      <c r="K135" t="s">
        <v>869</v>
      </c>
      <c r="L135">
        <v>94109140395</v>
      </c>
      <c r="M135" t="s">
        <v>1258</v>
      </c>
      <c r="N135" t="s">
        <v>399</v>
      </c>
      <c r="O135" t="s">
        <v>459</v>
      </c>
      <c r="P135" t="s">
        <v>76</v>
      </c>
      <c r="Z135" t="s">
        <v>399</v>
      </c>
      <c r="AA135" t="s">
        <v>459</v>
      </c>
      <c r="AB135" t="s">
        <v>76</v>
      </c>
      <c r="AU135" t="s">
        <v>165</v>
      </c>
      <c r="AV135" t="s">
        <v>153</v>
      </c>
      <c r="AW135" t="s">
        <v>182</v>
      </c>
      <c r="AX135" t="s">
        <v>146</v>
      </c>
      <c r="AY135" s="70" t="s">
        <v>17</v>
      </c>
      <c r="AZ135" s="70" t="s">
        <v>20</v>
      </c>
      <c r="BA135" s="70">
        <v>1</v>
      </c>
      <c r="BB135" s="70" t="s">
        <v>19</v>
      </c>
      <c r="BC135" s="70" t="s">
        <v>2418</v>
      </c>
      <c r="BD135" s="70" t="s">
        <v>27</v>
      </c>
      <c r="BE135" t="s">
        <v>165</v>
      </c>
      <c r="BF135" t="s">
        <v>23</v>
      </c>
      <c r="BG135" t="s">
        <v>155</v>
      </c>
      <c r="BH135" t="s">
        <v>166</v>
      </c>
      <c r="BI135" t="s">
        <v>24</v>
      </c>
      <c r="BJ135" t="s">
        <v>24</v>
      </c>
      <c r="BK135" s="70">
        <v>9</v>
      </c>
      <c r="BL135" s="70">
        <v>6</v>
      </c>
      <c r="BM135"/>
      <c r="BN135" t="s">
        <v>2537</v>
      </c>
      <c r="BO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 t="s">
        <v>869</v>
      </c>
      <c r="CZ135"/>
      <c r="DL135"/>
      <c r="DM135" s="70" t="s">
        <v>1790</v>
      </c>
      <c r="DN135"/>
      <c r="DO135" s="70" t="s">
        <v>1790</v>
      </c>
      <c r="DP135" t="s">
        <v>869</v>
      </c>
      <c r="DQ135" t="s">
        <v>2537</v>
      </c>
      <c r="DS135" t="s">
        <v>2188</v>
      </c>
      <c r="DT135" t="s">
        <v>1949</v>
      </c>
      <c r="DU135" t="s">
        <v>2189</v>
      </c>
      <c r="DV135"/>
    </row>
    <row r="136" spans="2:126" x14ac:dyDescent="0.25">
      <c r="B136">
        <v>5954646</v>
      </c>
      <c r="C136">
        <v>2</v>
      </c>
      <c r="D136">
        <v>9</v>
      </c>
      <c r="E136">
        <v>22</v>
      </c>
      <c r="F136">
        <v>1972</v>
      </c>
      <c r="G136">
        <v>1</v>
      </c>
      <c r="H136">
        <v>7</v>
      </c>
      <c r="I136">
        <v>2008</v>
      </c>
      <c r="J136" t="s">
        <v>607</v>
      </c>
      <c r="K136" t="s">
        <v>870</v>
      </c>
      <c r="L136">
        <v>94997200616</v>
      </c>
      <c r="M136" t="s">
        <v>1259</v>
      </c>
      <c r="N136" t="s">
        <v>1260</v>
      </c>
      <c r="O136" t="s">
        <v>407</v>
      </c>
      <c r="P136" t="s">
        <v>443</v>
      </c>
      <c r="Z136" t="s">
        <v>1260</v>
      </c>
      <c r="AA136" t="s">
        <v>407</v>
      </c>
      <c r="AB136" t="s">
        <v>56</v>
      </c>
      <c r="AU136" t="s">
        <v>23</v>
      </c>
      <c r="AV136" t="s">
        <v>153</v>
      </c>
      <c r="AW136" t="s">
        <v>24</v>
      </c>
      <c r="AX136" t="s">
        <v>155</v>
      </c>
      <c r="AY136" s="70" t="s">
        <v>2420</v>
      </c>
      <c r="AZ136" s="70" t="s">
        <v>2418</v>
      </c>
      <c r="BA136" s="70">
        <v>0</v>
      </c>
      <c r="BB136" s="70" t="s">
        <v>17</v>
      </c>
      <c r="BC136" s="70" t="s">
        <v>2418</v>
      </c>
      <c r="BD136" s="70" t="s">
        <v>2418</v>
      </c>
      <c r="BE136" t="s">
        <v>165</v>
      </c>
      <c r="BF136" t="s">
        <v>23</v>
      </c>
      <c r="BG136" t="s">
        <v>155</v>
      </c>
      <c r="BH136" t="s">
        <v>24</v>
      </c>
      <c r="BI136" t="s">
        <v>172</v>
      </c>
      <c r="BJ136" t="s">
        <v>25</v>
      </c>
      <c r="BK136" s="70">
        <v>9</v>
      </c>
      <c r="BL136" s="70">
        <v>9</v>
      </c>
      <c r="BM136"/>
      <c r="BN136" t="s">
        <v>2538</v>
      </c>
      <c r="BO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 t="s">
        <v>870</v>
      </c>
      <c r="CZ136"/>
      <c r="DL136"/>
      <c r="DM136" s="70" t="s">
        <v>1791</v>
      </c>
      <c r="DN136"/>
      <c r="DO136" s="70" t="s">
        <v>1791</v>
      </c>
      <c r="DP136" t="s">
        <v>870</v>
      </c>
      <c r="DQ136" t="s">
        <v>2538</v>
      </c>
      <c r="DS136" t="s">
        <v>2148</v>
      </c>
      <c r="DT136" t="s">
        <v>2190</v>
      </c>
      <c r="DU136" t="s">
        <v>1980</v>
      </c>
      <c r="DV136"/>
    </row>
    <row r="137" spans="2:126" x14ac:dyDescent="0.25">
      <c r="B137">
        <v>7379169</v>
      </c>
      <c r="C137">
        <v>2</v>
      </c>
      <c r="D137">
        <v>9</v>
      </c>
      <c r="E137">
        <v>25</v>
      </c>
      <c r="F137">
        <v>1987</v>
      </c>
      <c r="G137">
        <v>8</v>
      </c>
      <c r="H137">
        <v>31</v>
      </c>
      <c r="I137">
        <v>2009</v>
      </c>
      <c r="J137" t="s">
        <v>608</v>
      </c>
      <c r="K137" t="s">
        <v>871</v>
      </c>
      <c r="L137">
        <v>96058729375</v>
      </c>
      <c r="M137" t="s">
        <v>1261</v>
      </c>
      <c r="N137" t="s">
        <v>1262</v>
      </c>
      <c r="O137" t="s">
        <v>1263</v>
      </c>
      <c r="P137" t="s">
        <v>1579</v>
      </c>
      <c r="Z137" t="s">
        <v>1262</v>
      </c>
      <c r="AA137" t="s">
        <v>1263</v>
      </c>
      <c r="AB137" t="s">
        <v>1264</v>
      </c>
      <c r="AU137" t="s">
        <v>22</v>
      </c>
      <c r="AV137" t="s">
        <v>146</v>
      </c>
      <c r="AW137" t="s">
        <v>172</v>
      </c>
      <c r="AX137" t="s">
        <v>177</v>
      </c>
      <c r="AY137" s="70" t="s">
        <v>2422</v>
      </c>
      <c r="AZ137" s="70" t="s">
        <v>2420</v>
      </c>
      <c r="BA137" s="70">
        <v>0</v>
      </c>
      <c r="BB137" s="70" t="s">
        <v>17</v>
      </c>
      <c r="BC137" s="70" t="s">
        <v>2418</v>
      </c>
      <c r="BD137" s="70" t="s">
        <v>2427</v>
      </c>
      <c r="BE137" t="s">
        <v>165</v>
      </c>
      <c r="BF137" t="s">
        <v>23</v>
      </c>
      <c r="BG137" t="s">
        <v>155</v>
      </c>
      <c r="BH137" t="s">
        <v>24</v>
      </c>
      <c r="BI137" t="s">
        <v>23</v>
      </c>
      <c r="BJ137" t="s">
        <v>166</v>
      </c>
      <c r="BK137" s="70">
        <v>8</v>
      </c>
      <c r="BL137" s="70">
        <v>5</v>
      </c>
      <c r="BM137"/>
      <c r="BN137" t="s">
        <v>2539</v>
      </c>
      <c r="BO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 t="s">
        <v>2692</v>
      </c>
      <c r="CZ137"/>
      <c r="DL137"/>
      <c r="DM137" s="70" t="s">
        <v>1792</v>
      </c>
      <c r="DN137"/>
      <c r="DO137" s="70" t="s">
        <v>1792</v>
      </c>
      <c r="DP137" t="s">
        <v>2692</v>
      </c>
      <c r="DQ137" t="s">
        <v>2539</v>
      </c>
      <c r="DS137" t="s">
        <v>2191</v>
      </c>
      <c r="DT137" t="s">
        <v>2192</v>
      </c>
      <c r="DU137" t="s">
        <v>2193</v>
      </c>
      <c r="DV137"/>
    </row>
    <row r="138" spans="2:126" x14ac:dyDescent="0.25">
      <c r="B138">
        <v>7402675</v>
      </c>
      <c r="C138">
        <v>2</v>
      </c>
      <c r="D138">
        <v>3</v>
      </c>
      <c r="E138">
        <v>4</v>
      </c>
      <c r="F138">
        <v>1980</v>
      </c>
      <c r="G138">
        <v>10</v>
      </c>
      <c r="H138">
        <v>12</v>
      </c>
      <c r="I138">
        <v>2009</v>
      </c>
      <c r="J138" t="s">
        <v>609</v>
      </c>
      <c r="K138" t="s">
        <v>872</v>
      </c>
      <c r="L138">
        <v>13998016938</v>
      </c>
      <c r="M138" t="s">
        <v>1265</v>
      </c>
      <c r="N138" t="s">
        <v>1266</v>
      </c>
      <c r="O138" t="s">
        <v>426</v>
      </c>
      <c r="P138" t="s">
        <v>1580</v>
      </c>
      <c r="Z138" t="s">
        <v>1266</v>
      </c>
      <c r="AA138" t="s">
        <v>426</v>
      </c>
      <c r="AB138" t="s">
        <v>90</v>
      </c>
      <c r="AU138" t="s">
        <v>165</v>
      </c>
      <c r="AV138" t="s">
        <v>146</v>
      </c>
      <c r="AW138" t="s">
        <v>177</v>
      </c>
      <c r="AX138" t="s">
        <v>153</v>
      </c>
      <c r="AY138" s="70" t="s">
        <v>2422</v>
      </c>
      <c r="AZ138" s="70" t="s">
        <v>19</v>
      </c>
      <c r="BA138" s="70">
        <v>0</v>
      </c>
      <c r="BB138" s="70" t="s">
        <v>18</v>
      </c>
      <c r="BC138" s="70" t="s">
        <v>19</v>
      </c>
      <c r="BD138" s="70" t="s">
        <v>2428</v>
      </c>
      <c r="BE138" t="s">
        <v>165</v>
      </c>
      <c r="BF138" t="s">
        <v>23</v>
      </c>
      <c r="BG138" t="s">
        <v>155</v>
      </c>
      <c r="BH138" t="s">
        <v>157</v>
      </c>
      <c r="BI138" t="s">
        <v>166</v>
      </c>
      <c r="BJ138" t="s">
        <v>23</v>
      </c>
      <c r="BK138" s="70">
        <v>1</v>
      </c>
      <c r="BL138" s="70">
        <v>5</v>
      </c>
      <c r="BM138"/>
      <c r="BN138" t="s">
        <v>2540</v>
      </c>
      <c r="BO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 t="s">
        <v>2693</v>
      </c>
      <c r="CZ138"/>
      <c r="DL138"/>
      <c r="DM138" s="70" t="s">
        <v>1793</v>
      </c>
      <c r="DN138"/>
      <c r="DO138" s="70" t="s">
        <v>1793</v>
      </c>
      <c r="DP138" t="s">
        <v>2693</v>
      </c>
      <c r="DQ138" t="s">
        <v>2540</v>
      </c>
      <c r="DS138" t="s">
        <v>2194</v>
      </c>
      <c r="DT138" t="s">
        <v>2195</v>
      </c>
      <c r="DU138" t="s">
        <v>1990</v>
      </c>
      <c r="DV138"/>
    </row>
    <row r="139" spans="2:126" x14ac:dyDescent="0.25">
      <c r="B139">
        <v>8467975</v>
      </c>
      <c r="C139">
        <v>1</v>
      </c>
      <c r="D139">
        <v>9</v>
      </c>
      <c r="E139">
        <v>13</v>
      </c>
      <c r="F139">
        <v>1985</v>
      </c>
      <c r="G139">
        <v>1</v>
      </c>
      <c r="H139">
        <v>12</v>
      </c>
      <c r="I139">
        <v>2015</v>
      </c>
      <c r="J139" t="s">
        <v>610</v>
      </c>
      <c r="K139" t="s">
        <v>873</v>
      </c>
      <c r="L139">
        <v>94068500837</v>
      </c>
      <c r="M139" t="s">
        <v>1267</v>
      </c>
      <c r="N139" t="s">
        <v>1024</v>
      </c>
      <c r="O139" t="s">
        <v>413</v>
      </c>
      <c r="P139" t="s">
        <v>398</v>
      </c>
      <c r="Z139" t="s">
        <v>1024</v>
      </c>
      <c r="AA139" t="s">
        <v>413</v>
      </c>
      <c r="AB139" t="s">
        <v>398</v>
      </c>
      <c r="AU139" t="s">
        <v>146</v>
      </c>
      <c r="AV139" t="s">
        <v>180</v>
      </c>
      <c r="AW139" t="s">
        <v>22</v>
      </c>
      <c r="AX139" t="s">
        <v>24</v>
      </c>
      <c r="AY139" s="70" t="s">
        <v>2422</v>
      </c>
      <c r="AZ139" s="70" t="s">
        <v>2427</v>
      </c>
      <c r="BA139" s="70">
        <v>0</v>
      </c>
      <c r="BB139" s="70" t="s">
        <v>17</v>
      </c>
      <c r="BC139" s="70" t="s">
        <v>20</v>
      </c>
      <c r="BD139" s="70" t="s">
        <v>18</v>
      </c>
      <c r="BE139" t="s">
        <v>21</v>
      </c>
      <c r="BF139" t="s">
        <v>23</v>
      </c>
      <c r="BG139" t="s">
        <v>155</v>
      </c>
      <c r="BH139" t="s">
        <v>157</v>
      </c>
      <c r="BI139" t="s">
        <v>177</v>
      </c>
      <c r="BJ139" t="s">
        <v>26</v>
      </c>
      <c r="BK139" s="70">
        <v>8</v>
      </c>
      <c r="BL139" s="70">
        <v>1</v>
      </c>
      <c r="BM139"/>
      <c r="BN139" t="s">
        <v>2541</v>
      </c>
      <c r="BO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 t="s">
        <v>2694</v>
      </c>
      <c r="CZ139"/>
      <c r="DL139"/>
      <c r="DM139" s="70" t="s">
        <v>1794</v>
      </c>
      <c r="DN139"/>
      <c r="DO139" s="70" t="s">
        <v>1794</v>
      </c>
      <c r="DP139" t="s">
        <v>2694</v>
      </c>
      <c r="DQ139" t="s">
        <v>2541</v>
      </c>
      <c r="DS139" t="s">
        <v>2196</v>
      </c>
      <c r="DT139" t="s">
        <v>1947</v>
      </c>
      <c r="DU139" t="s">
        <v>2014</v>
      </c>
      <c r="DV139"/>
    </row>
    <row r="140" spans="2:126" x14ac:dyDescent="0.25">
      <c r="B140">
        <v>8389591</v>
      </c>
      <c r="C140">
        <v>2</v>
      </c>
      <c r="D140">
        <v>4</v>
      </c>
      <c r="E140">
        <v>17</v>
      </c>
      <c r="F140">
        <v>1984</v>
      </c>
      <c r="G140">
        <v>1</v>
      </c>
      <c r="H140">
        <v>5</v>
      </c>
      <c r="I140">
        <v>2015</v>
      </c>
      <c r="J140" t="s">
        <v>611</v>
      </c>
      <c r="K140" t="s">
        <v>874</v>
      </c>
      <c r="L140">
        <v>7018410261</v>
      </c>
      <c r="M140" t="s">
        <v>1268</v>
      </c>
      <c r="N140" t="s">
        <v>426</v>
      </c>
      <c r="O140" t="s">
        <v>409</v>
      </c>
      <c r="P140" t="s">
        <v>65</v>
      </c>
      <c r="Z140" t="s">
        <v>426</v>
      </c>
      <c r="AA140" t="s">
        <v>409</v>
      </c>
      <c r="AB140" t="s">
        <v>1084</v>
      </c>
      <c r="AU140" t="s">
        <v>177</v>
      </c>
      <c r="AV140" t="s">
        <v>146</v>
      </c>
      <c r="AW140" t="s">
        <v>165</v>
      </c>
      <c r="AX140" t="s">
        <v>165</v>
      </c>
      <c r="AY140" s="70" t="s">
        <v>2422</v>
      </c>
      <c r="AZ140" s="70" t="s">
        <v>2428</v>
      </c>
      <c r="BA140" s="70">
        <v>0</v>
      </c>
      <c r="BB140" s="70" t="s">
        <v>2428</v>
      </c>
      <c r="BC140" s="70" t="s">
        <v>20</v>
      </c>
      <c r="BD140" s="70" t="s">
        <v>2420</v>
      </c>
      <c r="BE140" t="s">
        <v>165</v>
      </c>
      <c r="BF140" t="s">
        <v>23</v>
      </c>
      <c r="BG140" t="s">
        <v>155</v>
      </c>
      <c r="BH140" t="s">
        <v>166</v>
      </c>
      <c r="BI140" t="s">
        <v>25</v>
      </c>
      <c r="BJ140" t="s">
        <v>25</v>
      </c>
      <c r="BK140" s="70">
        <v>6</v>
      </c>
      <c r="BL140" s="70">
        <v>7</v>
      </c>
      <c r="BM140"/>
      <c r="BN140" t="s">
        <v>2542</v>
      </c>
      <c r="BO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 t="s">
        <v>2417</v>
      </c>
      <c r="CZ140"/>
      <c r="DL140"/>
      <c r="DM140" s="70" t="s">
        <v>1795</v>
      </c>
      <c r="DN140"/>
      <c r="DO140" s="70" t="s">
        <v>1795</v>
      </c>
      <c r="DP140" t="s">
        <v>2417</v>
      </c>
      <c r="DQ140" t="s">
        <v>2542</v>
      </c>
      <c r="DS140" t="s">
        <v>2015</v>
      </c>
      <c r="DT140" t="s">
        <v>1990</v>
      </c>
      <c r="DU140" t="s">
        <v>2016</v>
      </c>
      <c r="DV140"/>
    </row>
    <row r="141" spans="2:126" x14ac:dyDescent="0.25">
      <c r="B141">
        <v>40005613</v>
      </c>
      <c r="C141">
        <v>2</v>
      </c>
      <c r="D141">
        <v>4</v>
      </c>
      <c r="E141">
        <v>6</v>
      </c>
      <c r="F141">
        <v>1994</v>
      </c>
      <c r="G141">
        <v>11</v>
      </c>
      <c r="H141">
        <v>30</v>
      </c>
      <c r="I141">
        <v>2020</v>
      </c>
      <c r="J141" t="s">
        <v>612</v>
      </c>
      <c r="K141" t="s">
        <v>875</v>
      </c>
      <c r="L141">
        <v>96129421820</v>
      </c>
      <c r="M141" t="s">
        <v>1269</v>
      </c>
      <c r="N141" t="s">
        <v>471</v>
      </c>
      <c r="O141" t="s">
        <v>403</v>
      </c>
      <c r="P141" t="s">
        <v>1581</v>
      </c>
      <c r="Z141" t="s">
        <v>471</v>
      </c>
      <c r="AA141" t="s">
        <v>403</v>
      </c>
      <c r="AB141" t="s">
        <v>2409</v>
      </c>
      <c r="AU141" t="s">
        <v>165</v>
      </c>
      <c r="AV141" t="s">
        <v>159</v>
      </c>
      <c r="AW141" t="s">
        <v>22</v>
      </c>
      <c r="AX141" t="s">
        <v>149</v>
      </c>
      <c r="AY141" s="70" t="s">
        <v>17</v>
      </c>
      <c r="AZ141" s="70" t="s">
        <v>2428</v>
      </c>
      <c r="BA141" s="70">
        <v>0</v>
      </c>
      <c r="BB141" s="70" t="s">
        <v>2428</v>
      </c>
      <c r="BC141" s="70" t="s">
        <v>19</v>
      </c>
      <c r="BD141" s="70" t="s">
        <v>27</v>
      </c>
      <c r="BE141" t="s">
        <v>165</v>
      </c>
      <c r="BF141" t="s">
        <v>23</v>
      </c>
      <c r="BG141" t="s">
        <v>155</v>
      </c>
      <c r="BH141" t="s">
        <v>25</v>
      </c>
      <c r="BI141" t="s">
        <v>182</v>
      </c>
      <c r="BJ141" t="s">
        <v>25</v>
      </c>
      <c r="BK141" s="70">
        <v>3</v>
      </c>
      <c r="BL141" s="70">
        <v>1</v>
      </c>
      <c r="BM141"/>
      <c r="BN141" t="s">
        <v>2543</v>
      </c>
      <c r="BO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 t="s">
        <v>875</v>
      </c>
      <c r="CZ141"/>
      <c r="DL141"/>
      <c r="DM141" s="70" t="s">
        <v>1796</v>
      </c>
      <c r="DN141"/>
      <c r="DO141" s="70" t="s">
        <v>1796</v>
      </c>
      <c r="DP141" t="s">
        <v>875</v>
      </c>
      <c r="DQ141" t="s">
        <v>2543</v>
      </c>
      <c r="DS141" t="s">
        <v>2197</v>
      </c>
      <c r="DT141" t="s">
        <v>2002</v>
      </c>
      <c r="DU141" t="s">
        <v>2198</v>
      </c>
      <c r="DV141"/>
    </row>
    <row r="142" spans="2:126" x14ac:dyDescent="0.25">
      <c r="B142">
        <v>5951795</v>
      </c>
      <c r="C142">
        <v>1</v>
      </c>
      <c r="D142">
        <v>10</v>
      </c>
      <c r="E142">
        <v>27</v>
      </c>
      <c r="F142">
        <v>1979</v>
      </c>
      <c r="G142">
        <v>12</v>
      </c>
      <c r="H142">
        <v>21</v>
      </c>
      <c r="I142">
        <v>1998</v>
      </c>
      <c r="J142" t="s">
        <v>613</v>
      </c>
      <c r="K142" t="s">
        <v>876</v>
      </c>
      <c r="L142">
        <v>94977922122</v>
      </c>
      <c r="M142" t="s">
        <v>1270</v>
      </c>
      <c r="N142" t="s">
        <v>404</v>
      </c>
      <c r="O142" t="s">
        <v>1263</v>
      </c>
      <c r="P142" t="s">
        <v>1098</v>
      </c>
      <c r="Z142" t="s">
        <v>404</v>
      </c>
      <c r="AA142" t="s">
        <v>1263</v>
      </c>
      <c r="AB142" t="s">
        <v>1098</v>
      </c>
      <c r="AU142" t="s">
        <v>22</v>
      </c>
      <c r="AV142" t="s">
        <v>146</v>
      </c>
      <c r="AW142" t="s">
        <v>172</v>
      </c>
      <c r="AX142" t="s">
        <v>23</v>
      </c>
      <c r="AY142" s="70" t="s">
        <v>2420</v>
      </c>
      <c r="AZ142" s="70" t="s">
        <v>17</v>
      </c>
      <c r="BA142" s="70">
        <v>1</v>
      </c>
      <c r="BB142" s="70" t="s">
        <v>19</v>
      </c>
      <c r="BC142" s="70" t="s">
        <v>2418</v>
      </c>
      <c r="BD142" s="70" t="s">
        <v>2420</v>
      </c>
      <c r="BE142" t="s">
        <v>21</v>
      </c>
      <c r="BF142" t="s">
        <v>23</v>
      </c>
      <c r="BG142" t="s">
        <v>155</v>
      </c>
      <c r="BH142" t="s">
        <v>177</v>
      </c>
      <c r="BI142" t="s">
        <v>23</v>
      </c>
      <c r="BJ142" t="s">
        <v>182</v>
      </c>
      <c r="BK142" s="70">
        <v>2</v>
      </c>
      <c r="BL142" s="70">
        <v>3</v>
      </c>
      <c r="BM142"/>
      <c r="BN142" t="s">
        <v>2544</v>
      </c>
      <c r="BO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 t="s">
        <v>2695</v>
      </c>
      <c r="CZ142"/>
      <c r="DL142"/>
      <c r="DM142" s="70" t="s">
        <v>1797</v>
      </c>
      <c r="DN142"/>
      <c r="DO142" s="70" t="s">
        <v>1797</v>
      </c>
      <c r="DP142" t="s">
        <v>2695</v>
      </c>
      <c r="DQ142" t="s">
        <v>2544</v>
      </c>
      <c r="DS142" t="s">
        <v>2199</v>
      </c>
      <c r="DT142" t="s">
        <v>2129</v>
      </c>
      <c r="DU142" t="s">
        <v>2193</v>
      </c>
      <c r="DV142"/>
    </row>
    <row r="143" spans="2:126" x14ac:dyDescent="0.25">
      <c r="B143">
        <v>9179656</v>
      </c>
      <c r="C143">
        <v>1</v>
      </c>
      <c r="D143">
        <v>12</v>
      </c>
      <c r="E143">
        <v>28</v>
      </c>
      <c r="F143">
        <v>1990</v>
      </c>
      <c r="G143">
        <v>1</v>
      </c>
      <c r="H143">
        <v>4</v>
      </c>
      <c r="I143">
        <v>2016</v>
      </c>
      <c r="J143" t="s">
        <v>614</v>
      </c>
      <c r="K143" t="s">
        <v>877</v>
      </c>
      <c r="L143">
        <v>94119016957</v>
      </c>
      <c r="M143" t="s">
        <v>1271</v>
      </c>
      <c r="N143" t="s">
        <v>425</v>
      </c>
      <c r="O143" t="s">
        <v>437</v>
      </c>
      <c r="P143" t="s">
        <v>1582</v>
      </c>
      <c r="Z143" t="s">
        <v>425</v>
      </c>
      <c r="AA143" t="s">
        <v>437</v>
      </c>
      <c r="AB143" t="s">
        <v>83</v>
      </c>
      <c r="AU143" t="s">
        <v>165</v>
      </c>
      <c r="AV143" t="s">
        <v>170</v>
      </c>
      <c r="AW143" t="s">
        <v>25</v>
      </c>
      <c r="AX143" t="s">
        <v>153</v>
      </c>
      <c r="AY143" s="70" t="s">
        <v>17</v>
      </c>
      <c r="AZ143" s="70" t="s">
        <v>19</v>
      </c>
      <c r="BA143" s="70">
        <v>1</v>
      </c>
      <c r="BB143" s="70" t="s">
        <v>2418</v>
      </c>
      <c r="BC143" s="70" t="s">
        <v>2418</v>
      </c>
      <c r="BD143" s="70" t="s">
        <v>2422</v>
      </c>
      <c r="BE143" t="s">
        <v>21</v>
      </c>
      <c r="BF143" t="s">
        <v>23</v>
      </c>
      <c r="BG143" t="s">
        <v>155</v>
      </c>
      <c r="BH143" t="s">
        <v>25</v>
      </c>
      <c r="BI143" t="s">
        <v>23</v>
      </c>
      <c r="BJ143" t="s">
        <v>23</v>
      </c>
      <c r="BK143" s="70">
        <v>8</v>
      </c>
      <c r="BL143" s="70">
        <v>1</v>
      </c>
      <c r="BM143"/>
      <c r="BN143" t="s">
        <v>2545</v>
      </c>
      <c r="BO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 t="s">
        <v>877</v>
      </c>
      <c r="CZ143"/>
      <c r="DL143"/>
      <c r="DM143" s="70" t="s">
        <v>1798</v>
      </c>
      <c r="DN143"/>
      <c r="DO143" s="70" t="s">
        <v>1798</v>
      </c>
      <c r="DP143" t="s">
        <v>877</v>
      </c>
      <c r="DQ143" t="s">
        <v>2545</v>
      </c>
      <c r="DS143" t="s">
        <v>2200</v>
      </c>
      <c r="DT143" t="s">
        <v>2201</v>
      </c>
      <c r="DU143" t="s">
        <v>2054</v>
      </c>
      <c r="DV143"/>
    </row>
    <row r="144" spans="2:126" x14ac:dyDescent="0.25">
      <c r="B144">
        <v>7496181</v>
      </c>
      <c r="C144">
        <v>1</v>
      </c>
      <c r="D144">
        <v>2</v>
      </c>
      <c r="E144">
        <v>13</v>
      </c>
      <c r="F144">
        <v>1985</v>
      </c>
      <c r="G144">
        <v>3</v>
      </c>
      <c r="H144">
        <v>29</v>
      </c>
      <c r="I144">
        <v>2010</v>
      </c>
      <c r="J144" t="s">
        <v>615</v>
      </c>
      <c r="K144" t="s">
        <v>878</v>
      </c>
      <c r="L144">
        <v>94028511536</v>
      </c>
      <c r="M144" t="s">
        <v>1272</v>
      </c>
      <c r="N144" t="s">
        <v>1273</v>
      </c>
      <c r="O144" t="s">
        <v>1274</v>
      </c>
      <c r="P144" t="s">
        <v>81</v>
      </c>
      <c r="Z144" t="s">
        <v>1273</v>
      </c>
      <c r="AA144" t="s">
        <v>1274</v>
      </c>
      <c r="AB144" t="s">
        <v>81</v>
      </c>
      <c r="AU144" t="s">
        <v>22</v>
      </c>
      <c r="AV144" t="s">
        <v>146</v>
      </c>
      <c r="AW144" t="s">
        <v>177</v>
      </c>
      <c r="AX144" t="s">
        <v>177</v>
      </c>
      <c r="AY144" s="70" t="s">
        <v>2422</v>
      </c>
      <c r="AZ144" s="70" t="s">
        <v>2427</v>
      </c>
      <c r="BA144" s="70">
        <v>0</v>
      </c>
      <c r="BB144" s="70" t="s">
        <v>2418</v>
      </c>
      <c r="BC144" s="70" t="s">
        <v>20</v>
      </c>
      <c r="BD144" s="70" t="s">
        <v>18</v>
      </c>
      <c r="BE144" t="s">
        <v>21</v>
      </c>
      <c r="BF144" t="s">
        <v>23</v>
      </c>
      <c r="BG144" t="s">
        <v>155</v>
      </c>
      <c r="BH144" t="s">
        <v>165</v>
      </c>
      <c r="BI144" t="s">
        <v>166</v>
      </c>
      <c r="BJ144" t="s">
        <v>25</v>
      </c>
      <c r="BK144" s="70">
        <v>9</v>
      </c>
      <c r="BL144" s="70">
        <v>6</v>
      </c>
      <c r="BM144"/>
      <c r="BN144" t="s">
        <v>2546</v>
      </c>
      <c r="BO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 t="s">
        <v>878</v>
      </c>
      <c r="CZ144"/>
      <c r="DL144"/>
      <c r="DM144" s="70" t="s">
        <v>1799</v>
      </c>
      <c r="DN144"/>
      <c r="DO144" s="70" t="s">
        <v>1799</v>
      </c>
      <c r="DP144" t="s">
        <v>878</v>
      </c>
      <c r="DQ144" t="s">
        <v>2546</v>
      </c>
      <c r="DS144" t="s">
        <v>2202</v>
      </c>
      <c r="DT144" t="s">
        <v>2203</v>
      </c>
      <c r="DU144" t="s">
        <v>2204</v>
      </c>
      <c r="DV144"/>
    </row>
    <row r="145" spans="2:126" x14ac:dyDescent="0.25">
      <c r="B145">
        <v>5971826</v>
      </c>
      <c r="C145">
        <v>1</v>
      </c>
      <c r="D145">
        <v>12</v>
      </c>
      <c r="E145">
        <v>25</v>
      </c>
      <c r="F145">
        <v>1968</v>
      </c>
      <c r="G145">
        <v>10</v>
      </c>
      <c r="H145">
        <v>19</v>
      </c>
      <c r="I145">
        <v>1992</v>
      </c>
      <c r="J145" t="s">
        <v>616</v>
      </c>
      <c r="K145" t="s">
        <v>879</v>
      </c>
      <c r="L145">
        <v>10806310057</v>
      </c>
      <c r="M145" t="s">
        <v>1275</v>
      </c>
      <c r="N145" t="s">
        <v>1276</v>
      </c>
      <c r="O145" t="s">
        <v>1277</v>
      </c>
      <c r="P145" t="s">
        <v>1583</v>
      </c>
      <c r="Z145" t="s">
        <v>1276</v>
      </c>
      <c r="AA145" t="s">
        <v>1277</v>
      </c>
      <c r="AB145" t="s">
        <v>1065</v>
      </c>
      <c r="AU145" t="s">
        <v>25</v>
      </c>
      <c r="AV145" t="s">
        <v>170</v>
      </c>
      <c r="AW145" t="s">
        <v>146</v>
      </c>
      <c r="AX145" t="s">
        <v>161</v>
      </c>
      <c r="AY145" s="70" t="s">
        <v>27</v>
      </c>
      <c r="AZ145" s="70" t="s">
        <v>2422</v>
      </c>
      <c r="BA145" s="70">
        <v>1</v>
      </c>
      <c r="BB145" s="70" t="s">
        <v>2418</v>
      </c>
      <c r="BC145" s="70" t="s">
        <v>2418</v>
      </c>
      <c r="BD145" s="70" t="s">
        <v>2427</v>
      </c>
      <c r="BE145" t="s">
        <v>21</v>
      </c>
      <c r="BF145" t="s">
        <v>23</v>
      </c>
      <c r="BG145" t="s">
        <v>155</v>
      </c>
      <c r="BH145" t="s">
        <v>24</v>
      </c>
      <c r="BI145" t="s">
        <v>166</v>
      </c>
      <c r="BJ145" t="s">
        <v>177</v>
      </c>
      <c r="BK145" s="70">
        <v>4</v>
      </c>
      <c r="BL145" s="70">
        <v>6</v>
      </c>
      <c r="BM145"/>
      <c r="BN145" t="s">
        <v>2547</v>
      </c>
      <c r="BO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 t="s">
        <v>879</v>
      </c>
      <c r="CZ145"/>
      <c r="DL145"/>
      <c r="DM145" s="70" t="s">
        <v>1800</v>
      </c>
      <c r="DN145"/>
      <c r="DO145" s="70" t="s">
        <v>1800</v>
      </c>
      <c r="DP145" t="s">
        <v>879</v>
      </c>
      <c r="DQ145" t="s">
        <v>2547</v>
      </c>
      <c r="DS145" t="s">
        <v>2205</v>
      </c>
      <c r="DT145" t="s">
        <v>2206</v>
      </c>
      <c r="DU145" t="s">
        <v>2207</v>
      </c>
      <c r="DV145"/>
    </row>
    <row r="146" spans="2:126" x14ac:dyDescent="0.25">
      <c r="B146">
        <v>5960603</v>
      </c>
      <c r="C146">
        <v>2</v>
      </c>
      <c r="D146">
        <v>12</v>
      </c>
      <c r="E146">
        <v>27</v>
      </c>
      <c r="F146">
        <v>1979</v>
      </c>
      <c r="G146">
        <v>1</v>
      </c>
      <c r="H146">
        <v>7</v>
      </c>
      <c r="I146">
        <v>2008</v>
      </c>
      <c r="J146" t="s">
        <v>617</v>
      </c>
      <c r="K146" t="s">
        <v>880</v>
      </c>
      <c r="L146">
        <v>94957914180</v>
      </c>
      <c r="M146" t="s">
        <v>1278</v>
      </c>
      <c r="N146" t="s">
        <v>1279</v>
      </c>
      <c r="O146" t="s">
        <v>409</v>
      </c>
      <c r="P146" t="s">
        <v>1584</v>
      </c>
      <c r="Z146" t="s">
        <v>1279</v>
      </c>
      <c r="AA146" t="s">
        <v>409</v>
      </c>
      <c r="AB146" t="s">
        <v>442</v>
      </c>
      <c r="AU146" t="s">
        <v>21</v>
      </c>
      <c r="AV146" t="s">
        <v>180</v>
      </c>
      <c r="AW146" t="s">
        <v>165</v>
      </c>
      <c r="AX146" t="s">
        <v>161</v>
      </c>
      <c r="AY146" s="70" t="s">
        <v>2420</v>
      </c>
      <c r="AZ146" s="70" t="s">
        <v>17</v>
      </c>
      <c r="BA146" s="70">
        <v>1</v>
      </c>
      <c r="BB146" s="70" t="s">
        <v>2418</v>
      </c>
      <c r="BC146" s="70" t="s">
        <v>2418</v>
      </c>
      <c r="BD146" s="70" t="s">
        <v>2420</v>
      </c>
      <c r="BE146" t="s">
        <v>165</v>
      </c>
      <c r="BF146" t="s">
        <v>23</v>
      </c>
      <c r="BG146" t="s">
        <v>155</v>
      </c>
      <c r="BH146" t="s">
        <v>94</v>
      </c>
      <c r="BI146" t="s">
        <v>25</v>
      </c>
      <c r="BJ146" t="s">
        <v>166</v>
      </c>
      <c r="BK146" s="70">
        <v>1</v>
      </c>
      <c r="BL146" s="70">
        <v>7</v>
      </c>
      <c r="BM146"/>
      <c r="BN146" t="s">
        <v>2548</v>
      </c>
      <c r="BO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 t="s">
        <v>880</v>
      </c>
      <c r="CZ146"/>
      <c r="DL146"/>
      <c r="DM146" s="70" t="s">
        <v>1801</v>
      </c>
      <c r="DN146"/>
      <c r="DO146" s="70" t="s">
        <v>1801</v>
      </c>
      <c r="DP146" t="s">
        <v>880</v>
      </c>
      <c r="DQ146" t="s">
        <v>2548</v>
      </c>
      <c r="DS146" t="s">
        <v>2208</v>
      </c>
      <c r="DT146" t="s">
        <v>2209</v>
      </c>
      <c r="DU146" t="s">
        <v>2016</v>
      </c>
      <c r="DV146"/>
    </row>
    <row r="147" spans="2:126" x14ac:dyDescent="0.25">
      <c r="B147">
        <v>5956290</v>
      </c>
      <c r="C147">
        <v>1</v>
      </c>
      <c r="D147">
        <v>5</v>
      </c>
      <c r="E147">
        <v>31</v>
      </c>
      <c r="F147">
        <v>1969</v>
      </c>
      <c r="G147">
        <v>1</v>
      </c>
      <c r="H147">
        <v>8</v>
      </c>
      <c r="I147">
        <v>2007</v>
      </c>
      <c r="J147" t="s">
        <v>618</v>
      </c>
      <c r="K147" t="s">
        <v>881</v>
      </c>
      <c r="L147">
        <v>94906911543</v>
      </c>
      <c r="M147" t="s">
        <v>1280</v>
      </c>
      <c r="N147" t="s">
        <v>401</v>
      </c>
      <c r="O147" t="s">
        <v>435</v>
      </c>
      <c r="P147" t="s">
        <v>1330</v>
      </c>
      <c r="Z147" t="s">
        <v>401</v>
      </c>
      <c r="AA147" t="s">
        <v>435</v>
      </c>
      <c r="AB147" t="s">
        <v>1330</v>
      </c>
      <c r="AU147" t="s">
        <v>157</v>
      </c>
      <c r="AV147" t="s">
        <v>146</v>
      </c>
      <c r="AW147" t="s">
        <v>146</v>
      </c>
      <c r="AX147" t="s">
        <v>177</v>
      </c>
      <c r="AY147" s="70" t="s">
        <v>27</v>
      </c>
      <c r="AZ147" s="70" t="s">
        <v>17</v>
      </c>
      <c r="BA147" s="70">
        <v>0</v>
      </c>
      <c r="BB147" s="70" t="s">
        <v>2427</v>
      </c>
      <c r="BC147" s="70" t="s">
        <v>18</v>
      </c>
      <c r="BD147" s="70" t="s">
        <v>20</v>
      </c>
      <c r="BE147" t="s">
        <v>21</v>
      </c>
      <c r="BF147" t="s">
        <v>23</v>
      </c>
      <c r="BG147" t="s">
        <v>155</v>
      </c>
      <c r="BH147" t="s">
        <v>25</v>
      </c>
      <c r="BI147" t="s">
        <v>182</v>
      </c>
      <c r="BJ147" t="s">
        <v>24</v>
      </c>
      <c r="BK147" s="70">
        <v>7</v>
      </c>
      <c r="BL147" s="70">
        <v>6</v>
      </c>
      <c r="BM147"/>
      <c r="BN147" t="s">
        <v>2549</v>
      </c>
      <c r="BO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 t="s">
        <v>881</v>
      </c>
      <c r="CZ147"/>
      <c r="DL147"/>
      <c r="DM147" s="70" t="s">
        <v>1802</v>
      </c>
      <c r="DN147"/>
      <c r="DO147" s="70" t="s">
        <v>1802</v>
      </c>
      <c r="DP147" t="s">
        <v>881</v>
      </c>
      <c r="DQ147" t="s">
        <v>2549</v>
      </c>
      <c r="DS147" t="s">
        <v>2210</v>
      </c>
      <c r="DT147" t="s">
        <v>2063</v>
      </c>
      <c r="DU147" t="s">
        <v>2211</v>
      </c>
      <c r="DV147"/>
    </row>
    <row r="148" spans="2:126" x14ac:dyDescent="0.25">
      <c r="B148">
        <v>40013011</v>
      </c>
      <c r="C148">
        <v>2</v>
      </c>
      <c r="D148">
        <v>6</v>
      </c>
      <c r="E148">
        <v>14</v>
      </c>
      <c r="F148">
        <v>2001</v>
      </c>
      <c r="G148">
        <v>12</v>
      </c>
      <c r="H148">
        <v>4</v>
      </c>
      <c r="I148">
        <v>2023</v>
      </c>
      <c r="J148" t="s">
        <v>619</v>
      </c>
      <c r="K148" t="s">
        <v>882</v>
      </c>
      <c r="L148">
        <v>49160132194</v>
      </c>
      <c r="M148" t="s">
        <v>1281</v>
      </c>
      <c r="N148" t="s">
        <v>1103</v>
      </c>
      <c r="O148" t="s">
        <v>416</v>
      </c>
      <c r="P148" t="s">
        <v>1585</v>
      </c>
      <c r="Z148" t="s">
        <v>1103</v>
      </c>
      <c r="AA148" t="s">
        <v>416</v>
      </c>
      <c r="AB148" t="s">
        <v>100</v>
      </c>
      <c r="AU148" t="s">
        <v>146</v>
      </c>
      <c r="AV148" t="s">
        <v>146</v>
      </c>
      <c r="AW148" t="s">
        <v>157</v>
      </c>
      <c r="AX148" t="s">
        <v>153</v>
      </c>
      <c r="AY148" s="70" t="s">
        <v>19</v>
      </c>
      <c r="AZ148" s="70" t="s">
        <v>20</v>
      </c>
      <c r="BA148" s="70">
        <v>0</v>
      </c>
      <c r="BB148" s="70" t="s">
        <v>27</v>
      </c>
      <c r="BC148" s="70" t="s">
        <v>20</v>
      </c>
      <c r="BD148" s="70" t="s">
        <v>2428</v>
      </c>
      <c r="BE148" t="s">
        <v>165</v>
      </c>
      <c r="BF148" t="s">
        <v>23</v>
      </c>
      <c r="BG148" t="s">
        <v>155</v>
      </c>
      <c r="BH148" t="s">
        <v>172</v>
      </c>
      <c r="BI148" t="s">
        <v>166</v>
      </c>
      <c r="BJ148" t="s">
        <v>25</v>
      </c>
      <c r="BK148" s="70" t="s">
        <v>26</v>
      </c>
      <c r="BL148" s="70">
        <v>0</v>
      </c>
      <c r="BM148"/>
      <c r="BN148" t="s">
        <v>2550</v>
      </c>
      <c r="BO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 t="s">
        <v>882</v>
      </c>
      <c r="CZ148"/>
      <c r="DL148"/>
      <c r="DM148" s="70" t="s">
        <v>1803</v>
      </c>
      <c r="DN148"/>
      <c r="DO148" s="70" t="s">
        <v>1803</v>
      </c>
      <c r="DP148" t="s">
        <v>882</v>
      </c>
      <c r="DQ148" t="s">
        <v>2550</v>
      </c>
      <c r="DS148" t="s">
        <v>2212</v>
      </c>
      <c r="DT148" t="s">
        <v>2034</v>
      </c>
      <c r="DU148" t="s">
        <v>1966</v>
      </c>
      <c r="DV148"/>
    </row>
    <row r="149" spans="2:126" x14ac:dyDescent="0.25">
      <c r="B149">
        <v>40013012</v>
      </c>
      <c r="C149">
        <v>1</v>
      </c>
      <c r="D149">
        <v>2</v>
      </c>
      <c r="E149">
        <v>26</v>
      </c>
      <c r="F149">
        <v>1998</v>
      </c>
      <c r="G149">
        <v>12</v>
      </c>
      <c r="H149">
        <v>4</v>
      </c>
      <c r="I149">
        <v>2023</v>
      </c>
      <c r="J149" t="s">
        <v>620</v>
      </c>
      <c r="K149" t="s">
        <v>883</v>
      </c>
      <c r="L149">
        <v>3179812080</v>
      </c>
      <c r="M149" t="s">
        <v>1282</v>
      </c>
      <c r="N149" t="s">
        <v>482</v>
      </c>
      <c r="O149" t="s">
        <v>1283</v>
      </c>
      <c r="P149" t="s">
        <v>1586</v>
      </c>
      <c r="Z149" t="s">
        <v>482</v>
      </c>
      <c r="AA149" t="s">
        <v>1283</v>
      </c>
      <c r="AB149" t="s">
        <v>1284</v>
      </c>
      <c r="AU149" t="s">
        <v>177</v>
      </c>
      <c r="AV149" t="s">
        <v>170</v>
      </c>
      <c r="AW149" t="s">
        <v>22</v>
      </c>
      <c r="AX149" t="s">
        <v>149</v>
      </c>
      <c r="AY149" s="70" t="s">
        <v>17</v>
      </c>
      <c r="AZ149" s="70" t="s">
        <v>2422</v>
      </c>
      <c r="BA149" s="70">
        <v>0</v>
      </c>
      <c r="BB149" s="70" t="s">
        <v>2418</v>
      </c>
      <c r="BC149" s="70" t="s">
        <v>2418</v>
      </c>
      <c r="BD149" s="70" t="s">
        <v>27</v>
      </c>
      <c r="BE149" t="s">
        <v>21</v>
      </c>
      <c r="BF149" t="s">
        <v>23</v>
      </c>
      <c r="BG149" t="s">
        <v>155</v>
      </c>
      <c r="BH149" t="s">
        <v>177</v>
      </c>
      <c r="BI149" t="s">
        <v>165</v>
      </c>
      <c r="BJ149" t="s">
        <v>25</v>
      </c>
      <c r="BK149" s="70">
        <v>1</v>
      </c>
      <c r="BL149" s="70">
        <v>5</v>
      </c>
      <c r="BM149"/>
      <c r="BN149" t="s">
        <v>2551</v>
      </c>
      <c r="BO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 t="s">
        <v>883</v>
      </c>
      <c r="CZ149"/>
      <c r="DL149"/>
      <c r="DM149" s="70" t="s">
        <v>1804</v>
      </c>
      <c r="DN149"/>
      <c r="DO149" s="70" t="s">
        <v>1804</v>
      </c>
      <c r="DP149" t="s">
        <v>883</v>
      </c>
      <c r="DQ149" t="s">
        <v>2551</v>
      </c>
      <c r="DS149" t="s">
        <v>2213</v>
      </c>
      <c r="DT149" t="s">
        <v>2214</v>
      </c>
      <c r="DU149" t="s">
        <v>2215</v>
      </c>
      <c r="DV149"/>
    </row>
    <row r="150" spans="2:126" x14ac:dyDescent="0.25">
      <c r="B150">
        <v>40013014</v>
      </c>
      <c r="C150">
        <v>1</v>
      </c>
      <c r="D150">
        <v>3</v>
      </c>
      <c r="E150">
        <v>9</v>
      </c>
      <c r="F150">
        <v>1999</v>
      </c>
      <c r="G150">
        <v>12</v>
      </c>
      <c r="H150">
        <v>4</v>
      </c>
      <c r="I150">
        <v>2023</v>
      </c>
      <c r="J150" t="s">
        <v>621</v>
      </c>
      <c r="K150" t="s">
        <v>884</v>
      </c>
      <c r="L150">
        <v>5229940597</v>
      </c>
      <c r="M150" t="s">
        <v>1285</v>
      </c>
      <c r="N150" t="s">
        <v>1286</v>
      </c>
      <c r="O150" t="s">
        <v>1287</v>
      </c>
      <c r="P150" t="s">
        <v>1587</v>
      </c>
      <c r="Z150" t="s">
        <v>1286</v>
      </c>
      <c r="AA150" t="s">
        <v>1287</v>
      </c>
      <c r="AB150" t="s">
        <v>1288</v>
      </c>
      <c r="AU150" t="s">
        <v>149</v>
      </c>
      <c r="AV150" t="s">
        <v>153</v>
      </c>
      <c r="AW150" t="s">
        <v>165</v>
      </c>
      <c r="AX150" t="s">
        <v>165</v>
      </c>
      <c r="AY150" s="70" t="s">
        <v>17</v>
      </c>
      <c r="AZ150" s="70" t="s">
        <v>17</v>
      </c>
      <c r="BA150" s="70">
        <v>0</v>
      </c>
      <c r="BB150" s="70" t="s">
        <v>18</v>
      </c>
      <c r="BC150" s="70" t="s">
        <v>19</v>
      </c>
      <c r="BD150" s="70" t="s">
        <v>17</v>
      </c>
      <c r="BE150" t="s">
        <v>21</v>
      </c>
      <c r="BF150" t="s">
        <v>23</v>
      </c>
      <c r="BG150" t="s">
        <v>155</v>
      </c>
      <c r="BH150" t="s">
        <v>25</v>
      </c>
      <c r="BI150" t="s">
        <v>166</v>
      </c>
      <c r="BJ150" t="s">
        <v>166</v>
      </c>
      <c r="BK150" s="70">
        <v>8</v>
      </c>
      <c r="BL150" s="70">
        <v>8</v>
      </c>
      <c r="BM150"/>
      <c r="BN150" t="s">
        <v>2552</v>
      </c>
      <c r="BO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 t="s">
        <v>2696</v>
      </c>
      <c r="CZ150"/>
      <c r="DL150"/>
      <c r="DM150" s="70" t="s">
        <v>1805</v>
      </c>
      <c r="DN150"/>
      <c r="DO150" s="70" t="s">
        <v>1805</v>
      </c>
      <c r="DP150" t="s">
        <v>2696</v>
      </c>
      <c r="DQ150" t="s">
        <v>2552</v>
      </c>
      <c r="DS150" t="s">
        <v>2216</v>
      </c>
      <c r="DT150" t="s">
        <v>2217</v>
      </c>
      <c r="DU150" t="s">
        <v>2218</v>
      </c>
      <c r="DV150"/>
    </row>
    <row r="151" spans="2:126" x14ac:dyDescent="0.25">
      <c r="B151">
        <v>40013013</v>
      </c>
      <c r="C151">
        <v>1</v>
      </c>
      <c r="D151">
        <v>1</v>
      </c>
      <c r="E151">
        <v>18</v>
      </c>
      <c r="F151">
        <v>2002</v>
      </c>
      <c r="G151">
        <v>12</v>
      </c>
      <c r="H151">
        <v>4</v>
      </c>
      <c r="I151">
        <v>2023</v>
      </c>
      <c r="J151" t="s">
        <v>622</v>
      </c>
      <c r="K151" t="s">
        <v>885</v>
      </c>
      <c r="L151">
        <v>14170273487</v>
      </c>
      <c r="M151" t="s">
        <v>1289</v>
      </c>
      <c r="N151" t="s">
        <v>1202</v>
      </c>
      <c r="O151" t="s">
        <v>430</v>
      </c>
      <c r="P151" t="s">
        <v>1588</v>
      </c>
      <c r="Z151" t="s">
        <v>1202</v>
      </c>
      <c r="AA151" t="s">
        <v>430</v>
      </c>
      <c r="AB151" t="s">
        <v>1196</v>
      </c>
      <c r="AU151" t="s">
        <v>170</v>
      </c>
      <c r="AV151" t="s">
        <v>170</v>
      </c>
      <c r="AW151" t="s">
        <v>182</v>
      </c>
      <c r="AX151" t="s">
        <v>22</v>
      </c>
      <c r="AY151" s="70" t="s">
        <v>19</v>
      </c>
      <c r="AZ151" s="70" t="s">
        <v>2418</v>
      </c>
      <c r="BA151" s="70">
        <v>0</v>
      </c>
      <c r="BB151" s="70" t="s">
        <v>20</v>
      </c>
      <c r="BC151" s="70" t="s">
        <v>20</v>
      </c>
      <c r="BD151" s="70" t="s">
        <v>2422</v>
      </c>
      <c r="BE151" t="s">
        <v>21</v>
      </c>
      <c r="BF151" t="s">
        <v>23</v>
      </c>
      <c r="BG151" t="s">
        <v>155</v>
      </c>
      <c r="BH151" t="s">
        <v>24</v>
      </c>
      <c r="BI151" t="s">
        <v>26</v>
      </c>
      <c r="BJ151" t="s">
        <v>25</v>
      </c>
      <c r="BK151" s="70" t="s">
        <v>177</v>
      </c>
      <c r="BL151" s="70">
        <v>9</v>
      </c>
      <c r="BM151"/>
      <c r="BN151" t="s">
        <v>2553</v>
      </c>
      <c r="BO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 t="s">
        <v>885</v>
      </c>
      <c r="CZ151"/>
      <c r="DL151"/>
      <c r="DM151" s="70" t="s">
        <v>1806</v>
      </c>
      <c r="DN151"/>
      <c r="DO151" s="70" t="s">
        <v>1806</v>
      </c>
      <c r="DP151" t="s">
        <v>885</v>
      </c>
      <c r="DQ151" t="s">
        <v>2553</v>
      </c>
      <c r="DS151" t="s">
        <v>2219</v>
      </c>
      <c r="DT151" t="s">
        <v>2135</v>
      </c>
      <c r="DU151" t="s">
        <v>2089</v>
      </c>
      <c r="DV151"/>
    </row>
    <row r="152" spans="2:126" x14ac:dyDescent="0.25">
      <c r="B152">
        <v>5947828</v>
      </c>
      <c r="C152">
        <v>1</v>
      </c>
      <c r="D152">
        <v>3</v>
      </c>
      <c r="E152">
        <v>13</v>
      </c>
      <c r="F152">
        <v>1973</v>
      </c>
      <c r="G152">
        <v>3</v>
      </c>
      <c r="H152">
        <v>3</v>
      </c>
      <c r="I152">
        <v>2005</v>
      </c>
      <c r="J152" t="s">
        <v>623</v>
      </c>
      <c r="K152" t="s">
        <v>886</v>
      </c>
      <c r="L152">
        <v>16027304266</v>
      </c>
      <c r="M152" t="s">
        <v>1290</v>
      </c>
      <c r="N152" t="s">
        <v>1103</v>
      </c>
      <c r="O152" t="s">
        <v>479</v>
      </c>
      <c r="P152" t="s">
        <v>1589</v>
      </c>
      <c r="Z152" t="s">
        <v>1103</v>
      </c>
      <c r="AA152" t="s">
        <v>479</v>
      </c>
      <c r="AB152" t="s">
        <v>1291</v>
      </c>
      <c r="AU152" t="s">
        <v>146</v>
      </c>
      <c r="AV152" t="s">
        <v>146</v>
      </c>
      <c r="AW152" t="s">
        <v>170</v>
      </c>
      <c r="AX152" t="s">
        <v>166</v>
      </c>
      <c r="AY152" s="70" t="s">
        <v>2420</v>
      </c>
      <c r="AZ152" s="70" t="s">
        <v>18</v>
      </c>
      <c r="BA152" s="70">
        <v>0</v>
      </c>
      <c r="BB152" s="70" t="s">
        <v>18</v>
      </c>
      <c r="BC152" s="70" t="s">
        <v>20</v>
      </c>
      <c r="BD152" s="70" t="s">
        <v>18</v>
      </c>
      <c r="BE152" t="s">
        <v>21</v>
      </c>
      <c r="BF152" t="s">
        <v>23</v>
      </c>
      <c r="BG152" t="s">
        <v>155</v>
      </c>
      <c r="BH152" t="s">
        <v>172</v>
      </c>
      <c r="BI152" t="s">
        <v>22</v>
      </c>
      <c r="BJ152" t="s">
        <v>22</v>
      </c>
      <c r="BK152" s="70">
        <v>0</v>
      </c>
      <c r="BL152" s="70">
        <v>4</v>
      </c>
      <c r="BM152"/>
      <c r="BN152" t="s">
        <v>2554</v>
      </c>
      <c r="BO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 t="s">
        <v>886</v>
      </c>
      <c r="CZ152"/>
      <c r="DL152"/>
      <c r="DM152" s="70" t="s">
        <v>1807</v>
      </c>
      <c r="DN152"/>
      <c r="DO152" s="70" t="s">
        <v>1807</v>
      </c>
      <c r="DP152" t="s">
        <v>886</v>
      </c>
      <c r="DQ152" t="s">
        <v>2554</v>
      </c>
      <c r="DS152" t="s">
        <v>2220</v>
      </c>
      <c r="DT152" t="s">
        <v>2034</v>
      </c>
      <c r="DU152" t="s">
        <v>2221</v>
      </c>
      <c r="DV152"/>
    </row>
    <row r="153" spans="2:126" x14ac:dyDescent="0.25">
      <c r="B153">
        <v>9207781</v>
      </c>
      <c r="C153">
        <v>2</v>
      </c>
      <c r="D153">
        <v>12</v>
      </c>
      <c r="E153">
        <v>29</v>
      </c>
      <c r="F153">
        <v>1988</v>
      </c>
      <c r="G153">
        <v>2</v>
      </c>
      <c r="H153">
        <v>16</v>
      </c>
      <c r="I153">
        <v>2017</v>
      </c>
      <c r="J153" t="s">
        <v>624</v>
      </c>
      <c r="K153" t="s">
        <v>887</v>
      </c>
      <c r="L153">
        <v>15078829189</v>
      </c>
      <c r="M153" t="s">
        <v>1292</v>
      </c>
      <c r="N153" t="s">
        <v>1244</v>
      </c>
      <c r="O153" t="s">
        <v>1088</v>
      </c>
      <c r="P153" t="s">
        <v>1590</v>
      </c>
      <c r="Z153" t="s">
        <v>1244</v>
      </c>
      <c r="AA153" t="s">
        <v>1088</v>
      </c>
      <c r="AB153" t="s">
        <v>1161</v>
      </c>
      <c r="AU153" t="s">
        <v>161</v>
      </c>
      <c r="AV153" t="s">
        <v>159</v>
      </c>
      <c r="AW153" t="s">
        <v>155</v>
      </c>
      <c r="AX153" t="s">
        <v>166</v>
      </c>
      <c r="AY153" s="70" t="s">
        <v>2422</v>
      </c>
      <c r="AZ153" s="70" t="s">
        <v>2422</v>
      </c>
      <c r="BA153" s="70">
        <v>1</v>
      </c>
      <c r="BB153" s="70" t="s">
        <v>2418</v>
      </c>
      <c r="BC153" s="70" t="s">
        <v>2418</v>
      </c>
      <c r="BD153" s="70" t="s">
        <v>17</v>
      </c>
      <c r="BE153" t="s">
        <v>165</v>
      </c>
      <c r="BF153" t="s">
        <v>23</v>
      </c>
      <c r="BG153" t="s">
        <v>155</v>
      </c>
      <c r="BH153" t="s">
        <v>165</v>
      </c>
      <c r="BI153" t="s">
        <v>166</v>
      </c>
      <c r="BJ153" t="s">
        <v>166</v>
      </c>
      <c r="BK153" s="70">
        <v>7</v>
      </c>
      <c r="BL153" s="70">
        <v>2</v>
      </c>
      <c r="BM153"/>
      <c r="BN153" t="s">
        <v>2555</v>
      </c>
      <c r="BO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 t="s">
        <v>887</v>
      </c>
      <c r="CZ153"/>
      <c r="DL153"/>
      <c r="DM153" s="70" t="s">
        <v>1808</v>
      </c>
      <c r="DN153"/>
      <c r="DO153" s="70" t="s">
        <v>1808</v>
      </c>
      <c r="DP153" t="s">
        <v>887</v>
      </c>
      <c r="DQ153" t="s">
        <v>2555</v>
      </c>
      <c r="DS153" t="s">
        <v>2222</v>
      </c>
      <c r="DT153" t="s">
        <v>2175</v>
      </c>
      <c r="DU153" t="s">
        <v>2021</v>
      </c>
      <c r="DV153"/>
    </row>
    <row r="154" spans="2:126" x14ac:dyDescent="0.25">
      <c r="B154">
        <v>8470801</v>
      </c>
      <c r="C154">
        <v>2</v>
      </c>
      <c r="D154">
        <v>4</v>
      </c>
      <c r="E154">
        <v>4</v>
      </c>
      <c r="F154">
        <v>1976</v>
      </c>
      <c r="G154">
        <v>6</v>
      </c>
      <c r="H154">
        <v>3</v>
      </c>
      <c r="I154">
        <v>2013</v>
      </c>
      <c r="J154" t="s">
        <v>625</v>
      </c>
      <c r="K154" t="s">
        <v>888</v>
      </c>
      <c r="L154">
        <v>7007601748</v>
      </c>
      <c r="M154" t="s">
        <v>1293</v>
      </c>
      <c r="N154" t="s">
        <v>414</v>
      </c>
      <c r="O154" t="s">
        <v>471</v>
      </c>
      <c r="P154" t="s">
        <v>1591</v>
      </c>
      <c r="Z154" t="s">
        <v>414</v>
      </c>
      <c r="AA154" t="s">
        <v>471</v>
      </c>
      <c r="AB154" t="s">
        <v>1591</v>
      </c>
      <c r="AU154" t="s">
        <v>157</v>
      </c>
      <c r="AV154" t="s">
        <v>170</v>
      </c>
      <c r="AW154" t="s">
        <v>165</v>
      </c>
      <c r="AX154" t="s">
        <v>146</v>
      </c>
      <c r="AY154" s="70" t="s">
        <v>2420</v>
      </c>
      <c r="AZ154" s="70" t="s">
        <v>27</v>
      </c>
      <c r="BA154" s="70">
        <v>0</v>
      </c>
      <c r="BB154" s="70" t="s">
        <v>2428</v>
      </c>
      <c r="BC154" s="70" t="s">
        <v>19</v>
      </c>
      <c r="BD154" s="70" t="s">
        <v>2428</v>
      </c>
      <c r="BE154" t="s">
        <v>165</v>
      </c>
      <c r="BF154" t="s">
        <v>23</v>
      </c>
      <c r="BG154" t="s">
        <v>155</v>
      </c>
      <c r="BH154" t="s">
        <v>165</v>
      </c>
      <c r="BI154" t="s">
        <v>25</v>
      </c>
      <c r="BJ154" t="s">
        <v>24</v>
      </c>
      <c r="BK154" s="70">
        <v>7</v>
      </c>
      <c r="BL154" s="70">
        <v>6</v>
      </c>
      <c r="BM154"/>
      <c r="BN154" t="s">
        <v>2556</v>
      </c>
      <c r="BO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 t="s">
        <v>888</v>
      </c>
      <c r="CZ154"/>
      <c r="DL154"/>
      <c r="DM154" s="70" t="s">
        <v>1809</v>
      </c>
      <c r="DN154"/>
      <c r="DO154" s="70" t="s">
        <v>1809</v>
      </c>
      <c r="DP154" t="s">
        <v>888</v>
      </c>
      <c r="DQ154" t="s">
        <v>2556</v>
      </c>
      <c r="DS154" t="s">
        <v>2223</v>
      </c>
      <c r="DT154" t="s">
        <v>1946</v>
      </c>
      <c r="DU154" t="s">
        <v>2002</v>
      </c>
      <c r="DV154"/>
    </row>
    <row r="155" spans="2:126" x14ac:dyDescent="0.25">
      <c r="B155">
        <v>5977301</v>
      </c>
      <c r="C155">
        <v>1</v>
      </c>
      <c r="D155">
        <v>3</v>
      </c>
      <c r="E155">
        <v>13</v>
      </c>
      <c r="F155">
        <v>1976</v>
      </c>
      <c r="G155">
        <v>9</v>
      </c>
      <c r="H155">
        <v>15</v>
      </c>
      <c r="I155">
        <v>1997</v>
      </c>
      <c r="J155" t="s">
        <v>626</v>
      </c>
      <c r="K155" t="s">
        <v>889</v>
      </c>
      <c r="L155">
        <v>7967600045</v>
      </c>
      <c r="M155" t="s">
        <v>1294</v>
      </c>
      <c r="N155" t="s">
        <v>480</v>
      </c>
      <c r="O155" t="s">
        <v>480</v>
      </c>
      <c r="P155" t="s">
        <v>1592</v>
      </c>
      <c r="Z155" t="s">
        <v>480</v>
      </c>
      <c r="AA155" t="s">
        <v>480</v>
      </c>
      <c r="AB155" t="s">
        <v>1592</v>
      </c>
      <c r="AU155" t="s">
        <v>182</v>
      </c>
      <c r="AV155" t="s">
        <v>159</v>
      </c>
      <c r="AW155" t="s">
        <v>182</v>
      </c>
      <c r="AX155" t="s">
        <v>177</v>
      </c>
      <c r="AY155" s="70" t="s">
        <v>2420</v>
      </c>
      <c r="AZ155" s="70" t="s">
        <v>27</v>
      </c>
      <c r="BA155" s="70">
        <v>0</v>
      </c>
      <c r="BB155" s="70" t="s">
        <v>18</v>
      </c>
      <c r="BC155" s="70" t="s">
        <v>20</v>
      </c>
      <c r="BD155" s="70" t="s">
        <v>18</v>
      </c>
      <c r="BE155" t="s">
        <v>21</v>
      </c>
      <c r="BF155" t="s">
        <v>23</v>
      </c>
      <c r="BG155" t="s">
        <v>155</v>
      </c>
      <c r="BH155" t="s">
        <v>24</v>
      </c>
      <c r="BI155" t="s">
        <v>24</v>
      </c>
      <c r="BJ155" t="s">
        <v>24</v>
      </c>
      <c r="BK155" s="70">
        <v>2</v>
      </c>
      <c r="BL155" s="70">
        <v>5</v>
      </c>
      <c r="BM155"/>
      <c r="BN155" t="s">
        <v>2557</v>
      </c>
      <c r="BO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 t="s">
        <v>889</v>
      </c>
      <c r="CZ155"/>
      <c r="DL155"/>
      <c r="DM155" s="70" t="s">
        <v>1810</v>
      </c>
      <c r="DN155"/>
      <c r="DO155" s="70" t="s">
        <v>1810</v>
      </c>
      <c r="DP155" t="s">
        <v>889</v>
      </c>
      <c r="DQ155" t="s">
        <v>2557</v>
      </c>
      <c r="DS155" t="s">
        <v>2224</v>
      </c>
      <c r="DT155" t="s">
        <v>2225</v>
      </c>
      <c r="DU155" t="s">
        <v>2225</v>
      </c>
      <c r="DV155"/>
    </row>
    <row r="156" spans="2:126" x14ac:dyDescent="0.25">
      <c r="B156">
        <v>7437754</v>
      </c>
      <c r="C156">
        <v>1</v>
      </c>
      <c r="D156">
        <v>8</v>
      </c>
      <c r="E156">
        <v>21</v>
      </c>
      <c r="F156">
        <v>1987</v>
      </c>
      <c r="G156">
        <v>2</v>
      </c>
      <c r="H156">
        <v>6</v>
      </c>
      <c r="I156">
        <v>2013</v>
      </c>
      <c r="J156" t="s">
        <v>627</v>
      </c>
      <c r="K156" t="s">
        <v>890</v>
      </c>
      <c r="L156">
        <v>94098700084</v>
      </c>
      <c r="M156" t="s">
        <v>1295</v>
      </c>
      <c r="N156" t="s">
        <v>1296</v>
      </c>
      <c r="O156" t="s">
        <v>477</v>
      </c>
      <c r="P156" t="s">
        <v>55</v>
      </c>
      <c r="Z156" t="s">
        <v>1296</v>
      </c>
      <c r="AA156" t="s">
        <v>477</v>
      </c>
      <c r="AB156" t="s">
        <v>55</v>
      </c>
      <c r="AU156" t="s">
        <v>16</v>
      </c>
      <c r="AV156" t="s">
        <v>159</v>
      </c>
      <c r="AW156" t="s">
        <v>22</v>
      </c>
      <c r="AX156" t="s">
        <v>25</v>
      </c>
      <c r="AY156" s="70" t="s">
        <v>2422</v>
      </c>
      <c r="AZ156" s="70" t="s">
        <v>2420</v>
      </c>
      <c r="BA156" s="70">
        <v>0</v>
      </c>
      <c r="BB156" s="70" t="s">
        <v>2422</v>
      </c>
      <c r="BC156" s="70" t="s">
        <v>2418</v>
      </c>
      <c r="BD156" s="70" t="s">
        <v>20</v>
      </c>
      <c r="BE156" t="s">
        <v>21</v>
      </c>
      <c r="BF156" t="s">
        <v>23</v>
      </c>
      <c r="BG156" t="s">
        <v>155</v>
      </c>
      <c r="BH156" t="s">
        <v>166</v>
      </c>
      <c r="BI156" t="s">
        <v>166</v>
      </c>
      <c r="BJ156" t="s">
        <v>22</v>
      </c>
      <c r="BK156" s="70">
        <v>1</v>
      </c>
      <c r="BL156" s="70">
        <v>3</v>
      </c>
      <c r="BM156"/>
      <c r="BN156" t="s">
        <v>2558</v>
      </c>
      <c r="BO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 t="s">
        <v>890</v>
      </c>
      <c r="CZ156"/>
      <c r="DL156"/>
      <c r="DM156" s="70" t="s">
        <v>1811</v>
      </c>
      <c r="DN156"/>
      <c r="DO156" s="70" t="s">
        <v>1811</v>
      </c>
      <c r="DP156" t="s">
        <v>890</v>
      </c>
      <c r="DQ156" t="s">
        <v>2558</v>
      </c>
      <c r="DS156" t="s">
        <v>2226</v>
      </c>
      <c r="DT156" t="s">
        <v>2227</v>
      </c>
      <c r="DU156" t="s">
        <v>2228</v>
      </c>
      <c r="DV156"/>
    </row>
    <row r="157" spans="2:126" x14ac:dyDescent="0.25">
      <c r="B157">
        <v>40008672</v>
      </c>
      <c r="C157">
        <v>1</v>
      </c>
      <c r="D157">
        <v>7</v>
      </c>
      <c r="E157">
        <v>21</v>
      </c>
      <c r="F157">
        <v>1983</v>
      </c>
      <c r="G157">
        <v>8</v>
      </c>
      <c r="H157">
        <v>2</v>
      </c>
      <c r="I157">
        <v>2021</v>
      </c>
      <c r="J157" t="s">
        <v>628</v>
      </c>
      <c r="K157" t="s">
        <v>891</v>
      </c>
      <c r="L157">
        <v>28038310141</v>
      </c>
      <c r="M157" t="s">
        <v>1297</v>
      </c>
      <c r="N157" t="s">
        <v>399</v>
      </c>
      <c r="O157" t="s">
        <v>1298</v>
      </c>
      <c r="P157" t="s">
        <v>1593</v>
      </c>
      <c r="Z157" t="s">
        <v>399</v>
      </c>
      <c r="AA157" t="s">
        <v>1298</v>
      </c>
      <c r="AB157" t="s">
        <v>1299</v>
      </c>
      <c r="AU157" t="s">
        <v>165</v>
      </c>
      <c r="AV157" t="s">
        <v>153</v>
      </c>
      <c r="AW157" t="s">
        <v>165</v>
      </c>
      <c r="AX157" t="s">
        <v>165</v>
      </c>
      <c r="AY157" s="70" t="s">
        <v>2422</v>
      </c>
      <c r="AZ157" s="70" t="s">
        <v>18</v>
      </c>
      <c r="BA157" s="70">
        <v>0</v>
      </c>
      <c r="BB157" s="70" t="s">
        <v>2420</v>
      </c>
      <c r="BC157" s="70" t="s">
        <v>2418</v>
      </c>
      <c r="BD157" s="70" t="s">
        <v>20</v>
      </c>
      <c r="BE157" t="s">
        <v>21</v>
      </c>
      <c r="BF157" t="s">
        <v>23</v>
      </c>
      <c r="BG157" t="s">
        <v>155</v>
      </c>
      <c r="BH157" t="s">
        <v>166</v>
      </c>
      <c r="BI157" t="s">
        <v>166</v>
      </c>
      <c r="BJ157" t="s">
        <v>25</v>
      </c>
      <c r="BK157" s="70">
        <v>1</v>
      </c>
      <c r="BL157" s="70">
        <v>1</v>
      </c>
      <c r="BM157"/>
      <c r="BN157" t="s">
        <v>2559</v>
      </c>
      <c r="BO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 t="s">
        <v>891</v>
      </c>
      <c r="CZ157"/>
      <c r="DL157"/>
      <c r="DM157" s="70" t="s">
        <v>1812</v>
      </c>
      <c r="DN157"/>
      <c r="DO157" s="70" t="s">
        <v>1812</v>
      </c>
      <c r="DP157" t="s">
        <v>891</v>
      </c>
      <c r="DQ157" t="s">
        <v>2559</v>
      </c>
      <c r="DS157" t="s">
        <v>2229</v>
      </c>
      <c r="DT157" t="s">
        <v>1949</v>
      </c>
      <c r="DU157" t="s">
        <v>2230</v>
      </c>
      <c r="DV157"/>
    </row>
    <row r="158" spans="2:126" x14ac:dyDescent="0.25">
      <c r="B158">
        <v>5972385</v>
      </c>
      <c r="C158">
        <v>1</v>
      </c>
      <c r="D158">
        <v>12</v>
      </c>
      <c r="E158">
        <v>3</v>
      </c>
      <c r="F158">
        <v>1963</v>
      </c>
      <c r="G158">
        <v>7</v>
      </c>
      <c r="H158">
        <v>15</v>
      </c>
      <c r="I158">
        <v>1985</v>
      </c>
      <c r="J158" t="s">
        <v>629</v>
      </c>
      <c r="K158" t="s">
        <v>892</v>
      </c>
      <c r="L158">
        <v>67816367386</v>
      </c>
      <c r="M158" t="s">
        <v>1300</v>
      </c>
      <c r="N158" t="s">
        <v>420</v>
      </c>
      <c r="O158" t="s">
        <v>429</v>
      </c>
      <c r="P158" t="s">
        <v>443</v>
      </c>
      <c r="Z158" t="s">
        <v>420</v>
      </c>
      <c r="AA158" t="s">
        <v>429</v>
      </c>
      <c r="AB158" t="s">
        <v>56</v>
      </c>
      <c r="AU158" t="s">
        <v>25</v>
      </c>
      <c r="AV158" t="s">
        <v>180</v>
      </c>
      <c r="AW158" t="s">
        <v>165</v>
      </c>
      <c r="AX158" t="s">
        <v>155</v>
      </c>
      <c r="AY158" s="70" t="s">
        <v>27</v>
      </c>
      <c r="AZ158" s="70" t="s">
        <v>18</v>
      </c>
      <c r="BA158" s="70">
        <v>1</v>
      </c>
      <c r="BB158" s="70" t="s">
        <v>2418</v>
      </c>
      <c r="BC158" s="70" t="s">
        <v>19</v>
      </c>
      <c r="BD158" s="70" t="s">
        <v>18</v>
      </c>
      <c r="BE158" t="s">
        <v>21</v>
      </c>
      <c r="BF158" t="s">
        <v>23</v>
      </c>
      <c r="BG158" t="s">
        <v>155</v>
      </c>
      <c r="BH158" t="s">
        <v>26</v>
      </c>
      <c r="BI158" t="s">
        <v>161</v>
      </c>
      <c r="BJ158" t="s">
        <v>25</v>
      </c>
      <c r="BK158" s="70">
        <v>5</v>
      </c>
      <c r="BL158" s="70">
        <v>0</v>
      </c>
      <c r="BM158"/>
      <c r="BN158" t="s">
        <v>2560</v>
      </c>
      <c r="BO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 t="s">
        <v>892</v>
      </c>
      <c r="CZ158"/>
      <c r="DL158"/>
      <c r="DM158" s="70" t="s">
        <v>1813</v>
      </c>
      <c r="DN158"/>
      <c r="DO158" s="70" t="s">
        <v>1813</v>
      </c>
      <c r="DP158" t="s">
        <v>892</v>
      </c>
      <c r="DQ158" t="s">
        <v>2560</v>
      </c>
      <c r="DS158" t="s">
        <v>2148</v>
      </c>
      <c r="DT158" t="s">
        <v>2060</v>
      </c>
      <c r="DU158" t="s">
        <v>2179</v>
      </c>
      <c r="DV158"/>
    </row>
    <row r="159" spans="2:126" x14ac:dyDescent="0.25">
      <c r="B159">
        <v>5968248</v>
      </c>
      <c r="C159">
        <v>1</v>
      </c>
      <c r="D159">
        <v>12</v>
      </c>
      <c r="E159">
        <v>2</v>
      </c>
      <c r="F159">
        <v>1965</v>
      </c>
      <c r="G159">
        <v>11</v>
      </c>
      <c r="H159">
        <v>1</v>
      </c>
      <c r="I159">
        <v>1996</v>
      </c>
      <c r="J159" t="s">
        <v>630</v>
      </c>
      <c r="K159" t="s">
        <v>893</v>
      </c>
      <c r="L159">
        <v>42856653474</v>
      </c>
      <c r="M159" t="s">
        <v>1301</v>
      </c>
      <c r="N159" t="s">
        <v>1302</v>
      </c>
      <c r="O159" t="s">
        <v>1303</v>
      </c>
      <c r="P159" t="s">
        <v>54</v>
      </c>
      <c r="Z159" t="s">
        <v>1302</v>
      </c>
      <c r="AA159" t="s">
        <v>1303</v>
      </c>
      <c r="AB159" t="s">
        <v>54</v>
      </c>
      <c r="AU159" t="s">
        <v>172</v>
      </c>
      <c r="AV159" t="s">
        <v>153</v>
      </c>
      <c r="AW159" t="s">
        <v>22</v>
      </c>
      <c r="AX159" t="s">
        <v>157</v>
      </c>
      <c r="AY159" s="70" t="s">
        <v>27</v>
      </c>
      <c r="AZ159" s="70" t="s">
        <v>2427</v>
      </c>
      <c r="BA159" s="70">
        <v>1</v>
      </c>
      <c r="BB159" s="70" t="s">
        <v>2418</v>
      </c>
      <c r="BC159" s="70" t="s">
        <v>19</v>
      </c>
      <c r="BD159" s="70" t="s">
        <v>2418</v>
      </c>
      <c r="BE159" t="s">
        <v>21</v>
      </c>
      <c r="BF159" t="s">
        <v>23</v>
      </c>
      <c r="BG159" t="s">
        <v>155</v>
      </c>
      <c r="BH159" t="s">
        <v>24</v>
      </c>
      <c r="BI159" t="s">
        <v>166</v>
      </c>
      <c r="BJ159" t="s">
        <v>24</v>
      </c>
      <c r="BK159" s="70">
        <v>1</v>
      </c>
      <c r="BL159" s="70">
        <v>4</v>
      </c>
      <c r="BM159"/>
      <c r="BN159" t="s">
        <v>2561</v>
      </c>
      <c r="BO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 t="s">
        <v>893</v>
      </c>
      <c r="CZ159"/>
      <c r="DL159"/>
      <c r="DM159" s="70" t="s">
        <v>1814</v>
      </c>
      <c r="DN159"/>
      <c r="DO159" s="70" t="s">
        <v>1814</v>
      </c>
      <c r="DP159" t="s">
        <v>893</v>
      </c>
      <c r="DQ159" t="s">
        <v>2561</v>
      </c>
      <c r="DS159" t="s">
        <v>2231</v>
      </c>
      <c r="DT159" t="s">
        <v>2232</v>
      </c>
      <c r="DU159" t="s">
        <v>2233</v>
      </c>
      <c r="DV159"/>
    </row>
    <row r="160" spans="2:126" x14ac:dyDescent="0.25">
      <c r="B160">
        <v>40002805</v>
      </c>
      <c r="C160">
        <v>2</v>
      </c>
      <c r="D160">
        <v>12</v>
      </c>
      <c r="E160">
        <v>14</v>
      </c>
      <c r="F160">
        <v>1995</v>
      </c>
      <c r="G160">
        <v>4</v>
      </c>
      <c r="H160">
        <v>1</v>
      </c>
      <c r="I160">
        <v>2019</v>
      </c>
      <c r="J160" t="s">
        <v>631</v>
      </c>
      <c r="K160" t="s">
        <v>894</v>
      </c>
      <c r="L160">
        <v>94109522758</v>
      </c>
      <c r="M160" t="s">
        <v>1304</v>
      </c>
      <c r="N160" t="s">
        <v>1305</v>
      </c>
      <c r="O160" t="s">
        <v>407</v>
      </c>
      <c r="P160" t="s">
        <v>96</v>
      </c>
      <c r="Z160" t="s">
        <v>1305</v>
      </c>
      <c r="AA160" t="s">
        <v>407</v>
      </c>
      <c r="AB160" t="s">
        <v>96</v>
      </c>
      <c r="AU160" t="s">
        <v>174</v>
      </c>
      <c r="AV160" t="s">
        <v>180</v>
      </c>
      <c r="AW160" t="s">
        <v>24</v>
      </c>
      <c r="AX160" t="s">
        <v>159</v>
      </c>
      <c r="AY160" s="70" t="s">
        <v>17</v>
      </c>
      <c r="AZ160" s="70" t="s">
        <v>2427</v>
      </c>
      <c r="BA160" s="70">
        <v>1</v>
      </c>
      <c r="BB160" s="70" t="s">
        <v>2418</v>
      </c>
      <c r="BC160" s="70" t="s">
        <v>20</v>
      </c>
      <c r="BD160" s="70" t="s">
        <v>2428</v>
      </c>
      <c r="BE160" t="s">
        <v>165</v>
      </c>
      <c r="BF160" t="s">
        <v>23</v>
      </c>
      <c r="BG160" t="s">
        <v>155</v>
      </c>
      <c r="BH160" t="s">
        <v>166</v>
      </c>
      <c r="BI160" t="s">
        <v>172</v>
      </c>
      <c r="BJ160" t="s">
        <v>182</v>
      </c>
      <c r="BK160" s="70">
        <v>8</v>
      </c>
      <c r="BL160" s="70">
        <v>8</v>
      </c>
      <c r="BM160"/>
      <c r="BN160" t="s">
        <v>2562</v>
      </c>
      <c r="BO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 t="s">
        <v>894</v>
      </c>
      <c r="CZ160"/>
      <c r="DL160"/>
      <c r="DM160" s="70" t="s">
        <v>1815</v>
      </c>
      <c r="DN160"/>
      <c r="DO160" s="70" t="s">
        <v>1815</v>
      </c>
      <c r="DP160" t="s">
        <v>894</v>
      </c>
      <c r="DQ160" t="s">
        <v>2562</v>
      </c>
      <c r="DS160" t="s">
        <v>2146</v>
      </c>
      <c r="DT160" t="s">
        <v>2234</v>
      </c>
      <c r="DU160" t="s">
        <v>1980</v>
      </c>
      <c r="DV160"/>
    </row>
    <row r="161" spans="2:126" x14ac:dyDescent="0.25">
      <c r="B161">
        <v>9176541</v>
      </c>
      <c r="C161">
        <v>1</v>
      </c>
      <c r="D161">
        <v>2</v>
      </c>
      <c r="E161">
        <v>4</v>
      </c>
      <c r="F161">
        <v>1983</v>
      </c>
      <c r="G161">
        <v>11</v>
      </c>
      <c r="H161">
        <v>3</v>
      </c>
      <c r="I161">
        <v>2015</v>
      </c>
      <c r="J161" t="s">
        <v>632</v>
      </c>
      <c r="K161" t="s">
        <v>895</v>
      </c>
      <c r="L161">
        <v>94028330309</v>
      </c>
      <c r="M161" t="s">
        <v>1306</v>
      </c>
      <c r="N161" t="s">
        <v>437</v>
      </c>
      <c r="O161" t="s">
        <v>1307</v>
      </c>
      <c r="P161" t="s">
        <v>86</v>
      </c>
      <c r="Z161" t="s">
        <v>437</v>
      </c>
      <c r="AA161" t="s">
        <v>1307</v>
      </c>
      <c r="AB161" t="s">
        <v>86</v>
      </c>
      <c r="AU161" t="s">
        <v>25</v>
      </c>
      <c r="AV161" t="s">
        <v>170</v>
      </c>
      <c r="AW161" t="s">
        <v>22</v>
      </c>
      <c r="AX161" t="s">
        <v>157</v>
      </c>
      <c r="AY161" s="70" t="s">
        <v>2422</v>
      </c>
      <c r="AZ161" s="70" t="s">
        <v>18</v>
      </c>
      <c r="BA161" s="70">
        <v>0</v>
      </c>
      <c r="BB161" s="70" t="s">
        <v>2418</v>
      </c>
      <c r="BC161" s="70" t="s">
        <v>19</v>
      </c>
      <c r="BD161" s="70" t="s">
        <v>2428</v>
      </c>
      <c r="BE161" t="s">
        <v>21</v>
      </c>
      <c r="BF161" t="s">
        <v>23</v>
      </c>
      <c r="BG161" t="s">
        <v>155</v>
      </c>
      <c r="BH161" t="s">
        <v>23</v>
      </c>
      <c r="BI161" t="s">
        <v>24</v>
      </c>
      <c r="BJ161" t="s">
        <v>24</v>
      </c>
      <c r="BK161" s="70">
        <v>2</v>
      </c>
      <c r="BL161" s="70">
        <v>3</v>
      </c>
      <c r="BM161"/>
      <c r="BN161" t="s">
        <v>2563</v>
      </c>
      <c r="BO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 t="s">
        <v>895</v>
      </c>
      <c r="CZ161"/>
      <c r="DL161"/>
      <c r="DM161" s="70" t="s">
        <v>1816</v>
      </c>
      <c r="DN161"/>
      <c r="DO161" s="70" t="s">
        <v>1816</v>
      </c>
      <c r="DP161" t="s">
        <v>895</v>
      </c>
      <c r="DQ161" t="s">
        <v>2563</v>
      </c>
      <c r="DS161" t="s">
        <v>2235</v>
      </c>
      <c r="DT161" t="s">
        <v>2054</v>
      </c>
      <c r="DU161" t="s">
        <v>2236</v>
      </c>
      <c r="DV161"/>
    </row>
    <row r="162" spans="2:126" x14ac:dyDescent="0.25">
      <c r="B162">
        <v>5954247</v>
      </c>
      <c r="C162">
        <v>1</v>
      </c>
      <c r="D162">
        <v>8</v>
      </c>
      <c r="E162">
        <v>18</v>
      </c>
      <c r="F162">
        <v>1971</v>
      </c>
      <c r="G162">
        <v>9</v>
      </c>
      <c r="H162">
        <v>1</v>
      </c>
      <c r="I162">
        <v>1990</v>
      </c>
      <c r="J162" t="s">
        <v>633</v>
      </c>
      <c r="K162" t="s">
        <v>896</v>
      </c>
      <c r="L162">
        <v>94907133279</v>
      </c>
      <c r="M162" t="s">
        <v>1308</v>
      </c>
      <c r="N162" t="s">
        <v>1309</v>
      </c>
      <c r="O162" t="s">
        <v>410</v>
      </c>
      <c r="P162" t="s">
        <v>441</v>
      </c>
      <c r="Z162" t="s">
        <v>1309</v>
      </c>
      <c r="AA162" t="s">
        <v>410</v>
      </c>
      <c r="AB162" t="s">
        <v>69</v>
      </c>
      <c r="AU162" t="s">
        <v>153</v>
      </c>
      <c r="AV162" t="s">
        <v>159</v>
      </c>
      <c r="AW162" t="s">
        <v>21</v>
      </c>
      <c r="AX162" t="s">
        <v>146</v>
      </c>
      <c r="AY162" s="70" t="s">
        <v>2420</v>
      </c>
      <c r="AZ162" s="70" t="s">
        <v>20</v>
      </c>
      <c r="BA162" s="70">
        <v>0</v>
      </c>
      <c r="BB162" s="70" t="s">
        <v>2422</v>
      </c>
      <c r="BC162" s="70" t="s">
        <v>20</v>
      </c>
      <c r="BD162" s="70" t="s">
        <v>2422</v>
      </c>
      <c r="BE162" t="s">
        <v>21</v>
      </c>
      <c r="BF162" t="s">
        <v>23</v>
      </c>
      <c r="BG162" t="s">
        <v>155</v>
      </c>
      <c r="BH162" t="s">
        <v>166</v>
      </c>
      <c r="BI162" t="s">
        <v>25</v>
      </c>
      <c r="BJ162" t="s">
        <v>166</v>
      </c>
      <c r="BK162" s="70">
        <v>4</v>
      </c>
      <c r="BL162" s="70">
        <v>5</v>
      </c>
      <c r="BM162"/>
      <c r="BN162" t="s">
        <v>2564</v>
      </c>
      <c r="BO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 t="s">
        <v>896</v>
      </c>
      <c r="CZ162"/>
      <c r="DL162"/>
      <c r="DM162" s="70" t="s">
        <v>1817</v>
      </c>
      <c r="DN162"/>
      <c r="DO162" s="70" t="s">
        <v>1817</v>
      </c>
      <c r="DP162" t="s">
        <v>896</v>
      </c>
      <c r="DQ162" t="s">
        <v>2564</v>
      </c>
      <c r="DS162" t="s">
        <v>2237</v>
      </c>
      <c r="DT162" t="s">
        <v>2238</v>
      </c>
      <c r="DU162" t="s">
        <v>1987</v>
      </c>
      <c r="DV162"/>
    </row>
    <row r="163" spans="2:126" x14ac:dyDescent="0.25">
      <c r="B163">
        <v>8724145</v>
      </c>
      <c r="C163">
        <v>2</v>
      </c>
      <c r="D163">
        <v>3</v>
      </c>
      <c r="E163">
        <v>13</v>
      </c>
      <c r="F163">
        <v>1988</v>
      </c>
      <c r="G163">
        <v>5</v>
      </c>
      <c r="H163">
        <v>5</v>
      </c>
      <c r="I163">
        <v>2014</v>
      </c>
      <c r="J163" t="s">
        <v>634</v>
      </c>
      <c r="K163" t="s">
        <v>897</v>
      </c>
      <c r="L163">
        <v>94068816621</v>
      </c>
      <c r="M163" t="s">
        <v>1310</v>
      </c>
      <c r="N163" t="s">
        <v>473</v>
      </c>
      <c r="O163" t="s">
        <v>418</v>
      </c>
      <c r="P163" t="s">
        <v>1594</v>
      </c>
      <c r="Z163" t="s">
        <v>473</v>
      </c>
      <c r="AA163" t="s">
        <v>418</v>
      </c>
      <c r="AB163" t="s">
        <v>90</v>
      </c>
      <c r="AU163" t="s">
        <v>149</v>
      </c>
      <c r="AV163" t="s">
        <v>146</v>
      </c>
      <c r="AW163" t="s">
        <v>172</v>
      </c>
      <c r="AX163" t="s">
        <v>153</v>
      </c>
      <c r="AY163" s="70" t="s">
        <v>2422</v>
      </c>
      <c r="AZ163" s="70" t="s">
        <v>2422</v>
      </c>
      <c r="BA163" s="70">
        <v>0</v>
      </c>
      <c r="BB163" s="70" t="s">
        <v>18</v>
      </c>
      <c r="BC163" s="70" t="s">
        <v>20</v>
      </c>
      <c r="BD163" s="70" t="s">
        <v>18</v>
      </c>
      <c r="BE163" t="s">
        <v>165</v>
      </c>
      <c r="BF163" t="s">
        <v>23</v>
      </c>
      <c r="BG163" t="s">
        <v>155</v>
      </c>
      <c r="BH163" t="s">
        <v>16</v>
      </c>
      <c r="BI163" t="s">
        <v>25</v>
      </c>
      <c r="BJ163" t="s">
        <v>23</v>
      </c>
      <c r="BK163" s="70">
        <v>2</v>
      </c>
      <c r="BL163" s="70">
        <v>4</v>
      </c>
      <c r="BM163"/>
      <c r="BN163" t="s">
        <v>2565</v>
      </c>
      <c r="BO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 t="s">
        <v>897</v>
      </c>
      <c r="CZ163"/>
      <c r="DL163"/>
      <c r="DM163" s="70" t="s">
        <v>1818</v>
      </c>
      <c r="DN163"/>
      <c r="DO163" s="70" t="s">
        <v>1818</v>
      </c>
      <c r="DP163" t="s">
        <v>897</v>
      </c>
      <c r="DQ163" t="s">
        <v>2565</v>
      </c>
      <c r="DS163" t="s">
        <v>2239</v>
      </c>
      <c r="DT163" t="s">
        <v>2240</v>
      </c>
      <c r="DU163" t="s">
        <v>1981</v>
      </c>
      <c r="DV163"/>
    </row>
    <row r="164" spans="2:126" x14ac:dyDescent="0.25">
      <c r="B164">
        <v>5992955</v>
      </c>
      <c r="C164">
        <v>2</v>
      </c>
      <c r="D164">
        <v>1</v>
      </c>
      <c r="E164">
        <v>5</v>
      </c>
      <c r="F164">
        <v>1966</v>
      </c>
      <c r="G164">
        <v>12</v>
      </c>
      <c r="H164">
        <v>1</v>
      </c>
      <c r="I164">
        <v>2005</v>
      </c>
      <c r="J164" t="s">
        <v>635</v>
      </c>
      <c r="K164" t="s">
        <v>898</v>
      </c>
      <c r="L164">
        <v>7906601062</v>
      </c>
      <c r="M164" t="s">
        <v>1311</v>
      </c>
      <c r="N164" t="s">
        <v>93</v>
      </c>
      <c r="O164" t="s">
        <v>410</v>
      </c>
      <c r="P164" t="s">
        <v>1288</v>
      </c>
      <c r="Z164" t="s">
        <v>93</v>
      </c>
      <c r="AA164" t="s">
        <v>410</v>
      </c>
      <c r="AB164" t="s">
        <v>1288</v>
      </c>
      <c r="AU164" t="s">
        <v>21</v>
      </c>
      <c r="AV164" t="s">
        <v>159</v>
      </c>
      <c r="AW164" t="s">
        <v>21</v>
      </c>
      <c r="AX164" t="s">
        <v>165</v>
      </c>
      <c r="AY164" s="70" t="s">
        <v>27</v>
      </c>
      <c r="AZ164" s="70" t="s">
        <v>27</v>
      </c>
      <c r="BA164" s="70">
        <v>0</v>
      </c>
      <c r="BB164" s="70" t="s">
        <v>20</v>
      </c>
      <c r="BC164" s="70" t="s">
        <v>19</v>
      </c>
      <c r="BD164" s="70" t="s">
        <v>2427</v>
      </c>
      <c r="BE164" t="s">
        <v>165</v>
      </c>
      <c r="BF164" t="s">
        <v>23</v>
      </c>
      <c r="BG164" t="s">
        <v>155</v>
      </c>
      <c r="BH164" t="s">
        <v>23</v>
      </c>
      <c r="BI164" t="s">
        <v>25</v>
      </c>
      <c r="BJ164" t="s">
        <v>166</v>
      </c>
      <c r="BK164" s="70">
        <v>6</v>
      </c>
      <c r="BL164" s="70">
        <v>9</v>
      </c>
      <c r="BM164"/>
      <c r="BN164" t="s">
        <v>2566</v>
      </c>
      <c r="BO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 t="s">
        <v>898</v>
      </c>
      <c r="CZ164"/>
      <c r="DL164"/>
      <c r="DM164" s="70" t="s">
        <v>1819</v>
      </c>
      <c r="DN164"/>
      <c r="DO164" s="70" t="s">
        <v>1819</v>
      </c>
      <c r="DP164" t="s">
        <v>898</v>
      </c>
      <c r="DQ164" t="s">
        <v>2566</v>
      </c>
      <c r="DS164" t="s">
        <v>2241</v>
      </c>
      <c r="DT164" t="s">
        <v>2242</v>
      </c>
      <c r="DU164" t="s">
        <v>1987</v>
      </c>
      <c r="DV164"/>
    </row>
    <row r="165" spans="2:126" x14ac:dyDescent="0.25">
      <c r="B165">
        <v>6009880</v>
      </c>
      <c r="C165">
        <v>1</v>
      </c>
      <c r="D165">
        <v>3</v>
      </c>
      <c r="E165">
        <v>7</v>
      </c>
      <c r="F165">
        <v>1985</v>
      </c>
      <c r="G165">
        <v>1</v>
      </c>
      <c r="H165">
        <v>30</v>
      </c>
      <c r="I165">
        <v>2006</v>
      </c>
      <c r="J165" t="s">
        <v>636</v>
      </c>
      <c r="K165" t="s">
        <v>899</v>
      </c>
      <c r="L165">
        <v>96038520399</v>
      </c>
      <c r="M165" t="s">
        <v>1312</v>
      </c>
      <c r="N165" t="s">
        <v>1039</v>
      </c>
      <c r="O165" t="s">
        <v>415</v>
      </c>
      <c r="P165" t="s">
        <v>72</v>
      </c>
      <c r="Z165" t="s">
        <v>1039</v>
      </c>
      <c r="AA165" t="s">
        <v>415</v>
      </c>
      <c r="AB165" t="s">
        <v>444</v>
      </c>
      <c r="AU165" t="s">
        <v>22</v>
      </c>
      <c r="AV165" t="s">
        <v>170</v>
      </c>
      <c r="AW165" t="s">
        <v>25</v>
      </c>
      <c r="AX165" t="s">
        <v>165</v>
      </c>
      <c r="AY165" s="70" t="s">
        <v>2422</v>
      </c>
      <c r="AZ165" s="70" t="s">
        <v>2427</v>
      </c>
      <c r="BA165" s="70">
        <v>0</v>
      </c>
      <c r="BB165" s="70" t="s">
        <v>18</v>
      </c>
      <c r="BC165" s="70" t="s">
        <v>19</v>
      </c>
      <c r="BD165" s="70" t="s">
        <v>2420</v>
      </c>
      <c r="BE165" t="s">
        <v>21</v>
      </c>
      <c r="BF165" t="s">
        <v>23</v>
      </c>
      <c r="BG165" t="s">
        <v>155</v>
      </c>
      <c r="BH165" t="s">
        <v>25</v>
      </c>
      <c r="BI165" t="s">
        <v>165</v>
      </c>
      <c r="BJ165" t="s">
        <v>157</v>
      </c>
      <c r="BK165" s="70">
        <v>1</v>
      </c>
      <c r="BL165" s="70">
        <v>8</v>
      </c>
      <c r="BM165"/>
      <c r="BN165" t="s">
        <v>2567</v>
      </c>
      <c r="BO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 t="s">
        <v>899</v>
      </c>
      <c r="CZ165"/>
      <c r="DL165"/>
      <c r="DM165" s="70" t="s">
        <v>1820</v>
      </c>
      <c r="DN165"/>
      <c r="DO165" s="70" t="s">
        <v>1820</v>
      </c>
      <c r="DP165" t="s">
        <v>899</v>
      </c>
      <c r="DQ165" t="s">
        <v>2567</v>
      </c>
      <c r="DS165" t="s">
        <v>2001</v>
      </c>
      <c r="DT165" t="s">
        <v>1963</v>
      </c>
      <c r="DU165" t="s">
        <v>2024</v>
      </c>
      <c r="DV165"/>
    </row>
    <row r="166" spans="2:126" x14ac:dyDescent="0.25">
      <c r="B166">
        <v>5960212</v>
      </c>
      <c r="C166">
        <v>2</v>
      </c>
      <c r="D166">
        <v>6</v>
      </c>
      <c r="E166">
        <v>15</v>
      </c>
      <c r="F166">
        <v>1978</v>
      </c>
      <c r="G166">
        <v>1</v>
      </c>
      <c r="H166">
        <v>6</v>
      </c>
      <c r="I166">
        <v>2003</v>
      </c>
      <c r="J166" t="s">
        <v>637</v>
      </c>
      <c r="K166" t="s">
        <v>900</v>
      </c>
      <c r="L166">
        <v>94947808799</v>
      </c>
      <c r="M166" t="s">
        <v>1313</v>
      </c>
      <c r="N166" t="s">
        <v>410</v>
      </c>
      <c r="O166" t="s">
        <v>472</v>
      </c>
      <c r="P166" t="s">
        <v>71</v>
      </c>
      <c r="Z166" t="s">
        <v>410</v>
      </c>
      <c r="AA166" t="s">
        <v>472</v>
      </c>
      <c r="AB166" t="s">
        <v>71</v>
      </c>
      <c r="AU166" t="s">
        <v>21</v>
      </c>
      <c r="AV166" t="s">
        <v>153</v>
      </c>
      <c r="AW166" t="s">
        <v>16</v>
      </c>
      <c r="AX166" t="s">
        <v>21</v>
      </c>
      <c r="AY166" s="70" t="s">
        <v>2420</v>
      </c>
      <c r="AZ166" s="70" t="s">
        <v>2422</v>
      </c>
      <c r="BA166" s="70">
        <v>0</v>
      </c>
      <c r="BB166" s="70" t="s">
        <v>27</v>
      </c>
      <c r="BC166" s="70" t="s">
        <v>20</v>
      </c>
      <c r="BD166" s="70" t="s">
        <v>2427</v>
      </c>
      <c r="BE166" t="s">
        <v>165</v>
      </c>
      <c r="BF166" t="s">
        <v>23</v>
      </c>
      <c r="BG166" t="s">
        <v>155</v>
      </c>
      <c r="BH166" t="s">
        <v>25</v>
      </c>
      <c r="BI166" t="s">
        <v>25</v>
      </c>
      <c r="BJ166" t="s">
        <v>22</v>
      </c>
      <c r="BK166" s="70">
        <v>1</v>
      </c>
      <c r="BL166" s="70">
        <v>3</v>
      </c>
      <c r="BM166"/>
      <c r="BN166" t="s">
        <v>2568</v>
      </c>
      <c r="BO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 t="s">
        <v>900</v>
      </c>
      <c r="CZ166"/>
      <c r="DL166"/>
      <c r="DM166" s="70" t="s">
        <v>1821</v>
      </c>
      <c r="DN166"/>
      <c r="DO166" s="70" t="s">
        <v>1821</v>
      </c>
      <c r="DP166" t="s">
        <v>900</v>
      </c>
      <c r="DQ166" t="s">
        <v>2568</v>
      </c>
      <c r="DS166" t="s">
        <v>2243</v>
      </c>
      <c r="DT166" t="s">
        <v>1987</v>
      </c>
      <c r="DU166" t="s">
        <v>2098</v>
      </c>
      <c r="DV166"/>
    </row>
    <row r="167" spans="2:126" x14ac:dyDescent="0.25">
      <c r="B167">
        <v>5948379</v>
      </c>
      <c r="C167">
        <v>1</v>
      </c>
      <c r="D167">
        <v>2</v>
      </c>
      <c r="E167">
        <v>13</v>
      </c>
      <c r="F167">
        <v>1973</v>
      </c>
      <c r="G167">
        <v>9</v>
      </c>
      <c r="H167">
        <v>9</v>
      </c>
      <c r="I167">
        <v>1991</v>
      </c>
      <c r="J167" t="s">
        <v>638</v>
      </c>
      <c r="K167" t="s">
        <v>901</v>
      </c>
      <c r="L167">
        <v>94917340245</v>
      </c>
      <c r="M167" t="s">
        <v>1314</v>
      </c>
      <c r="N167" t="s">
        <v>1315</v>
      </c>
      <c r="O167" t="s">
        <v>429</v>
      </c>
      <c r="P167" t="s">
        <v>1595</v>
      </c>
      <c r="Z167" t="s">
        <v>1315</v>
      </c>
      <c r="AA167" t="s">
        <v>429</v>
      </c>
      <c r="AB167" t="s">
        <v>1316</v>
      </c>
      <c r="AU167" t="s">
        <v>146</v>
      </c>
      <c r="AV167" t="s">
        <v>180</v>
      </c>
      <c r="AW167" t="s">
        <v>165</v>
      </c>
      <c r="AX167" t="s">
        <v>149</v>
      </c>
      <c r="AY167" s="70" t="s">
        <v>2420</v>
      </c>
      <c r="AZ167" s="70" t="s">
        <v>18</v>
      </c>
      <c r="BA167" s="70">
        <v>0</v>
      </c>
      <c r="BB167" s="70" t="s">
        <v>2418</v>
      </c>
      <c r="BC167" s="70" t="s">
        <v>20</v>
      </c>
      <c r="BD167" s="70" t="s">
        <v>18</v>
      </c>
      <c r="BE167" t="s">
        <v>21</v>
      </c>
      <c r="BF167" t="s">
        <v>23</v>
      </c>
      <c r="BG167" t="s">
        <v>155</v>
      </c>
      <c r="BH167" t="s">
        <v>22</v>
      </c>
      <c r="BI167" t="s">
        <v>161</v>
      </c>
      <c r="BJ167" t="s">
        <v>166</v>
      </c>
      <c r="BK167" s="70">
        <v>6</v>
      </c>
      <c r="BL167" s="70">
        <v>5</v>
      </c>
      <c r="BM167"/>
      <c r="BN167" t="s">
        <v>2569</v>
      </c>
      <c r="BO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 t="s">
        <v>901</v>
      </c>
      <c r="CZ167"/>
      <c r="DL167"/>
      <c r="DM167" s="70" t="s">
        <v>1822</v>
      </c>
      <c r="DN167"/>
      <c r="DO167" s="70" t="s">
        <v>1822</v>
      </c>
      <c r="DP167" t="s">
        <v>901</v>
      </c>
      <c r="DQ167" t="s">
        <v>2569</v>
      </c>
      <c r="DS167" t="s">
        <v>2244</v>
      </c>
      <c r="DT167" t="s">
        <v>2245</v>
      </c>
      <c r="DU167" t="s">
        <v>2179</v>
      </c>
      <c r="DV167"/>
    </row>
    <row r="168" spans="2:126" x14ac:dyDescent="0.25">
      <c r="B168">
        <v>5949383</v>
      </c>
      <c r="C168">
        <v>2</v>
      </c>
      <c r="D168">
        <v>8</v>
      </c>
      <c r="E168">
        <v>24</v>
      </c>
      <c r="F168">
        <v>1973</v>
      </c>
      <c r="G168">
        <v>2</v>
      </c>
      <c r="H168">
        <v>1</v>
      </c>
      <c r="I168">
        <v>1993</v>
      </c>
      <c r="J168" t="s">
        <v>639</v>
      </c>
      <c r="K168" t="s">
        <v>902</v>
      </c>
      <c r="L168">
        <v>94927332505</v>
      </c>
      <c r="M168" t="s">
        <v>1317</v>
      </c>
      <c r="N168" t="s">
        <v>435</v>
      </c>
      <c r="O168" t="s">
        <v>421</v>
      </c>
      <c r="P168" t="s">
        <v>1596</v>
      </c>
      <c r="Z168" t="s">
        <v>435</v>
      </c>
      <c r="AA168" t="s">
        <v>421</v>
      </c>
      <c r="AB168" t="s">
        <v>1596</v>
      </c>
      <c r="AU168" t="s">
        <v>146</v>
      </c>
      <c r="AV168" t="s">
        <v>159</v>
      </c>
      <c r="AW168" t="s">
        <v>25</v>
      </c>
      <c r="AX168" t="s">
        <v>159</v>
      </c>
      <c r="AY168" s="70" t="s">
        <v>2420</v>
      </c>
      <c r="AZ168" s="70" t="s">
        <v>18</v>
      </c>
      <c r="BA168" s="70">
        <v>0</v>
      </c>
      <c r="BB168" s="70" t="s">
        <v>2422</v>
      </c>
      <c r="BC168" s="70" t="s">
        <v>2418</v>
      </c>
      <c r="BD168" s="70" t="s">
        <v>2428</v>
      </c>
      <c r="BE168" t="s">
        <v>165</v>
      </c>
      <c r="BF168" t="s">
        <v>23</v>
      </c>
      <c r="BG168" t="s">
        <v>155</v>
      </c>
      <c r="BH168" t="s">
        <v>182</v>
      </c>
      <c r="BI168" t="s">
        <v>166</v>
      </c>
      <c r="BJ168" t="s">
        <v>157</v>
      </c>
      <c r="BK168" s="70">
        <v>6</v>
      </c>
      <c r="BL168" s="70">
        <v>7</v>
      </c>
      <c r="BM168"/>
      <c r="BN168" t="s">
        <v>2570</v>
      </c>
      <c r="BO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 t="s">
        <v>902</v>
      </c>
      <c r="CZ168"/>
      <c r="DL168"/>
      <c r="DM168" s="70" t="s">
        <v>1823</v>
      </c>
      <c r="DN168"/>
      <c r="DO168" s="70" t="s">
        <v>1823</v>
      </c>
      <c r="DP168" t="s">
        <v>902</v>
      </c>
      <c r="DQ168" t="s">
        <v>2570</v>
      </c>
      <c r="DS168" t="s">
        <v>2246</v>
      </c>
      <c r="DT168" t="s">
        <v>2211</v>
      </c>
      <c r="DU168" t="s">
        <v>2070</v>
      </c>
      <c r="DV168"/>
    </row>
    <row r="169" spans="2:126" x14ac:dyDescent="0.25">
      <c r="B169">
        <v>5973608</v>
      </c>
      <c r="C169">
        <v>2</v>
      </c>
      <c r="D169">
        <v>1</v>
      </c>
      <c r="E169">
        <v>26</v>
      </c>
      <c r="F169">
        <v>1970</v>
      </c>
      <c r="G169">
        <v>8</v>
      </c>
      <c r="H169">
        <v>23</v>
      </c>
      <c r="I169">
        <v>1990</v>
      </c>
      <c r="J169" t="s">
        <v>640</v>
      </c>
      <c r="K169" t="s">
        <v>903</v>
      </c>
      <c r="L169">
        <v>1887096111</v>
      </c>
      <c r="M169" t="s">
        <v>1318</v>
      </c>
      <c r="N169" t="s">
        <v>426</v>
      </c>
      <c r="O169" t="s">
        <v>1128</v>
      </c>
      <c r="P169" t="s">
        <v>1497</v>
      </c>
      <c r="Z169" t="s">
        <v>426</v>
      </c>
      <c r="AA169" t="s">
        <v>1128</v>
      </c>
      <c r="AB169" t="s">
        <v>1497</v>
      </c>
      <c r="AU169" t="s">
        <v>177</v>
      </c>
      <c r="AV169" t="s">
        <v>146</v>
      </c>
      <c r="AW169" t="s">
        <v>182</v>
      </c>
      <c r="AX169" t="s">
        <v>146</v>
      </c>
      <c r="AY169" s="70" t="s">
        <v>2420</v>
      </c>
      <c r="AZ169" s="70" t="s">
        <v>19</v>
      </c>
      <c r="BA169" s="70">
        <v>0</v>
      </c>
      <c r="BB169" s="70" t="s">
        <v>20</v>
      </c>
      <c r="BC169" s="70" t="s">
        <v>2418</v>
      </c>
      <c r="BD169" s="70" t="s">
        <v>27</v>
      </c>
      <c r="BE169" t="s">
        <v>165</v>
      </c>
      <c r="BF169" t="s">
        <v>23</v>
      </c>
      <c r="BG169" t="s">
        <v>155</v>
      </c>
      <c r="BH169" t="s">
        <v>166</v>
      </c>
      <c r="BI169" t="s">
        <v>25</v>
      </c>
      <c r="BJ169" t="s">
        <v>25</v>
      </c>
      <c r="BK169" s="70">
        <v>8</v>
      </c>
      <c r="BL169" s="70">
        <v>3</v>
      </c>
      <c r="BM169"/>
      <c r="BN169" t="s">
        <v>2571</v>
      </c>
      <c r="BO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 t="s">
        <v>903</v>
      </c>
      <c r="CZ169"/>
      <c r="DL169"/>
      <c r="DM169" s="70" t="s">
        <v>1824</v>
      </c>
      <c r="DN169"/>
      <c r="DO169" s="70" t="s">
        <v>1824</v>
      </c>
      <c r="DP169" t="s">
        <v>903</v>
      </c>
      <c r="DQ169" t="s">
        <v>2571</v>
      </c>
      <c r="DS169" t="s">
        <v>1937</v>
      </c>
      <c r="DT169" t="s">
        <v>1990</v>
      </c>
      <c r="DU169" t="s">
        <v>2061</v>
      </c>
      <c r="DV169"/>
    </row>
    <row r="170" spans="2:126" x14ac:dyDescent="0.25">
      <c r="B170">
        <v>5954018</v>
      </c>
      <c r="C170">
        <v>1</v>
      </c>
      <c r="D170">
        <v>4</v>
      </c>
      <c r="E170">
        <v>18</v>
      </c>
      <c r="F170">
        <v>1974</v>
      </c>
      <c r="G170">
        <v>2</v>
      </c>
      <c r="H170">
        <v>1</v>
      </c>
      <c r="I170">
        <v>1993</v>
      </c>
      <c r="J170" t="s">
        <v>641</v>
      </c>
      <c r="K170" t="s">
        <v>904</v>
      </c>
      <c r="L170">
        <v>94927435340</v>
      </c>
      <c r="M170" t="s">
        <v>1319</v>
      </c>
      <c r="N170" t="s">
        <v>1320</v>
      </c>
      <c r="O170" t="s">
        <v>420</v>
      </c>
      <c r="P170" t="s">
        <v>55</v>
      </c>
      <c r="Z170" t="s">
        <v>1320</v>
      </c>
      <c r="AA170" t="s">
        <v>420</v>
      </c>
      <c r="AB170" t="s">
        <v>55</v>
      </c>
      <c r="AU170" t="s">
        <v>23</v>
      </c>
      <c r="AV170" t="s">
        <v>159</v>
      </c>
      <c r="AW170" t="s">
        <v>25</v>
      </c>
      <c r="AX170" t="s">
        <v>25</v>
      </c>
      <c r="AY170" s="70" t="s">
        <v>2420</v>
      </c>
      <c r="AZ170" s="70" t="s">
        <v>2428</v>
      </c>
      <c r="BA170" s="70">
        <v>0</v>
      </c>
      <c r="BB170" s="70" t="s">
        <v>2428</v>
      </c>
      <c r="BC170" s="70" t="s">
        <v>20</v>
      </c>
      <c r="BD170" s="70" t="s">
        <v>2422</v>
      </c>
      <c r="BE170" t="s">
        <v>21</v>
      </c>
      <c r="BF170" t="s">
        <v>23</v>
      </c>
      <c r="BG170" t="s">
        <v>155</v>
      </c>
      <c r="BH170" t="s">
        <v>166</v>
      </c>
      <c r="BI170" t="s">
        <v>26</v>
      </c>
      <c r="BJ170" t="s">
        <v>22</v>
      </c>
      <c r="BK170" s="70">
        <v>1</v>
      </c>
      <c r="BL170" s="70">
        <v>1</v>
      </c>
      <c r="BM170"/>
      <c r="BN170" t="s">
        <v>2572</v>
      </c>
      <c r="BO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 t="s">
        <v>904</v>
      </c>
      <c r="CZ170"/>
      <c r="DL170"/>
      <c r="DM170" s="70" t="s">
        <v>1825</v>
      </c>
      <c r="DN170"/>
      <c r="DO170" s="70" t="s">
        <v>1825</v>
      </c>
      <c r="DP170" t="s">
        <v>904</v>
      </c>
      <c r="DQ170" t="s">
        <v>2572</v>
      </c>
      <c r="DS170" t="s">
        <v>2226</v>
      </c>
      <c r="DT170" t="s">
        <v>2247</v>
      </c>
      <c r="DU170" t="s">
        <v>2060</v>
      </c>
      <c r="DV170"/>
    </row>
    <row r="171" spans="2:126" x14ac:dyDescent="0.25">
      <c r="B171">
        <v>5952880</v>
      </c>
      <c r="C171">
        <v>2</v>
      </c>
      <c r="D171">
        <v>1</v>
      </c>
      <c r="E171">
        <v>16</v>
      </c>
      <c r="F171">
        <v>1973</v>
      </c>
      <c r="G171">
        <v>9</v>
      </c>
      <c r="H171">
        <v>9</v>
      </c>
      <c r="I171">
        <v>1991</v>
      </c>
      <c r="J171" t="s">
        <v>642</v>
      </c>
      <c r="K171" t="s">
        <v>905</v>
      </c>
      <c r="L171">
        <v>94917340260</v>
      </c>
      <c r="M171" t="s">
        <v>1321</v>
      </c>
      <c r="N171" t="s">
        <v>477</v>
      </c>
      <c r="O171" t="s">
        <v>1322</v>
      </c>
      <c r="P171" t="s">
        <v>1597</v>
      </c>
      <c r="Z171" t="s">
        <v>477</v>
      </c>
      <c r="AA171" t="s">
        <v>1322</v>
      </c>
      <c r="AB171" t="s">
        <v>1597</v>
      </c>
      <c r="AU171" t="s">
        <v>22</v>
      </c>
      <c r="AV171" t="s">
        <v>170</v>
      </c>
      <c r="AW171" t="s">
        <v>161</v>
      </c>
      <c r="AX171" t="s">
        <v>22</v>
      </c>
      <c r="AY171" s="70" t="s">
        <v>2420</v>
      </c>
      <c r="AZ171" s="70" t="s">
        <v>18</v>
      </c>
      <c r="BA171" s="70">
        <v>0</v>
      </c>
      <c r="BB171" s="70" t="s">
        <v>20</v>
      </c>
      <c r="BC171" s="70" t="s">
        <v>20</v>
      </c>
      <c r="BD171" s="70" t="s">
        <v>27</v>
      </c>
      <c r="BE171" t="s">
        <v>165</v>
      </c>
      <c r="BF171" t="s">
        <v>23</v>
      </c>
      <c r="BG171" t="s">
        <v>155</v>
      </c>
      <c r="BH171" t="s">
        <v>166</v>
      </c>
      <c r="BI171" t="s">
        <v>25</v>
      </c>
      <c r="BJ171" t="s">
        <v>177</v>
      </c>
      <c r="BK171" s="70">
        <v>9</v>
      </c>
      <c r="BL171" s="70">
        <v>0</v>
      </c>
      <c r="BM171"/>
      <c r="BN171" t="s">
        <v>2573</v>
      </c>
      <c r="BO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 t="s">
        <v>905</v>
      </c>
      <c r="CZ171"/>
      <c r="DL171"/>
      <c r="DM171" s="70" t="s">
        <v>1826</v>
      </c>
      <c r="DN171"/>
      <c r="DO171" s="70" t="s">
        <v>1826</v>
      </c>
      <c r="DP171" t="s">
        <v>905</v>
      </c>
      <c r="DQ171" t="s">
        <v>2573</v>
      </c>
      <c r="DS171" t="s">
        <v>2248</v>
      </c>
      <c r="DT171" t="s">
        <v>2228</v>
      </c>
      <c r="DU171" t="s">
        <v>2249</v>
      </c>
      <c r="DV171"/>
    </row>
    <row r="172" spans="2:126" x14ac:dyDescent="0.25">
      <c r="B172">
        <v>5992920</v>
      </c>
      <c r="C172">
        <v>2</v>
      </c>
      <c r="D172">
        <v>1</v>
      </c>
      <c r="E172">
        <v>27</v>
      </c>
      <c r="F172">
        <v>1968</v>
      </c>
      <c r="G172">
        <v>12</v>
      </c>
      <c r="H172">
        <v>1</v>
      </c>
      <c r="I172">
        <v>2005</v>
      </c>
      <c r="J172" t="s">
        <v>643</v>
      </c>
      <c r="K172" t="s">
        <v>906</v>
      </c>
      <c r="L172">
        <v>42856813730</v>
      </c>
      <c r="M172" t="s">
        <v>1323</v>
      </c>
      <c r="N172" t="s">
        <v>410</v>
      </c>
      <c r="O172" t="s">
        <v>437</v>
      </c>
      <c r="P172" t="s">
        <v>1598</v>
      </c>
      <c r="Z172" t="s">
        <v>410</v>
      </c>
      <c r="AA172" t="s">
        <v>437</v>
      </c>
      <c r="AB172" t="s">
        <v>56</v>
      </c>
      <c r="AU172" t="s">
        <v>21</v>
      </c>
      <c r="AV172" t="s">
        <v>153</v>
      </c>
      <c r="AW172" t="s">
        <v>25</v>
      </c>
      <c r="AX172" t="s">
        <v>155</v>
      </c>
      <c r="AY172" s="70" t="s">
        <v>27</v>
      </c>
      <c r="AZ172" s="70" t="s">
        <v>2422</v>
      </c>
      <c r="BA172" s="70">
        <v>0</v>
      </c>
      <c r="BB172" s="70" t="s">
        <v>20</v>
      </c>
      <c r="BC172" s="70" t="s">
        <v>2418</v>
      </c>
      <c r="BD172" s="70" t="s">
        <v>2420</v>
      </c>
      <c r="BE172" t="s">
        <v>165</v>
      </c>
      <c r="BF172" t="s">
        <v>23</v>
      </c>
      <c r="BG172" t="s">
        <v>155</v>
      </c>
      <c r="BH172" t="s">
        <v>25</v>
      </c>
      <c r="BI172" t="s">
        <v>23</v>
      </c>
      <c r="BJ172" t="s">
        <v>25</v>
      </c>
      <c r="BK172" s="70">
        <v>9</v>
      </c>
      <c r="BL172" s="70">
        <v>1</v>
      </c>
      <c r="BM172"/>
      <c r="BN172" t="s">
        <v>2574</v>
      </c>
      <c r="BO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 t="s">
        <v>906</v>
      </c>
      <c r="CZ172"/>
      <c r="DL172"/>
      <c r="DM172" s="70" t="s">
        <v>1827</v>
      </c>
      <c r="DN172"/>
      <c r="DO172" s="70" t="s">
        <v>1827</v>
      </c>
      <c r="DP172" t="s">
        <v>906</v>
      </c>
      <c r="DQ172" t="s">
        <v>2574</v>
      </c>
      <c r="DS172" t="s">
        <v>2250</v>
      </c>
      <c r="DT172" t="s">
        <v>1987</v>
      </c>
      <c r="DU172" t="s">
        <v>2054</v>
      </c>
      <c r="DV172"/>
    </row>
    <row r="173" spans="2:126" x14ac:dyDescent="0.25">
      <c r="B173">
        <v>7308466</v>
      </c>
      <c r="C173">
        <v>1</v>
      </c>
      <c r="D173">
        <v>6</v>
      </c>
      <c r="E173">
        <v>23</v>
      </c>
      <c r="F173">
        <v>1986</v>
      </c>
      <c r="G173">
        <v>5</v>
      </c>
      <c r="H173">
        <v>4</v>
      </c>
      <c r="I173">
        <v>2009</v>
      </c>
      <c r="J173" t="s">
        <v>644</v>
      </c>
      <c r="K173" t="s">
        <v>907</v>
      </c>
      <c r="L173">
        <v>94098606679</v>
      </c>
      <c r="M173" t="s">
        <v>1324</v>
      </c>
      <c r="N173" t="s">
        <v>416</v>
      </c>
      <c r="O173" t="s">
        <v>423</v>
      </c>
      <c r="P173" t="s">
        <v>97</v>
      </c>
      <c r="Z173" t="s">
        <v>416</v>
      </c>
      <c r="AA173" t="s">
        <v>423</v>
      </c>
      <c r="AB173" t="s">
        <v>97</v>
      </c>
      <c r="AU173" t="s">
        <v>157</v>
      </c>
      <c r="AV173" t="s">
        <v>170</v>
      </c>
      <c r="AW173" t="s">
        <v>22</v>
      </c>
      <c r="AX173" t="s">
        <v>177</v>
      </c>
      <c r="AY173" s="70" t="s">
        <v>2422</v>
      </c>
      <c r="AZ173" s="70" t="s">
        <v>27</v>
      </c>
      <c r="BA173" s="70">
        <v>0</v>
      </c>
      <c r="BB173" s="70" t="s">
        <v>27</v>
      </c>
      <c r="BC173" s="70" t="s">
        <v>2418</v>
      </c>
      <c r="BD173" s="70" t="s">
        <v>18</v>
      </c>
      <c r="BE173" t="s">
        <v>21</v>
      </c>
      <c r="BF173" t="s">
        <v>23</v>
      </c>
      <c r="BG173" t="s">
        <v>155</v>
      </c>
      <c r="BH173" t="s">
        <v>166</v>
      </c>
      <c r="BI173" t="s">
        <v>25</v>
      </c>
      <c r="BJ173" t="s">
        <v>24</v>
      </c>
      <c r="BK173" s="70">
        <v>6</v>
      </c>
      <c r="BL173" s="70">
        <v>3</v>
      </c>
      <c r="BM173"/>
      <c r="BN173" t="s">
        <v>2575</v>
      </c>
      <c r="BO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 t="s">
        <v>907</v>
      </c>
      <c r="CZ173"/>
      <c r="DL173"/>
      <c r="DM173" s="70" t="s">
        <v>1828</v>
      </c>
      <c r="DN173"/>
      <c r="DO173" s="70" t="s">
        <v>1828</v>
      </c>
      <c r="DP173" t="s">
        <v>907</v>
      </c>
      <c r="DQ173" t="s">
        <v>2575</v>
      </c>
      <c r="DS173" t="s">
        <v>2251</v>
      </c>
      <c r="DT173" t="s">
        <v>1966</v>
      </c>
      <c r="DU173" t="s">
        <v>2252</v>
      </c>
      <c r="DV173"/>
    </row>
    <row r="174" spans="2:126" x14ac:dyDescent="0.25">
      <c r="B174">
        <v>5977166</v>
      </c>
      <c r="C174">
        <v>2</v>
      </c>
      <c r="D174">
        <v>1</v>
      </c>
      <c r="E174">
        <v>16</v>
      </c>
      <c r="F174">
        <v>1980</v>
      </c>
      <c r="G174">
        <v>9</v>
      </c>
      <c r="H174">
        <v>17</v>
      </c>
      <c r="I174">
        <v>2010</v>
      </c>
      <c r="J174" t="s">
        <v>645</v>
      </c>
      <c r="K174" t="s">
        <v>908</v>
      </c>
      <c r="L174">
        <v>7988002221</v>
      </c>
      <c r="M174" t="s">
        <v>1325</v>
      </c>
      <c r="N174" t="s">
        <v>1326</v>
      </c>
      <c r="O174" t="s">
        <v>415</v>
      </c>
      <c r="P174" t="s">
        <v>82</v>
      </c>
      <c r="Z174" t="s">
        <v>1326</v>
      </c>
      <c r="AA174" t="s">
        <v>415</v>
      </c>
      <c r="AB174" t="s">
        <v>82</v>
      </c>
      <c r="AU174" t="s">
        <v>182</v>
      </c>
      <c r="AV174" t="s">
        <v>159</v>
      </c>
      <c r="AW174" t="s">
        <v>25</v>
      </c>
      <c r="AX174" t="s">
        <v>153</v>
      </c>
      <c r="AY174" s="70" t="s">
        <v>2422</v>
      </c>
      <c r="AZ174" s="70" t="s">
        <v>19</v>
      </c>
      <c r="BA174" s="70">
        <v>0</v>
      </c>
      <c r="BB174" s="70" t="s">
        <v>20</v>
      </c>
      <c r="BC174" s="70" t="s">
        <v>20</v>
      </c>
      <c r="BD174" s="70" t="s">
        <v>27</v>
      </c>
      <c r="BE174" t="s">
        <v>165</v>
      </c>
      <c r="BF174" t="s">
        <v>23</v>
      </c>
      <c r="BG174" t="s">
        <v>155</v>
      </c>
      <c r="BH174" t="s">
        <v>24</v>
      </c>
      <c r="BI174" t="s">
        <v>165</v>
      </c>
      <c r="BJ174" t="s">
        <v>24</v>
      </c>
      <c r="BK174" s="70">
        <v>9</v>
      </c>
      <c r="BL174" s="70">
        <v>8</v>
      </c>
      <c r="BM174"/>
      <c r="BN174" t="s">
        <v>2576</v>
      </c>
      <c r="BO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 t="s">
        <v>908</v>
      </c>
      <c r="CZ174"/>
      <c r="DL174"/>
      <c r="DM174" s="70" t="s">
        <v>1829</v>
      </c>
      <c r="DN174"/>
      <c r="DO174" s="70" t="s">
        <v>1829</v>
      </c>
      <c r="DP174" t="s">
        <v>908</v>
      </c>
      <c r="DQ174" t="s">
        <v>2576</v>
      </c>
      <c r="DS174" t="s">
        <v>2253</v>
      </c>
      <c r="DT174" t="s">
        <v>2254</v>
      </c>
      <c r="DU174" t="s">
        <v>2024</v>
      </c>
      <c r="DV174"/>
    </row>
    <row r="175" spans="2:126" x14ac:dyDescent="0.25">
      <c r="B175">
        <v>8721987</v>
      </c>
      <c r="C175">
        <v>2</v>
      </c>
      <c r="D175">
        <v>1</v>
      </c>
      <c r="E175">
        <v>7</v>
      </c>
      <c r="F175">
        <v>1989</v>
      </c>
      <c r="G175">
        <v>5</v>
      </c>
      <c r="H175">
        <v>5</v>
      </c>
      <c r="I175">
        <v>2014</v>
      </c>
      <c r="J175" t="s">
        <v>646</v>
      </c>
      <c r="K175" t="s">
        <v>909</v>
      </c>
      <c r="L175">
        <v>94088956340</v>
      </c>
      <c r="M175" t="s">
        <v>1327</v>
      </c>
      <c r="N175" t="s">
        <v>408</v>
      </c>
      <c r="O175" t="s">
        <v>410</v>
      </c>
      <c r="P175" t="s">
        <v>61</v>
      </c>
      <c r="Z175" t="s">
        <v>408</v>
      </c>
      <c r="AA175" t="s">
        <v>410</v>
      </c>
      <c r="AB175" t="s">
        <v>61</v>
      </c>
      <c r="AU175" t="s">
        <v>25</v>
      </c>
      <c r="AV175" t="s">
        <v>146</v>
      </c>
      <c r="AW175" t="s">
        <v>21</v>
      </c>
      <c r="AX175" t="s">
        <v>155</v>
      </c>
      <c r="AY175" s="70" t="s">
        <v>2422</v>
      </c>
      <c r="AZ175" s="70" t="s">
        <v>17</v>
      </c>
      <c r="BA175" s="70">
        <v>0</v>
      </c>
      <c r="BB175" s="70" t="s">
        <v>20</v>
      </c>
      <c r="BC175" s="70" t="s">
        <v>19</v>
      </c>
      <c r="BD175" s="70" t="s">
        <v>2420</v>
      </c>
      <c r="BE175" t="s">
        <v>165</v>
      </c>
      <c r="BF175" t="s">
        <v>23</v>
      </c>
      <c r="BG175" t="s">
        <v>155</v>
      </c>
      <c r="BH175" t="s">
        <v>165</v>
      </c>
      <c r="BI175" t="s">
        <v>25</v>
      </c>
      <c r="BJ175" t="s">
        <v>25</v>
      </c>
      <c r="BK175" s="70">
        <v>8</v>
      </c>
      <c r="BL175" s="70">
        <v>2</v>
      </c>
      <c r="BM175"/>
      <c r="BN175" t="s">
        <v>2577</v>
      </c>
      <c r="BO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 t="s">
        <v>909</v>
      </c>
      <c r="CZ175"/>
      <c r="DL175"/>
      <c r="DM175" s="70" t="s">
        <v>1830</v>
      </c>
      <c r="DN175"/>
      <c r="DO175" s="70" t="s">
        <v>1830</v>
      </c>
      <c r="DP175" t="s">
        <v>909</v>
      </c>
      <c r="DQ175" t="s">
        <v>2577</v>
      </c>
      <c r="DS175" t="s">
        <v>2255</v>
      </c>
      <c r="DT175" t="s">
        <v>2043</v>
      </c>
      <c r="DU175" t="s">
        <v>1987</v>
      </c>
      <c r="DV175"/>
    </row>
    <row r="176" spans="2:126" x14ac:dyDescent="0.25">
      <c r="B176">
        <v>40002551</v>
      </c>
      <c r="C176">
        <v>1</v>
      </c>
      <c r="D176">
        <v>7</v>
      </c>
      <c r="E176">
        <v>9</v>
      </c>
      <c r="F176">
        <v>1991</v>
      </c>
      <c r="G176">
        <v>4</v>
      </c>
      <c r="H176">
        <v>13</v>
      </c>
      <c r="I176">
        <v>2020</v>
      </c>
      <c r="J176" t="s">
        <v>647</v>
      </c>
      <c r="K176" t="s">
        <v>910</v>
      </c>
      <c r="L176">
        <v>13119106485</v>
      </c>
      <c r="M176" t="s">
        <v>1328</v>
      </c>
      <c r="N176" t="s">
        <v>56</v>
      </c>
      <c r="O176" t="s">
        <v>408</v>
      </c>
      <c r="P176" t="s">
        <v>1196</v>
      </c>
      <c r="Z176" t="s">
        <v>56</v>
      </c>
      <c r="AA176" t="s">
        <v>408</v>
      </c>
      <c r="AB176" t="s">
        <v>1196</v>
      </c>
      <c r="AU176" t="s">
        <v>155</v>
      </c>
      <c r="AV176" t="s">
        <v>146</v>
      </c>
      <c r="AW176" t="s">
        <v>25</v>
      </c>
      <c r="AX176" t="s">
        <v>22</v>
      </c>
      <c r="AY176" s="70" t="s">
        <v>17</v>
      </c>
      <c r="AZ176" s="70" t="s">
        <v>20</v>
      </c>
      <c r="BA176" s="70">
        <v>0</v>
      </c>
      <c r="BB176" s="70" t="s">
        <v>2420</v>
      </c>
      <c r="BC176" s="70" t="s">
        <v>19</v>
      </c>
      <c r="BD176" s="70" t="s">
        <v>17</v>
      </c>
      <c r="BE176" t="s">
        <v>21</v>
      </c>
      <c r="BF176" t="s">
        <v>23</v>
      </c>
      <c r="BG176" t="s">
        <v>155</v>
      </c>
      <c r="BH176" t="s">
        <v>25</v>
      </c>
      <c r="BI176" t="s">
        <v>165</v>
      </c>
      <c r="BJ176" t="s">
        <v>25</v>
      </c>
      <c r="BK176" s="70">
        <v>7</v>
      </c>
      <c r="BL176" s="70">
        <v>1</v>
      </c>
      <c r="BM176"/>
      <c r="BN176" t="s">
        <v>2578</v>
      </c>
      <c r="BO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 t="s">
        <v>910</v>
      </c>
      <c r="CZ176"/>
      <c r="DL176"/>
      <c r="DM176" s="70" t="s">
        <v>1831</v>
      </c>
      <c r="DN176"/>
      <c r="DO176" s="70" t="s">
        <v>1831</v>
      </c>
      <c r="DP176" t="s">
        <v>910</v>
      </c>
      <c r="DQ176" t="s">
        <v>2578</v>
      </c>
      <c r="DS176" t="s">
        <v>2079</v>
      </c>
      <c r="DT176" t="s">
        <v>2256</v>
      </c>
      <c r="DU176" t="s">
        <v>2043</v>
      </c>
      <c r="DV176"/>
    </row>
    <row r="177" spans="2:126" x14ac:dyDescent="0.25">
      <c r="B177">
        <v>5993005</v>
      </c>
      <c r="C177">
        <v>2</v>
      </c>
      <c r="D177">
        <v>9</v>
      </c>
      <c r="E177">
        <v>19</v>
      </c>
      <c r="F177">
        <v>1965</v>
      </c>
      <c r="G177">
        <v>12</v>
      </c>
      <c r="H177">
        <v>1</v>
      </c>
      <c r="I177">
        <v>2005</v>
      </c>
      <c r="J177" t="s">
        <v>648</v>
      </c>
      <c r="K177" t="s">
        <v>911</v>
      </c>
      <c r="L177">
        <v>11856507352</v>
      </c>
      <c r="M177" t="s">
        <v>1329</v>
      </c>
      <c r="N177" t="s">
        <v>407</v>
      </c>
      <c r="O177" t="s">
        <v>407</v>
      </c>
      <c r="P177" t="s">
        <v>1599</v>
      </c>
      <c r="Z177" t="s">
        <v>407</v>
      </c>
      <c r="AA177" t="s">
        <v>407</v>
      </c>
      <c r="AB177" t="s">
        <v>1330</v>
      </c>
      <c r="AU177" t="s">
        <v>24</v>
      </c>
      <c r="AV177" t="s">
        <v>170</v>
      </c>
      <c r="AW177" t="s">
        <v>24</v>
      </c>
      <c r="AX177" t="s">
        <v>177</v>
      </c>
      <c r="AY177" s="70" t="s">
        <v>27</v>
      </c>
      <c r="AZ177" s="70" t="s">
        <v>2427</v>
      </c>
      <c r="BA177" s="70">
        <v>0</v>
      </c>
      <c r="BB177" s="70" t="s">
        <v>17</v>
      </c>
      <c r="BC177" s="70" t="s">
        <v>20</v>
      </c>
      <c r="BD177" s="70" t="s">
        <v>17</v>
      </c>
      <c r="BE177" t="s">
        <v>165</v>
      </c>
      <c r="BF177" t="s">
        <v>23</v>
      </c>
      <c r="BG177" t="s">
        <v>155</v>
      </c>
      <c r="BH177" t="s">
        <v>172</v>
      </c>
      <c r="BI177" t="s">
        <v>172</v>
      </c>
      <c r="BJ177" t="s">
        <v>24</v>
      </c>
      <c r="BK177" s="70">
        <v>6</v>
      </c>
      <c r="BL177" s="70">
        <v>2</v>
      </c>
      <c r="BM177"/>
      <c r="BN177" t="s">
        <v>2579</v>
      </c>
      <c r="BO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 t="s">
        <v>911</v>
      </c>
      <c r="CZ177"/>
      <c r="DL177"/>
      <c r="DM177" s="70" t="s">
        <v>1832</v>
      </c>
      <c r="DN177"/>
      <c r="DO177" s="70" t="s">
        <v>1832</v>
      </c>
      <c r="DP177" t="s">
        <v>911</v>
      </c>
      <c r="DQ177" t="s">
        <v>2579</v>
      </c>
      <c r="DS177" t="s">
        <v>2257</v>
      </c>
      <c r="DT177" t="s">
        <v>1980</v>
      </c>
      <c r="DU177" t="s">
        <v>1980</v>
      </c>
      <c r="DV177"/>
    </row>
    <row r="178" spans="2:126" x14ac:dyDescent="0.25">
      <c r="B178">
        <v>6707936</v>
      </c>
      <c r="C178">
        <v>1</v>
      </c>
      <c r="D178">
        <v>9</v>
      </c>
      <c r="E178">
        <v>26</v>
      </c>
      <c r="F178">
        <v>1971</v>
      </c>
      <c r="G178">
        <v>12</v>
      </c>
      <c r="H178">
        <v>1</v>
      </c>
      <c r="I178">
        <v>2009</v>
      </c>
      <c r="J178" t="s">
        <v>649</v>
      </c>
      <c r="K178" t="s">
        <v>912</v>
      </c>
      <c r="L178">
        <v>92967116218</v>
      </c>
      <c r="M178" t="s">
        <v>1331</v>
      </c>
      <c r="N178" t="s">
        <v>1332</v>
      </c>
      <c r="O178" t="s">
        <v>401</v>
      </c>
      <c r="P178" t="s">
        <v>1600</v>
      </c>
      <c r="Z178" t="s">
        <v>1332</v>
      </c>
      <c r="AA178" t="s">
        <v>401</v>
      </c>
      <c r="AB178" t="s">
        <v>1196</v>
      </c>
      <c r="AU178" t="s">
        <v>22</v>
      </c>
      <c r="AV178" t="s">
        <v>170</v>
      </c>
      <c r="AW178" t="s">
        <v>157</v>
      </c>
      <c r="AX178" t="s">
        <v>22</v>
      </c>
      <c r="AY178" s="70" t="s">
        <v>2420</v>
      </c>
      <c r="AZ178" s="70" t="s">
        <v>20</v>
      </c>
      <c r="BA178" s="70">
        <v>0</v>
      </c>
      <c r="BB178" s="70" t="s">
        <v>17</v>
      </c>
      <c r="BC178" s="70" t="s">
        <v>2418</v>
      </c>
      <c r="BD178" s="70" t="s">
        <v>27</v>
      </c>
      <c r="BE178" t="s">
        <v>21</v>
      </c>
      <c r="BF178" t="s">
        <v>23</v>
      </c>
      <c r="BG178" t="s">
        <v>155</v>
      </c>
      <c r="BH178" t="s">
        <v>24</v>
      </c>
      <c r="BI178" t="s">
        <v>25</v>
      </c>
      <c r="BJ178" t="s">
        <v>25</v>
      </c>
      <c r="BK178" s="70">
        <v>6</v>
      </c>
      <c r="BL178" s="70">
        <v>5</v>
      </c>
      <c r="BM178"/>
      <c r="BN178" t="s">
        <v>2580</v>
      </c>
      <c r="BO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 t="s">
        <v>912</v>
      </c>
      <c r="CZ178"/>
      <c r="DL178"/>
      <c r="DM178" s="70" t="s">
        <v>1833</v>
      </c>
      <c r="DN178"/>
      <c r="DO178" s="70" t="s">
        <v>1833</v>
      </c>
      <c r="DP178" t="s">
        <v>912</v>
      </c>
      <c r="DQ178" t="s">
        <v>2580</v>
      </c>
      <c r="DS178" t="s">
        <v>2258</v>
      </c>
      <c r="DT178" t="s">
        <v>2259</v>
      </c>
      <c r="DU178" t="s">
        <v>2063</v>
      </c>
      <c r="DV178"/>
    </row>
    <row r="179" spans="2:126" x14ac:dyDescent="0.25">
      <c r="B179">
        <v>5957319</v>
      </c>
      <c r="C179">
        <v>2</v>
      </c>
      <c r="D179">
        <v>4</v>
      </c>
      <c r="E179">
        <v>25</v>
      </c>
      <c r="F179">
        <v>1969</v>
      </c>
      <c r="G179">
        <v>9</v>
      </c>
      <c r="H179">
        <v>1</v>
      </c>
      <c r="I179">
        <v>1999</v>
      </c>
      <c r="J179" t="s">
        <v>650</v>
      </c>
      <c r="K179" t="s">
        <v>913</v>
      </c>
      <c r="L179">
        <v>68896901334</v>
      </c>
      <c r="M179" t="s">
        <v>1333</v>
      </c>
      <c r="N179" t="s">
        <v>1334</v>
      </c>
      <c r="O179" t="s">
        <v>488</v>
      </c>
      <c r="P179" t="s">
        <v>63</v>
      </c>
      <c r="Z179" t="s">
        <v>1334</v>
      </c>
      <c r="AA179" t="s">
        <v>488</v>
      </c>
      <c r="AB179" t="s">
        <v>63</v>
      </c>
      <c r="AU179" t="s">
        <v>157</v>
      </c>
      <c r="AV179" t="s">
        <v>146</v>
      </c>
      <c r="AW179" t="s">
        <v>25</v>
      </c>
      <c r="AX179" t="s">
        <v>172</v>
      </c>
      <c r="AY179" s="70" t="s">
        <v>27</v>
      </c>
      <c r="AZ179" s="70" t="s">
        <v>17</v>
      </c>
      <c r="BA179" s="70">
        <v>0</v>
      </c>
      <c r="BB179" s="70" t="s">
        <v>2428</v>
      </c>
      <c r="BC179" s="70" t="s">
        <v>2418</v>
      </c>
      <c r="BD179" s="70" t="s">
        <v>2427</v>
      </c>
      <c r="BE179" t="s">
        <v>165</v>
      </c>
      <c r="BF179" t="s">
        <v>23</v>
      </c>
      <c r="BG179" t="s">
        <v>155</v>
      </c>
      <c r="BH179" t="s">
        <v>186</v>
      </c>
      <c r="BI179" t="s">
        <v>165</v>
      </c>
      <c r="BJ179" t="s">
        <v>23</v>
      </c>
      <c r="BK179" s="70">
        <v>1</v>
      </c>
      <c r="BL179" s="70">
        <v>0</v>
      </c>
      <c r="BM179"/>
      <c r="BN179" t="s">
        <v>2581</v>
      </c>
      <c r="BO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 t="s">
        <v>913</v>
      </c>
      <c r="CZ179"/>
      <c r="DL179"/>
      <c r="DM179" s="70" t="s">
        <v>1834</v>
      </c>
      <c r="DN179"/>
      <c r="DO179" s="70" t="s">
        <v>1834</v>
      </c>
      <c r="DP179" t="s">
        <v>913</v>
      </c>
      <c r="DQ179" t="s">
        <v>2581</v>
      </c>
      <c r="DS179" t="s">
        <v>2260</v>
      </c>
      <c r="DT179" t="s">
        <v>2261</v>
      </c>
      <c r="DU179" t="s">
        <v>2262</v>
      </c>
      <c r="DV179"/>
    </row>
    <row r="180" spans="2:126" x14ac:dyDescent="0.25">
      <c r="B180">
        <v>6967261</v>
      </c>
      <c r="C180">
        <v>2</v>
      </c>
      <c r="D180">
        <v>12</v>
      </c>
      <c r="E180">
        <v>29</v>
      </c>
      <c r="F180">
        <v>1971</v>
      </c>
      <c r="G180">
        <v>7</v>
      </c>
      <c r="H180">
        <v>2</v>
      </c>
      <c r="I180">
        <v>2008</v>
      </c>
      <c r="J180" t="s">
        <v>651</v>
      </c>
      <c r="K180" t="s">
        <v>914</v>
      </c>
      <c r="L180">
        <v>30997104242</v>
      </c>
      <c r="M180" t="s">
        <v>1335</v>
      </c>
      <c r="N180" t="s">
        <v>416</v>
      </c>
      <c r="O180" t="s">
        <v>426</v>
      </c>
      <c r="P180" t="s">
        <v>1601</v>
      </c>
      <c r="Z180" t="s">
        <v>416</v>
      </c>
      <c r="AA180" t="s">
        <v>426</v>
      </c>
      <c r="AB180" t="s">
        <v>445</v>
      </c>
      <c r="AU180" t="s">
        <v>157</v>
      </c>
      <c r="AV180" t="s">
        <v>170</v>
      </c>
      <c r="AW180" t="s">
        <v>177</v>
      </c>
      <c r="AX180" t="s">
        <v>182</v>
      </c>
      <c r="AY180" s="70" t="s">
        <v>2420</v>
      </c>
      <c r="AZ180" s="70" t="s">
        <v>20</v>
      </c>
      <c r="BA180" s="70">
        <v>1</v>
      </c>
      <c r="BB180" s="70" t="s">
        <v>2418</v>
      </c>
      <c r="BC180" s="70" t="s">
        <v>2418</v>
      </c>
      <c r="BD180" s="70" t="s">
        <v>17</v>
      </c>
      <c r="BE180" t="s">
        <v>165</v>
      </c>
      <c r="BF180" t="s">
        <v>23</v>
      </c>
      <c r="BG180" t="s">
        <v>155</v>
      </c>
      <c r="BH180" t="s">
        <v>166</v>
      </c>
      <c r="BI180" t="s">
        <v>166</v>
      </c>
      <c r="BJ180" t="s">
        <v>22</v>
      </c>
      <c r="BK180" s="70">
        <v>0</v>
      </c>
      <c r="BL180" s="70">
        <v>7</v>
      </c>
      <c r="BM180"/>
      <c r="BN180" t="s">
        <v>1667</v>
      </c>
      <c r="BO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 t="s">
        <v>2697</v>
      </c>
      <c r="CZ180"/>
      <c r="DL180"/>
      <c r="DM180" s="70" t="s">
        <v>1835</v>
      </c>
      <c r="DN180"/>
      <c r="DO180" s="70" t="s">
        <v>1835</v>
      </c>
      <c r="DP180" t="s">
        <v>2697</v>
      </c>
      <c r="DQ180" t="s">
        <v>1667</v>
      </c>
      <c r="DS180" t="s">
        <v>2263</v>
      </c>
      <c r="DT180" t="s">
        <v>1966</v>
      </c>
      <c r="DU180" t="s">
        <v>1990</v>
      </c>
      <c r="DV180"/>
    </row>
    <row r="181" spans="2:126" x14ac:dyDescent="0.25">
      <c r="B181">
        <v>5992688</v>
      </c>
      <c r="C181">
        <v>1</v>
      </c>
      <c r="D181">
        <v>10</v>
      </c>
      <c r="E181">
        <v>5</v>
      </c>
      <c r="F181">
        <v>1981</v>
      </c>
      <c r="G181">
        <v>12</v>
      </c>
      <c r="H181">
        <v>1</v>
      </c>
      <c r="I181">
        <v>2005</v>
      </c>
      <c r="J181" t="s">
        <v>652</v>
      </c>
      <c r="K181" t="s">
        <v>915</v>
      </c>
      <c r="L181">
        <v>94998109899</v>
      </c>
      <c r="M181" t="s">
        <v>1336</v>
      </c>
      <c r="N181" t="s">
        <v>1273</v>
      </c>
      <c r="O181" t="s">
        <v>1274</v>
      </c>
      <c r="P181" t="s">
        <v>57</v>
      </c>
      <c r="Z181" t="s">
        <v>1273</v>
      </c>
      <c r="AA181" t="s">
        <v>1274</v>
      </c>
      <c r="AB181" t="s">
        <v>57</v>
      </c>
      <c r="AU181" t="s">
        <v>22</v>
      </c>
      <c r="AV181" t="s">
        <v>146</v>
      </c>
      <c r="AW181" t="s">
        <v>177</v>
      </c>
      <c r="AX181" t="s">
        <v>25</v>
      </c>
      <c r="AY181" s="70" t="s">
        <v>2422</v>
      </c>
      <c r="AZ181" s="70" t="s">
        <v>20</v>
      </c>
      <c r="BA181" s="70">
        <v>1</v>
      </c>
      <c r="BB181" s="70" t="s">
        <v>19</v>
      </c>
      <c r="BC181" s="70" t="s">
        <v>19</v>
      </c>
      <c r="BD181" s="70" t="s">
        <v>2427</v>
      </c>
      <c r="BE181" t="s">
        <v>21</v>
      </c>
      <c r="BF181" t="s">
        <v>23</v>
      </c>
      <c r="BG181" t="s">
        <v>155</v>
      </c>
      <c r="BH181" t="s">
        <v>165</v>
      </c>
      <c r="BI181" t="s">
        <v>166</v>
      </c>
      <c r="BJ181" t="s">
        <v>149</v>
      </c>
      <c r="BK181" s="70">
        <v>0</v>
      </c>
      <c r="BL181" s="70">
        <v>4</v>
      </c>
      <c r="BM181"/>
      <c r="BN181" t="s">
        <v>2582</v>
      </c>
      <c r="BO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 t="s">
        <v>915</v>
      </c>
      <c r="CZ181"/>
      <c r="DL181"/>
      <c r="DM181" s="70" t="s">
        <v>1836</v>
      </c>
      <c r="DN181"/>
      <c r="DO181" s="70" t="s">
        <v>1836</v>
      </c>
      <c r="DP181" t="s">
        <v>915</v>
      </c>
      <c r="DQ181" t="s">
        <v>2582</v>
      </c>
      <c r="DS181" t="s">
        <v>2264</v>
      </c>
      <c r="DT181" t="s">
        <v>2203</v>
      </c>
      <c r="DU181" t="s">
        <v>2204</v>
      </c>
      <c r="DV181"/>
    </row>
    <row r="182" spans="2:126" x14ac:dyDescent="0.25">
      <c r="B182">
        <v>40000829</v>
      </c>
      <c r="C182">
        <v>1</v>
      </c>
      <c r="D182">
        <v>11</v>
      </c>
      <c r="E182">
        <v>1</v>
      </c>
      <c r="F182">
        <v>1991</v>
      </c>
      <c r="G182">
        <v>7</v>
      </c>
      <c r="H182">
        <v>2</v>
      </c>
      <c r="I182">
        <v>2018</v>
      </c>
      <c r="J182" t="s">
        <v>653</v>
      </c>
      <c r="K182" t="s">
        <v>916</v>
      </c>
      <c r="L182">
        <v>13119113994</v>
      </c>
      <c r="M182" t="s">
        <v>1337</v>
      </c>
      <c r="N182" t="s">
        <v>1338</v>
      </c>
      <c r="O182" t="s">
        <v>414</v>
      </c>
      <c r="P182" t="s">
        <v>1663</v>
      </c>
      <c r="Z182" t="s">
        <v>1338</v>
      </c>
      <c r="AA182" t="s">
        <v>414</v>
      </c>
      <c r="AB182" t="s">
        <v>2583</v>
      </c>
      <c r="AU182" t="s">
        <v>174</v>
      </c>
      <c r="AV182" t="s">
        <v>180</v>
      </c>
      <c r="AW182" t="s">
        <v>157</v>
      </c>
      <c r="AX182" t="s">
        <v>177</v>
      </c>
      <c r="AY182" s="70" t="s">
        <v>17</v>
      </c>
      <c r="AZ182" s="70" t="s">
        <v>20</v>
      </c>
      <c r="BA182" s="70">
        <v>1</v>
      </c>
      <c r="BB182" s="70" t="s">
        <v>20</v>
      </c>
      <c r="BC182" s="70" t="s">
        <v>19</v>
      </c>
      <c r="BD182" s="70" t="s">
        <v>20</v>
      </c>
      <c r="BE182" t="s">
        <v>21</v>
      </c>
      <c r="BF182" t="s">
        <v>23</v>
      </c>
      <c r="BG182" t="s">
        <v>155</v>
      </c>
      <c r="BH182" t="s">
        <v>26</v>
      </c>
      <c r="BI182" t="s">
        <v>165</v>
      </c>
      <c r="BJ182" t="s">
        <v>22</v>
      </c>
      <c r="BK182" s="70">
        <v>3</v>
      </c>
      <c r="BL182" s="70">
        <v>9</v>
      </c>
      <c r="BM182"/>
      <c r="BN182" t="s">
        <v>2584</v>
      </c>
      <c r="BO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 t="s">
        <v>916</v>
      </c>
      <c r="CZ182"/>
      <c r="DL182"/>
      <c r="DM182" s="70" t="s">
        <v>1837</v>
      </c>
      <c r="DN182"/>
      <c r="DO182" s="70" t="s">
        <v>1837</v>
      </c>
      <c r="DP182" t="s">
        <v>916</v>
      </c>
      <c r="DQ182" t="s">
        <v>2584</v>
      </c>
      <c r="DS182" t="s">
        <v>2265</v>
      </c>
      <c r="DT182" t="s">
        <v>2266</v>
      </c>
      <c r="DU182" t="s">
        <v>1946</v>
      </c>
      <c r="DV182"/>
    </row>
    <row r="183" spans="2:126" x14ac:dyDescent="0.25">
      <c r="B183">
        <v>5953372</v>
      </c>
      <c r="C183">
        <v>1</v>
      </c>
      <c r="D183">
        <v>3</v>
      </c>
      <c r="E183">
        <v>28</v>
      </c>
      <c r="F183">
        <v>1971</v>
      </c>
      <c r="G183">
        <v>9</v>
      </c>
      <c r="H183">
        <v>1</v>
      </c>
      <c r="I183">
        <v>1990</v>
      </c>
      <c r="J183" t="s">
        <v>654</v>
      </c>
      <c r="K183" t="s">
        <v>917</v>
      </c>
      <c r="L183">
        <v>94907132446</v>
      </c>
      <c r="M183" t="s">
        <v>1339</v>
      </c>
      <c r="N183" t="s">
        <v>423</v>
      </c>
      <c r="O183" t="s">
        <v>410</v>
      </c>
      <c r="P183" t="s">
        <v>1602</v>
      </c>
      <c r="Z183" t="s">
        <v>423</v>
      </c>
      <c r="AA183" t="s">
        <v>410</v>
      </c>
      <c r="AB183" t="s">
        <v>442</v>
      </c>
      <c r="AU183" t="s">
        <v>22</v>
      </c>
      <c r="AV183" t="s">
        <v>180</v>
      </c>
      <c r="AW183" t="s">
        <v>21</v>
      </c>
      <c r="AX183" t="s">
        <v>161</v>
      </c>
      <c r="AY183" s="70" t="s">
        <v>2420</v>
      </c>
      <c r="AZ183" s="70" t="s">
        <v>20</v>
      </c>
      <c r="BA183" s="70">
        <v>0</v>
      </c>
      <c r="BB183" s="70" t="s">
        <v>18</v>
      </c>
      <c r="BC183" s="70" t="s">
        <v>2418</v>
      </c>
      <c r="BD183" s="70" t="s">
        <v>2422</v>
      </c>
      <c r="BE183" t="s">
        <v>21</v>
      </c>
      <c r="BF183" t="s">
        <v>23</v>
      </c>
      <c r="BG183" t="s">
        <v>155</v>
      </c>
      <c r="BH183" t="s">
        <v>25</v>
      </c>
      <c r="BI183" t="s">
        <v>25</v>
      </c>
      <c r="BJ183" t="s">
        <v>166</v>
      </c>
      <c r="BK183" s="70">
        <v>3</v>
      </c>
      <c r="BL183" s="70">
        <v>5</v>
      </c>
      <c r="BM183"/>
      <c r="BN183" t="s">
        <v>2585</v>
      </c>
      <c r="BO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 t="s">
        <v>917</v>
      </c>
      <c r="CZ183"/>
      <c r="DL183"/>
      <c r="DM183" s="70" t="s">
        <v>1838</v>
      </c>
      <c r="DN183"/>
      <c r="DO183" s="70" t="s">
        <v>1838</v>
      </c>
      <c r="DP183" t="s">
        <v>917</v>
      </c>
      <c r="DQ183" t="s">
        <v>2585</v>
      </c>
      <c r="DS183" t="s">
        <v>2267</v>
      </c>
      <c r="DT183" t="s">
        <v>2252</v>
      </c>
      <c r="DU183" t="s">
        <v>1987</v>
      </c>
      <c r="DV183"/>
    </row>
    <row r="184" spans="2:126" x14ac:dyDescent="0.25">
      <c r="B184">
        <v>6882916</v>
      </c>
      <c r="C184">
        <v>2</v>
      </c>
      <c r="D184">
        <v>4</v>
      </c>
      <c r="E184">
        <v>24</v>
      </c>
      <c r="F184">
        <v>1983</v>
      </c>
      <c r="G184">
        <v>5</v>
      </c>
      <c r="H184">
        <v>3</v>
      </c>
      <c r="I184">
        <v>2010</v>
      </c>
      <c r="J184" t="s">
        <v>655</v>
      </c>
      <c r="K184" t="s">
        <v>918</v>
      </c>
      <c r="L184">
        <v>7088300855</v>
      </c>
      <c r="M184" t="s">
        <v>1340</v>
      </c>
      <c r="N184" t="s">
        <v>447</v>
      </c>
      <c r="O184" t="s">
        <v>1341</v>
      </c>
      <c r="P184" t="s">
        <v>76</v>
      </c>
      <c r="Z184" t="s">
        <v>447</v>
      </c>
      <c r="AA184" t="s">
        <v>2586</v>
      </c>
      <c r="AB184" t="s">
        <v>76</v>
      </c>
      <c r="AU184" t="s">
        <v>16</v>
      </c>
      <c r="AV184" t="s">
        <v>180</v>
      </c>
      <c r="AW184" t="s">
        <v>177</v>
      </c>
      <c r="AX184" t="s">
        <v>146</v>
      </c>
      <c r="AY184" s="70" t="s">
        <v>2422</v>
      </c>
      <c r="AZ184" s="70" t="s">
        <v>18</v>
      </c>
      <c r="BA184" s="70">
        <v>0</v>
      </c>
      <c r="BB184" s="70" t="s">
        <v>2428</v>
      </c>
      <c r="BC184" s="70" t="s">
        <v>2418</v>
      </c>
      <c r="BD184" s="70" t="s">
        <v>2428</v>
      </c>
      <c r="BE184" t="s">
        <v>165</v>
      </c>
      <c r="BF184" t="s">
        <v>23</v>
      </c>
      <c r="BG184" t="s">
        <v>155</v>
      </c>
      <c r="BH184" t="s">
        <v>25</v>
      </c>
      <c r="BI184" t="s">
        <v>166</v>
      </c>
      <c r="BJ184" t="s">
        <v>24</v>
      </c>
      <c r="BK184" s="70">
        <v>4</v>
      </c>
      <c r="BL184" s="70">
        <v>9</v>
      </c>
      <c r="BM184"/>
      <c r="BN184" t="s">
        <v>2587</v>
      </c>
      <c r="BO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 t="s">
        <v>918</v>
      </c>
      <c r="CZ184"/>
      <c r="DL184"/>
      <c r="DM184" s="70" t="s">
        <v>1839</v>
      </c>
      <c r="DN184"/>
      <c r="DO184" s="70" t="s">
        <v>1839</v>
      </c>
      <c r="DP184" t="s">
        <v>918</v>
      </c>
      <c r="DQ184" t="s">
        <v>2587</v>
      </c>
      <c r="DS184" t="s">
        <v>2188</v>
      </c>
      <c r="DT184" t="s">
        <v>2268</v>
      </c>
      <c r="DU184" t="s">
        <v>2269</v>
      </c>
      <c r="DV184"/>
    </row>
    <row r="185" spans="2:126" x14ac:dyDescent="0.25">
      <c r="B185">
        <v>9215741</v>
      </c>
      <c r="C185">
        <v>1</v>
      </c>
      <c r="D185">
        <v>9</v>
      </c>
      <c r="E185">
        <v>10</v>
      </c>
      <c r="F185">
        <v>1971</v>
      </c>
      <c r="G185">
        <v>5</v>
      </c>
      <c r="H185">
        <v>1</v>
      </c>
      <c r="I185">
        <v>2017</v>
      </c>
      <c r="J185" t="s">
        <v>656</v>
      </c>
      <c r="K185" t="s">
        <v>919</v>
      </c>
      <c r="L185">
        <v>43897137048</v>
      </c>
      <c r="M185" t="s">
        <v>1342</v>
      </c>
      <c r="N185" t="s">
        <v>417</v>
      </c>
      <c r="O185" t="s">
        <v>478</v>
      </c>
      <c r="P185" t="s">
        <v>72</v>
      </c>
      <c r="Z185" t="s">
        <v>417</v>
      </c>
      <c r="AA185" t="s">
        <v>478</v>
      </c>
      <c r="AB185" t="s">
        <v>444</v>
      </c>
      <c r="AU185" t="s">
        <v>22</v>
      </c>
      <c r="AV185" t="s">
        <v>159</v>
      </c>
      <c r="AW185" t="s">
        <v>24</v>
      </c>
      <c r="AX185" t="s">
        <v>165</v>
      </c>
      <c r="AY185" s="70" t="s">
        <v>2420</v>
      </c>
      <c r="AZ185" s="70" t="s">
        <v>20</v>
      </c>
      <c r="BA185" s="70">
        <v>0</v>
      </c>
      <c r="BB185" s="70" t="s">
        <v>17</v>
      </c>
      <c r="BC185" s="70" t="s">
        <v>20</v>
      </c>
      <c r="BD185" s="70" t="s">
        <v>19</v>
      </c>
      <c r="BE185" t="s">
        <v>21</v>
      </c>
      <c r="BF185" t="s">
        <v>23</v>
      </c>
      <c r="BG185" t="s">
        <v>155</v>
      </c>
      <c r="BH185" t="s">
        <v>177</v>
      </c>
      <c r="BI185" t="s">
        <v>166</v>
      </c>
      <c r="BJ185" t="s">
        <v>157</v>
      </c>
      <c r="BK185" s="70">
        <v>7</v>
      </c>
      <c r="BL185" s="70">
        <v>5</v>
      </c>
      <c r="BM185"/>
      <c r="BN185" t="s">
        <v>2588</v>
      </c>
      <c r="BO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 t="s">
        <v>919</v>
      </c>
      <c r="CZ185"/>
      <c r="DL185"/>
      <c r="DM185" s="70" t="s">
        <v>1840</v>
      </c>
      <c r="DN185"/>
      <c r="DO185" s="70" t="s">
        <v>1840</v>
      </c>
      <c r="DP185" t="s">
        <v>919</v>
      </c>
      <c r="DQ185" t="s">
        <v>2588</v>
      </c>
      <c r="DS185" t="s">
        <v>2001</v>
      </c>
      <c r="DT185" t="s">
        <v>2270</v>
      </c>
      <c r="DU185" t="s">
        <v>2064</v>
      </c>
      <c r="DV185"/>
    </row>
    <row r="186" spans="2:126" x14ac:dyDescent="0.25">
      <c r="B186">
        <v>6037957</v>
      </c>
      <c r="C186">
        <v>2</v>
      </c>
      <c r="D186">
        <v>9</v>
      </c>
      <c r="E186">
        <v>15</v>
      </c>
      <c r="F186">
        <v>1972</v>
      </c>
      <c r="G186">
        <v>5</v>
      </c>
      <c r="H186">
        <v>2</v>
      </c>
      <c r="I186">
        <v>2006</v>
      </c>
      <c r="J186" t="s">
        <v>657</v>
      </c>
      <c r="K186" t="s">
        <v>920</v>
      </c>
      <c r="L186">
        <v>94907226958</v>
      </c>
      <c r="M186" t="s">
        <v>1343</v>
      </c>
      <c r="N186" t="s">
        <v>437</v>
      </c>
      <c r="O186" t="s">
        <v>1344</v>
      </c>
      <c r="P186" t="s">
        <v>1603</v>
      </c>
      <c r="Z186" t="s">
        <v>437</v>
      </c>
      <c r="AA186" t="s">
        <v>1344</v>
      </c>
      <c r="AB186" t="s">
        <v>1603</v>
      </c>
      <c r="AU186" t="s">
        <v>25</v>
      </c>
      <c r="AV186" t="s">
        <v>170</v>
      </c>
      <c r="AW186" t="s">
        <v>21</v>
      </c>
      <c r="AX186" t="s">
        <v>172</v>
      </c>
      <c r="AY186" s="70" t="s">
        <v>2420</v>
      </c>
      <c r="AZ186" s="70" t="s">
        <v>2418</v>
      </c>
      <c r="BA186" s="70">
        <v>0</v>
      </c>
      <c r="BB186" s="70" t="s">
        <v>17</v>
      </c>
      <c r="BC186" s="70" t="s">
        <v>20</v>
      </c>
      <c r="BD186" s="70" t="s">
        <v>2427</v>
      </c>
      <c r="BE186" t="s">
        <v>165</v>
      </c>
      <c r="BF186" t="s">
        <v>23</v>
      </c>
      <c r="BG186" t="s">
        <v>155</v>
      </c>
      <c r="BH186" t="s">
        <v>23</v>
      </c>
      <c r="BI186" t="s">
        <v>23</v>
      </c>
      <c r="BJ186" t="s">
        <v>25</v>
      </c>
      <c r="BK186" s="70">
        <v>8</v>
      </c>
      <c r="BL186" s="70">
        <v>7</v>
      </c>
      <c r="BM186"/>
      <c r="BN186" t="s">
        <v>2589</v>
      </c>
      <c r="BO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 t="s">
        <v>920</v>
      </c>
      <c r="CZ186"/>
      <c r="DL186"/>
      <c r="DM186" s="70" t="s">
        <v>1841</v>
      </c>
      <c r="DN186"/>
      <c r="DO186" s="70" t="s">
        <v>1841</v>
      </c>
      <c r="DP186" t="s">
        <v>920</v>
      </c>
      <c r="DQ186" t="s">
        <v>2589</v>
      </c>
      <c r="DS186" t="s">
        <v>2271</v>
      </c>
      <c r="DT186" t="s">
        <v>2054</v>
      </c>
      <c r="DU186" t="s">
        <v>2272</v>
      </c>
      <c r="DV186"/>
    </row>
    <row r="187" spans="2:126" x14ac:dyDescent="0.25">
      <c r="B187">
        <v>6037965</v>
      </c>
      <c r="C187">
        <v>2</v>
      </c>
      <c r="D187">
        <v>1</v>
      </c>
      <c r="E187">
        <v>30</v>
      </c>
      <c r="F187">
        <v>1974</v>
      </c>
      <c r="G187">
        <v>5</v>
      </c>
      <c r="H187">
        <v>2</v>
      </c>
      <c r="I187">
        <v>2006</v>
      </c>
      <c r="J187" t="s">
        <v>658</v>
      </c>
      <c r="K187" t="s">
        <v>921</v>
      </c>
      <c r="L187">
        <v>20947416358</v>
      </c>
      <c r="M187" t="s">
        <v>1345</v>
      </c>
      <c r="N187" t="s">
        <v>489</v>
      </c>
      <c r="O187" t="s">
        <v>1046</v>
      </c>
      <c r="P187" t="s">
        <v>1604</v>
      </c>
      <c r="Z187" t="s">
        <v>489</v>
      </c>
      <c r="AA187" t="s">
        <v>1046</v>
      </c>
      <c r="AB187" t="s">
        <v>1604</v>
      </c>
      <c r="AU187" t="s">
        <v>182</v>
      </c>
      <c r="AV187" t="s">
        <v>159</v>
      </c>
      <c r="AW187" t="s">
        <v>149</v>
      </c>
      <c r="AX187" t="s">
        <v>161</v>
      </c>
      <c r="AY187" s="70" t="s">
        <v>2420</v>
      </c>
      <c r="AZ187" s="70" t="s">
        <v>2428</v>
      </c>
      <c r="BA187" s="70">
        <v>0</v>
      </c>
      <c r="BB187" s="70" t="s">
        <v>20</v>
      </c>
      <c r="BC187" s="70" t="s">
        <v>18</v>
      </c>
      <c r="BD187" s="70" t="s">
        <v>19</v>
      </c>
      <c r="BE187" t="s">
        <v>165</v>
      </c>
      <c r="BF187" t="s">
        <v>23</v>
      </c>
      <c r="BG187" t="s">
        <v>155</v>
      </c>
      <c r="BH187" t="s">
        <v>22</v>
      </c>
      <c r="BI187" t="s">
        <v>24</v>
      </c>
      <c r="BJ187" t="s">
        <v>182</v>
      </c>
      <c r="BK187" s="70">
        <v>2</v>
      </c>
      <c r="BL187" s="70">
        <v>1</v>
      </c>
      <c r="BM187"/>
      <c r="BN187" t="s">
        <v>2590</v>
      </c>
      <c r="BO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 t="s">
        <v>921</v>
      </c>
      <c r="CZ187"/>
      <c r="DL187"/>
      <c r="DM187" s="70" t="s">
        <v>1842</v>
      </c>
      <c r="DN187"/>
      <c r="DO187" s="70" t="s">
        <v>1842</v>
      </c>
      <c r="DP187" t="s">
        <v>921</v>
      </c>
      <c r="DQ187" t="s">
        <v>2590</v>
      </c>
      <c r="DS187" t="s">
        <v>2273</v>
      </c>
      <c r="DT187" t="s">
        <v>2274</v>
      </c>
      <c r="DU187" t="s">
        <v>1971</v>
      </c>
      <c r="DV187"/>
    </row>
    <row r="188" spans="2:126" x14ac:dyDescent="0.25">
      <c r="B188">
        <v>40000528</v>
      </c>
      <c r="C188">
        <v>2</v>
      </c>
      <c r="D188">
        <v>1</v>
      </c>
      <c r="E188">
        <v>2</v>
      </c>
      <c r="F188">
        <v>1969</v>
      </c>
      <c r="G188">
        <v>6</v>
      </c>
      <c r="H188">
        <v>4</v>
      </c>
      <c r="I188">
        <v>2018</v>
      </c>
      <c r="J188" t="s">
        <v>659</v>
      </c>
      <c r="K188" t="s">
        <v>922</v>
      </c>
      <c r="L188">
        <v>28906906103</v>
      </c>
      <c r="M188" t="s">
        <v>1346</v>
      </c>
      <c r="N188" t="s">
        <v>475</v>
      </c>
      <c r="O188" t="s">
        <v>1347</v>
      </c>
      <c r="P188" t="s">
        <v>1605</v>
      </c>
      <c r="Z188" t="s">
        <v>475</v>
      </c>
      <c r="AA188" t="s">
        <v>1347</v>
      </c>
      <c r="AB188" t="s">
        <v>1605</v>
      </c>
      <c r="AU188" t="s">
        <v>146</v>
      </c>
      <c r="AV188" t="s">
        <v>153</v>
      </c>
      <c r="AW188" t="s">
        <v>172</v>
      </c>
      <c r="AX188" t="s">
        <v>146</v>
      </c>
      <c r="AY188" s="70" t="s">
        <v>27</v>
      </c>
      <c r="AZ188" s="70" t="s">
        <v>17</v>
      </c>
      <c r="BA188" s="70">
        <v>0</v>
      </c>
      <c r="BB188" s="70" t="s">
        <v>20</v>
      </c>
      <c r="BC188" s="70" t="s">
        <v>19</v>
      </c>
      <c r="BD188" s="70" t="s">
        <v>2418</v>
      </c>
      <c r="BE188" t="s">
        <v>165</v>
      </c>
      <c r="BF188" t="s">
        <v>23</v>
      </c>
      <c r="BG188" t="s">
        <v>155</v>
      </c>
      <c r="BH188" t="s">
        <v>25</v>
      </c>
      <c r="BI188" t="s">
        <v>24</v>
      </c>
      <c r="BJ188" t="s">
        <v>157</v>
      </c>
      <c r="BK188" s="70">
        <v>0</v>
      </c>
      <c r="BL188" s="70">
        <v>1</v>
      </c>
      <c r="BM188"/>
      <c r="BN188" t="s">
        <v>2591</v>
      </c>
      <c r="BO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 t="s">
        <v>922</v>
      </c>
      <c r="CZ188"/>
      <c r="DL188"/>
      <c r="DM188" s="70" t="s">
        <v>1843</v>
      </c>
      <c r="DN188"/>
      <c r="DO188" s="70" t="s">
        <v>1843</v>
      </c>
      <c r="DP188" t="s">
        <v>922</v>
      </c>
      <c r="DQ188" t="s">
        <v>2591</v>
      </c>
      <c r="DS188" t="s">
        <v>2275</v>
      </c>
      <c r="DT188" t="s">
        <v>2276</v>
      </c>
      <c r="DU188" t="s">
        <v>2277</v>
      </c>
      <c r="DV188"/>
    </row>
    <row r="189" spans="2:126" x14ac:dyDescent="0.25">
      <c r="B189">
        <v>40002342</v>
      </c>
      <c r="C189">
        <v>1</v>
      </c>
      <c r="D189">
        <v>4</v>
      </c>
      <c r="E189">
        <v>25</v>
      </c>
      <c r="F189">
        <v>1990</v>
      </c>
      <c r="G189">
        <v>2</v>
      </c>
      <c r="H189">
        <v>5</v>
      </c>
      <c r="I189">
        <v>2019</v>
      </c>
      <c r="J189" t="s">
        <v>660</v>
      </c>
      <c r="K189" t="s">
        <v>923</v>
      </c>
      <c r="L189">
        <v>78119012884</v>
      </c>
      <c r="M189" t="s">
        <v>1348</v>
      </c>
      <c r="N189" t="s">
        <v>453</v>
      </c>
      <c r="O189" t="s">
        <v>409</v>
      </c>
      <c r="P189" t="s">
        <v>1606</v>
      </c>
      <c r="Z189" t="s">
        <v>453</v>
      </c>
      <c r="AA189" t="s">
        <v>409</v>
      </c>
      <c r="AB189" t="s">
        <v>1606</v>
      </c>
      <c r="AU189" t="s">
        <v>157</v>
      </c>
      <c r="AV189" t="s">
        <v>146</v>
      </c>
      <c r="AW189" t="s">
        <v>165</v>
      </c>
      <c r="AX189" t="s">
        <v>25</v>
      </c>
      <c r="AY189" s="70" t="s">
        <v>17</v>
      </c>
      <c r="AZ189" s="70" t="s">
        <v>19</v>
      </c>
      <c r="BA189" s="70">
        <v>0</v>
      </c>
      <c r="BB189" s="70" t="s">
        <v>2428</v>
      </c>
      <c r="BC189" s="70" t="s">
        <v>2418</v>
      </c>
      <c r="BD189" s="70" t="s">
        <v>2427</v>
      </c>
      <c r="BE189" t="s">
        <v>21</v>
      </c>
      <c r="BF189" t="s">
        <v>23</v>
      </c>
      <c r="BG189" t="s">
        <v>155</v>
      </c>
      <c r="BH189" t="s">
        <v>25</v>
      </c>
      <c r="BI189" t="s">
        <v>25</v>
      </c>
      <c r="BJ189" t="s">
        <v>24</v>
      </c>
      <c r="BK189" s="70">
        <v>6</v>
      </c>
      <c r="BL189" s="70">
        <v>9</v>
      </c>
      <c r="BM189"/>
      <c r="BN189" t="s">
        <v>2592</v>
      </c>
      <c r="BO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 t="s">
        <v>923</v>
      </c>
      <c r="CZ189"/>
      <c r="DL189"/>
      <c r="DM189" s="70" t="s">
        <v>1844</v>
      </c>
      <c r="DN189"/>
      <c r="DO189" s="70" t="s">
        <v>1844</v>
      </c>
      <c r="DP189" t="s">
        <v>923</v>
      </c>
      <c r="DQ189" t="s">
        <v>2592</v>
      </c>
      <c r="DS189" t="s">
        <v>2278</v>
      </c>
      <c r="DT189" t="s">
        <v>2279</v>
      </c>
      <c r="DU189" t="s">
        <v>2016</v>
      </c>
      <c r="DV189"/>
    </row>
    <row r="190" spans="2:126" x14ac:dyDescent="0.25">
      <c r="B190">
        <v>6089388</v>
      </c>
      <c r="C190">
        <v>2</v>
      </c>
      <c r="D190">
        <v>12</v>
      </c>
      <c r="E190">
        <v>27</v>
      </c>
      <c r="F190">
        <v>1983</v>
      </c>
      <c r="G190">
        <v>6</v>
      </c>
      <c r="H190">
        <v>26</v>
      </c>
      <c r="I190">
        <v>2006</v>
      </c>
      <c r="J190" t="s">
        <v>661</v>
      </c>
      <c r="K190" t="s">
        <v>924</v>
      </c>
      <c r="L190">
        <v>94068308926</v>
      </c>
      <c r="M190" t="s">
        <v>1349</v>
      </c>
      <c r="N190" t="s">
        <v>1350</v>
      </c>
      <c r="O190" t="s">
        <v>411</v>
      </c>
      <c r="P190" t="s">
        <v>1606</v>
      </c>
      <c r="Z190" t="s">
        <v>1350</v>
      </c>
      <c r="AA190" t="s">
        <v>411</v>
      </c>
      <c r="AB190" t="s">
        <v>1606</v>
      </c>
      <c r="AU190" t="s">
        <v>170</v>
      </c>
      <c r="AV190" t="s">
        <v>180</v>
      </c>
      <c r="AW190" t="s">
        <v>165</v>
      </c>
      <c r="AX190" t="s">
        <v>25</v>
      </c>
      <c r="AY190" s="70" t="s">
        <v>2422</v>
      </c>
      <c r="AZ190" s="70" t="s">
        <v>18</v>
      </c>
      <c r="BA190" s="70">
        <v>1</v>
      </c>
      <c r="BB190" s="70" t="s">
        <v>2418</v>
      </c>
      <c r="BC190" s="70" t="s">
        <v>2418</v>
      </c>
      <c r="BD190" s="70" t="s">
        <v>2420</v>
      </c>
      <c r="BE190" t="s">
        <v>165</v>
      </c>
      <c r="BF190" t="s">
        <v>23</v>
      </c>
      <c r="BG190" t="s">
        <v>155</v>
      </c>
      <c r="BH190" t="s">
        <v>25</v>
      </c>
      <c r="BI190" t="s">
        <v>25</v>
      </c>
      <c r="BJ190" t="s">
        <v>24</v>
      </c>
      <c r="BK190" s="70">
        <v>3</v>
      </c>
      <c r="BL190" s="70">
        <v>4</v>
      </c>
      <c r="BM190"/>
      <c r="BN190" t="s">
        <v>2593</v>
      </c>
      <c r="BO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 t="s">
        <v>924</v>
      </c>
      <c r="CZ190"/>
      <c r="DL190"/>
      <c r="DM190" s="70" t="s">
        <v>1845</v>
      </c>
      <c r="DN190"/>
      <c r="DO190" s="70" t="s">
        <v>1845</v>
      </c>
      <c r="DP190" t="s">
        <v>924</v>
      </c>
      <c r="DQ190" t="s">
        <v>2593</v>
      </c>
      <c r="DS190" t="s">
        <v>2278</v>
      </c>
      <c r="DT190" t="s">
        <v>2280</v>
      </c>
      <c r="DU190" t="s">
        <v>2069</v>
      </c>
      <c r="DV190"/>
    </row>
    <row r="191" spans="2:126" x14ac:dyDescent="0.25">
      <c r="B191">
        <v>8823100</v>
      </c>
      <c r="C191">
        <v>2</v>
      </c>
      <c r="D191">
        <v>12</v>
      </c>
      <c r="E191">
        <v>23</v>
      </c>
      <c r="F191">
        <v>1973</v>
      </c>
      <c r="G191">
        <v>8</v>
      </c>
      <c r="H191">
        <v>18</v>
      </c>
      <c r="I191">
        <v>2014</v>
      </c>
      <c r="J191" t="s">
        <v>662</v>
      </c>
      <c r="K191" t="s">
        <v>925</v>
      </c>
      <c r="L191">
        <v>94067300205</v>
      </c>
      <c r="M191" t="s">
        <v>1351</v>
      </c>
      <c r="N191" t="s">
        <v>1029</v>
      </c>
      <c r="O191" t="s">
        <v>1024</v>
      </c>
      <c r="P191" t="s">
        <v>1607</v>
      </c>
      <c r="Z191" t="s">
        <v>1029</v>
      </c>
      <c r="AA191" t="s">
        <v>1024</v>
      </c>
      <c r="AB191" t="s">
        <v>1352</v>
      </c>
      <c r="AU191" t="s">
        <v>26</v>
      </c>
      <c r="AV191" t="s">
        <v>146</v>
      </c>
      <c r="AW191" t="s">
        <v>146</v>
      </c>
      <c r="AX191" t="s">
        <v>182</v>
      </c>
      <c r="AY191" s="70" t="s">
        <v>2420</v>
      </c>
      <c r="AZ191" s="70" t="s">
        <v>18</v>
      </c>
      <c r="BA191" s="70">
        <v>1</v>
      </c>
      <c r="BB191" s="70" t="s">
        <v>2418</v>
      </c>
      <c r="BC191" s="70" t="s">
        <v>2418</v>
      </c>
      <c r="BD191" s="70" t="s">
        <v>18</v>
      </c>
      <c r="BE191" t="s">
        <v>165</v>
      </c>
      <c r="BF191" t="s">
        <v>23</v>
      </c>
      <c r="BG191" t="s">
        <v>155</v>
      </c>
      <c r="BH191" t="s">
        <v>182</v>
      </c>
      <c r="BI191" t="s">
        <v>157</v>
      </c>
      <c r="BJ191" t="s">
        <v>25</v>
      </c>
      <c r="BK191" s="70">
        <v>2</v>
      </c>
      <c r="BL191" s="70">
        <v>9</v>
      </c>
      <c r="BM191"/>
      <c r="BN191" t="s">
        <v>2594</v>
      </c>
      <c r="BO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 t="s">
        <v>925</v>
      </c>
      <c r="CZ191"/>
      <c r="DL191"/>
      <c r="DM191" s="70" t="s">
        <v>1846</v>
      </c>
      <c r="DN191"/>
      <c r="DO191" s="70" t="s">
        <v>1846</v>
      </c>
      <c r="DP191" t="s">
        <v>925</v>
      </c>
      <c r="DQ191" t="s">
        <v>2594</v>
      </c>
      <c r="DS191" t="s">
        <v>2281</v>
      </c>
      <c r="DT191" t="s">
        <v>1953</v>
      </c>
      <c r="DU191" t="s">
        <v>1947</v>
      </c>
      <c r="DV191"/>
    </row>
    <row r="192" spans="2:126" x14ac:dyDescent="0.25">
      <c r="B192">
        <v>6821070</v>
      </c>
      <c r="C192">
        <v>2</v>
      </c>
      <c r="D192">
        <v>10</v>
      </c>
      <c r="E192">
        <v>6</v>
      </c>
      <c r="F192">
        <v>1969</v>
      </c>
      <c r="G192">
        <v>7</v>
      </c>
      <c r="H192">
        <v>10</v>
      </c>
      <c r="I192">
        <v>2008</v>
      </c>
      <c r="J192" t="s">
        <v>663</v>
      </c>
      <c r="K192" t="s">
        <v>926</v>
      </c>
      <c r="L192">
        <v>28886922369</v>
      </c>
      <c r="M192" t="s">
        <v>1353</v>
      </c>
      <c r="N192" t="s">
        <v>1274</v>
      </c>
      <c r="O192" t="s">
        <v>402</v>
      </c>
      <c r="P192" t="s">
        <v>1608</v>
      </c>
      <c r="Z192" t="s">
        <v>1274</v>
      </c>
      <c r="AA192" t="s">
        <v>402</v>
      </c>
      <c r="AB192" t="s">
        <v>1354</v>
      </c>
      <c r="AU192" t="s">
        <v>177</v>
      </c>
      <c r="AV192" t="s">
        <v>146</v>
      </c>
      <c r="AW192" t="s">
        <v>22</v>
      </c>
      <c r="AX192" t="s">
        <v>24</v>
      </c>
      <c r="AY192" s="70" t="s">
        <v>27</v>
      </c>
      <c r="AZ192" s="70" t="s">
        <v>17</v>
      </c>
      <c r="BA192" s="70">
        <v>1</v>
      </c>
      <c r="BB192" s="70" t="s">
        <v>19</v>
      </c>
      <c r="BC192" s="70" t="s">
        <v>19</v>
      </c>
      <c r="BD192" s="70" t="s">
        <v>27</v>
      </c>
      <c r="BE192" t="s">
        <v>165</v>
      </c>
      <c r="BF192" t="s">
        <v>23</v>
      </c>
      <c r="BG192" t="s">
        <v>155</v>
      </c>
      <c r="BH192" t="s">
        <v>166</v>
      </c>
      <c r="BI192" t="s">
        <v>25</v>
      </c>
      <c r="BJ192" t="s">
        <v>166</v>
      </c>
      <c r="BK192" s="70">
        <v>3</v>
      </c>
      <c r="BL192" s="70">
        <v>7</v>
      </c>
      <c r="BM192"/>
      <c r="BN192" t="s">
        <v>2595</v>
      </c>
      <c r="BO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 t="s">
        <v>926</v>
      </c>
      <c r="CZ192"/>
      <c r="DL192"/>
      <c r="DM192" s="70" t="s">
        <v>1847</v>
      </c>
      <c r="DN192"/>
      <c r="DO192" s="70" t="s">
        <v>1847</v>
      </c>
      <c r="DP192" t="s">
        <v>926</v>
      </c>
      <c r="DQ192" t="s">
        <v>2595</v>
      </c>
      <c r="DS192" t="s">
        <v>2282</v>
      </c>
      <c r="DT192" t="s">
        <v>2204</v>
      </c>
      <c r="DU192" t="s">
        <v>2283</v>
      </c>
      <c r="DV192"/>
    </row>
    <row r="193" spans="2:126" x14ac:dyDescent="0.25">
      <c r="B193">
        <v>5950667</v>
      </c>
      <c r="C193">
        <v>2</v>
      </c>
      <c r="D193">
        <v>10</v>
      </c>
      <c r="E193">
        <v>21</v>
      </c>
      <c r="F193">
        <v>1980</v>
      </c>
      <c r="G193">
        <v>3</v>
      </c>
      <c r="H193">
        <v>5</v>
      </c>
      <c r="I193">
        <v>2007</v>
      </c>
      <c r="J193" t="s">
        <v>664</v>
      </c>
      <c r="K193" t="s">
        <v>927</v>
      </c>
      <c r="L193">
        <v>94058000897</v>
      </c>
      <c r="M193" t="s">
        <v>1355</v>
      </c>
      <c r="N193" t="s">
        <v>458</v>
      </c>
      <c r="O193" t="s">
        <v>1356</v>
      </c>
      <c r="P193" t="s">
        <v>1609</v>
      </c>
      <c r="Z193" t="s">
        <v>458</v>
      </c>
      <c r="AA193" t="s">
        <v>1356</v>
      </c>
      <c r="AB193" t="s">
        <v>1609</v>
      </c>
      <c r="AU193" t="s">
        <v>22</v>
      </c>
      <c r="AV193" t="s">
        <v>146</v>
      </c>
      <c r="AW193" t="s">
        <v>165</v>
      </c>
      <c r="AX193" t="s">
        <v>177</v>
      </c>
      <c r="AY193" s="70" t="s">
        <v>2422</v>
      </c>
      <c r="AZ193" s="70" t="s">
        <v>19</v>
      </c>
      <c r="BA193" s="70">
        <v>1</v>
      </c>
      <c r="BB193" s="70" t="s">
        <v>19</v>
      </c>
      <c r="BC193" s="70" t="s">
        <v>2418</v>
      </c>
      <c r="BD193" s="70" t="s">
        <v>20</v>
      </c>
      <c r="BE193" t="s">
        <v>165</v>
      </c>
      <c r="BF193" t="s">
        <v>23</v>
      </c>
      <c r="BG193" t="s">
        <v>155</v>
      </c>
      <c r="BH193" t="s">
        <v>149</v>
      </c>
      <c r="BI193" t="s">
        <v>25</v>
      </c>
      <c r="BJ193" t="s">
        <v>166</v>
      </c>
      <c r="BK193" s="70">
        <v>8</v>
      </c>
      <c r="BL193" s="70">
        <v>2</v>
      </c>
      <c r="BM193"/>
      <c r="BN193" t="s">
        <v>2596</v>
      </c>
      <c r="BO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 t="s">
        <v>927</v>
      </c>
      <c r="CZ193"/>
      <c r="DL193"/>
      <c r="DM193" s="70" t="s">
        <v>1848</v>
      </c>
      <c r="DN193"/>
      <c r="DO193" s="70" t="s">
        <v>1848</v>
      </c>
      <c r="DP193" t="s">
        <v>927</v>
      </c>
      <c r="DQ193" t="s">
        <v>2596</v>
      </c>
      <c r="DS193" t="s">
        <v>2284</v>
      </c>
      <c r="DT193" t="s">
        <v>2285</v>
      </c>
      <c r="DU193" t="s">
        <v>2286</v>
      </c>
      <c r="DV193"/>
    </row>
    <row r="194" spans="2:126" x14ac:dyDescent="0.25">
      <c r="B194">
        <v>5977506</v>
      </c>
      <c r="C194">
        <v>2</v>
      </c>
      <c r="D194">
        <v>9</v>
      </c>
      <c r="E194">
        <v>30</v>
      </c>
      <c r="F194">
        <v>1979</v>
      </c>
      <c r="G194">
        <v>1</v>
      </c>
      <c r="H194">
        <v>16</v>
      </c>
      <c r="I194">
        <v>2006</v>
      </c>
      <c r="J194" t="s">
        <v>665</v>
      </c>
      <c r="K194" t="s">
        <v>928</v>
      </c>
      <c r="L194">
        <v>1997901853</v>
      </c>
      <c r="M194" t="s">
        <v>1357</v>
      </c>
      <c r="N194" t="s">
        <v>1358</v>
      </c>
      <c r="O194" t="s">
        <v>466</v>
      </c>
      <c r="P194" t="s">
        <v>87</v>
      </c>
      <c r="Z194" t="s">
        <v>1358</v>
      </c>
      <c r="AA194" t="s">
        <v>466</v>
      </c>
      <c r="AB194" t="s">
        <v>87</v>
      </c>
      <c r="AU194" t="s">
        <v>26</v>
      </c>
      <c r="AV194" t="s">
        <v>146</v>
      </c>
      <c r="AW194" t="s">
        <v>25</v>
      </c>
      <c r="AX194" t="s">
        <v>25</v>
      </c>
      <c r="AY194" s="70" t="s">
        <v>2420</v>
      </c>
      <c r="AZ194" s="70" t="s">
        <v>17</v>
      </c>
      <c r="BA194" s="70">
        <v>0</v>
      </c>
      <c r="BB194" s="70" t="s">
        <v>17</v>
      </c>
      <c r="BC194" s="70" t="s">
        <v>18</v>
      </c>
      <c r="BD194" s="70" t="s">
        <v>19</v>
      </c>
      <c r="BE194" t="s">
        <v>165</v>
      </c>
      <c r="BF194" t="s">
        <v>23</v>
      </c>
      <c r="BG194" t="s">
        <v>155</v>
      </c>
      <c r="BH194" t="s">
        <v>165</v>
      </c>
      <c r="BI194" t="s">
        <v>182</v>
      </c>
      <c r="BJ194" t="s">
        <v>149</v>
      </c>
      <c r="BK194" s="70">
        <v>8</v>
      </c>
      <c r="BL194" s="70">
        <v>6</v>
      </c>
      <c r="BM194"/>
      <c r="BN194" t="s">
        <v>2597</v>
      </c>
      <c r="BO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 t="s">
        <v>928</v>
      </c>
      <c r="CZ194"/>
      <c r="DL194"/>
      <c r="DM194" s="70" t="s">
        <v>1849</v>
      </c>
      <c r="DN194"/>
      <c r="DO194" s="70" t="s">
        <v>1849</v>
      </c>
      <c r="DP194" t="s">
        <v>928</v>
      </c>
      <c r="DQ194" t="s">
        <v>2597</v>
      </c>
      <c r="DS194" t="s">
        <v>1939</v>
      </c>
      <c r="DT194" t="s">
        <v>2287</v>
      </c>
      <c r="DU194" t="s">
        <v>2052</v>
      </c>
      <c r="DV194"/>
    </row>
    <row r="195" spans="2:126" x14ac:dyDescent="0.25">
      <c r="B195">
        <v>5966377</v>
      </c>
      <c r="C195">
        <v>1</v>
      </c>
      <c r="D195">
        <v>4</v>
      </c>
      <c r="E195">
        <v>4</v>
      </c>
      <c r="F195">
        <v>1984</v>
      </c>
      <c r="G195">
        <v>9</v>
      </c>
      <c r="H195">
        <v>19</v>
      </c>
      <c r="I195">
        <v>2011</v>
      </c>
      <c r="J195" t="s">
        <v>666</v>
      </c>
      <c r="K195" t="s">
        <v>929</v>
      </c>
      <c r="L195">
        <v>16028418016</v>
      </c>
      <c r="M195" t="s">
        <v>1359</v>
      </c>
      <c r="N195" t="s">
        <v>1360</v>
      </c>
      <c r="O195" t="s">
        <v>409</v>
      </c>
      <c r="P195" t="s">
        <v>1610</v>
      </c>
      <c r="Z195" t="s">
        <v>1360</v>
      </c>
      <c r="AA195" t="s">
        <v>409</v>
      </c>
      <c r="AB195" t="s">
        <v>83</v>
      </c>
      <c r="AU195" t="s">
        <v>165</v>
      </c>
      <c r="AV195" t="s">
        <v>170</v>
      </c>
      <c r="AW195" t="s">
        <v>165</v>
      </c>
      <c r="AX195" t="s">
        <v>153</v>
      </c>
      <c r="AY195" s="70" t="s">
        <v>2422</v>
      </c>
      <c r="AZ195" s="70" t="s">
        <v>2428</v>
      </c>
      <c r="BA195" s="70">
        <v>0</v>
      </c>
      <c r="BB195" s="70" t="s">
        <v>2428</v>
      </c>
      <c r="BC195" s="70" t="s">
        <v>19</v>
      </c>
      <c r="BD195" s="70" t="s">
        <v>2428</v>
      </c>
      <c r="BE195" t="s">
        <v>21</v>
      </c>
      <c r="BF195" t="s">
        <v>23</v>
      </c>
      <c r="BG195" t="s">
        <v>155</v>
      </c>
      <c r="BH195" t="s">
        <v>177</v>
      </c>
      <c r="BI195" t="s">
        <v>25</v>
      </c>
      <c r="BJ195" t="s">
        <v>23</v>
      </c>
      <c r="BK195" s="70">
        <v>1</v>
      </c>
      <c r="BL195" s="70">
        <v>4</v>
      </c>
      <c r="BM195"/>
      <c r="BN195" t="s">
        <v>2598</v>
      </c>
      <c r="BO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 t="s">
        <v>929</v>
      </c>
      <c r="CZ195"/>
      <c r="DL195"/>
      <c r="DM195" s="70" t="s">
        <v>1850</v>
      </c>
      <c r="DN195"/>
      <c r="DO195" s="70" t="s">
        <v>1850</v>
      </c>
      <c r="DP195" t="s">
        <v>929</v>
      </c>
      <c r="DQ195" t="s">
        <v>2598</v>
      </c>
      <c r="DS195" t="s">
        <v>2288</v>
      </c>
      <c r="DT195" t="s">
        <v>2289</v>
      </c>
      <c r="DU195" t="s">
        <v>2016</v>
      </c>
      <c r="DV195"/>
    </row>
    <row r="196" spans="2:126" x14ac:dyDescent="0.25">
      <c r="B196">
        <v>7437762</v>
      </c>
      <c r="C196">
        <v>1</v>
      </c>
      <c r="D196">
        <v>3</v>
      </c>
      <c r="E196">
        <v>28</v>
      </c>
      <c r="F196">
        <v>1989</v>
      </c>
      <c r="G196">
        <v>9</v>
      </c>
      <c r="H196">
        <v>19</v>
      </c>
      <c r="I196">
        <v>2011</v>
      </c>
      <c r="J196" t="s">
        <v>667</v>
      </c>
      <c r="K196" t="s">
        <v>930</v>
      </c>
      <c r="L196">
        <v>94098950945</v>
      </c>
      <c r="M196" t="s">
        <v>1361</v>
      </c>
      <c r="N196" t="s">
        <v>455</v>
      </c>
      <c r="O196" t="s">
        <v>1362</v>
      </c>
      <c r="P196" t="s">
        <v>61</v>
      </c>
      <c r="Z196" t="s">
        <v>455</v>
      </c>
      <c r="AA196" t="s">
        <v>1362</v>
      </c>
      <c r="AB196" t="s">
        <v>61</v>
      </c>
      <c r="AU196" t="s">
        <v>182</v>
      </c>
      <c r="AV196" t="s">
        <v>146</v>
      </c>
      <c r="AW196" t="s">
        <v>155</v>
      </c>
      <c r="AX196" t="s">
        <v>155</v>
      </c>
      <c r="AY196" s="70" t="s">
        <v>2422</v>
      </c>
      <c r="AZ196" s="70" t="s">
        <v>17</v>
      </c>
      <c r="BA196" s="70">
        <v>0</v>
      </c>
      <c r="BB196" s="70" t="s">
        <v>18</v>
      </c>
      <c r="BC196" s="70" t="s">
        <v>2418</v>
      </c>
      <c r="BD196" s="70" t="s">
        <v>2422</v>
      </c>
      <c r="BE196" t="s">
        <v>21</v>
      </c>
      <c r="BF196" t="s">
        <v>23</v>
      </c>
      <c r="BG196" t="s">
        <v>155</v>
      </c>
      <c r="BH196" t="s">
        <v>24</v>
      </c>
      <c r="BI196" t="s">
        <v>25</v>
      </c>
      <c r="BJ196" t="s">
        <v>25</v>
      </c>
      <c r="BK196" s="70">
        <v>5</v>
      </c>
      <c r="BL196" s="70">
        <v>5</v>
      </c>
      <c r="BM196"/>
      <c r="BN196" t="s">
        <v>2599</v>
      </c>
      <c r="BO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 t="s">
        <v>930</v>
      </c>
      <c r="CZ196"/>
      <c r="DL196"/>
      <c r="DM196" s="70" t="s">
        <v>1851</v>
      </c>
      <c r="DN196"/>
      <c r="DO196" s="70" t="s">
        <v>1851</v>
      </c>
      <c r="DP196" t="s">
        <v>930</v>
      </c>
      <c r="DQ196" t="s">
        <v>2599</v>
      </c>
      <c r="DS196" t="s">
        <v>2255</v>
      </c>
      <c r="DT196" t="s">
        <v>2290</v>
      </c>
      <c r="DU196" t="s">
        <v>2291</v>
      </c>
      <c r="DV196"/>
    </row>
    <row r="197" spans="2:126" x14ac:dyDescent="0.25">
      <c r="B197">
        <v>9198316</v>
      </c>
      <c r="C197">
        <v>1</v>
      </c>
      <c r="D197">
        <v>9</v>
      </c>
      <c r="E197">
        <v>17</v>
      </c>
      <c r="F197">
        <v>1972</v>
      </c>
      <c r="G197">
        <v>9</v>
      </c>
      <c r="H197">
        <v>19</v>
      </c>
      <c r="I197">
        <v>2016</v>
      </c>
      <c r="J197" t="s">
        <v>668</v>
      </c>
      <c r="K197" t="s">
        <v>931</v>
      </c>
      <c r="L197">
        <v>94907219664</v>
      </c>
      <c r="M197" t="s">
        <v>1363</v>
      </c>
      <c r="N197" t="s">
        <v>407</v>
      </c>
      <c r="O197" t="s">
        <v>400</v>
      </c>
      <c r="P197" t="s">
        <v>1611</v>
      </c>
      <c r="Z197" t="s">
        <v>407</v>
      </c>
      <c r="AA197" t="s">
        <v>400</v>
      </c>
      <c r="AB197" t="s">
        <v>1149</v>
      </c>
      <c r="AU197" t="s">
        <v>24</v>
      </c>
      <c r="AV197" t="s">
        <v>170</v>
      </c>
      <c r="AW197" t="s">
        <v>161</v>
      </c>
      <c r="AX197" t="s">
        <v>24</v>
      </c>
      <c r="AY197" s="70" t="s">
        <v>2420</v>
      </c>
      <c r="AZ197" s="70" t="s">
        <v>2418</v>
      </c>
      <c r="BA197" s="70">
        <v>0</v>
      </c>
      <c r="BB197" s="70" t="s">
        <v>17</v>
      </c>
      <c r="BC197" s="70" t="s">
        <v>20</v>
      </c>
      <c r="BD197" s="70" t="s">
        <v>2420</v>
      </c>
      <c r="BE197" t="s">
        <v>21</v>
      </c>
      <c r="BF197" t="s">
        <v>23</v>
      </c>
      <c r="BG197" t="s">
        <v>155</v>
      </c>
      <c r="BH197" t="s">
        <v>172</v>
      </c>
      <c r="BI197" t="s">
        <v>25</v>
      </c>
      <c r="BJ197" t="s">
        <v>177</v>
      </c>
      <c r="BK197" s="70">
        <v>1</v>
      </c>
      <c r="BL197" s="70">
        <v>0</v>
      </c>
      <c r="BM197"/>
      <c r="BN197" t="s">
        <v>2600</v>
      </c>
      <c r="BO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 t="s">
        <v>931</v>
      </c>
      <c r="CZ197"/>
      <c r="DL197"/>
      <c r="DM197" s="70" t="s">
        <v>1852</v>
      </c>
      <c r="DN197"/>
      <c r="DO197" s="70" t="s">
        <v>1852</v>
      </c>
      <c r="DP197" t="s">
        <v>931</v>
      </c>
      <c r="DQ197" t="s">
        <v>2600</v>
      </c>
      <c r="DS197" t="s">
        <v>2292</v>
      </c>
      <c r="DT197" t="s">
        <v>1980</v>
      </c>
      <c r="DU197" t="s">
        <v>1943</v>
      </c>
      <c r="DV197"/>
    </row>
    <row r="198" spans="2:126" x14ac:dyDescent="0.25">
      <c r="B198">
        <v>8358300</v>
      </c>
      <c r="C198">
        <v>2</v>
      </c>
      <c r="D198">
        <v>1</v>
      </c>
      <c r="E198">
        <v>7</v>
      </c>
      <c r="F198">
        <v>1974</v>
      </c>
      <c r="G198">
        <v>1</v>
      </c>
      <c r="H198">
        <v>6</v>
      </c>
      <c r="I198">
        <v>2014</v>
      </c>
      <c r="J198" t="s">
        <v>669</v>
      </c>
      <c r="K198" t="s">
        <v>932</v>
      </c>
      <c r="L198">
        <v>92947418825</v>
      </c>
      <c r="M198" t="s">
        <v>1364</v>
      </c>
      <c r="N198" t="s">
        <v>1358</v>
      </c>
      <c r="O198" t="s">
        <v>466</v>
      </c>
      <c r="P198" t="s">
        <v>63</v>
      </c>
      <c r="Z198" t="s">
        <v>1358</v>
      </c>
      <c r="AA198" t="s">
        <v>466</v>
      </c>
      <c r="AB198" t="s">
        <v>63</v>
      </c>
      <c r="AU198" t="s">
        <v>26</v>
      </c>
      <c r="AV198" t="s">
        <v>146</v>
      </c>
      <c r="AW198" t="s">
        <v>25</v>
      </c>
      <c r="AX198" t="s">
        <v>172</v>
      </c>
      <c r="AY198" s="70" t="s">
        <v>2420</v>
      </c>
      <c r="AZ198" s="70" t="s">
        <v>2428</v>
      </c>
      <c r="BA198" s="70">
        <v>0</v>
      </c>
      <c r="BB198" s="70" t="s">
        <v>20</v>
      </c>
      <c r="BC198" s="70" t="s">
        <v>19</v>
      </c>
      <c r="BD198" s="70" t="s">
        <v>2420</v>
      </c>
      <c r="BE198" t="s">
        <v>165</v>
      </c>
      <c r="BF198" t="s">
        <v>23</v>
      </c>
      <c r="BG198" t="s">
        <v>155</v>
      </c>
      <c r="BH198" t="s">
        <v>165</v>
      </c>
      <c r="BI198" t="s">
        <v>182</v>
      </c>
      <c r="BJ198" t="s">
        <v>23</v>
      </c>
      <c r="BK198" s="70">
        <v>2</v>
      </c>
      <c r="BL198" s="70">
        <v>7</v>
      </c>
      <c r="BM198"/>
      <c r="BN198" t="s">
        <v>2601</v>
      </c>
      <c r="BO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 t="s">
        <v>932</v>
      </c>
      <c r="CZ198"/>
      <c r="DL198"/>
      <c r="DM198" s="70" t="s">
        <v>1853</v>
      </c>
      <c r="DN198"/>
      <c r="DO198" s="70" t="s">
        <v>1853</v>
      </c>
      <c r="DP198" t="s">
        <v>932</v>
      </c>
      <c r="DQ198" t="s">
        <v>2601</v>
      </c>
      <c r="DS198" t="s">
        <v>2260</v>
      </c>
      <c r="DT198" t="s">
        <v>2287</v>
      </c>
      <c r="DU198" t="s">
        <v>2052</v>
      </c>
      <c r="DV198"/>
    </row>
    <row r="199" spans="2:126" x14ac:dyDescent="0.25">
      <c r="B199">
        <v>5950799</v>
      </c>
      <c r="C199">
        <v>1</v>
      </c>
      <c r="D199">
        <v>1</v>
      </c>
      <c r="E199">
        <v>5</v>
      </c>
      <c r="F199">
        <v>1974</v>
      </c>
      <c r="G199">
        <v>9</v>
      </c>
      <c r="H199">
        <v>9</v>
      </c>
      <c r="I199">
        <v>1991</v>
      </c>
      <c r="J199" t="s">
        <v>670</v>
      </c>
      <c r="K199" t="s">
        <v>933</v>
      </c>
      <c r="L199">
        <v>94917430301</v>
      </c>
      <c r="M199" t="s">
        <v>1365</v>
      </c>
      <c r="N199" t="s">
        <v>424</v>
      </c>
      <c r="O199" t="s">
        <v>1103</v>
      </c>
      <c r="P199" t="s">
        <v>1612</v>
      </c>
      <c r="Z199" t="s">
        <v>424</v>
      </c>
      <c r="AA199" t="s">
        <v>1103</v>
      </c>
      <c r="AB199" t="s">
        <v>2410</v>
      </c>
      <c r="AU199" t="s">
        <v>22</v>
      </c>
      <c r="AV199" t="s">
        <v>146</v>
      </c>
      <c r="AW199" t="s">
        <v>146</v>
      </c>
      <c r="AX199" t="s">
        <v>155</v>
      </c>
      <c r="AY199" s="70" t="s">
        <v>2420</v>
      </c>
      <c r="AZ199" s="70" t="s">
        <v>2428</v>
      </c>
      <c r="BA199" s="70">
        <v>0</v>
      </c>
      <c r="BB199" s="70" t="s">
        <v>20</v>
      </c>
      <c r="BC199" s="70" t="s">
        <v>19</v>
      </c>
      <c r="BD199" s="70" t="s">
        <v>2427</v>
      </c>
      <c r="BE199" t="s">
        <v>21</v>
      </c>
      <c r="BF199" t="s">
        <v>23</v>
      </c>
      <c r="BG199" t="s">
        <v>155</v>
      </c>
      <c r="BH199" t="s">
        <v>165</v>
      </c>
      <c r="BI199" t="s">
        <v>172</v>
      </c>
      <c r="BJ199" t="s">
        <v>24</v>
      </c>
      <c r="BK199" s="70">
        <v>3</v>
      </c>
      <c r="BL199" s="70">
        <v>8</v>
      </c>
      <c r="BM199"/>
      <c r="BN199" t="s">
        <v>2602</v>
      </c>
      <c r="BO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 t="s">
        <v>933</v>
      </c>
      <c r="CZ199"/>
      <c r="DL199"/>
      <c r="DM199" s="70" t="s">
        <v>1854</v>
      </c>
      <c r="DN199"/>
      <c r="DO199" s="70" t="s">
        <v>1854</v>
      </c>
      <c r="DP199" t="s">
        <v>933</v>
      </c>
      <c r="DQ199" t="s">
        <v>2602</v>
      </c>
      <c r="DS199" t="s">
        <v>2293</v>
      </c>
      <c r="DT199" t="s">
        <v>2294</v>
      </c>
      <c r="DU199" t="s">
        <v>2034</v>
      </c>
      <c r="DV199"/>
    </row>
    <row r="200" spans="2:126" x14ac:dyDescent="0.25">
      <c r="B200">
        <v>5959907</v>
      </c>
      <c r="C200">
        <v>1</v>
      </c>
      <c r="D200">
        <v>6</v>
      </c>
      <c r="E200">
        <v>12</v>
      </c>
      <c r="F200">
        <v>1983</v>
      </c>
      <c r="G200">
        <v>1</v>
      </c>
      <c r="H200">
        <v>16</v>
      </c>
      <c r="I200">
        <v>2006</v>
      </c>
      <c r="J200" t="s">
        <v>671</v>
      </c>
      <c r="K200" t="s">
        <v>934</v>
      </c>
      <c r="L200">
        <v>94038302504</v>
      </c>
      <c r="M200" t="s">
        <v>1366</v>
      </c>
      <c r="N200" t="s">
        <v>410</v>
      </c>
      <c r="O200" t="s">
        <v>409</v>
      </c>
      <c r="P200" t="s">
        <v>1613</v>
      </c>
      <c r="Z200" t="s">
        <v>410</v>
      </c>
      <c r="AA200" t="s">
        <v>409</v>
      </c>
      <c r="AB200" t="s">
        <v>1613</v>
      </c>
      <c r="AU200" t="s">
        <v>21</v>
      </c>
      <c r="AV200" t="s">
        <v>153</v>
      </c>
      <c r="AW200" t="s">
        <v>165</v>
      </c>
      <c r="AX200" t="s">
        <v>177</v>
      </c>
      <c r="AY200" s="70" t="s">
        <v>2422</v>
      </c>
      <c r="AZ200" s="70" t="s">
        <v>18</v>
      </c>
      <c r="BA200" s="70">
        <v>0</v>
      </c>
      <c r="BB200" s="70" t="s">
        <v>27</v>
      </c>
      <c r="BC200" s="70" t="s">
        <v>20</v>
      </c>
      <c r="BD200" s="70" t="s">
        <v>2418</v>
      </c>
      <c r="BE200" t="s">
        <v>21</v>
      </c>
      <c r="BF200" t="s">
        <v>23</v>
      </c>
      <c r="BG200" t="s">
        <v>155</v>
      </c>
      <c r="BH200" t="s">
        <v>25</v>
      </c>
      <c r="BI200" t="s">
        <v>25</v>
      </c>
      <c r="BJ200" t="s">
        <v>25</v>
      </c>
      <c r="BK200" s="70">
        <v>4</v>
      </c>
      <c r="BL200" s="70">
        <v>4</v>
      </c>
      <c r="BM200"/>
      <c r="BN200" t="s">
        <v>2603</v>
      </c>
      <c r="BO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 t="s">
        <v>934</v>
      </c>
      <c r="CZ200"/>
      <c r="DL200"/>
      <c r="DM200" s="70" t="s">
        <v>1855</v>
      </c>
      <c r="DN200"/>
      <c r="DO200" s="70" t="s">
        <v>1855</v>
      </c>
      <c r="DP200" t="s">
        <v>934</v>
      </c>
      <c r="DQ200" t="s">
        <v>2603</v>
      </c>
      <c r="DS200" t="s">
        <v>2295</v>
      </c>
      <c r="DT200" t="s">
        <v>1987</v>
      </c>
      <c r="DU200" t="s">
        <v>2016</v>
      </c>
      <c r="DV200"/>
    </row>
    <row r="201" spans="2:126" x14ac:dyDescent="0.25">
      <c r="B201">
        <v>5967527</v>
      </c>
      <c r="C201">
        <v>2</v>
      </c>
      <c r="D201">
        <v>5</v>
      </c>
      <c r="E201">
        <v>16</v>
      </c>
      <c r="F201">
        <v>1961</v>
      </c>
      <c r="G201">
        <v>7</v>
      </c>
      <c r="H201">
        <v>18</v>
      </c>
      <c r="I201">
        <v>1988</v>
      </c>
      <c r="J201" t="s">
        <v>672</v>
      </c>
      <c r="K201" t="s">
        <v>935</v>
      </c>
      <c r="L201">
        <v>6806107600</v>
      </c>
      <c r="M201" t="s">
        <v>1367</v>
      </c>
      <c r="N201" t="s">
        <v>422</v>
      </c>
      <c r="O201" t="s">
        <v>410</v>
      </c>
      <c r="P201" t="s">
        <v>97</v>
      </c>
      <c r="Z201" t="s">
        <v>422</v>
      </c>
      <c r="AA201" t="s">
        <v>410</v>
      </c>
      <c r="AB201" t="s">
        <v>97</v>
      </c>
      <c r="AU201" t="s">
        <v>170</v>
      </c>
      <c r="AV201" t="s">
        <v>159</v>
      </c>
      <c r="AW201" t="s">
        <v>21</v>
      </c>
      <c r="AX201" t="s">
        <v>177</v>
      </c>
      <c r="AY201" s="70" t="s">
        <v>27</v>
      </c>
      <c r="AZ201" s="70" t="s">
        <v>20</v>
      </c>
      <c r="BA201" s="70">
        <v>0</v>
      </c>
      <c r="BB201" s="70" t="s">
        <v>2427</v>
      </c>
      <c r="BC201" s="70" t="s">
        <v>20</v>
      </c>
      <c r="BD201" s="70" t="s">
        <v>27</v>
      </c>
      <c r="BE201" t="s">
        <v>165</v>
      </c>
      <c r="BF201" t="s">
        <v>23</v>
      </c>
      <c r="BG201" t="s">
        <v>155</v>
      </c>
      <c r="BH201" t="s">
        <v>25</v>
      </c>
      <c r="BI201" t="s">
        <v>25</v>
      </c>
      <c r="BJ201" t="s">
        <v>24</v>
      </c>
      <c r="BK201" s="70">
        <v>4</v>
      </c>
      <c r="BL201" s="70">
        <v>7</v>
      </c>
      <c r="BM201"/>
      <c r="BN201" t="s">
        <v>2604</v>
      </c>
      <c r="BO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 t="s">
        <v>935</v>
      </c>
      <c r="CZ201"/>
      <c r="DL201"/>
      <c r="DM201" s="70" t="s">
        <v>1856</v>
      </c>
      <c r="DN201"/>
      <c r="DO201" s="70" t="s">
        <v>1856</v>
      </c>
      <c r="DP201" t="s">
        <v>935</v>
      </c>
      <c r="DQ201" t="s">
        <v>2604</v>
      </c>
      <c r="DS201" t="s">
        <v>2251</v>
      </c>
      <c r="DT201" t="s">
        <v>2000</v>
      </c>
      <c r="DU201" t="s">
        <v>1987</v>
      </c>
      <c r="DV201"/>
    </row>
    <row r="202" spans="2:126" x14ac:dyDescent="0.25">
      <c r="B202">
        <v>5963777</v>
      </c>
      <c r="C202">
        <v>2</v>
      </c>
      <c r="D202">
        <v>6</v>
      </c>
      <c r="E202">
        <v>2</v>
      </c>
      <c r="F202">
        <v>1966</v>
      </c>
      <c r="G202">
        <v>11</v>
      </c>
      <c r="H202">
        <v>5</v>
      </c>
      <c r="I202">
        <v>1987</v>
      </c>
      <c r="J202" t="s">
        <v>673</v>
      </c>
      <c r="K202" t="s">
        <v>936</v>
      </c>
      <c r="L202">
        <v>42846611525</v>
      </c>
      <c r="M202" t="s">
        <v>1368</v>
      </c>
      <c r="N202" t="s">
        <v>409</v>
      </c>
      <c r="O202" t="s">
        <v>1369</v>
      </c>
      <c r="P202" t="s">
        <v>1614</v>
      </c>
      <c r="Z202" t="s">
        <v>409</v>
      </c>
      <c r="AA202" t="s">
        <v>1369</v>
      </c>
      <c r="AB202" t="s">
        <v>2411</v>
      </c>
      <c r="AU202" t="s">
        <v>165</v>
      </c>
      <c r="AV202" t="s">
        <v>146</v>
      </c>
      <c r="AW202" t="s">
        <v>24</v>
      </c>
      <c r="AX202" t="s">
        <v>25</v>
      </c>
      <c r="AY202" s="70" t="s">
        <v>27</v>
      </c>
      <c r="AZ202" s="70" t="s">
        <v>27</v>
      </c>
      <c r="BA202" s="70">
        <v>0</v>
      </c>
      <c r="BB202" s="70" t="s">
        <v>27</v>
      </c>
      <c r="BC202" s="70" t="s">
        <v>19</v>
      </c>
      <c r="BD202" s="70" t="s">
        <v>2418</v>
      </c>
      <c r="BE202" t="s">
        <v>165</v>
      </c>
      <c r="BF202" t="s">
        <v>23</v>
      </c>
      <c r="BG202" t="s">
        <v>155</v>
      </c>
      <c r="BH202" t="s">
        <v>25</v>
      </c>
      <c r="BI202" t="s">
        <v>166</v>
      </c>
      <c r="BJ202" t="s">
        <v>177</v>
      </c>
      <c r="BK202" s="70">
        <v>9</v>
      </c>
      <c r="BL202" s="70">
        <v>2</v>
      </c>
      <c r="BM202"/>
      <c r="BN202" t="s">
        <v>2605</v>
      </c>
      <c r="BO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 t="s">
        <v>936</v>
      </c>
      <c r="CZ202"/>
      <c r="DL202"/>
      <c r="DM202" s="70" t="s">
        <v>1857</v>
      </c>
      <c r="DN202"/>
      <c r="DO202" s="70" t="s">
        <v>1857</v>
      </c>
      <c r="DP202" t="s">
        <v>936</v>
      </c>
      <c r="DQ202" t="s">
        <v>2605</v>
      </c>
      <c r="DS202" t="s">
        <v>2296</v>
      </c>
      <c r="DT202" t="s">
        <v>2016</v>
      </c>
      <c r="DU202" t="s">
        <v>2297</v>
      </c>
      <c r="DV202"/>
    </row>
    <row r="203" spans="2:126" x14ac:dyDescent="0.25">
      <c r="B203">
        <v>9215733</v>
      </c>
      <c r="C203">
        <v>2</v>
      </c>
      <c r="D203">
        <v>8</v>
      </c>
      <c r="E203">
        <v>8</v>
      </c>
      <c r="F203">
        <v>1973</v>
      </c>
      <c r="G203">
        <v>5</v>
      </c>
      <c r="H203">
        <v>1</v>
      </c>
      <c r="I203">
        <v>2017</v>
      </c>
      <c r="J203" t="s">
        <v>674</v>
      </c>
      <c r="K203" t="s">
        <v>937</v>
      </c>
      <c r="L203">
        <v>20947320576</v>
      </c>
      <c r="M203" t="s">
        <v>1370</v>
      </c>
      <c r="N203" t="s">
        <v>89</v>
      </c>
      <c r="O203" t="s">
        <v>450</v>
      </c>
      <c r="P203" t="s">
        <v>61</v>
      </c>
      <c r="Z203" t="s">
        <v>89</v>
      </c>
      <c r="AA203" t="s">
        <v>450</v>
      </c>
      <c r="AB203" t="s">
        <v>61</v>
      </c>
      <c r="AU203" t="s">
        <v>146</v>
      </c>
      <c r="AV203" t="s">
        <v>170</v>
      </c>
      <c r="AW203" t="s">
        <v>25</v>
      </c>
      <c r="AX203" t="s">
        <v>155</v>
      </c>
      <c r="AY203" s="70" t="s">
        <v>2420</v>
      </c>
      <c r="AZ203" s="70" t="s">
        <v>18</v>
      </c>
      <c r="BA203" s="70">
        <v>0</v>
      </c>
      <c r="BB203" s="70" t="s">
        <v>2422</v>
      </c>
      <c r="BC203" s="70" t="s">
        <v>19</v>
      </c>
      <c r="BD203" s="70" t="s">
        <v>2422</v>
      </c>
      <c r="BE203" t="s">
        <v>165</v>
      </c>
      <c r="BF203" t="s">
        <v>23</v>
      </c>
      <c r="BG203" t="s">
        <v>155</v>
      </c>
      <c r="BH203" t="s">
        <v>24</v>
      </c>
      <c r="BI203" t="s">
        <v>177</v>
      </c>
      <c r="BJ203" t="s">
        <v>25</v>
      </c>
      <c r="BK203" s="70">
        <v>6</v>
      </c>
      <c r="BL203" s="70">
        <v>0</v>
      </c>
      <c r="BM203"/>
      <c r="BN203" t="s">
        <v>2606</v>
      </c>
      <c r="BO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 t="s">
        <v>937</v>
      </c>
      <c r="CZ203"/>
      <c r="DL203"/>
      <c r="DM203" s="70" t="s">
        <v>1858</v>
      </c>
      <c r="DN203"/>
      <c r="DO203" s="70" t="s">
        <v>1858</v>
      </c>
      <c r="DP203" t="s">
        <v>937</v>
      </c>
      <c r="DQ203" t="s">
        <v>2606</v>
      </c>
      <c r="DS203" t="s">
        <v>2255</v>
      </c>
      <c r="DT203" t="s">
        <v>2298</v>
      </c>
      <c r="DU203" t="s">
        <v>2299</v>
      </c>
      <c r="DV203"/>
    </row>
    <row r="204" spans="2:126" x14ac:dyDescent="0.25">
      <c r="B204">
        <v>40004484</v>
      </c>
      <c r="C204">
        <v>1</v>
      </c>
      <c r="D204">
        <v>9</v>
      </c>
      <c r="E204">
        <v>8</v>
      </c>
      <c r="F204">
        <v>1965</v>
      </c>
      <c r="G204">
        <v>12</v>
      </c>
      <c r="H204">
        <v>2</v>
      </c>
      <c r="I204">
        <v>2019</v>
      </c>
      <c r="J204" t="s">
        <v>675</v>
      </c>
      <c r="K204" t="s">
        <v>938</v>
      </c>
      <c r="L204">
        <v>64866531474</v>
      </c>
      <c r="M204" t="s">
        <v>1371</v>
      </c>
      <c r="N204" t="s">
        <v>1372</v>
      </c>
      <c r="O204" t="s">
        <v>399</v>
      </c>
      <c r="P204" t="s">
        <v>59</v>
      </c>
      <c r="Z204" t="s">
        <v>1372</v>
      </c>
      <c r="AA204" t="s">
        <v>399</v>
      </c>
      <c r="AB204" t="s">
        <v>59</v>
      </c>
      <c r="AU204" t="s">
        <v>21</v>
      </c>
      <c r="AV204" t="s">
        <v>153</v>
      </c>
      <c r="AW204" t="s">
        <v>165</v>
      </c>
      <c r="AX204" t="s">
        <v>153</v>
      </c>
      <c r="AY204" s="70" t="s">
        <v>27</v>
      </c>
      <c r="AZ204" s="70" t="s">
        <v>2427</v>
      </c>
      <c r="BA204" s="70">
        <v>0</v>
      </c>
      <c r="BB204" s="70" t="s">
        <v>17</v>
      </c>
      <c r="BC204" s="70" t="s">
        <v>19</v>
      </c>
      <c r="BD204" s="70" t="s">
        <v>2422</v>
      </c>
      <c r="BE204" t="s">
        <v>21</v>
      </c>
      <c r="BF204" t="s">
        <v>23</v>
      </c>
      <c r="BG204" t="s">
        <v>155</v>
      </c>
      <c r="BH204" t="s">
        <v>25</v>
      </c>
      <c r="BI204" t="s">
        <v>166</v>
      </c>
      <c r="BJ204" t="s">
        <v>166</v>
      </c>
      <c r="BK204" s="70">
        <v>0</v>
      </c>
      <c r="BL204" s="70">
        <v>5</v>
      </c>
      <c r="BM204"/>
      <c r="BN204" t="s">
        <v>2607</v>
      </c>
      <c r="BO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 t="s">
        <v>938</v>
      </c>
      <c r="CZ204"/>
      <c r="DL204"/>
      <c r="DM204" s="70" t="s">
        <v>1859</v>
      </c>
      <c r="DN204"/>
      <c r="DO204" s="70" t="s">
        <v>1859</v>
      </c>
      <c r="DP204" t="s">
        <v>938</v>
      </c>
      <c r="DQ204" t="s">
        <v>2607</v>
      </c>
      <c r="DS204" t="s">
        <v>1995</v>
      </c>
      <c r="DT204" t="s">
        <v>2300</v>
      </c>
      <c r="DU204" t="s">
        <v>1949</v>
      </c>
      <c r="DV204"/>
    </row>
    <row r="205" spans="2:126" x14ac:dyDescent="0.25">
      <c r="B205">
        <v>5967551</v>
      </c>
      <c r="C205">
        <v>1</v>
      </c>
      <c r="D205">
        <v>7</v>
      </c>
      <c r="E205">
        <v>17</v>
      </c>
      <c r="F205">
        <v>1965</v>
      </c>
      <c r="G205">
        <v>4</v>
      </c>
      <c r="H205">
        <v>7</v>
      </c>
      <c r="I205">
        <v>1992</v>
      </c>
      <c r="J205" t="s">
        <v>676</v>
      </c>
      <c r="K205" t="s">
        <v>939</v>
      </c>
      <c r="L205">
        <v>6866505198</v>
      </c>
      <c r="M205" t="s">
        <v>1373</v>
      </c>
      <c r="N205" t="s">
        <v>422</v>
      </c>
      <c r="O205" t="s">
        <v>474</v>
      </c>
      <c r="P205" t="s">
        <v>78</v>
      </c>
      <c r="Z205" t="s">
        <v>422</v>
      </c>
      <c r="AA205" t="s">
        <v>474</v>
      </c>
      <c r="AB205" t="s">
        <v>1152</v>
      </c>
      <c r="AU205" t="s">
        <v>170</v>
      </c>
      <c r="AV205" t="s">
        <v>159</v>
      </c>
      <c r="AW205" t="s">
        <v>24</v>
      </c>
      <c r="AX205" t="s">
        <v>22</v>
      </c>
      <c r="AY205" s="70" t="s">
        <v>27</v>
      </c>
      <c r="AZ205" s="70" t="s">
        <v>2427</v>
      </c>
      <c r="BA205" s="70">
        <v>0</v>
      </c>
      <c r="BB205" s="70" t="s">
        <v>2420</v>
      </c>
      <c r="BC205" s="70" t="s">
        <v>20</v>
      </c>
      <c r="BD205" s="70" t="s">
        <v>2420</v>
      </c>
      <c r="BE205" t="s">
        <v>21</v>
      </c>
      <c r="BF205" t="s">
        <v>23</v>
      </c>
      <c r="BG205" t="s">
        <v>155</v>
      </c>
      <c r="BH205" t="s">
        <v>25</v>
      </c>
      <c r="BI205" t="s">
        <v>186</v>
      </c>
      <c r="BJ205" t="s">
        <v>25</v>
      </c>
      <c r="BK205" s="70">
        <v>1</v>
      </c>
      <c r="BL205" s="70">
        <v>9</v>
      </c>
      <c r="BM205"/>
      <c r="BN205" t="s">
        <v>2608</v>
      </c>
      <c r="BO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 t="s">
        <v>939</v>
      </c>
      <c r="CZ205"/>
      <c r="DL205"/>
      <c r="DM205" s="70" t="s">
        <v>1860</v>
      </c>
      <c r="DN205"/>
      <c r="DO205" s="70" t="s">
        <v>1860</v>
      </c>
      <c r="DP205" t="s">
        <v>939</v>
      </c>
      <c r="DQ205" t="s">
        <v>2608</v>
      </c>
      <c r="DS205" t="s">
        <v>2301</v>
      </c>
      <c r="DT205" t="s">
        <v>2000</v>
      </c>
      <c r="DU205" t="s">
        <v>2302</v>
      </c>
      <c r="DV205"/>
    </row>
    <row r="206" spans="2:126" x14ac:dyDescent="0.25">
      <c r="B206">
        <v>5975228</v>
      </c>
      <c r="C206">
        <v>1</v>
      </c>
      <c r="D206">
        <v>10</v>
      </c>
      <c r="E206">
        <v>31</v>
      </c>
      <c r="F206">
        <v>1970</v>
      </c>
      <c r="G206">
        <v>12</v>
      </c>
      <c r="H206">
        <v>3</v>
      </c>
      <c r="I206">
        <v>1994</v>
      </c>
      <c r="J206" t="s">
        <v>677</v>
      </c>
      <c r="K206" t="s">
        <v>940</v>
      </c>
      <c r="L206">
        <v>11917002930</v>
      </c>
      <c r="M206" t="s">
        <v>1374</v>
      </c>
      <c r="N206" t="s">
        <v>452</v>
      </c>
      <c r="O206" t="s">
        <v>459</v>
      </c>
      <c r="P206" t="s">
        <v>1241</v>
      </c>
      <c r="Z206" t="s">
        <v>452</v>
      </c>
      <c r="AA206" t="s">
        <v>459</v>
      </c>
      <c r="AB206" t="s">
        <v>1241</v>
      </c>
      <c r="AU206" t="s">
        <v>16</v>
      </c>
      <c r="AV206" t="s">
        <v>170</v>
      </c>
      <c r="AW206" t="s">
        <v>182</v>
      </c>
      <c r="AX206" t="s">
        <v>161</v>
      </c>
      <c r="AY206" s="70" t="s">
        <v>2420</v>
      </c>
      <c r="AZ206" s="70" t="s">
        <v>19</v>
      </c>
      <c r="BA206" s="70">
        <v>1</v>
      </c>
      <c r="BB206" s="70" t="s">
        <v>19</v>
      </c>
      <c r="BC206" s="70" t="s">
        <v>18</v>
      </c>
      <c r="BD206" s="70" t="s">
        <v>20</v>
      </c>
      <c r="BE206" t="s">
        <v>21</v>
      </c>
      <c r="BF206" t="s">
        <v>23</v>
      </c>
      <c r="BG206" t="s">
        <v>155</v>
      </c>
      <c r="BH206" t="s">
        <v>25</v>
      </c>
      <c r="BI206" t="s">
        <v>24</v>
      </c>
      <c r="BJ206" t="s">
        <v>25</v>
      </c>
      <c r="BK206" s="70">
        <v>4</v>
      </c>
      <c r="BL206" s="70">
        <v>8</v>
      </c>
      <c r="BM206"/>
      <c r="BN206" t="s">
        <v>2609</v>
      </c>
      <c r="BO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 t="s">
        <v>940</v>
      </c>
      <c r="CZ206"/>
      <c r="DL206"/>
      <c r="DM206" s="70" t="s">
        <v>1861</v>
      </c>
      <c r="DN206"/>
      <c r="DO206" s="70" t="s">
        <v>1861</v>
      </c>
      <c r="DP206" t="s">
        <v>940</v>
      </c>
      <c r="DQ206" t="s">
        <v>2609</v>
      </c>
      <c r="DS206" t="s">
        <v>2303</v>
      </c>
      <c r="DT206" t="s">
        <v>1941</v>
      </c>
      <c r="DU206" t="s">
        <v>2189</v>
      </c>
      <c r="DV206"/>
    </row>
    <row r="207" spans="2:126" x14ac:dyDescent="0.25">
      <c r="B207">
        <v>5960190</v>
      </c>
      <c r="C207">
        <v>2</v>
      </c>
      <c r="D207">
        <v>6</v>
      </c>
      <c r="E207">
        <v>8</v>
      </c>
      <c r="F207">
        <v>1974</v>
      </c>
      <c r="G207">
        <v>12</v>
      </c>
      <c r="H207">
        <v>1</v>
      </c>
      <c r="I207">
        <v>1999</v>
      </c>
      <c r="J207" t="s">
        <v>678</v>
      </c>
      <c r="K207" t="s">
        <v>941</v>
      </c>
      <c r="L207">
        <v>92937438486</v>
      </c>
      <c r="M207" t="s">
        <v>1375</v>
      </c>
      <c r="N207" t="s">
        <v>410</v>
      </c>
      <c r="O207" t="s">
        <v>422</v>
      </c>
      <c r="P207" t="s">
        <v>1596</v>
      </c>
      <c r="Z207" t="s">
        <v>410</v>
      </c>
      <c r="AA207" t="s">
        <v>422</v>
      </c>
      <c r="AB207" t="s">
        <v>1596</v>
      </c>
      <c r="AU207" t="s">
        <v>21</v>
      </c>
      <c r="AV207" t="s">
        <v>153</v>
      </c>
      <c r="AW207" t="s">
        <v>170</v>
      </c>
      <c r="AX207" t="s">
        <v>159</v>
      </c>
      <c r="AY207" s="70" t="s">
        <v>2420</v>
      </c>
      <c r="AZ207" s="70" t="s">
        <v>2428</v>
      </c>
      <c r="BA207" s="70">
        <v>0</v>
      </c>
      <c r="BB207" s="70" t="s">
        <v>27</v>
      </c>
      <c r="BC207" s="70" t="s">
        <v>19</v>
      </c>
      <c r="BD207" s="70" t="s">
        <v>2422</v>
      </c>
      <c r="BE207" t="s">
        <v>165</v>
      </c>
      <c r="BF207" t="s">
        <v>23</v>
      </c>
      <c r="BG207" t="s">
        <v>155</v>
      </c>
      <c r="BH207" t="s">
        <v>25</v>
      </c>
      <c r="BI207" t="s">
        <v>25</v>
      </c>
      <c r="BJ207" t="s">
        <v>157</v>
      </c>
      <c r="BK207" s="70">
        <v>0</v>
      </c>
      <c r="BL207" s="70">
        <v>1</v>
      </c>
      <c r="BM207"/>
      <c r="BN207" t="s">
        <v>2610</v>
      </c>
      <c r="BO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 t="s">
        <v>941</v>
      </c>
      <c r="CZ207"/>
      <c r="DL207"/>
      <c r="DM207" s="70" t="s">
        <v>1862</v>
      </c>
      <c r="DN207"/>
      <c r="DO207" s="70" t="s">
        <v>1862</v>
      </c>
      <c r="DP207" t="s">
        <v>941</v>
      </c>
      <c r="DQ207" t="s">
        <v>2610</v>
      </c>
      <c r="DS207" t="s">
        <v>2246</v>
      </c>
      <c r="DT207" t="s">
        <v>1987</v>
      </c>
      <c r="DU207" t="s">
        <v>2000</v>
      </c>
      <c r="DV207"/>
    </row>
    <row r="208" spans="2:126" x14ac:dyDescent="0.25">
      <c r="B208">
        <v>5951051</v>
      </c>
      <c r="C208">
        <v>1</v>
      </c>
      <c r="D208">
        <v>6</v>
      </c>
      <c r="E208">
        <v>11</v>
      </c>
      <c r="F208">
        <v>1971</v>
      </c>
      <c r="G208">
        <v>1</v>
      </c>
      <c r="H208">
        <v>8</v>
      </c>
      <c r="I208">
        <v>2001</v>
      </c>
      <c r="J208" t="s">
        <v>679</v>
      </c>
      <c r="K208" t="s">
        <v>942</v>
      </c>
      <c r="L208">
        <v>1917130245</v>
      </c>
      <c r="M208" t="s">
        <v>1376</v>
      </c>
      <c r="N208" t="s">
        <v>1262</v>
      </c>
      <c r="O208" t="s">
        <v>1377</v>
      </c>
      <c r="P208" t="s">
        <v>1615</v>
      </c>
      <c r="Z208" t="s">
        <v>1262</v>
      </c>
      <c r="AA208" t="s">
        <v>1377</v>
      </c>
      <c r="AB208" t="s">
        <v>1378</v>
      </c>
      <c r="AU208" t="s">
        <v>22</v>
      </c>
      <c r="AV208" t="s">
        <v>94</v>
      </c>
      <c r="AW208" t="s">
        <v>22</v>
      </c>
      <c r="AX208" t="s">
        <v>146</v>
      </c>
      <c r="AY208" s="70" t="s">
        <v>2420</v>
      </c>
      <c r="AZ208" s="70" t="s">
        <v>20</v>
      </c>
      <c r="BA208" s="70">
        <v>0</v>
      </c>
      <c r="BB208" s="70" t="s">
        <v>27</v>
      </c>
      <c r="BC208" s="70" t="s">
        <v>20</v>
      </c>
      <c r="BD208" s="70" t="s">
        <v>20</v>
      </c>
      <c r="BE208" t="s">
        <v>21</v>
      </c>
      <c r="BF208" t="s">
        <v>23</v>
      </c>
      <c r="BG208" t="s">
        <v>155</v>
      </c>
      <c r="BH208" t="s">
        <v>24</v>
      </c>
      <c r="BI208" t="s">
        <v>149</v>
      </c>
      <c r="BJ208" t="s">
        <v>165</v>
      </c>
      <c r="BK208" s="70">
        <v>9</v>
      </c>
      <c r="BL208" s="70">
        <v>2</v>
      </c>
      <c r="BM208"/>
      <c r="BN208" t="s">
        <v>2611</v>
      </c>
      <c r="BO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 t="s">
        <v>1671</v>
      </c>
      <c r="CZ208"/>
      <c r="DL208"/>
      <c r="DM208" s="70" t="s">
        <v>1863</v>
      </c>
      <c r="DN208"/>
      <c r="DO208" s="70" t="s">
        <v>1863</v>
      </c>
      <c r="DP208" t="s">
        <v>1671</v>
      </c>
      <c r="DQ208" t="s">
        <v>2611</v>
      </c>
      <c r="DS208" t="s">
        <v>2304</v>
      </c>
      <c r="DT208" t="s">
        <v>2192</v>
      </c>
      <c r="DU208" t="s">
        <v>2305</v>
      </c>
      <c r="DV208"/>
    </row>
    <row r="209" spans="2:126" x14ac:dyDescent="0.25">
      <c r="B209">
        <v>5960093</v>
      </c>
      <c r="C209">
        <v>1</v>
      </c>
      <c r="D209">
        <v>8</v>
      </c>
      <c r="E209">
        <v>4</v>
      </c>
      <c r="F209">
        <v>1966</v>
      </c>
      <c r="G209">
        <v>5</v>
      </c>
      <c r="H209">
        <v>1</v>
      </c>
      <c r="I209">
        <v>2000</v>
      </c>
      <c r="J209" t="s">
        <v>680</v>
      </c>
      <c r="K209" t="s">
        <v>943</v>
      </c>
      <c r="L209">
        <v>76926600164</v>
      </c>
      <c r="M209" t="s">
        <v>1379</v>
      </c>
      <c r="N209" t="s">
        <v>410</v>
      </c>
      <c r="O209" t="s">
        <v>411</v>
      </c>
      <c r="P209" t="s">
        <v>1616</v>
      </c>
      <c r="Z209" t="s">
        <v>410</v>
      </c>
      <c r="AA209" t="s">
        <v>411</v>
      </c>
      <c r="AB209" t="s">
        <v>1616</v>
      </c>
      <c r="AU209" t="s">
        <v>21</v>
      </c>
      <c r="AV209" t="s">
        <v>153</v>
      </c>
      <c r="AW209" t="s">
        <v>165</v>
      </c>
      <c r="AX209" t="s">
        <v>24</v>
      </c>
      <c r="AY209" s="70" t="s">
        <v>27</v>
      </c>
      <c r="AZ209" s="70" t="s">
        <v>27</v>
      </c>
      <c r="BA209" s="70">
        <v>0</v>
      </c>
      <c r="BB209" s="70" t="s">
        <v>2422</v>
      </c>
      <c r="BC209" s="70" t="s">
        <v>19</v>
      </c>
      <c r="BD209" s="70" t="s">
        <v>2428</v>
      </c>
      <c r="BE209" t="s">
        <v>21</v>
      </c>
      <c r="BF209" t="s">
        <v>23</v>
      </c>
      <c r="BG209" t="s">
        <v>155</v>
      </c>
      <c r="BH209" t="s">
        <v>25</v>
      </c>
      <c r="BI209" t="s">
        <v>25</v>
      </c>
      <c r="BJ209" t="s">
        <v>16</v>
      </c>
      <c r="BK209" s="70">
        <v>8</v>
      </c>
      <c r="BL209" s="70">
        <v>7</v>
      </c>
      <c r="BM209"/>
      <c r="BN209" t="s">
        <v>2612</v>
      </c>
      <c r="BO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 t="s">
        <v>943</v>
      </c>
      <c r="CZ209"/>
      <c r="DL209"/>
      <c r="DM209" s="70" t="s">
        <v>1864</v>
      </c>
      <c r="DN209"/>
      <c r="DO209" s="70" t="s">
        <v>1864</v>
      </c>
      <c r="DP209" t="s">
        <v>943</v>
      </c>
      <c r="DQ209" t="s">
        <v>2612</v>
      </c>
      <c r="DS209" t="s">
        <v>2306</v>
      </c>
      <c r="DT209" t="s">
        <v>1987</v>
      </c>
      <c r="DU209" t="s">
        <v>2069</v>
      </c>
      <c r="DV209"/>
    </row>
    <row r="210" spans="2:126" x14ac:dyDescent="0.25">
      <c r="B210">
        <v>5970404</v>
      </c>
      <c r="C210">
        <v>2</v>
      </c>
      <c r="D210">
        <v>5</v>
      </c>
      <c r="E210">
        <v>20</v>
      </c>
      <c r="F210">
        <v>1977</v>
      </c>
      <c r="G210">
        <v>1</v>
      </c>
      <c r="H210">
        <v>16</v>
      </c>
      <c r="I210">
        <v>2006</v>
      </c>
      <c r="J210" t="s">
        <v>681</v>
      </c>
      <c r="K210" t="s">
        <v>944</v>
      </c>
      <c r="L210">
        <v>94937713108</v>
      </c>
      <c r="M210" t="s">
        <v>1380</v>
      </c>
      <c r="N210" t="s">
        <v>431</v>
      </c>
      <c r="O210" t="s">
        <v>410</v>
      </c>
      <c r="P210" t="s">
        <v>1617</v>
      </c>
      <c r="Z210" t="s">
        <v>431</v>
      </c>
      <c r="AA210" t="s">
        <v>410</v>
      </c>
      <c r="AB210" t="s">
        <v>1617</v>
      </c>
      <c r="AU210" t="s">
        <v>25</v>
      </c>
      <c r="AV210" t="s">
        <v>153</v>
      </c>
      <c r="AW210" t="s">
        <v>21</v>
      </c>
      <c r="AX210" t="s">
        <v>149</v>
      </c>
      <c r="AY210" s="70" t="s">
        <v>2420</v>
      </c>
      <c r="AZ210" s="70" t="s">
        <v>2420</v>
      </c>
      <c r="BA210" s="70">
        <v>0</v>
      </c>
      <c r="BB210" s="70" t="s">
        <v>2427</v>
      </c>
      <c r="BC210" s="70" t="s">
        <v>2418</v>
      </c>
      <c r="BD210" s="70" t="s">
        <v>19</v>
      </c>
      <c r="BE210" t="s">
        <v>165</v>
      </c>
      <c r="BF210" t="s">
        <v>23</v>
      </c>
      <c r="BG210" t="s">
        <v>155</v>
      </c>
      <c r="BH210" t="s">
        <v>186</v>
      </c>
      <c r="BI210" t="s">
        <v>25</v>
      </c>
      <c r="BJ210" t="s">
        <v>25</v>
      </c>
      <c r="BK210" s="70">
        <v>9</v>
      </c>
      <c r="BL210" s="70">
        <v>4</v>
      </c>
      <c r="BM210"/>
      <c r="BN210" t="s">
        <v>2613</v>
      </c>
      <c r="BO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 t="s">
        <v>944</v>
      </c>
      <c r="CZ210"/>
      <c r="DL210"/>
      <c r="DM210" s="70" t="s">
        <v>1865</v>
      </c>
      <c r="DN210"/>
      <c r="DO210" s="70" t="s">
        <v>1865</v>
      </c>
      <c r="DP210" t="s">
        <v>944</v>
      </c>
      <c r="DQ210" t="s">
        <v>2613</v>
      </c>
      <c r="DS210" t="s">
        <v>2307</v>
      </c>
      <c r="DT210" t="s">
        <v>2113</v>
      </c>
      <c r="DU210" t="s">
        <v>1987</v>
      </c>
      <c r="DV210"/>
    </row>
    <row r="211" spans="2:126" x14ac:dyDescent="0.25">
      <c r="B211">
        <v>5951264</v>
      </c>
      <c r="C211">
        <v>2</v>
      </c>
      <c r="D211">
        <v>4</v>
      </c>
      <c r="E211">
        <v>13</v>
      </c>
      <c r="F211">
        <v>1967</v>
      </c>
      <c r="G211">
        <v>1</v>
      </c>
      <c r="H211">
        <v>4</v>
      </c>
      <c r="I211">
        <v>2010</v>
      </c>
      <c r="J211" t="s">
        <v>682</v>
      </c>
      <c r="K211" t="s">
        <v>945</v>
      </c>
      <c r="L211">
        <v>94906700276</v>
      </c>
      <c r="M211" t="s">
        <v>1381</v>
      </c>
      <c r="N211" t="s">
        <v>485</v>
      </c>
      <c r="O211" t="s">
        <v>419</v>
      </c>
      <c r="P211" t="s">
        <v>1618</v>
      </c>
      <c r="Z211" t="s">
        <v>485</v>
      </c>
      <c r="AA211" t="s">
        <v>419</v>
      </c>
      <c r="AB211" t="s">
        <v>2412</v>
      </c>
      <c r="AU211" t="s">
        <v>22</v>
      </c>
      <c r="AV211" t="s">
        <v>146</v>
      </c>
      <c r="AW211" t="s">
        <v>157</v>
      </c>
      <c r="AX211" t="s">
        <v>23</v>
      </c>
      <c r="AY211" s="70" t="s">
        <v>27</v>
      </c>
      <c r="AZ211" s="70" t="s">
        <v>2420</v>
      </c>
      <c r="BA211" s="70">
        <v>0</v>
      </c>
      <c r="BB211" s="70" t="s">
        <v>2428</v>
      </c>
      <c r="BC211" s="70" t="s">
        <v>20</v>
      </c>
      <c r="BD211" s="70" t="s">
        <v>18</v>
      </c>
      <c r="BE211" t="s">
        <v>165</v>
      </c>
      <c r="BF211" t="s">
        <v>23</v>
      </c>
      <c r="BG211" t="s">
        <v>155</v>
      </c>
      <c r="BH211" t="s">
        <v>25</v>
      </c>
      <c r="BI211" t="s">
        <v>16</v>
      </c>
      <c r="BJ211" t="s">
        <v>24</v>
      </c>
      <c r="BK211" s="70">
        <v>6</v>
      </c>
      <c r="BL211" s="70">
        <v>3</v>
      </c>
      <c r="BM211"/>
      <c r="BN211" t="s">
        <v>2614</v>
      </c>
      <c r="BO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 t="s">
        <v>945</v>
      </c>
      <c r="CZ211"/>
      <c r="DL211"/>
      <c r="DM211" s="70" t="s">
        <v>1866</v>
      </c>
      <c r="DN211"/>
      <c r="DO211" s="70" t="s">
        <v>1866</v>
      </c>
      <c r="DP211" t="s">
        <v>945</v>
      </c>
      <c r="DQ211" t="s">
        <v>2614</v>
      </c>
      <c r="DS211" t="s">
        <v>2308</v>
      </c>
      <c r="DT211" t="s">
        <v>1983</v>
      </c>
      <c r="DU211" t="s">
        <v>1996</v>
      </c>
      <c r="DV211"/>
    </row>
    <row r="212" spans="2:126" x14ac:dyDescent="0.25">
      <c r="B212">
        <v>9213838</v>
      </c>
      <c r="C212">
        <v>2</v>
      </c>
      <c r="D212">
        <v>12</v>
      </c>
      <c r="E212">
        <v>25</v>
      </c>
      <c r="F212">
        <v>1984</v>
      </c>
      <c r="G212">
        <v>4</v>
      </c>
      <c r="H212">
        <v>17</v>
      </c>
      <c r="I212">
        <v>2017</v>
      </c>
      <c r="J212" t="s">
        <v>683</v>
      </c>
      <c r="K212" t="s">
        <v>946</v>
      </c>
      <c r="L212">
        <v>96058411982</v>
      </c>
      <c r="M212" t="s">
        <v>1382</v>
      </c>
      <c r="N212" t="s">
        <v>1263</v>
      </c>
      <c r="O212" t="s">
        <v>437</v>
      </c>
      <c r="P212" t="s">
        <v>1619</v>
      </c>
      <c r="Z212" t="s">
        <v>1263</v>
      </c>
      <c r="AA212" t="s">
        <v>437</v>
      </c>
      <c r="AB212" t="s">
        <v>1383</v>
      </c>
      <c r="AU212" t="s">
        <v>172</v>
      </c>
      <c r="AV212" t="s">
        <v>146</v>
      </c>
      <c r="AW212" t="s">
        <v>25</v>
      </c>
      <c r="AX212" t="s">
        <v>146</v>
      </c>
      <c r="AY212" s="70" t="s">
        <v>2422</v>
      </c>
      <c r="AZ212" s="70" t="s">
        <v>2428</v>
      </c>
      <c r="BA212" s="70">
        <v>1</v>
      </c>
      <c r="BB212" s="70" t="s">
        <v>2418</v>
      </c>
      <c r="BC212" s="70" t="s">
        <v>2418</v>
      </c>
      <c r="BD212" s="70" t="s">
        <v>2427</v>
      </c>
      <c r="BE212" t="s">
        <v>165</v>
      </c>
      <c r="BF212" t="s">
        <v>23</v>
      </c>
      <c r="BG212" t="s">
        <v>155</v>
      </c>
      <c r="BH212" t="s">
        <v>23</v>
      </c>
      <c r="BI212" t="s">
        <v>23</v>
      </c>
      <c r="BJ212" t="s">
        <v>24</v>
      </c>
      <c r="BK212" s="70">
        <v>5</v>
      </c>
      <c r="BL212" s="70">
        <v>6</v>
      </c>
      <c r="BM212"/>
      <c r="BN212" t="s">
        <v>2615</v>
      </c>
      <c r="BO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 t="s">
        <v>946</v>
      </c>
      <c r="CZ212"/>
      <c r="DL212"/>
      <c r="DM212" s="70" t="s">
        <v>1867</v>
      </c>
      <c r="DN212"/>
      <c r="DO212" s="70" t="s">
        <v>1867</v>
      </c>
      <c r="DP212" t="s">
        <v>946</v>
      </c>
      <c r="DQ212" t="s">
        <v>2615</v>
      </c>
      <c r="DS212" t="s">
        <v>2309</v>
      </c>
      <c r="DT212" t="s">
        <v>2193</v>
      </c>
      <c r="DU212" t="s">
        <v>2054</v>
      </c>
      <c r="DV212"/>
    </row>
    <row r="213" spans="2:126" x14ac:dyDescent="0.25">
      <c r="B213">
        <v>9221024</v>
      </c>
      <c r="C213">
        <v>1</v>
      </c>
      <c r="D213">
        <v>10</v>
      </c>
      <c r="E213">
        <v>22</v>
      </c>
      <c r="F213">
        <v>1996</v>
      </c>
      <c r="G213">
        <v>9</v>
      </c>
      <c r="H213">
        <v>17</v>
      </c>
      <c r="I213">
        <v>2019</v>
      </c>
      <c r="J213" t="s">
        <v>684</v>
      </c>
      <c r="K213" t="s">
        <v>947</v>
      </c>
      <c r="L213">
        <v>10179648414</v>
      </c>
      <c r="M213" t="s">
        <v>1384</v>
      </c>
      <c r="N213" t="s">
        <v>1202</v>
      </c>
      <c r="O213" t="s">
        <v>430</v>
      </c>
      <c r="P213" t="s">
        <v>1620</v>
      </c>
      <c r="Z213" t="s">
        <v>1202</v>
      </c>
      <c r="AA213" t="s">
        <v>430</v>
      </c>
      <c r="AB213" t="s">
        <v>1075</v>
      </c>
      <c r="AU213" t="s">
        <v>170</v>
      </c>
      <c r="AV213" t="s">
        <v>170</v>
      </c>
      <c r="AW213" t="s">
        <v>182</v>
      </c>
      <c r="AX213" t="s">
        <v>146</v>
      </c>
      <c r="AY213" s="70" t="s">
        <v>17</v>
      </c>
      <c r="AZ213" s="70" t="s">
        <v>27</v>
      </c>
      <c r="BA213" s="70">
        <v>1</v>
      </c>
      <c r="BB213" s="70" t="s">
        <v>19</v>
      </c>
      <c r="BC213" s="70" t="s">
        <v>2418</v>
      </c>
      <c r="BD213" s="70" t="s">
        <v>2418</v>
      </c>
      <c r="BE213" t="s">
        <v>21</v>
      </c>
      <c r="BF213" t="s">
        <v>23</v>
      </c>
      <c r="BG213" t="s">
        <v>155</v>
      </c>
      <c r="BH213" t="s">
        <v>24</v>
      </c>
      <c r="BI213" t="s">
        <v>26</v>
      </c>
      <c r="BJ213" t="s">
        <v>166</v>
      </c>
      <c r="BK213" s="70">
        <v>2</v>
      </c>
      <c r="BL213" s="70">
        <v>1</v>
      </c>
      <c r="BM213"/>
      <c r="BN213" t="s">
        <v>2616</v>
      </c>
      <c r="BO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 t="s">
        <v>947</v>
      </c>
      <c r="CZ213"/>
      <c r="DL213"/>
      <c r="DM213" s="70" t="s">
        <v>1868</v>
      </c>
      <c r="DN213"/>
      <c r="DO213" s="70" t="s">
        <v>1868</v>
      </c>
      <c r="DP213" t="s">
        <v>947</v>
      </c>
      <c r="DQ213" t="s">
        <v>2616</v>
      </c>
      <c r="DS213" t="s">
        <v>2310</v>
      </c>
      <c r="DT213" t="s">
        <v>2135</v>
      </c>
      <c r="DU213" t="s">
        <v>2089</v>
      </c>
      <c r="DV213"/>
    </row>
    <row r="214" spans="2:126" x14ac:dyDescent="0.25">
      <c r="B214">
        <v>5977891</v>
      </c>
      <c r="C214">
        <v>2</v>
      </c>
      <c r="D214">
        <v>6</v>
      </c>
      <c r="E214">
        <v>28</v>
      </c>
      <c r="F214">
        <v>1973</v>
      </c>
      <c r="G214">
        <v>2</v>
      </c>
      <c r="H214">
        <v>18</v>
      </c>
      <c r="I214">
        <v>2013</v>
      </c>
      <c r="J214" t="s">
        <v>685</v>
      </c>
      <c r="K214" t="s">
        <v>948</v>
      </c>
      <c r="L214">
        <v>37927331860</v>
      </c>
      <c r="M214" t="s">
        <v>1385</v>
      </c>
      <c r="N214" t="s">
        <v>98</v>
      </c>
      <c r="O214" t="s">
        <v>1386</v>
      </c>
      <c r="P214" t="s">
        <v>1621</v>
      </c>
      <c r="Z214" t="s">
        <v>2617</v>
      </c>
      <c r="AA214" t="s">
        <v>1386</v>
      </c>
      <c r="AB214" t="s">
        <v>1621</v>
      </c>
      <c r="AU214" t="s">
        <v>155</v>
      </c>
      <c r="AV214" t="s">
        <v>180</v>
      </c>
      <c r="AW214" t="s">
        <v>149</v>
      </c>
      <c r="AX214" t="s">
        <v>159</v>
      </c>
      <c r="AY214" s="70" t="s">
        <v>2420</v>
      </c>
      <c r="AZ214" s="70" t="s">
        <v>18</v>
      </c>
      <c r="BA214" s="70">
        <v>0</v>
      </c>
      <c r="BB214" s="70" t="s">
        <v>27</v>
      </c>
      <c r="BC214" s="70" t="s">
        <v>2418</v>
      </c>
      <c r="BD214" s="70" t="s">
        <v>2422</v>
      </c>
      <c r="BE214" t="s">
        <v>165</v>
      </c>
      <c r="BF214" t="s">
        <v>23</v>
      </c>
      <c r="BG214" t="s">
        <v>155</v>
      </c>
      <c r="BH214" t="s">
        <v>166</v>
      </c>
      <c r="BI214" t="s">
        <v>25</v>
      </c>
      <c r="BJ214" t="s">
        <v>177</v>
      </c>
      <c r="BK214" s="70">
        <v>9</v>
      </c>
      <c r="BL214" s="70">
        <v>9</v>
      </c>
      <c r="BM214"/>
      <c r="BN214" t="s">
        <v>2618</v>
      </c>
      <c r="BO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 t="s">
        <v>948</v>
      </c>
      <c r="CZ214"/>
      <c r="DL214"/>
      <c r="DM214" s="70" t="s">
        <v>1869</v>
      </c>
      <c r="DN214"/>
      <c r="DO214" s="70" t="s">
        <v>1869</v>
      </c>
      <c r="DP214" t="s">
        <v>948</v>
      </c>
      <c r="DQ214" t="s">
        <v>2618</v>
      </c>
      <c r="DS214" t="s">
        <v>2311</v>
      </c>
      <c r="DT214" t="s">
        <v>2312</v>
      </c>
      <c r="DU214" t="s">
        <v>2313</v>
      </c>
      <c r="DV214"/>
    </row>
    <row r="215" spans="2:126" x14ac:dyDescent="0.25">
      <c r="B215">
        <v>8814284</v>
      </c>
      <c r="C215">
        <v>1</v>
      </c>
      <c r="D215">
        <v>3</v>
      </c>
      <c r="E215">
        <v>7</v>
      </c>
      <c r="F215">
        <v>1969</v>
      </c>
      <c r="G215">
        <v>8</v>
      </c>
      <c r="H215">
        <v>18</v>
      </c>
      <c r="I215">
        <v>2014</v>
      </c>
      <c r="J215" t="s">
        <v>686</v>
      </c>
      <c r="K215" t="s">
        <v>949</v>
      </c>
      <c r="L215">
        <v>24876917881</v>
      </c>
      <c r="M215" t="s">
        <v>1387</v>
      </c>
      <c r="N215" t="s">
        <v>1388</v>
      </c>
      <c r="O215" t="s">
        <v>438</v>
      </c>
      <c r="P215" t="s">
        <v>1622</v>
      </c>
      <c r="Z215" t="s">
        <v>1388</v>
      </c>
      <c r="AA215" t="s">
        <v>438</v>
      </c>
      <c r="AB215" t="s">
        <v>2413</v>
      </c>
      <c r="AU215" t="s">
        <v>149</v>
      </c>
      <c r="AV215" t="s">
        <v>180</v>
      </c>
      <c r="AW215" t="s">
        <v>153</v>
      </c>
      <c r="AX215" t="s">
        <v>153</v>
      </c>
      <c r="AY215" s="70" t="s">
        <v>27</v>
      </c>
      <c r="AZ215" s="70" t="s">
        <v>17</v>
      </c>
      <c r="BA215" s="70">
        <v>0</v>
      </c>
      <c r="BB215" s="70" t="s">
        <v>18</v>
      </c>
      <c r="BC215" s="70" t="s">
        <v>19</v>
      </c>
      <c r="BD215" s="70" t="s">
        <v>2420</v>
      </c>
      <c r="BE215" t="s">
        <v>21</v>
      </c>
      <c r="BF215" t="s">
        <v>23</v>
      </c>
      <c r="BG215" t="s">
        <v>155</v>
      </c>
      <c r="BH215" t="s">
        <v>25</v>
      </c>
      <c r="BI215" t="s">
        <v>177</v>
      </c>
      <c r="BJ215" t="s">
        <v>157</v>
      </c>
      <c r="BK215" s="70">
        <v>5</v>
      </c>
      <c r="BL215" s="70">
        <v>6</v>
      </c>
      <c r="BM215"/>
      <c r="BN215" t="s">
        <v>2619</v>
      </c>
      <c r="BO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 t="s">
        <v>949</v>
      </c>
      <c r="CZ215"/>
      <c r="DL215"/>
      <c r="DM215" s="70" t="s">
        <v>1870</v>
      </c>
      <c r="DN215"/>
      <c r="DO215" s="70" t="s">
        <v>1870</v>
      </c>
      <c r="DP215" t="s">
        <v>949</v>
      </c>
      <c r="DQ215" t="s">
        <v>2619</v>
      </c>
      <c r="DS215" t="s">
        <v>2314</v>
      </c>
      <c r="DT215" t="s">
        <v>2315</v>
      </c>
      <c r="DU215" t="s">
        <v>2316</v>
      </c>
      <c r="DV215"/>
    </row>
    <row r="216" spans="2:126" x14ac:dyDescent="0.25">
      <c r="B216">
        <v>7635327</v>
      </c>
      <c r="C216">
        <v>2</v>
      </c>
      <c r="D216">
        <v>9</v>
      </c>
      <c r="E216">
        <v>2</v>
      </c>
      <c r="F216">
        <v>1960</v>
      </c>
      <c r="G216">
        <v>9</v>
      </c>
      <c r="H216">
        <v>6</v>
      </c>
      <c r="I216">
        <v>2010</v>
      </c>
      <c r="J216" t="s">
        <v>687</v>
      </c>
      <c r="K216" t="s">
        <v>950</v>
      </c>
      <c r="L216">
        <v>43986001790</v>
      </c>
      <c r="M216" t="s">
        <v>1389</v>
      </c>
      <c r="N216" t="s">
        <v>446</v>
      </c>
      <c r="O216" t="s">
        <v>1390</v>
      </c>
      <c r="P216" t="s">
        <v>1288</v>
      </c>
      <c r="Z216" t="s">
        <v>446</v>
      </c>
      <c r="AA216" t="s">
        <v>1390</v>
      </c>
      <c r="AB216" t="s">
        <v>1288</v>
      </c>
      <c r="AU216" t="s">
        <v>157</v>
      </c>
      <c r="AV216" t="s">
        <v>146</v>
      </c>
      <c r="AW216" t="s">
        <v>16</v>
      </c>
      <c r="AX216" t="s">
        <v>165</v>
      </c>
      <c r="AY216" s="70" t="s">
        <v>27</v>
      </c>
      <c r="AZ216" s="70" t="s">
        <v>19</v>
      </c>
      <c r="BA216" s="70">
        <v>0</v>
      </c>
      <c r="BB216" s="70" t="s">
        <v>17</v>
      </c>
      <c r="BC216" s="70" t="s">
        <v>19</v>
      </c>
      <c r="BD216" s="70" t="s">
        <v>2418</v>
      </c>
      <c r="BE216" t="s">
        <v>165</v>
      </c>
      <c r="BF216" t="s">
        <v>23</v>
      </c>
      <c r="BG216" t="s">
        <v>155</v>
      </c>
      <c r="BH216" t="s">
        <v>25</v>
      </c>
      <c r="BI216" t="s">
        <v>165</v>
      </c>
      <c r="BJ216" t="s">
        <v>166</v>
      </c>
      <c r="BK216" s="70">
        <v>9</v>
      </c>
      <c r="BL216" s="70">
        <v>2</v>
      </c>
      <c r="BM216"/>
      <c r="BN216" t="s">
        <v>2620</v>
      </c>
      <c r="BO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 t="s">
        <v>950</v>
      </c>
      <c r="CZ216"/>
      <c r="DL216"/>
      <c r="DM216" s="70" t="s">
        <v>1871</v>
      </c>
      <c r="DN216"/>
      <c r="DO216" s="70" t="s">
        <v>1871</v>
      </c>
      <c r="DP216" t="s">
        <v>950</v>
      </c>
      <c r="DQ216" t="s">
        <v>2620</v>
      </c>
      <c r="DS216" t="s">
        <v>2241</v>
      </c>
      <c r="DT216" t="s">
        <v>2317</v>
      </c>
      <c r="DU216" t="s">
        <v>2318</v>
      </c>
      <c r="DV216"/>
    </row>
    <row r="217" spans="2:126" x14ac:dyDescent="0.25">
      <c r="B217">
        <v>9234797</v>
      </c>
      <c r="C217">
        <v>1</v>
      </c>
      <c r="D217">
        <v>6</v>
      </c>
      <c r="E217">
        <v>28</v>
      </c>
      <c r="F217">
        <v>1995</v>
      </c>
      <c r="G217">
        <v>12</v>
      </c>
      <c r="H217">
        <v>1</v>
      </c>
      <c r="I217">
        <v>2017</v>
      </c>
      <c r="J217" t="s">
        <v>688</v>
      </c>
      <c r="K217" t="s">
        <v>951</v>
      </c>
      <c r="L217">
        <v>27149528872</v>
      </c>
      <c r="M217" t="s">
        <v>1391</v>
      </c>
      <c r="N217" t="s">
        <v>1392</v>
      </c>
      <c r="O217" t="s">
        <v>410</v>
      </c>
      <c r="P217" t="s">
        <v>1623</v>
      </c>
      <c r="Z217" t="s">
        <v>1392</v>
      </c>
      <c r="AA217" t="s">
        <v>410</v>
      </c>
      <c r="AB217" t="s">
        <v>1393</v>
      </c>
      <c r="AU217" t="s">
        <v>170</v>
      </c>
      <c r="AV217" t="s">
        <v>170</v>
      </c>
      <c r="AW217" t="s">
        <v>21</v>
      </c>
      <c r="AX217" t="s">
        <v>26</v>
      </c>
      <c r="AY217" s="70" t="s">
        <v>17</v>
      </c>
      <c r="AZ217" s="70" t="s">
        <v>2427</v>
      </c>
      <c r="BA217" s="70">
        <v>0</v>
      </c>
      <c r="BB217" s="70" t="s">
        <v>27</v>
      </c>
      <c r="BC217" s="70" t="s">
        <v>2418</v>
      </c>
      <c r="BD217" s="70" t="s">
        <v>2422</v>
      </c>
      <c r="BE217" t="s">
        <v>21</v>
      </c>
      <c r="BF217" t="s">
        <v>23</v>
      </c>
      <c r="BG217" t="s">
        <v>155</v>
      </c>
      <c r="BH217" t="s">
        <v>177</v>
      </c>
      <c r="BI217" t="s">
        <v>25</v>
      </c>
      <c r="BJ217" t="s">
        <v>23</v>
      </c>
      <c r="BK217" s="70">
        <v>9</v>
      </c>
      <c r="BL217" s="70">
        <v>9</v>
      </c>
      <c r="BM217"/>
      <c r="BN217" t="s">
        <v>2621</v>
      </c>
      <c r="BO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 t="s">
        <v>951</v>
      </c>
      <c r="CZ217"/>
      <c r="DL217"/>
      <c r="DM217" s="70" t="s">
        <v>1872</v>
      </c>
      <c r="DN217"/>
      <c r="DO217" s="70" t="s">
        <v>1872</v>
      </c>
      <c r="DP217" t="s">
        <v>951</v>
      </c>
      <c r="DQ217" t="s">
        <v>2621</v>
      </c>
      <c r="DS217" t="s">
        <v>2319</v>
      </c>
      <c r="DT217" t="s">
        <v>2320</v>
      </c>
      <c r="DU217" t="s">
        <v>1987</v>
      </c>
      <c r="DV217"/>
    </row>
    <row r="218" spans="2:126" x14ac:dyDescent="0.25">
      <c r="B218">
        <v>5956649</v>
      </c>
      <c r="C218">
        <v>2</v>
      </c>
      <c r="D218">
        <v>1</v>
      </c>
      <c r="E218">
        <v>30</v>
      </c>
      <c r="F218">
        <v>1962</v>
      </c>
      <c r="G218">
        <v>11</v>
      </c>
      <c r="H218">
        <v>1</v>
      </c>
      <c r="I218">
        <v>1994</v>
      </c>
      <c r="J218" t="s">
        <v>689</v>
      </c>
      <c r="K218" t="s">
        <v>952</v>
      </c>
      <c r="L218">
        <v>1836209112</v>
      </c>
      <c r="M218" t="s">
        <v>1394</v>
      </c>
      <c r="N218" t="s">
        <v>401</v>
      </c>
      <c r="O218" t="s">
        <v>419</v>
      </c>
      <c r="P218" t="s">
        <v>1624</v>
      </c>
      <c r="Z218" t="s">
        <v>401</v>
      </c>
      <c r="AA218" t="s">
        <v>419</v>
      </c>
      <c r="AB218" t="s">
        <v>84</v>
      </c>
      <c r="AU218" t="s">
        <v>157</v>
      </c>
      <c r="AV218" t="s">
        <v>146</v>
      </c>
      <c r="AW218" t="s">
        <v>157</v>
      </c>
      <c r="AX218" t="s">
        <v>165</v>
      </c>
      <c r="AY218" s="70" t="s">
        <v>27</v>
      </c>
      <c r="AZ218" s="70" t="s">
        <v>2418</v>
      </c>
      <c r="BA218" s="70">
        <v>0</v>
      </c>
      <c r="BB218" s="70" t="s">
        <v>20</v>
      </c>
      <c r="BC218" s="70" t="s">
        <v>18</v>
      </c>
      <c r="BD218" s="70" t="s">
        <v>19</v>
      </c>
      <c r="BE218" t="s">
        <v>165</v>
      </c>
      <c r="BF218" t="s">
        <v>23</v>
      </c>
      <c r="BG218" t="s">
        <v>155</v>
      </c>
      <c r="BH218" t="s">
        <v>25</v>
      </c>
      <c r="BI218" t="s">
        <v>16</v>
      </c>
      <c r="BJ218" t="s">
        <v>25</v>
      </c>
      <c r="BK218" s="70">
        <v>5</v>
      </c>
      <c r="BL218" s="70">
        <v>6</v>
      </c>
      <c r="BM218"/>
      <c r="BN218" t="s">
        <v>2622</v>
      </c>
      <c r="BO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 t="s">
        <v>952</v>
      </c>
      <c r="CZ218"/>
      <c r="DL218"/>
      <c r="DM218" s="70" t="s">
        <v>1873</v>
      </c>
      <c r="DN218"/>
      <c r="DO218" s="70" t="s">
        <v>1873</v>
      </c>
      <c r="DP218" t="s">
        <v>952</v>
      </c>
      <c r="DQ218" t="s">
        <v>2622</v>
      </c>
      <c r="DS218" t="s">
        <v>2321</v>
      </c>
      <c r="DT218" t="s">
        <v>2063</v>
      </c>
      <c r="DU218" t="s">
        <v>1996</v>
      </c>
      <c r="DV218"/>
    </row>
    <row r="219" spans="2:126" x14ac:dyDescent="0.25">
      <c r="B219">
        <v>40005904</v>
      </c>
      <c r="C219">
        <v>2</v>
      </c>
      <c r="D219">
        <v>10</v>
      </c>
      <c r="E219">
        <v>28</v>
      </c>
      <c r="F219">
        <v>1996</v>
      </c>
      <c r="G219">
        <v>3</v>
      </c>
      <c r="H219">
        <v>1</v>
      </c>
      <c r="I219">
        <v>2021</v>
      </c>
      <c r="J219" t="s">
        <v>690</v>
      </c>
      <c r="K219" t="s">
        <v>953</v>
      </c>
      <c r="L219">
        <v>1129603500</v>
      </c>
      <c r="M219" t="s">
        <v>1395</v>
      </c>
      <c r="N219" t="s">
        <v>407</v>
      </c>
      <c r="O219" t="s">
        <v>1396</v>
      </c>
      <c r="P219" t="s">
        <v>1625</v>
      </c>
      <c r="Z219" t="s">
        <v>407</v>
      </c>
      <c r="AA219" t="s">
        <v>1396</v>
      </c>
      <c r="AB219" t="s">
        <v>1149</v>
      </c>
      <c r="AU219" t="s">
        <v>24</v>
      </c>
      <c r="AV219" t="s">
        <v>170</v>
      </c>
      <c r="AW219" t="s">
        <v>16</v>
      </c>
      <c r="AX219" t="s">
        <v>24</v>
      </c>
      <c r="AY219" s="70" t="s">
        <v>17</v>
      </c>
      <c r="AZ219" s="70" t="s">
        <v>27</v>
      </c>
      <c r="BA219" s="70">
        <v>1</v>
      </c>
      <c r="BB219" s="70" t="s">
        <v>19</v>
      </c>
      <c r="BC219" s="70" t="s">
        <v>2418</v>
      </c>
      <c r="BD219" s="70" t="s">
        <v>2422</v>
      </c>
      <c r="BE219" t="s">
        <v>165</v>
      </c>
      <c r="BF219" t="s">
        <v>23</v>
      </c>
      <c r="BG219" t="s">
        <v>155</v>
      </c>
      <c r="BH219" t="s">
        <v>172</v>
      </c>
      <c r="BI219" t="s">
        <v>24</v>
      </c>
      <c r="BJ219" t="s">
        <v>177</v>
      </c>
      <c r="BK219" s="70">
        <v>7</v>
      </c>
      <c r="BL219" s="70">
        <v>5</v>
      </c>
      <c r="BM219"/>
      <c r="BN219" t="s">
        <v>2623</v>
      </c>
      <c r="BO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 t="s">
        <v>953</v>
      </c>
      <c r="CZ219"/>
      <c r="DL219"/>
      <c r="DM219" s="70" t="s">
        <v>1874</v>
      </c>
      <c r="DN219"/>
      <c r="DO219" s="70" t="s">
        <v>1874</v>
      </c>
      <c r="DP219" t="s">
        <v>953</v>
      </c>
      <c r="DQ219" t="s">
        <v>2623</v>
      </c>
      <c r="DS219" t="s">
        <v>2322</v>
      </c>
      <c r="DT219" t="s">
        <v>1980</v>
      </c>
      <c r="DU219" t="s">
        <v>2323</v>
      </c>
      <c r="DV219"/>
    </row>
    <row r="220" spans="2:126" x14ac:dyDescent="0.25">
      <c r="B220">
        <v>9217817</v>
      </c>
      <c r="C220">
        <v>2</v>
      </c>
      <c r="D220">
        <v>3</v>
      </c>
      <c r="E220">
        <v>13</v>
      </c>
      <c r="F220">
        <v>1982</v>
      </c>
      <c r="G220">
        <v>6</v>
      </c>
      <c r="H220">
        <v>1</v>
      </c>
      <c r="I220">
        <v>2017</v>
      </c>
      <c r="J220" t="s">
        <v>691</v>
      </c>
      <c r="K220" t="s">
        <v>954</v>
      </c>
      <c r="L220">
        <v>94058208466</v>
      </c>
      <c r="M220" t="s">
        <v>1397</v>
      </c>
      <c r="N220" t="s">
        <v>1398</v>
      </c>
      <c r="O220" t="s">
        <v>401</v>
      </c>
      <c r="P220" t="s">
        <v>1626</v>
      </c>
      <c r="Z220" t="s">
        <v>1398</v>
      </c>
      <c r="AA220" t="s">
        <v>401</v>
      </c>
      <c r="AB220" t="s">
        <v>58</v>
      </c>
      <c r="AU220" t="s">
        <v>21</v>
      </c>
      <c r="AV220" t="s">
        <v>146</v>
      </c>
      <c r="AW220" t="s">
        <v>157</v>
      </c>
      <c r="AX220" t="s">
        <v>23</v>
      </c>
      <c r="AY220" s="70" t="s">
        <v>2422</v>
      </c>
      <c r="AZ220" s="70" t="s">
        <v>2418</v>
      </c>
      <c r="BA220" s="70">
        <v>0</v>
      </c>
      <c r="BB220" s="70" t="s">
        <v>18</v>
      </c>
      <c r="BC220" s="70" t="s">
        <v>20</v>
      </c>
      <c r="BD220" s="70" t="s">
        <v>18</v>
      </c>
      <c r="BE220" t="s">
        <v>165</v>
      </c>
      <c r="BF220" t="s">
        <v>23</v>
      </c>
      <c r="BG220" t="s">
        <v>155</v>
      </c>
      <c r="BH220" t="s">
        <v>25</v>
      </c>
      <c r="BI220" t="s">
        <v>25</v>
      </c>
      <c r="BJ220" t="s">
        <v>166</v>
      </c>
      <c r="BK220" s="70">
        <v>8</v>
      </c>
      <c r="BL220" s="70">
        <v>0</v>
      </c>
      <c r="BM220"/>
      <c r="BN220" t="s">
        <v>2624</v>
      </c>
      <c r="BO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 t="s">
        <v>2698</v>
      </c>
      <c r="CZ220"/>
      <c r="DL220"/>
      <c r="DM220" s="70" t="s">
        <v>1875</v>
      </c>
      <c r="DN220"/>
      <c r="DO220" s="70" t="s">
        <v>1875</v>
      </c>
      <c r="DP220" t="s">
        <v>2698</v>
      </c>
      <c r="DQ220" t="s">
        <v>2624</v>
      </c>
      <c r="DS220" t="s">
        <v>2324</v>
      </c>
      <c r="DT220" t="s">
        <v>2325</v>
      </c>
      <c r="DU220" t="s">
        <v>2063</v>
      </c>
      <c r="DV220"/>
    </row>
    <row r="221" spans="2:126" x14ac:dyDescent="0.25">
      <c r="B221">
        <v>5964242</v>
      </c>
      <c r="C221">
        <v>1</v>
      </c>
      <c r="D221">
        <v>9</v>
      </c>
      <c r="E221">
        <v>15</v>
      </c>
      <c r="F221">
        <v>1961</v>
      </c>
      <c r="G221">
        <v>1</v>
      </c>
      <c r="H221">
        <v>2</v>
      </c>
      <c r="I221">
        <v>1997</v>
      </c>
      <c r="J221" t="s">
        <v>692</v>
      </c>
      <c r="K221" t="s">
        <v>955</v>
      </c>
      <c r="L221">
        <v>89866100822</v>
      </c>
      <c r="M221" t="s">
        <v>1399</v>
      </c>
      <c r="N221" t="s">
        <v>409</v>
      </c>
      <c r="O221" t="s">
        <v>1400</v>
      </c>
      <c r="P221" t="s">
        <v>1627</v>
      </c>
      <c r="Z221" t="s">
        <v>409</v>
      </c>
      <c r="AA221" t="s">
        <v>1400</v>
      </c>
      <c r="AB221" t="s">
        <v>1627</v>
      </c>
      <c r="AU221" t="s">
        <v>165</v>
      </c>
      <c r="AV221" t="s">
        <v>146</v>
      </c>
      <c r="AW221" t="s">
        <v>25</v>
      </c>
      <c r="AX221" t="s">
        <v>153</v>
      </c>
      <c r="AY221" s="70" t="s">
        <v>27</v>
      </c>
      <c r="AZ221" s="70" t="s">
        <v>20</v>
      </c>
      <c r="BA221" s="70">
        <v>0</v>
      </c>
      <c r="BB221" s="70" t="s">
        <v>17</v>
      </c>
      <c r="BC221" s="70" t="s">
        <v>20</v>
      </c>
      <c r="BD221" s="70" t="s">
        <v>2427</v>
      </c>
      <c r="BE221" t="s">
        <v>21</v>
      </c>
      <c r="BF221" t="s">
        <v>23</v>
      </c>
      <c r="BG221" t="s">
        <v>155</v>
      </c>
      <c r="BH221" t="s">
        <v>25</v>
      </c>
      <c r="BI221" t="s">
        <v>161</v>
      </c>
      <c r="BJ221" t="s">
        <v>25</v>
      </c>
      <c r="BK221" s="70">
        <v>3</v>
      </c>
      <c r="BL221" s="70">
        <v>6</v>
      </c>
      <c r="BM221"/>
      <c r="BN221" t="s">
        <v>2625</v>
      </c>
      <c r="BO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 t="s">
        <v>2699</v>
      </c>
      <c r="CZ221"/>
      <c r="DL221"/>
      <c r="DM221" s="70" t="s">
        <v>1876</v>
      </c>
      <c r="DN221"/>
      <c r="DO221" s="70" t="s">
        <v>1876</v>
      </c>
      <c r="DP221" t="s">
        <v>2699</v>
      </c>
      <c r="DQ221" t="s">
        <v>2625</v>
      </c>
      <c r="DS221" t="s">
        <v>2326</v>
      </c>
      <c r="DT221" t="s">
        <v>2016</v>
      </c>
      <c r="DU221" t="s">
        <v>2327</v>
      </c>
      <c r="DV221"/>
    </row>
    <row r="222" spans="2:126" x14ac:dyDescent="0.25">
      <c r="B222">
        <v>5951671</v>
      </c>
      <c r="C222">
        <v>2</v>
      </c>
      <c r="D222">
        <v>1</v>
      </c>
      <c r="E222">
        <v>2</v>
      </c>
      <c r="F222">
        <v>1960</v>
      </c>
      <c r="G222">
        <v>5</v>
      </c>
      <c r="H222">
        <v>21</v>
      </c>
      <c r="I222">
        <v>1984</v>
      </c>
      <c r="J222" t="s">
        <v>693</v>
      </c>
      <c r="K222" t="s">
        <v>956</v>
      </c>
      <c r="L222">
        <v>10816012347</v>
      </c>
      <c r="M222" t="s">
        <v>1401</v>
      </c>
      <c r="N222" t="s">
        <v>1402</v>
      </c>
      <c r="O222" t="s">
        <v>1307</v>
      </c>
      <c r="P222" t="s">
        <v>1628</v>
      </c>
      <c r="Z222" t="s">
        <v>1402</v>
      </c>
      <c r="AA222" t="s">
        <v>1307</v>
      </c>
      <c r="AB222" t="s">
        <v>54</v>
      </c>
      <c r="AU222" t="s">
        <v>22</v>
      </c>
      <c r="AV222" t="s">
        <v>146</v>
      </c>
      <c r="AW222" t="s">
        <v>22</v>
      </c>
      <c r="AX222" t="s">
        <v>157</v>
      </c>
      <c r="AY222" s="70" t="s">
        <v>27</v>
      </c>
      <c r="AZ222" s="70" t="s">
        <v>19</v>
      </c>
      <c r="BA222" s="70">
        <v>0</v>
      </c>
      <c r="BB222" s="70" t="s">
        <v>20</v>
      </c>
      <c r="BC222" s="70" t="s">
        <v>19</v>
      </c>
      <c r="BD222" s="70" t="s">
        <v>2418</v>
      </c>
      <c r="BE222" t="s">
        <v>165</v>
      </c>
      <c r="BF222" t="s">
        <v>23</v>
      </c>
      <c r="BG222" t="s">
        <v>155</v>
      </c>
      <c r="BH222" t="s">
        <v>25</v>
      </c>
      <c r="BI222" t="s">
        <v>24</v>
      </c>
      <c r="BJ222" t="s">
        <v>24</v>
      </c>
      <c r="BK222" s="70">
        <v>7</v>
      </c>
      <c r="BL222" s="70">
        <v>7</v>
      </c>
      <c r="BM222"/>
      <c r="BN222" t="s">
        <v>2626</v>
      </c>
      <c r="BO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 t="s">
        <v>1672</v>
      </c>
      <c r="CZ222"/>
      <c r="DL222"/>
      <c r="DM222" s="70" t="s">
        <v>1877</v>
      </c>
      <c r="DN222"/>
      <c r="DO222" s="70" t="s">
        <v>1877</v>
      </c>
      <c r="DP222" t="s">
        <v>1672</v>
      </c>
      <c r="DQ222" t="s">
        <v>2626</v>
      </c>
      <c r="DS222" t="s">
        <v>2328</v>
      </c>
      <c r="DT222" t="s">
        <v>2329</v>
      </c>
      <c r="DU222" t="s">
        <v>2236</v>
      </c>
      <c r="DV222"/>
    </row>
    <row r="223" spans="2:126" x14ac:dyDescent="0.25">
      <c r="B223">
        <v>5964048</v>
      </c>
      <c r="C223">
        <v>1</v>
      </c>
      <c r="D223">
        <v>6</v>
      </c>
      <c r="E223">
        <v>18</v>
      </c>
      <c r="F223">
        <v>1976</v>
      </c>
      <c r="G223">
        <v>9</v>
      </c>
      <c r="H223">
        <v>1</v>
      </c>
      <c r="I223">
        <v>1996</v>
      </c>
      <c r="J223" t="s">
        <v>694</v>
      </c>
      <c r="K223" t="s">
        <v>957</v>
      </c>
      <c r="L223">
        <v>94967614499</v>
      </c>
      <c r="M223" t="s">
        <v>1403</v>
      </c>
      <c r="N223" t="s">
        <v>409</v>
      </c>
      <c r="O223" t="s">
        <v>418</v>
      </c>
      <c r="P223" t="s">
        <v>1629</v>
      </c>
      <c r="Z223" t="s">
        <v>409</v>
      </c>
      <c r="AA223" t="s">
        <v>418</v>
      </c>
      <c r="AB223" t="s">
        <v>1629</v>
      </c>
      <c r="AU223" t="s">
        <v>165</v>
      </c>
      <c r="AV223" t="s">
        <v>146</v>
      </c>
      <c r="AW223" t="s">
        <v>172</v>
      </c>
      <c r="AX223" t="s">
        <v>153</v>
      </c>
      <c r="AY223" s="70" t="s">
        <v>2420</v>
      </c>
      <c r="AZ223" s="70" t="s">
        <v>27</v>
      </c>
      <c r="BA223" s="70">
        <v>0</v>
      </c>
      <c r="BB223" s="70" t="s">
        <v>27</v>
      </c>
      <c r="BC223" s="70" t="s">
        <v>20</v>
      </c>
      <c r="BD223" s="70" t="s">
        <v>2422</v>
      </c>
      <c r="BE223" t="s">
        <v>21</v>
      </c>
      <c r="BF223" t="s">
        <v>23</v>
      </c>
      <c r="BG223" t="s">
        <v>155</v>
      </c>
      <c r="BH223" t="s">
        <v>25</v>
      </c>
      <c r="BI223" t="s">
        <v>25</v>
      </c>
      <c r="BJ223" t="s">
        <v>155</v>
      </c>
      <c r="BK223" s="70">
        <v>0</v>
      </c>
      <c r="BL223" s="70">
        <v>8</v>
      </c>
      <c r="BM223"/>
      <c r="BN223" t="s">
        <v>2627</v>
      </c>
      <c r="BO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 t="s">
        <v>957</v>
      </c>
      <c r="CZ223"/>
      <c r="DL223"/>
      <c r="DM223" s="70" t="s">
        <v>1878</v>
      </c>
      <c r="DN223"/>
      <c r="DO223" s="70" t="s">
        <v>1878</v>
      </c>
      <c r="DP223" t="s">
        <v>957</v>
      </c>
      <c r="DQ223" t="s">
        <v>2627</v>
      </c>
      <c r="DS223" t="s">
        <v>2330</v>
      </c>
      <c r="DT223" t="s">
        <v>2016</v>
      </c>
      <c r="DU223" t="s">
        <v>1981</v>
      </c>
      <c r="DV223"/>
    </row>
    <row r="224" spans="2:126" x14ac:dyDescent="0.25">
      <c r="B224">
        <v>9242960</v>
      </c>
      <c r="C224">
        <v>1</v>
      </c>
      <c r="D224">
        <v>11</v>
      </c>
      <c r="E224">
        <v>9</v>
      </c>
      <c r="F224">
        <v>1993</v>
      </c>
      <c r="G224">
        <v>3</v>
      </c>
      <c r="H224">
        <v>20</v>
      </c>
      <c r="I224">
        <v>2018</v>
      </c>
      <c r="J224" t="s">
        <v>695</v>
      </c>
      <c r="K224" t="s">
        <v>958</v>
      </c>
      <c r="L224">
        <v>67129364278</v>
      </c>
      <c r="M224" t="s">
        <v>1404</v>
      </c>
      <c r="N224" t="s">
        <v>475</v>
      </c>
      <c r="O224" t="s">
        <v>481</v>
      </c>
      <c r="P224" t="s">
        <v>1288</v>
      </c>
      <c r="Z224" t="s">
        <v>475</v>
      </c>
      <c r="AA224" t="s">
        <v>481</v>
      </c>
      <c r="AB224" t="s">
        <v>1288</v>
      </c>
      <c r="AU224" t="s">
        <v>146</v>
      </c>
      <c r="AV224" t="s">
        <v>153</v>
      </c>
      <c r="AW224" t="s">
        <v>155</v>
      </c>
      <c r="AX224" t="s">
        <v>165</v>
      </c>
      <c r="AY224" s="70" t="s">
        <v>17</v>
      </c>
      <c r="AZ224" s="70" t="s">
        <v>18</v>
      </c>
      <c r="BA224" s="70">
        <v>1</v>
      </c>
      <c r="BB224" s="70" t="s">
        <v>20</v>
      </c>
      <c r="BC224" s="70" t="s">
        <v>19</v>
      </c>
      <c r="BD224" s="70" t="s">
        <v>17</v>
      </c>
      <c r="BE224" t="s">
        <v>21</v>
      </c>
      <c r="BF224" t="s">
        <v>23</v>
      </c>
      <c r="BG224" t="s">
        <v>155</v>
      </c>
      <c r="BH224" t="s">
        <v>25</v>
      </c>
      <c r="BI224" t="s">
        <v>24</v>
      </c>
      <c r="BJ224" t="s">
        <v>166</v>
      </c>
      <c r="BK224" s="70">
        <v>3</v>
      </c>
      <c r="BL224" s="70">
        <v>8</v>
      </c>
      <c r="BM224"/>
      <c r="BN224" t="s">
        <v>2628</v>
      </c>
      <c r="BO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 t="s">
        <v>958</v>
      </c>
      <c r="CZ224"/>
      <c r="DL224"/>
      <c r="DM224" s="70" t="s">
        <v>1879</v>
      </c>
      <c r="DN224"/>
      <c r="DO224" s="70" t="s">
        <v>1879</v>
      </c>
      <c r="DP224" t="s">
        <v>958</v>
      </c>
      <c r="DQ224" t="s">
        <v>2628</v>
      </c>
      <c r="DS224" t="s">
        <v>2241</v>
      </c>
      <c r="DT224" t="s">
        <v>2276</v>
      </c>
      <c r="DU224" t="s">
        <v>1968</v>
      </c>
      <c r="DV224"/>
    </row>
    <row r="225" spans="2:125" customFormat="1" x14ac:dyDescent="0.25">
      <c r="B225">
        <v>7559655</v>
      </c>
      <c r="C225">
        <v>2</v>
      </c>
      <c r="D225">
        <v>10</v>
      </c>
      <c r="E225">
        <v>6</v>
      </c>
      <c r="F225">
        <v>1985</v>
      </c>
      <c r="G225">
        <v>6</v>
      </c>
      <c r="H225">
        <v>1</v>
      </c>
      <c r="I225">
        <v>2010</v>
      </c>
      <c r="J225" t="s">
        <v>696</v>
      </c>
      <c r="K225" t="s">
        <v>959</v>
      </c>
      <c r="L225">
        <v>39068510021</v>
      </c>
      <c r="M225" t="s">
        <v>1405</v>
      </c>
      <c r="N225" t="s">
        <v>1406</v>
      </c>
      <c r="O225" t="s">
        <v>1407</v>
      </c>
      <c r="P225" t="s">
        <v>1664</v>
      </c>
      <c r="Z225" t="s">
        <v>1406</v>
      </c>
      <c r="AA225" t="s">
        <v>2629</v>
      </c>
      <c r="AB225" t="s">
        <v>442</v>
      </c>
      <c r="AU225" t="s">
        <v>165</v>
      </c>
      <c r="AV225" t="s">
        <v>170</v>
      </c>
      <c r="AW225" t="s">
        <v>170</v>
      </c>
      <c r="AX225" t="s">
        <v>161</v>
      </c>
      <c r="AY225" s="70" t="s">
        <v>2422</v>
      </c>
      <c r="AZ225" s="70" t="s">
        <v>2427</v>
      </c>
      <c r="BA225" s="70">
        <v>1</v>
      </c>
      <c r="BB225" s="70" t="s">
        <v>19</v>
      </c>
      <c r="BC225" s="70" t="s">
        <v>19</v>
      </c>
      <c r="BD225" s="70" t="s">
        <v>27</v>
      </c>
      <c r="BE225" t="s">
        <v>165</v>
      </c>
      <c r="BF225" t="s">
        <v>23</v>
      </c>
      <c r="BG225" t="s">
        <v>155</v>
      </c>
      <c r="BH225" t="s">
        <v>166</v>
      </c>
      <c r="BI225" t="s">
        <v>22</v>
      </c>
      <c r="BJ225" t="s">
        <v>166</v>
      </c>
      <c r="BK225" s="70">
        <v>2</v>
      </c>
      <c r="BL225" s="70">
        <v>5</v>
      </c>
      <c r="BN225" t="s">
        <v>2630</v>
      </c>
      <c r="CY225" t="s">
        <v>2700</v>
      </c>
      <c r="DM225" s="70" t="s">
        <v>1880</v>
      </c>
      <c r="DO225" s="70" t="s">
        <v>1880</v>
      </c>
      <c r="DP225" t="s">
        <v>2700</v>
      </c>
      <c r="DQ225" t="s">
        <v>2630</v>
      </c>
      <c r="DS225" t="s">
        <v>2331</v>
      </c>
      <c r="DT225" t="s">
        <v>2332</v>
      </c>
      <c r="DU225" t="s">
        <v>2333</v>
      </c>
    </row>
    <row r="226" spans="2:125" customFormat="1" x14ac:dyDescent="0.25">
      <c r="B226">
        <v>40009452</v>
      </c>
      <c r="C226">
        <v>2</v>
      </c>
      <c r="D226">
        <v>8</v>
      </c>
      <c r="E226">
        <v>25</v>
      </c>
      <c r="F226">
        <v>1997</v>
      </c>
      <c r="G226">
        <v>1</v>
      </c>
      <c r="H226">
        <v>3</v>
      </c>
      <c r="I226">
        <v>2022</v>
      </c>
      <c r="J226" t="s">
        <v>697</v>
      </c>
      <c r="K226" t="s">
        <v>960</v>
      </c>
      <c r="L226">
        <v>94129769660</v>
      </c>
      <c r="M226" t="s">
        <v>1408</v>
      </c>
      <c r="N226" t="s">
        <v>1409</v>
      </c>
      <c r="O226" t="s">
        <v>407</v>
      </c>
      <c r="P226" t="s">
        <v>1665</v>
      </c>
      <c r="Z226" t="s">
        <v>1409</v>
      </c>
      <c r="AA226" t="s">
        <v>407</v>
      </c>
      <c r="AB226" t="s">
        <v>2407</v>
      </c>
      <c r="AU226" t="s">
        <v>16</v>
      </c>
      <c r="AV226" t="s">
        <v>153</v>
      </c>
      <c r="AW226" t="s">
        <v>24</v>
      </c>
      <c r="AX226" t="s">
        <v>163</v>
      </c>
      <c r="AY226" s="70" t="s">
        <v>17</v>
      </c>
      <c r="AZ226" s="70" t="s">
        <v>2420</v>
      </c>
      <c r="BA226" s="70">
        <v>0</v>
      </c>
      <c r="BB226" s="70" t="s">
        <v>2422</v>
      </c>
      <c r="BC226" s="70" t="s">
        <v>2418</v>
      </c>
      <c r="BD226" s="70" t="s">
        <v>2427</v>
      </c>
      <c r="BE226" t="s">
        <v>165</v>
      </c>
      <c r="BF226" t="s">
        <v>23</v>
      </c>
      <c r="BG226" t="s">
        <v>155</v>
      </c>
      <c r="BH226" t="s">
        <v>25</v>
      </c>
      <c r="BI226" t="s">
        <v>172</v>
      </c>
      <c r="BJ226" t="s">
        <v>25</v>
      </c>
      <c r="BK226" s="70">
        <v>2</v>
      </c>
      <c r="BL226" s="70">
        <v>6</v>
      </c>
      <c r="BN226" t="s">
        <v>2631</v>
      </c>
      <c r="CY226" t="s">
        <v>960</v>
      </c>
      <c r="DM226" s="70" t="s">
        <v>1881</v>
      </c>
      <c r="DO226" s="70" t="s">
        <v>1881</v>
      </c>
      <c r="DP226" t="s">
        <v>960</v>
      </c>
      <c r="DQ226" t="s">
        <v>2631</v>
      </c>
      <c r="DS226" t="s">
        <v>2334</v>
      </c>
      <c r="DT226" t="s">
        <v>2335</v>
      </c>
      <c r="DU226" t="s">
        <v>1980</v>
      </c>
    </row>
    <row r="227" spans="2:125" customFormat="1" x14ac:dyDescent="0.25">
      <c r="B227">
        <v>9206041</v>
      </c>
      <c r="C227">
        <v>1</v>
      </c>
      <c r="D227">
        <v>8</v>
      </c>
      <c r="E227">
        <v>30</v>
      </c>
      <c r="F227">
        <v>1977</v>
      </c>
      <c r="G227">
        <v>2</v>
      </c>
      <c r="H227">
        <v>1</v>
      </c>
      <c r="I227">
        <v>2017</v>
      </c>
      <c r="J227" t="s">
        <v>698</v>
      </c>
      <c r="K227" t="s">
        <v>961</v>
      </c>
      <c r="L227">
        <v>39977755436</v>
      </c>
      <c r="M227" t="s">
        <v>1410</v>
      </c>
      <c r="N227" t="s">
        <v>1411</v>
      </c>
      <c r="O227" t="s">
        <v>418</v>
      </c>
      <c r="P227" t="s">
        <v>1630</v>
      </c>
      <c r="Z227" t="s">
        <v>1411</v>
      </c>
      <c r="AA227" t="s">
        <v>418</v>
      </c>
      <c r="AB227" t="s">
        <v>96</v>
      </c>
      <c r="AU227" t="s">
        <v>153</v>
      </c>
      <c r="AV227" t="s">
        <v>146</v>
      </c>
      <c r="AW227" t="s">
        <v>172</v>
      </c>
      <c r="AX227" t="s">
        <v>159</v>
      </c>
      <c r="AY227" s="70" t="s">
        <v>2420</v>
      </c>
      <c r="AZ227" s="70" t="s">
        <v>2420</v>
      </c>
      <c r="BA227" s="70">
        <v>0</v>
      </c>
      <c r="BB227" s="70" t="s">
        <v>2422</v>
      </c>
      <c r="BC227" s="70" t="s">
        <v>18</v>
      </c>
      <c r="BD227" s="70" t="s">
        <v>19</v>
      </c>
      <c r="BE227" t="s">
        <v>21</v>
      </c>
      <c r="BF227" t="s">
        <v>23</v>
      </c>
      <c r="BG227" t="s">
        <v>155</v>
      </c>
      <c r="BH227" t="s">
        <v>177</v>
      </c>
      <c r="BI227" t="s">
        <v>25</v>
      </c>
      <c r="BJ227" t="s">
        <v>182</v>
      </c>
      <c r="BK227" s="70">
        <v>5</v>
      </c>
      <c r="BL227" s="70">
        <v>3</v>
      </c>
      <c r="BN227" t="s">
        <v>2632</v>
      </c>
      <c r="CY227" t="s">
        <v>961</v>
      </c>
      <c r="DM227" s="70" t="s">
        <v>1882</v>
      </c>
      <c r="DO227" s="70" t="s">
        <v>1882</v>
      </c>
      <c r="DP227" t="s">
        <v>961</v>
      </c>
      <c r="DQ227" t="s">
        <v>2632</v>
      </c>
      <c r="DS227" t="s">
        <v>2336</v>
      </c>
      <c r="DT227" t="s">
        <v>2337</v>
      </c>
      <c r="DU227" t="s">
        <v>1981</v>
      </c>
    </row>
    <row r="228" spans="2:125" customFormat="1" x14ac:dyDescent="0.25">
      <c r="B228">
        <v>9243125</v>
      </c>
      <c r="C228">
        <v>1</v>
      </c>
      <c r="D228">
        <v>7</v>
      </c>
      <c r="E228">
        <v>28</v>
      </c>
      <c r="F228">
        <v>1994</v>
      </c>
      <c r="G228">
        <v>3</v>
      </c>
      <c r="H228">
        <v>20</v>
      </c>
      <c r="I228">
        <v>2018</v>
      </c>
      <c r="J228" t="s">
        <v>699</v>
      </c>
      <c r="K228" t="s">
        <v>962</v>
      </c>
      <c r="L228">
        <v>1099404392</v>
      </c>
      <c r="M228" t="s">
        <v>1412</v>
      </c>
      <c r="N228" t="s">
        <v>80</v>
      </c>
      <c r="O228" t="s">
        <v>408</v>
      </c>
      <c r="P228" t="s">
        <v>1631</v>
      </c>
      <c r="Z228" t="s">
        <v>80</v>
      </c>
      <c r="AA228" t="s">
        <v>408</v>
      </c>
      <c r="AB228" t="s">
        <v>1631</v>
      </c>
      <c r="AU228" t="s">
        <v>157</v>
      </c>
      <c r="AV228" t="s">
        <v>180</v>
      </c>
      <c r="AW228" t="s">
        <v>25</v>
      </c>
      <c r="AX228" t="s">
        <v>165</v>
      </c>
      <c r="AY228" s="70" t="s">
        <v>17</v>
      </c>
      <c r="AZ228" s="70" t="s">
        <v>2428</v>
      </c>
      <c r="BA228" s="70">
        <v>0</v>
      </c>
      <c r="BB228" s="70" t="s">
        <v>2420</v>
      </c>
      <c r="BC228" s="70" t="s">
        <v>2418</v>
      </c>
      <c r="BD228" s="70" t="s">
        <v>2422</v>
      </c>
      <c r="BE228" t="s">
        <v>21</v>
      </c>
      <c r="BF228" t="s">
        <v>23</v>
      </c>
      <c r="BG228" t="s">
        <v>155</v>
      </c>
      <c r="BH228" t="s">
        <v>25</v>
      </c>
      <c r="BI228" t="s">
        <v>165</v>
      </c>
      <c r="BJ228" t="s">
        <v>25</v>
      </c>
      <c r="BK228" s="70">
        <v>5</v>
      </c>
      <c r="BL228" s="70">
        <v>8</v>
      </c>
      <c r="BN228" t="s">
        <v>2633</v>
      </c>
      <c r="CY228" t="s">
        <v>962</v>
      </c>
      <c r="DM228" s="70" t="s">
        <v>1883</v>
      </c>
      <c r="DO228" s="70" t="s">
        <v>1883</v>
      </c>
      <c r="DP228" t="s">
        <v>962</v>
      </c>
      <c r="DQ228" t="s">
        <v>2633</v>
      </c>
      <c r="DS228" t="s">
        <v>2338</v>
      </c>
      <c r="DT228" t="s">
        <v>2169</v>
      </c>
      <c r="DU228" t="s">
        <v>2043</v>
      </c>
    </row>
    <row r="229" spans="2:125" customFormat="1" x14ac:dyDescent="0.25">
      <c r="B229">
        <v>40000895</v>
      </c>
      <c r="C229">
        <v>2</v>
      </c>
      <c r="D229">
        <v>10</v>
      </c>
      <c r="E229">
        <v>12</v>
      </c>
      <c r="F229">
        <v>1997</v>
      </c>
      <c r="G229">
        <v>7</v>
      </c>
      <c r="H229">
        <v>15</v>
      </c>
      <c r="I229">
        <v>2018</v>
      </c>
      <c r="J229" t="s">
        <v>700</v>
      </c>
      <c r="K229" t="s">
        <v>963</v>
      </c>
      <c r="L229">
        <v>94129747922</v>
      </c>
      <c r="M229" t="s">
        <v>1413</v>
      </c>
      <c r="N229" t="s">
        <v>460</v>
      </c>
      <c r="O229" t="s">
        <v>416</v>
      </c>
      <c r="P229" t="s">
        <v>1632</v>
      </c>
      <c r="Z229" t="s">
        <v>460</v>
      </c>
      <c r="AA229" t="s">
        <v>416</v>
      </c>
      <c r="AB229" t="s">
        <v>1414</v>
      </c>
      <c r="AU229" t="s">
        <v>25</v>
      </c>
      <c r="AV229" t="s">
        <v>170</v>
      </c>
      <c r="AW229" t="s">
        <v>157</v>
      </c>
      <c r="AX229" t="s">
        <v>186</v>
      </c>
      <c r="AY229" s="70" t="s">
        <v>17</v>
      </c>
      <c r="AZ229" s="70" t="s">
        <v>2420</v>
      </c>
      <c r="BA229" s="70">
        <v>1</v>
      </c>
      <c r="BB229" s="70" t="s">
        <v>19</v>
      </c>
      <c r="BC229" s="70" t="s">
        <v>20</v>
      </c>
      <c r="BD229" s="70" t="s">
        <v>2418</v>
      </c>
      <c r="BE229" t="s">
        <v>165</v>
      </c>
      <c r="BF229" t="s">
        <v>23</v>
      </c>
      <c r="BG229" t="s">
        <v>155</v>
      </c>
      <c r="BH229" t="s">
        <v>161</v>
      </c>
      <c r="BI229" t="s">
        <v>166</v>
      </c>
      <c r="BJ229" t="s">
        <v>25</v>
      </c>
      <c r="BK229" s="70">
        <v>4</v>
      </c>
      <c r="BL229" s="70">
        <v>3</v>
      </c>
      <c r="BN229" t="s">
        <v>2634</v>
      </c>
      <c r="CY229" t="s">
        <v>963</v>
      </c>
      <c r="DM229" s="70" t="s">
        <v>1884</v>
      </c>
      <c r="DO229" s="70" t="s">
        <v>1884</v>
      </c>
      <c r="DP229" t="s">
        <v>963</v>
      </c>
      <c r="DQ229" t="s">
        <v>2634</v>
      </c>
      <c r="DS229" t="s">
        <v>2339</v>
      </c>
      <c r="DT229" t="s">
        <v>2177</v>
      </c>
      <c r="DU229" t="s">
        <v>1966</v>
      </c>
    </row>
    <row r="230" spans="2:125" customFormat="1" x14ac:dyDescent="0.25">
      <c r="B230">
        <v>40001965</v>
      </c>
      <c r="C230">
        <v>1</v>
      </c>
      <c r="D230">
        <v>6</v>
      </c>
      <c r="E230">
        <v>28</v>
      </c>
      <c r="F230">
        <v>1996</v>
      </c>
      <c r="G230">
        <v>12</v>
      </c>
      <c r="H230">
        <v>17</v>
      </c>
      <c r="I230">
        <v>2018</v>
      </c>
      <c r="J230" t="s">
        <v>701</v>
      </c>
      <c r="K230" t="s">
        <v>964</v>
      </c>
      <c r="L230">
        <v>20119631826</v>
      </c>
      <c r="M230" t="s">
        <v>1415</v>
      </c>
      <c r="N230" t="s">
        <v>416</v>
      </c>
      <c r="O230" t="s">
        <v>452</v>
      </c>
      <c r="P230" t="s">
        <v>1633</v>
      </c>
      <c r="Z230" t="s">
        <v>416</v>
      </c>
      <c r="AA230" t="s">
        <v>452</v>
      </c>
      <c r="AB230" t="s">
        <v>1416</v>
      </c>
      <c r="AU230" t="s">
        <v>157</v>
      </c>
      <c r="AV230" t="s">
        <v>170</v>
      </c>
      <c r="AW230" t="s">
        <v>16</v>
      </c>
      <c r="AX230" t="s">
        <v>23</v>
      </c>
      <c r="AY230" s="70" t="s">
        <v>17</v>
      </c>
      <c r="AZ230" s="70" t="s">
        <v>27</v>
      </c>
      <c r="BA230" s="70">
        <v>0</v>
      </c>
      <c r="BB230" s="70" t="s">
        <v>27</v>
      </c>
      <c r="BC230" s="70" t="s">
        <v>2418</v>
      </c>
      <c r="BD230" s="70" t="s">
        <v>2422</v>
      </c>
      <c r="BE230" t="s">
        <v>21</v>
      </c>
      <c r="BF230" t="s">
        <v>23</v>
      </c>
      <c r="BG230" t="s">
        <v>155</v>
      </c>
      <c r="BH230" t="s">
        <v>166</v>
      </c>
      <c r="BI230" t="s">
        <v>25</v>
      </c>
      <c r="BJ230" t="s">
        <v>24</v>
      </c>
      <c r="BK230" s="70">
        <v>4</v>
      </c>
      <c r="BL230" s="70">
        <v>5</v>
      </c>
      <c r="BN230" t="s">
        <v>2635</v>
      </c>
      <c r="CY230" t="s">
        <v>964</v>
      </c>
      <c r="DM230" s="70" t="s">
        <v>1885</v>
      </c>
      <c r="DO230" s="70" t="s">
        <v>1885</v>
      </c>
      <c r="DP230" t="s">
        <v>964</v>
      </c>
      <c r="DQ230" t="s">
        <v>2635</v>
      </c>
      <c r="DS230" t="s">
        <v>2340</v>
      </c>
      <c r="DT230" t="s">
        <v>1966</v>
      </c>
      <c r="DU230" t="s">
        <v>1941</v>
      </c>
    </row>
    <row r="231" spans="2:125" customFormat="1" x14ac:dyDescent="0.25">
      <c r="B231">
        <v>9182908</v>
      </c>
      <c r="C231">
        <v>1</v>
      </c>
      <c r="D231">
        <v>5</v>
      </c>
      <c r="E231">
        <v>12</v>
      </c>
      <c r="F231">
        <v>1984</v>
      </c>
      <c r="G231">
        <v>3</v>
      </c>
      <c r="H231">
        <v>1</v>
      </c>
      <c r="I231">
        <v>2016</v>
      </c>
      <c r="J231" t="s">
        <v>702</v>
      </c>
      <c r="K231" t="s">
        <v>965</v>
      </c>
      <c r="L231">
        <v>1038420806</v>
      </c>
      <c r="M231" t="s">
        <v>1417</v>
      </c>
      <c r="N231" t="s">
        <v>426</v>
      </c>
      <c r="O231" t="s">
        <v>477</v>
      </c>
      <c r="P231" t="s">
        <v>91</v>
      </c>
      <c r="Z231" t="s">
        <v>426</v>
      </c>
      <c r="AA231" t="s">
        <v>477</v>
      </c>
      <c r="AB231" t="s">
        <v>91</v>
      </c>
      <c r="AU231" t="s">
        <v>177</v>
      </c>
      <c r="AV231" t="s">
        <v>146</v>
      </c>
      <c r="AW231" t="s">
        <v>22</v>
      </c>
      <c r="AX231" t="s">
        <v>25</v>
      </c>
      <c r="AY231" s="70" t="s">
        <v>2422</v>
      </c>
      <c r="AZ231" s="70" t="s">
        <v>2428</v>
      </c>
      <c r="BA231" s="70">
        <v>0</v>
      </c>
      <c r="BB231" s="70" t="s">
        <v>2427</v>
      </c>
      <c r="BC231" s="70" t="s">
        <v>20</v>
      </c>
      <c r="BD231" s="70" t="s">
        <v>2418</v>
      </c>
      <c r="BE231" t="s">
        <v>21</v>
      </c>
      <c r="BF231" t="s">
        <v>23</v>
      </c>
      <c r="BG231" t="s">
        <v>155</v>
      </c>
      <c r="BH231" t="s">
        <v>166</v>
      </c>
      <c r="BI231" t="s">
        <v>166</v>
      </c>
      <c r="BJ231" t="s">
        <v>94</v>
      </c>
      <c r="BK231" s="70">
        <v>2</v>
      </c>
      <c r="BL231" s="70">
        <v>7</v>
      </c>
      <c r="BN231" t="s">
        <v>2636</v>
      </c>
      <c r="CY231" t="s">
        <v>965</v>
      </c>
      <c r="DM231" s="70" t="s">
        <v>1886</v>
      </c>
      <c r="DO231" s="70" t="s">
        <v>1886</v>
      </c>
      <c r="DP231" t="s">
        <v>965</v>
      </c>
      <c r="DQ231" t="s">
        <v>2636</v>
      </c>
      <c r="DS231" t="s">
        <v>2341</v>
      </c>
      <c r="DT231" t="s">
        <v>1990</v>
      </c>
      <c r="DU231" t="s">
        <v>2228</v>
      </c>
    </row>
    <row r="232" spans="2:125" customFormat="1" x14ac:dyDescent="0.25">
      <c r="B232">
        <v>40001125</v>
      </c>
      <c r="C232">
        <v>2</v>
      </c>
      <c r="D232">
        <v>2</v>
      </c>
      <c r="E232">
        <v>7</v>
      </c>
      <c r="F232">
        <v>1983</v>
      </c>
      <c r="G232">
        <v>8</v>
      </c>
      <c r="H232">
        <v>16</v>
      </c>
      <c r="I232">
        <v>2018</v>
      </c>
      <c r="J232" t="s">
        <v>703</v>
      </c>
      <c r="K232" t="s">
        <v>966</v>
      </c>
      <c r="L232">
        <v>37088305836</v>
      </c>
      <c r="M232" t="s">
        <v>1418</v>
      </c>
      <c r="N232" t="s">
        <v>434</v>
      </c>
      <c r="O232" t="s">
        <v>70</v>
      </c>
      <c r="P232" t="s">
        <v>1634</v>
      </c>
      <c r="Z232" t="s">
        <v>434</v>
      </c>
      <c r="AA232" t="s">
        <v>1220</v>
      </c>
      <c r="AB232" t="s">
        <v>1069</v>
      </c>
      <c r="AU232" t="s">
        <v>153</v>
      </c>
      <c r="AV232" t="s">
        <v>159</v>
      </c>
      <c r="AW232" t="s">
        <v>146</v>
      </c>
      <c r="AX232" t="s">
        <v>16</v>
      </c>
      <c r="AY232" s="70" t="s">
        <v>2422</v>
      </c>
      <c r="AZ232" s="70" t="s">
        <v>18</v>
      </c>
      <c r="BA232" s="70">
        <v>0</v>
      </c>
      <c r="BB232" s="70" t="s">
        <v>2418</v>
      </c>
      <c r="BC232" s="70" t="s">
        <v>19</v>
      </c>
      <c r="BD232" s="70" t="s">
        <v>2420</v>
      </c>
      <c r="BE232" t="s">
        <v>165</v>
      </c>
      <c r="BF232" t="s">
        <v>23</v>
      </c>
      <c r="BG232" t="s">
        <v>155</v>
      </c>
      <c r="BH232" t="s">
        <v>177</v>
      </c>
      <c r="BI232" t="s">
        <v>166</v>
      </c>
      <c r="BJ232" t="s">
        <v>166</v>
      </c>
      <c r="BK232" s="70">
        <v>3</v>
      </c>
      <c r="BL232" s="70">
        <v>6</v>
      </c>
      <c r="BN232" t="s">
        <v>2637</v>
      </c>
      <c r="CY232" t="s">
        <v>966</v>
      </c>
      <c r="DM232" s="70" t="s">
        <v>1887</v>
      </c>
      <c r="DO232" s="70" t="s">
        <v>1887</v>
      </c>
      <c r="DP232" t="s">
        <v>966</v>
      </c>
      <c r="DQ232" t="s">
        <v>2637</v>
      </c>
      <c r="DS232" t="s">
        <v>2342</v>
      </c>
      <c r="DT232" t="s">
        <v>2343</v>
      </c>
      <c r="DU232" t="s">
        <v>2344</v>
      </c>
    </row>
    <row r="233" spans="2:125" customFormat="1" x14ac:dyDescent="0.25">
      <c r="B233">
        <v>7455965</v>
      </c>
      <c r="C233">
        <v>1</v>
      </c>
      <c r="D233">
        <v>1</v>
      </c>
      <c r="E233">
        <v>12</v>
      </c>
      <c r="F233">
        <v>1973</v>
      </c>
      <c r="G233">
        <v>2</v>
      </c>
      <c r="H233">
        <v>2</v>
      </c>
      <c r="I233">
        <v>2010</v>
      </c>
      <c r="J233" t="s">
        <v>704</v>
      </c>
      <c r="K233" t="s">
        <v>967</v>
      </c>
      <c r="L233">
        <v>37927309858</v>
      </c>
      <c r="M233" t="s">
        <v>1419</v>
      </c>
      <c r="N233" t="s">
        <v>418</v>
      </c>
      <c r="O233" t="s">
        <v>416</v>
      </c>
      <c r="P233" t="s">
        <v>82</v>
      </c>
      <c r="Z233" t="s">
        <v>418</v>
      </c>
      <c r="AA233" t="s">
        <v>416</v>
      </c>
      <c r="AB233" t="s">
        <v>82</v>
      </c>
      <c r="AU233" t="s">
        <v>172</v>
      </c>
      <c r="AV233" t="s">
        <v>153</v>
      </c>
      <c r="AW233" t="s">
        <v>157</v>
      </c>
      <c r="AX233" t="s">
        <v>153</v>
      </c>
      <c r="AY233" s="70" t="s">
        <v>2420</v>
      </c>
      <c r="AZ233" s="70" t="s">
        <v>18</v>
      </c>
      <c r="BA233" s="70">
        <v>0</v>
      </c>
      <c r="BB233" s="70" t="s">
        <v>20</v>
      </c>
      <c r="BC233" s="70" t="s">
        <v>20</v>
      </c>
      <c r="BD233" s="70" t="s">
        <v>2418</v>
      </c>
      <c r="BE233" t="s">
        <v>21</v>
      </c>
      <c r="BF233" t="s">
        <v>23</v>
      </c>
      <c r="BG233" t="s">
        <v>155</v>
      </c>
      <c r="BH233" t="s">
        <v>25</v>
      </c>
      <c r="BI233" t="s">
        <v>166</v>
      </c>
      <c r="BJ233" t="s">
        <v>24</v>
      </c>
      <c r="BK233" s="70">
        <v>3</v>
      </c>
      <c r="BL233" s="70">
        <v>7</v>
      </c>
      <c r="BN233" t="s">
        <v>2638</v>
      </c>
      <c r="CY233" t="s">
        <v>967</v>
      </c>
      <c r="DM233" s="70" t="s">
        <v>1888</v>
      </c>
      <c r="DO233" s="70" t="s">
        <v>1888</v>
      </c>
      <c r="DP233" t="s">
        <v>967</v>
      </c>
      <c r="DQ233" t="s">
        <v>2638</v>
      </c>
      <c r="DS233" t="s">
        <v>2253</v>
      </c>
      <c r="DT233" t="s">
        <v>1981</v>
      </c>
      <c r="DU233" t="s">
        <v>1966</v>
      </c>
    </row>
    <row r="234" spans="2:125" customFormat="1" x14ac:dyDescent="0.25">
      <c r="B234">
        <v>40001072</v>
      </c>
      <c r="C234">
        <v>1</v>
      </c>
      <c r="D234">
        <v>5</v>
      </c>
      <c r="E234">
        <v>26</v>
      </c>
      <c r="F234">
        <v>1986</v>
      </c>
      <c r="G234">
        <v>8</v>
      </c>
      <c r="H234">
        <v>1</v>
      </c>
      <c r="I234">
        <v>2018</v>
      </c>
      <c r="J234" t="s">
        <v>705</v>
      </c>
      <c r="K234" t="s">
        <v>968</v>
      </c>
      <c r="L234">
        <v>92108602134</v>
      </c>
      <c r="M234" t="s">
        <v>1420</v>
      </c>
      <c r="N234" t="s">
        <v>481</v>
      </c>
      <c r="O234" t="s">
        <v>1421</v>
      </c>
      <c r="P234" t="s">
        <v>1635</v>
      </c>
      <c r="Z234" t="s">
        <v>481</v>
      </c>
      <c r="AA234" t="s">
        <v>1421</v>
      </c>
      <c r="AB234" t="s">
        <v>1422</v>
      </c>
      <c r="AU234" t="s">
        <v>155</v>
      </c>
      <c r="AV234" t="s">
        <v>170</v>
      </c>
      <c r="AW234" t="s">
        <v>149</v>
      </c>
      <c r="AX234" t="s">
        <v>161</v>
      </c>
      <c r="AY234" s="70" t="s">
        <v>2422</v>
      </c>
      <c r="AZ234" s="70" t="s">
        <v>27</v>
      </c>
      <c r="BA234" s="70">
        <v>0</v>
      </c>
      <c r="BB234" s="70" t="s">
        <v>2427</v>
      </c>
      <c r="BC234" s="70" t="s">
        <v>2418</v>
      </c>
      <c r="BD234" s="70" t="s">
        <v>27</v>
      </c>
      <c r="BE234" t="s">
        <v>21</v>
      </c>
      <c r="BF234" t="s">
        <v>23</v>
      </c>
      <c r="BG234" t="s">
        <v>155</v>
      </c>
      <c r="BH234" t="s">
        <v>24</v>
      </c>
      <c r="BI234" t="s">
        <v>25</v>
      </c>
      <c r="BJ234" t="s">
        <v>166</v>
      </c>
      <c r="BK234" s="70">
        <v>5</v>
      </c>
      <c r="BL234" s="70">
        <v>2</v>
      </c>
      <c r="BN234" t="s">
        <v>2639</v>
      </c>
      <c r="CY234" t="s">
        <v>968</v>
      </c>
      <c r="DM234" s="70" t="s">
        <v>1889</v>
      </c>
      <c r="DO234" s="70" t="s">
        <v>1889</v>
      </c>
      <c r="DP234" t="s">
        <v>968</v>
      </c>
      <c r="DQ234" t="s">
        <v>2639</v>
      </c>
      <c r="DS234" t="s">
        <v>2345</v>
      </c>
      <c r="DT234" t="s">
        <v>1968</v>
      </c>
      <c r="DU234" t="s">
        <v>2346</v>
      </c>
    </row>
    <row r="235" spans="2:125" customFormat="1" x14ac:dyDescent="0.25">
      <c r="B235">
        <v>40011739</v>
      </c>
      <c r="C235">
        <v>1</v>
      </c>
      <c r="D235">
        <v>8</v>
      </c>
      <c r="E235">
        <v>28</v>
      </c>
      <c r="F235">
        <v>1975</v>
      </c>
      <c r="G235">
        <v>3</v>
      </c>
      <c r="H235">
        <v>16</v>
      </c>
      <c r="I235">
        <v>2023</v>
      </c>
      <c r="J235" t="s">
        <v>706</v>
      </c>
      <c r="K235" t="s">
        <v>969</v>
      </c>
      <c r="L235">
        <v>9997508990</v>
      </c>
      <c r="M235" t="s">
        <v>1423</v>
      </c>
      <c r="N235" t="s">
        <v>462</v>
      </c>
      <c r="O235" t="s">
        <v>1424</v>
      </c>
      <c r="P235" t="s">
        <v>1636</v>
      </c>
      <c r="Z235" t="s">
        <v>462</v>
      </c>
      <c r="AA235" t="s">
        <v>1424</v>
      </c>
      <c r="AB235" t="s">
        <v>1636</v>
      </c>
      <c r="AU235" t="s">
        <v>146</v>
      </c>
      <c r="AV235" t="s">
        <v>180</v>
      </c>
      <c r="AW235" t="s">
        <v>149</v>
      </c>
      <c r="AX235" t="s">
        <v>153</v>
      </c>
      <c r="AY235" s="70" t="s">
        <v>2420</v>
      </c>
      <c r="AZ235" s="70" t="s">
        <v>2427</v>
      </c>
      <c r="BA235" s="70">
        <v>0</v>
      </c>
      <c r="BB235" s="70" t="s">
        <v>2422</v>
      </c>
      <c r="BC235" s="70" t="s">
        <v>2418</v>
      </c>
      <c r="BD235" s="70" t="s">
        <v>2422</v>
      </c>
      <c r="BE235" t="s">
        <v>21</v>
      </c>
      <c r="BF235" t="s">
        <v>23</v>
      </c>
      <c r="BG235" t="s">
        <v>155</v>
      </c>
      <c r="BH235" t="s">
        <v>157</v>
      </c>
      <c r="BI235" t="s">
        <v>25</v>
      </c>
      <c r="BJ235" t="s">
        <v>25</v>
      </c>
      <c r="BK235" s="70">
        <v>3</v>
      </c>
      <c r="BL235" s="70">
        <v>7</v>
      </c>
      <c r="BN235" t="s">
        <v>2640</v>
      </c>
      <c r="CY235" t="s">
        <v>969</v>
      </c>
      <c r="DM235" s="70" t="s">
        <v>1890</v>
      </c>
      <c r="DO235" s="70" t="s">
        <v>1890</v>
      </c>
      <c r="DP235" t="s">
        <v>969</v>
      </c>
      <c r="DQ235" t="s">
        <v>2640</v>
      </c>
      <c r="DS235" t="s">
        <v>2347</v>
      </c>
      <c r="DT235" t="s">
        <v>2066</v>
      </c>
      <c r="DU235" t="s">
        <v>2348</v>
      </c>
    </row>
    <row r="236" spans="2:125" customFormat="1" x14ac:dyDescent="0.25">
      <c r="B236">
        <v>9218309</v>
      </c>
      <c r="C236">
        <v>2</v>
      </c>
      <c r="D236">
        <v>1</v>
      </c>
      <c r="E236">
        <v>22</v>
      </c>
      <c r="F236">
        <v>1991</v>
      </c>
      <c r="G236">
        <v>6</v>
      </c>
      <c r="H236">
        <v>1</v>
      </c>
      <c r="I236">
        <v>2017</v>
      </c>
      <c r="J236" t="s">
        <v>707</v>
      </c>
      <c r="K236" t="s">
        <v>970</v>
      </c>
      <c r="L236">
        <v>13089112125</v>
      </c>
      <c r="M236" t="s">
        <v>1425</v>
      </c>
      <c r="N236" t="s">
        <v>468</v>
      </c>
      <c r="O236" t="s">
        <v>1426</v>
      </c>
      <c r="P236" t="s">
        <v>1666</v>
      </c>
      <c r="Z236" t="s">
        <v>468</v>
      </c>
      <c r="AA236" t="s">
        <v>1426</v>
      </c>
      <c r="AB236" t="s">
        <v>58</v>
      </c>
      <c r="AU236" t="s">
        <v>22</v>
      </c>
      <c r="AV236" t="s">
        <v>146</v>
      </c>
      <c r="AW236" t="s">
        <v>16</v>
      </c>
      <c r="AX236" t="s">
        <v>23</v>
      </c>
      <c r="AY236" s="70" t="s">
        <v>17</v>
      </c>
      <c r="AZ236" s="70" t="s">
        <v>20</v>
      </c>
      <c r="BA236" s="70">
        <v>0</v>
      </c>
      <c r="BB236" s="70" t="s">
        <v>20</v>
      </c>
      <c r="BC236" s="70" t="s">
        <v>2418</v>
      </c>
      <c r="BD236" s="70" t="s">
        <v>2418</v>
      </c>
      <c r="BE236" t="s">
        <v>165</v>
      </c>
      <c r="BF236" t="s">
        <v>23</v>
      </c>
      <c r="BG236" t="s">
        <v>155</v>
      </c>
      <c r="BH236" t="s">
        <v>166</v>
      </c>
      <c r="BI236" t="s">
        <v>161</v>
      </c>
      <c r="BJ236" t="s">
        <v>166</v>
      </c>
      <c r="BK236" s="70">
        <v>7</v>
      </c>
      <c r="BL236" s="70">
        <v>1</v>
      </c>
      <c r="BN236" t="s">
        <v>2641</v>
      </c>
      <c r="CY236" t="s">
        <v>970</v>
      </c>
      <c r="DM236" s="70" t="s">
        <v>1891</v>
      </c>
      <c r="DO236" s="70" t="s">
        <v>1891</v>
      </c>
      <c r="DP236" t="s">
        <v>970</v>
      </c>
      <c r="DQ236" t="s">
        <v>2641</v>
      </c>
      <c r="DS236" t="s">
        <v>2349</v>
      </c>
      <c r="DT236" t="s">
        <v>2350</v>
      </c>
      <c r="DU236" t="s">
        <v>2351</v>
      </c>
    </row>
    <row r="237" spans="2:125" customFormat="1" x14ac:dyDescent="0.25">
      <c r="B237">
        <v>5952015</v>
      </c>
      <c r="C237">
        <v>2</v>
      </c>
      <c r="D237">
        <v>2</v>
      </c>
      <c r="E237">
        <v>16</v>
      </c>
      <c r="F237">
        <v>1978</v>
      </c>
      <c r="G237">
        <v>1</v>
      </c>
      <c r="H237">
        <v>16</v>
      </c>
      <c r="I237">
        <v>2019</v>
      </c>
      <c r="J237" t="s">
        <v>708</v>
      </c>
      <c r="K237" t="s">
        <v>971</v>
      </c>
      <c r="L237">
        <v>39987826409</v>
      </c>
      <c r="M237" t="s">
        <v>1427</v>
      </c>
      <c r="N237" t="s">
        <v>413</v>
      </c>
      <c r="O237" t="s">
        <v>1428</v>
      </c>
      <c r="P237" t="s">
        <v>96</v>
      </c>
      <c r="Z237" t="s">
        <v>413</v>
      </c>
      <c r="AA237" t="s">
        <v>1428</v>
      </c>
      <c r="AB237" t="s">
        <v>96</v>
      </c>
      <c r="AU237" t="s">
        <v>22</v>
      </c>
      <c r="AV237" t="s">
        <v>146</v>
      </c>
      <c r="AW237" t="s">
        <v>25</v>
      </c>
      <c r="AX237" t="s">
        <v>159</v>
      </c>
      <c r="AY237" s="70" t="s">
        <v>2420</v>
      </c>
      <c r="AZ237" s="70" t="s">
        <v>2422</v>
      </c>
      <c r="BA237" s="70">
        <v>0</v>
      </c>
      <c r="BB237" s="70" t="s">
        <v>2418</v>
      </c>
      <c r="BC237" s="70" t="s">
        <v>20</v>
      </c>
      <c r="BD237" s="70" t="s">
        <v>27</v>
      </c>
      <c r="BE237" t="s">
        <v>165</v>
      </c>
      <c r="BF237" t="s">
        <v>23</v>
      </c>
      <c r="BG237" t="s">
        <v>155</v>
      </c>
      <c r="BH237" t="s">
        <v>177</v>
      </c>
      <c r="BI237" t="s">
        <v>16</v>
      </c>
      <c r="BJ237" t="s">
        <v>182</v>
      </c>
      <c r="BK237" s="70">
        <v>0</v>
      </c>
      <c r="BL237" s="70">
        <v>7</v>
      </c>
      <c r="BN237" t="s">
        <v>2642</v>
      </c>
      <c r="CY237" t="s">
        <v>971</v>
      </c>
      <c r="DM237" s="70" t="s">
        <v>1892</v>
      </c>
      <c r="DO237" s="70" t="s">
        <v>1892</v>
      </c>
      <c r="DP237" t="s">
        <v>971</v>
      </c>
      <c r="DQ237" t="s">
        <v>2642</v>
      </c>
      <c r="DS237" t="s">
        <v>2146</v>
      </c>
      <c r="DT237" t="s">
        <v>2014</v>
      </c>
      <c r="DU237" t="s">
        <v>2352</v>
      </c>
    </row>
    <row r="238" spans="2:125" customFormat="1" x14ac:dyDescent="0.25">
      <c r="B238">
        <v>5977832</v>
      </c>
      <c r="C238">
        <v>1</v>
      </c>
      <c r="D238">
        <v>2</v>
      </c>
      <c r="E238">
        <v>19</v>
      </c>
      <c r="F238">
        <v>1968</v>
      </c>
      <c r="G238">
        <v>8</v>
      </c>
      <c r="H238">
        <v>17</v>
      </c>
      <c r="I238">
        <v>1998</v>
      </c>
      <c r="J238" t="s">
        <v>709</v>
      </c>
      <c r="K238" t="s">
        <v>972</v>
      </c>
      <c r="L238">
        <v>1886836194</v>
      </c>
      <c r="M238" t="s">
        <v>1429</v>
      </c>
      <c r="N238" t="s">
        <v>1430</v>
      </c>
      <c r="O238" t="s">
        <v>1018</v>
      </c>
      <c r="P238" t="s">
        <v>79</v>
      </c>
      <c r="Z238" t="s">
        <v>1430</v>
      </c>
      <c r="AA238" t="s">
        <v>1018</v>
      </c>
      <c r="AB238" t="s">
        <v>79</v>
      </c>
      <c r="AU238" t="s">
        <v>149</v>
      </c>
      <c r="AV238" t="s">
        <v>146</v>
      </c>
      <c r="AW238" t="s">
        <v>157</v>
      </c>
      <c r="AX238" t="s">
        <v>146</v>
      </c>
      <c r="AY238" s="70" t="s">
        <v>27</v>
      </c>
      <c r="AZ238" s="70" t="s">
        <v>2422</v>
      </c>
      <c r="BA238" s="70">
        <v>0</v>
      </c>
      <c r="BB238" s="70" t="s">
        <v>2418</v>
      </c>
      <c r="BC238" s="70" t="s">
        <v>20</v>
      </c>
      <c r="BD238" s="70" t="s">
        <v>17</v>
      </c>
      <c r="BE238" t="s">
        <v>21</v>
      </c>
      <c r="BF238" t="s">
        <v>23</v>
      </c>
      <c r="BG238" t="s">
        <v>155</v>
      </c>
      <c r="BH238" t="s">
        <v>24</v>
      </c>
      <c r="BI238" t="s">
        <v>23</v>
      </c>
      <c r="BJ238" t="s">
        <v>25</v>
      </c>
      <c r="BK238" s="70">
        <v>9</v>
      </c>
      <c r="BL238" s="70">
        <v>3</v>
      </c>
      <c r="BN238" t="s">
        <v>2643</v>
      </c>
      <c r="CY238" t="s">
        <v>972</v>
      </c>
      <c r="DM238" s="70" t="s">
        <v>1893</v>
      </c>
      <c r="DO238" s="70" t="s">
        <v>1893</v>
      </c>
      <c r="DP238" t="s">
        <v>972</v>
      </c>
      <c r="DQ238" t="s">
        <v>2643</v>
      </c>
      <c r="DS238" t="s">
        <v>2178</v>
      </c>
      <c r="DT238" t="s">
        <v>2353</v>
      </c>
      <c r="DU238" t="s">
        <v>1938</v>
      </c>
    </row>
    <row r="239" spans="2:125" customFormat="1" x14ac:dyDescent="0.25">
      <c r="B239">
        <v>40003258</v>
      </c>
      <c r="C239">
        <v>1</v>
      </c>
      <c r="D239">
        <v>7</v>
      </c>
      <c r="E239">
        <v>12</v>
      </c>
      <c r="F239">
        <v>1992</v>
      </c>
      <c r="G239">
        <v>6</v>
      </c>
      <c r="H239">
        <v>17</v>
      </c>
      <c r="I239">
        <v>2019</v>
      </c>
      <c r="J239" t="s">
        <v>710</v>
      </c>
      <c r="K239" t="s">
        <v>973</v>
      </c>
      <c r="L239">
        <v>15109229912</v>
      </c>
      <c r="M239" t="s">
        <v>1431</v>
      </c>
      <c r="N239" t="s">
        <v>464</v>
      </c>
      <c r="O239" t="s">
        <v>1432</v>
      </c>
      <c r="P239" t="s">
        <v>1637</v>
      </c>
      <c r="Z239" t="s">
        <v>464</v>
      </c>
      <c r="AA239" t="s">
        <v>1432</v>
      </c>
      <c r="AB239" t="s">
        <v>1433</v>
      </c>
      <c r="AU239" t="s">
        <v>170</v>
      </c>
      <c r="AV239" t="s">
        <v>146</v>
      </c>
      <c r="AW239" t="s">
        <v>177</v>
      </c>
      <c r="AX239" t="s">
        <v>161</v>
      </c>
      <c r="AY239" s="70" t="s">
        <v>17</v>
      </c>
      <c r="AZ239" s="70" t="s">
        <v>2418</v>
      </c>
      <c r="BA239" s="70">
        <v>0</v>
      </c>
      <c r="BB239" s="70" t="s">
        <v>2420</v>
      </c>
      <c r="BC239" s="70" t="s">
        <v>20</v>
      </c>
      <c r="BD239" s="70" t="s">
        <v>2418</v>
      </c>
      <c r="BE239" t="s">
        <v>21</v>
      </c>
      <c r="BF239" t="s">
        <v>23</v>
      </c>
      <c r="BG239" t="s">
        <v>155</v>
      </c>
      <c r="BH239" t="s">
        <v>22</v>
      </c>
      <c r="BI239" t="s">
        <v>24</v>
      </c>
      <c r="BJ239" t="s">
        <v>177</v>
      </c>
      <c r="BK239" s="70">
        <v>2</v>
      </c>
      <c r="BL239" s="70">
        <v>9</v>
      </c>
      <c r="BN239" t="s">
        <v>2644</v>
      </c>
      <c r="CY239" t="s">
        <v>973</v>
      </c>
      <c r="DM239" s="70" t="s">
        <v>1894</v>
      </c>
      <c r="DO239" s="70" t="s">
        <v>1894</v>
      </c>
      <c r="DP239" t="s">
        <v>973</v>
      </c>
      <c r="DQ239" t="s">
        <v>2644</v>
      </c>
      <c r="DS239" t="s">
        <v>2354</v>
      </c>
      <c r="DT239" t="s">
        <v>2355</v>
      </c>
      <c r="DU239" t="s">
        <v>2356</v>
      </c>
    </row>
    <row r="240" spans="2:125" customFormat="1" x14ac:dyDescent="0.25">
      <c r="B240">
        <v>5971419</v>
      </c>
      <c r="C240">
        <v>2</v>
      </c>
      <c r="D240">
        <v>10</v>
      </c>
      <c r="E240">
        <v>27</v>
      </c>
      <c r="F240">
        <v>1974</v>
      </c>
      <c r="G240">
        <v>3</v>
      </c>
      <c r="H240">
        <v>1</v>
      </c>
      <c r="I240">
        <v>1994</v>
      </c>
      <c r="J240" t="s">
        <v>711</v>
      </c>
      <c r="K240" t="s">
        <v>974</v>
      </c>
      <c r="L240">
        <v>94937424102</v>
      </c>
      <c r="M240" t="s">
        <v>1434</v>
      </c>
      <c r="N240" t="s">
        <v>437</v>
      </c>
      <c r="O240" t="s">
        <v>1031</v>
      </c>
      <c r="P240" t="s">
        <v>72</v>
      </c>
      <c r="Z240" t="s">
        <v>437</v>
      </c>
      <c r="AA240" t="s">
        <v>1031</v>
      </c>
      <c r="AB240" t="s">
        <v>444</v>
      </c>
      <c r="AU240" t="s">
        <v>25</v>
      </c>
      <c r="AV240" t="s">
        <v>170</v>
      </c>
      <c r="AW240" t="s">
        <v>24</v>
      </c>
      <c r="AX240" t="s">
        <v>165</v>
      </c>
      <c r="AY240" s="70" t="s">
        <v>2420</v>
      </c>
      <c r="AZ240" s="70" t="s">
        <v>2428</v>
      </c>
      <c r="BA240" s="70">
        <v>1</v>
      </c>
      <c r="BB240" s="70" t="s">
        <v>19</v>
      </c>
      <c r="BC240" s="70" t="s">
        <v>2418</v>
      </c>
      <c r="BD240" s="70" t="s">
        <v>2420</v>
      </c>
      <c r="BE240" t="s">
        <v>165</v>
      </c>
      <c r="BF240" t="s">
        <v>23</v>
      </c>
      <c r="BG240" t="s">
        <v>155</v>
      </c>
      <c r="BH240" t="s">
        <v>23</v>
      </c>
      <c r="BI240" t="s">
        <v>166</v>
      </c>
      <c r="BJ240" t="s">
        <v>157</v>
      </c>
      <c r="BK240" s="70">
        <v>3</v>
      </c>
      <c r="BL240" s="70">
        <v>4</v>
      </c>
      <c r="BN240" t="s">
        <v>2645</v>
      </c>
      <c r="CY240" t="s">
        <v>974</v>
      </c>
      <c r="DM240" s="70" t="s">
        <v>1895</v>
      </c>
      <c r="DO240" s="70" t="s">
        <v>1895</v>
      </c>
      <c r="DP240" t="s">
        <v>974</v>
      </c>
      <c r="DQ240" t="s">
        <v>2645</v>
      </c>
      <c r="DS240" t="s">
        <v>2001</v>
      </c>
      <c r="DT240" t="s">
        <v>2054</v>
      </c>
      <c r="DU240" t="s">
        <v>1955</v>
      </c>
    </row>
    <row r="241" spans="2:125" customFormat="1" x14ac:dyDescent="0.25">
      <c r="B241">
        <v>40004100</v>
      </c>
      <c r="C241">
        <v>2</v>
      </c>
      <c r="D241">
        <v>1</v>
      </c>
      <c r="E241">
        <v>13</v>
      </c>
      <c r="F241">
        <v>1990</v>
      </c>
      <c r="G241">
        <v>10</v>
      </c>
      <c r="H241">
        <v>16</v>
      </c>
      <c r="I241">
        <v>2019</v>
      </c>
      <c r="J241" t="s">
        <v>712</v>
      </c>
      <c r="K241" t="s">
        <v>975</v>
      </c>
      <c r="L241">
        <v>37099018543</v>
      </c>
      <c r="M241" t="s">
        <v>1435</v>
      </c>
      <c r="N241" t="s">
        <v>456</v>
      </c>
      <c r="O241" t="s">
        <v>405</v>
      </c>
      <c r="P241" t="s">
        <v>1065</v>
      </c>
      <c r="Z241" t="s">
        <v>456</v>
      </c>
      <c r="AA241" t="s">
        <v>405</v>
      </c>
      <c r="AB241" t="s">
        <v>1065</v>
      </c>
      <c r="AU241" t="s">
        <v>22</v>
      </c>
      <c r="AV241" t="s">
        <v>146</v>
      </c>
      <c r="AW241" t="s">
        <v>23</v>
      </c>
      <c r="AX241" t="s">
        <v>161</v>
      </c>
      <c r="AY241" s="70" t="s">
        <v>17</v>
      </c>
      <c r="AZ241" s="70" t="s">
        <v>19</v>
      </c>
      <c r="BA241" s="70">
        <v>0</v>
      </c>
      <c r="BB241" s="70" t="s">
        <v>20</v>
      </c>
      <c r="BC241" s="70" t="s">
        <v>20</v>
      </c>
      <c r="BD241" s="70" t="s">
        <v>18</v>
      </c>
      <c r="BE241" t="s">
        <v>165</v>
      </c>
      <c r="BF241" t="s">
        <v>23</v>
      </c>
      <c r="BG241" t="s">
        <v>155</v>
      </c>
      <c r="BH241" t="s">
        <v>21</v>
      </c>
      <c r="BI241" t="s">
        <v>26</v>
      </c>
      <c r="BJ241" t="s">
        <v>177</v>
      </c>
      <c r="BK241" s="70">
        <v>9</v>
      </c>
      <c r="BL241" s="70">
        <v>5</v>
      </c>
      <c r="BN241" t="s">
        <v>2646</v>
      </c>
      <c r="CY241" t="s">
        <v>975</v>
      </c>
      <c r="DM241" s="70" t="s">
        <v>1896</v>
      </c>
      <c r="DO241" s="70" t="s">
        <v>1896</v>
      </c>
      <c r="DP241" t="s">
        <v>975</v>
      </c>
      <c r="DQ241" t="s">
        <v>2646</v>
      </c>
      <c r="DS241" t="s">
        <v>2357</v>
      </c>
      <c r="DT241" t="s">
        <v>1940</v>
      </c>
      <c r="DU241" t="s">
        <v>2055</v>
      </c>
    </row>
    <row r="242" spans="2:125" customFormat="1" x14ac:dyDescent="0.25">
      <c r="B242">
        <v>40010549</v>
      </c>
      <c r="C242">
        <v>2</v>
      </c>
      <c r="D242">
        <v>7</v>
      </c>
      <c r="E242">
        <v>21</v>
      </c>
      <c r="F242">
        <v>1998</v>
      </c>
      <c r="G242">
        <v>7</v>
      </c>
      <c r="H242">
        <v>1</v>
      </c>
      <c r="I242">
        <v>2022</v>
      </c>
      <c r="J242" t="s">
        <v>713</v>
      </c>
      <c r="K242" t="s">
        <v>976</v>
      </c>
      <c r="L242">
        <v>94139803095</v>
      </c>
      <c r="M242" t="s">
        <v>1436</v>
      </c>
      <c r="N242" t="s">
        <v>413</v>
      </c>
      <c r="O242" t="s">
        <v>472</v>
      </c>
      <c r="P242" t="s">
        <v>396</v>
      </c>
      <c r="Z242" t="s">
        <v>413</v>
      </c>
      <c r="AA242" t="s">
        <v>472</v>
      </c>
      <c r="AB242" t="s">
        <v>396</v>
      </c>
      <c r="AU242" t="s">
        <v>22</v>
      </c>
      <c r="AV242" t="s">
        <v>146</v>
      </c>
      <c r="AW242" t="s">
        <v>16</v>
      </c>
      <c r="AX242" t="s">
        <v>177</v>
      </c>
      <c r="AY242" s="70" t="s">
        <v>17</v>
      </c>
      <c r="AZ242" s="70" t="s">
        <v>2422</v>
      </c>
      <c r="BA242" s="70">
        <v>0</v>
      </c>
      <c r="BB242" s="70" t="s">
        <v>2420</v>
      </c>
      <c r="BC242" s="70" t="s">
        <v>2418</v>
      </c>
      <c r="BD242" s="70" t="s">
        <v>20</v>
      </c>
      <c r="BE242" t="s">
        <v>165</v>
      </c>
      <c r="BF242" t="s">
        <v>23</v>
      </c>
      <c r="BG242" t="s">
        <v>155</v>
      </c>
      <c r="BH242" t="s">
        <v>177</v>
      </c>
      <c r="BI242" t="s">
        <v>25</v>
      </c>
      <c r="BJ242" t="s">
        <v>16</v>
      </c>
      <c r="BK242" s="70">
        <v>7</v>
      </c>
      <c r="BL242" s="70">
        <v>1</v>
      </c>
      <c r="BN242" t="s">
        <v>2647</v>
      </c>
      <c r="CY242" t="s">
        <v>976</v>
      </c>
      <c r="DM242" s="70" t="s">
        <v>1897</v>
      </c>
      <c r="DO242" s="70" t="s">
        <v>1897</v>
      </c>
      <c r="DP242" t="s">
        <v>976</v>
      </c>
      <c r="DQ242" t="s">
        <v>2647</v>
      </c>
      <c r="DS242" t="s">
        <v>2358</v>
      </c>
      <c r="DT242" t="s">
        <v>2014</v>
      </c>
      <c r="DU242" t="s">
        <v>2098</v>
      </c>
    </row>
    <row r="243" spans="2:125" customFormat="1" x14ac:dyDescent="0.25">
      <c r="B243">
        <v>7218645</v>
      </c>
      <c r="C243">
        <v>1</v>
      </c>
      <c r="D243">
        <v>3</v>
      </c>
      <c r="E243">
        <v>3</v>
      </c>
      <c r="F243">
        <v>1979</v>
      </c>
      <c r="G243">
        <v>1</v>
      </c>
      <c r="H243">
        <v>12</v>
      </c>
      <c r="I243">
        <v>2009</v>
      </c>
      <c r="J243" t="s">
        <v>714</v>
      </c>
      <c r="K243" t="s">
        <v>977</v>
      </c>
      <c r="L243">
        <v>39977988995</v>
      </c>
      <c r="M243" t="s">
        <v>1437</v>
      </c>
      <c r="N243" t="s">
        <v>401</v>
      </c>
      <c r="O243" t="s">
        <v>1438</v>
      </c>
      <c r="P243" t="s">
        <v>1638</v>
      </c>
      <c r="Z243" t="s">
        <v>401</v>
      </c>
      <c r="AA243" t="s">
        <v>1438</v>
      </c>
      <c r="AB243" t="s">
        <v>1439</v>
      </c>
      <c r="AU243" t="s">
        <v>157</v>
      </c>
      <c r="AV243" t="s">
        <v>146</v>
      </c>
      <c r="AW243" t="s">
        <v>172</v>
      </c>
      <c r="AX243" t="s">
        <v>165</v>
      </c>
      <c r="AY243" s="70" t="s">
        <v>2420</v>
      </c>
      <c r="AZ243" s="70" t="s">
        <v>17</v>
      </c>
      <c r="BA243" s="70">
        <v>0</v>
      </c>
      <c r="BB243" s="70" t="s">
        <v>18</v>
      </c>
      <c r="BC243" s="70" t="s">
        <v>19</v>
      </c>
      <c r="BD243" s="70" t="s">
        <v>18</v>
      </c>
      <c r="BE243" t="s">
        <v>21</v>
      </c>
      <c r="BF243" t="s">
        <v>23</v>
      </c>
      <c r="BG243" t="s">
        <v>155</v>
      </c>
      <c r="BH243" t="s">
        <v>25</v>
      </c>
      <c r="BI243" t="s">
        <v>25</v>
      </c>
      <c r="BJ243" t="s">
        <v>25</v>
      </c>
      <c r="BK243" s="70">
        <v>5</v>
      </c>
      <c r="BL243" s="70">
        <v>7</v>
      </c>
      <c r="BN243" t="s">
        <v>2648</v>
      </c>
      <c r="CY243" t="s">
        <v>977</v>
      </c>
      <c r="DM243" s="70" t="s">
        <v>1898</v>
      </c>
      <c r="DO243" s="70" t="s">
        <v>1898</v>
      </c>
      <c r="DP243" t="s">
        <v>977</v>
      </c>
      <c r="DQ243" t="s">
        <v>2648</v>
      </c>
      <c r="DS243" t="s">
        <v>2359</v>
      </c>
      <c r="DT243" t="s">
        <v>2063</v>
      </c>
      <c r="DU243" t="s">
        <v>2360</v>
      </c>
    </row>
    <row r="244" spans="2:125" customFormat="1" x14ac:dyDescent="0.25">
      <c r="B244">
        <v>9226166</v>
      </c>
      <c r="C244">
        <v>1</v>
      </c>
      <c r="D244">
        <v>7</v>
      </c>
      <c r="E244">
        <v>31</v>
      </c>
      <c r="F244">
        <v>1971</v>
      </c>
      <c r="G244">
        <v>8</v>
      </c>
      <c r="H244">
        <v>16</v>
      </c>
      <c r="I244">
        <v>2017</v>
      </c>
      <c r="J244" t="s">
        <v>715</v>
      </c>
      <c r="K244" t="s">
        <v>978</v>
      </c>
      <c r="L244">
        <v>41937122814</v>
      </c>
      <c r="M244" t="s">
        <v>1440</v>
      </c>
      <c r="N244" t="s">
        <v>409</v>
      </c>
      <c r="O244" t="s">
        <v>449</v>
      </c>
      <c r="P244" t="s">
        <v>54</v>
      </c>
      <c r="Z244" t="s">
        <v>409</v>
      </c>
      <c r="AA244" t="s">
        <v>449</v>
      </c>
      <c r="AB244" t="s">
        <v>54</v>
      </c>
      <c r="AU244" t="s">
        <v>165</v>
      </c>
      <c r="AV244" t="s">
        <v>146</v>
      </c>
      <c r="AW244" t="s">
        <v>22</v>
      </c>
      <c r="AX244" t="s">
        <v>157</v>
      </c>
      <c r="AY244" s="70" t="s">
        <v>2420</v>
      </c>
      <c r="AZ244" s="70" t="s">
        <v>20</v>
      </c>
      <c r="BA244" s="70">
        <v>0</v>
      </c>
      <c r="BB244" s="70" t="s">
        <v>2420</v>
      </c>
      <c r="BC244" s="70" t="s">
        <v>18</v>
      </c>
      <c r="BD244" s="70" t="s">
        <v>20</v>
      </c>
      <c r="BE244" t="s">
        <v>21</v>
      </c>
      <c r="BF244" t="s">
        <v>23</v>
      </c>
      <c r="BG244" t="s">
        <v>155</v>
      </c>
      <c r="BH244" t="s">
        <v>25</v>
      </c>
      <c r="BI244" t="s">
        <v>25</v>
      </c>
      <c r="BJ244" t="s">
        <v>24</v>
      </c>
      <c r="BK244" s="70">
        <v>9</v>
      </c>
      <c r="BL244" s="70">
        <v>2</v>
      </c>
      <c r="BN244" t="s">
        <v>2649</v>
      </c>
      <c r="CY244" t="s">
        <v>978</v>
      </c>
      <c r="DM244" s="70" t="s">
        <v>1899</v>
      </c>
      <c r="DO244" s="70" t="s">
        <v>1899</v>
      </c>
      <c r="DP244" t="s">
        <v>978</v>
      </c>
      <c r="DQ244" t="s">
        <v>2649</v>
      </c>
      <c r="DS244" t="s">
        <v>2231</v>
      </c>
      <c r="DT244" t="s">
        <v>2016</v>
      </c>
      <c r="DU244" t="s">
        <v>2361</v>
      </c>
    </row>
    <row r="245" spans="2:125" customFormat="1" x14ac:dyDescent="0.25">
      <c r="B245">
        <v>40003002</v>
      </c>
      <c r="C245">
        <v>1</v>
      </c>
      <c r="D245">
        <v>11</v>
      </c>
      <c r="E245">
        <v>10</v>
      </c>
      <c r="F245">
        <v>1980</v>
      </c>
      <c r="G245">
        <v>5</v>
      </c>
      <c r="H245">
        <v>2</v>
      </c>
      <c r="I245">
        <v>2019</v>
      </c>
      <c r="J245" t="s">
        <v>716</v>
      </c>
      <c r="K245" t="s">
        <v>979</v>
      </c>
      <c r="L245">
        <v>9038018454</v>
      </c>
      <c r="M245" t="s">
        <v>1441</v>
      </c>
      <c r="N245" t="s">
        <v>476</v>
      </c>
      <c r="O245" t="s">
        <v>467</v>
      </c>
      <c r="P245" t="s">
        <v>1575</v>
      </c>
      <c r="Z245" t="s">
        <v>476</v>
      </c>
      <c r="AA245" t="s">
        <v>467</v>
      </c>
      <c r="AB245" t="s">
        <v>67</v>
      </c>
      <c r="AU245" t="s">
        <v>22</v>
      </c>
      <c r="AV245" t="s">
        <v>146</v>
      </c>
      <c r="AW245" t="s">
        <v>25</v>
      </c>
      <c r="AX245" t="s">
        <v>146</v>
      </c>
      <c r="AY245" s="70" t="s">
        <v>2422</v>
      </c>
      <c r="AZ245" s="70" t="s">
        <v>19</v>
      </c>
      <c r="BA245" s="70">
        <v>1</v>
      </c>
      <c r="BB245" s="70" t="s">
        <v>20</v>
      </c>
      <c r="BC245" s="70" t="s">
        <v>20</v>
      </c>
      <c r="BD245" s="70" t="s">
        <v>19</v>
      </c>
      <c r="BE245" t="s">
        <v>21</v>
      </c>
      <c r="BF245" t="s">
        <v>23</v>
      </c>
      <c r="BG245" t="s">
        <v>155</v>
      </c>
      <c r="BH245" t="s">
        <v>165</v>
      </c>
      <c r="BI245" t="s">
        <v>186</v>
      </c>
      <c r="BJ245" t="s">
        <v>24</v>
      </c>
      <c r="BK245" s="70">
        <v>0</v>
      </c>
      <c r="BL245" s="70">
        <v>5</v>
      </c>
      <c r="BN245" t="s">
        <v>2650</v>
      </c>
      <c r="CY245" t="s">
        <v>2701</v>
      </c>
      <c r="DM245" s="70" t="s">
        <v>1900</v>
      </c>
      <c r="DO245" s="70" t="s">
        <v>1900</v>
      </c>
      <c r="DP245" t="s">
        <v>2701</v>
      </c>
      <c r="DQ245" t="s">
        <v>2650</v>
      </c>
      <c r="DS245" t="s">
        <v>2180</v>
      </c>
      <c r="DT245" t="s">
        <v>2362</v>
      </c>
      <c r="DU245" t="s">
        <v>2363</v>
      </c>
    </row>
    <row r="246" spans="2:125" customFormat="1" x14ac:dyDescent="0.25">
      <c r="B246">
        <v>9035394</v>
      </c>
      <c r="C246">
        <v>2</v>
      </c>
      <c r="D246">
        <v>7</v>
      </c>
      <c r="E246">
        <v>3</v>
      </c>
      <c r="F246">
        <v>1992</v>
      </c>
      <c r="G246">
        <v>6</v>
      </c>
      <c r="H246">
        <v>1</v>
      </c>
      <c r="I246">
        <v>2015</v>
      </c>
      <c r="J246" t="s">
        <v>717</v>
      </c>
      <c r="K246" t="s">
        <v>980</v>
      </c>
      <c r="L246">
        <v>10159261220</v>
      </c>
      <c r="M246" t="s">
        <v>1442</v>
      </c>
      <c r="N246" t="s">
        <v>1078</v>
      </c>
      <c r="O246" t="s">
        <v>1443</v>
      </c>
      <c r="P246" t="s">
        <v>1631</v>
      </c>
      <c r="Z246" t="s">
        <v>1078</v>
      </c>
      <c r="AA246" t="s">
        <v>1443</v>
      </c>
      <c r="AB246" t="s">
        <v>1631</v>
      </c>
      <c r="AU246" t="s">
        <v>146</v>
      </c>
      <c r="AV246" t="s">
        <v>159</v>
      </c>
      <c r="AW246" t="s">
        <v>24</v>
      </c>
      <c r="AX246" t="s">
        <v>165</v>
      </c>
      <c r="AY246" s="70" t="s">
        <v>17</v>
      </c>
      <c r="AZ246" s="70" t="s">
        <v>2418</v>
      </c>
      <c r="BA246" s="70">
        <v>0</v>
      </c>
      <c r="BB246" s="70" t="s">
        <v>2420</v>
      </c>
      <c r="BC246" s="70" t="s">
        <v>19</v>
      </c>
      <c r="BD246" s="70" t="s">
        <v>18</v>
      </c>
      <c r="BE246" t="s">
        <v>165</v>
      </c>
      <c r="BF246" t="s">
        <v>23</v>
      </c>
      <c r="BG246" t="s">
        <v>155</v>
      </c>
      <c r="BH246" t="s">
        <v>24</v>
      </c>
      <c r="BI246" t="s">
        <v>172</v>
      </c>
      <c r="BJ246" t="s">
        <v>25</v>
      </c>
      <c r="BK246" s="70">
        <v>4</v>
      </c>
      <c r="BL246" s="70">
        <v>5</v>
      </c>
      <c r="BN246" t="s">
        <v>2651</v>
      </c>
      <c r="CY246" t="s">
        <v>980</v>
      </c>
      <c r="DM246" s="70" t="s">
        <v>1901</v>
      </c>
      <c r="DO246" s="70" t="s">
        <v>1901</v>
      </c>
      <c r="DP246" t="s">
        <v>980</v>
      </c>
      <c r="DQ246" t="s">
        <v>2651</v>
      </c>
      <c r="DS246" t="s">
        <v>2338</v>
      </c>
      <c r="DT246" t="s">
        <v>2008</v>
      </c>
      <c r="DU246" t="s">
        <v>2364</v>
      </c>
    </row>
    <row r="247" spans="2:125" customFormat="1" x14ac:dyDescent="0.25">
      <c r="B247">
        <v>40001902</v>
      </c>
      <c r="C247">
        <v>2</v>
      </c>
      <c r="D247">
        <v>1</v>
      </c>
      <c r="E247">
        <v>23</v>
      </c>
      <c r="F247">
        <v>1989</v>
      </c>
      <c r="G247">
        <v>12</v>
      </c>
      <c r="H247">
        <v>3</v>
      </c>
      <c r="I247">
        <v>2018</v>
      </c>
      <c r="J247" t="s">
        <v>718</v>
      </c>
      <c r="K247" t="s">
        <v>981</v>
      </c>
      <c r="L247">
        <v>20118906393</v>
      </c>
      <c r="M247" t="s">
        <v>1444</v>
      </c>
      <c r="N247" t="s">
        <v>1047</v>
      </c>
      <c r="O247" t="s">
        <v>407</v>
      </c>
      <c r="P247" t="s">
        <v>1639</v>
      </c>
      <c r="Z247" t="s">
        <v>1047</v>
      </c>
      <c r="AA247" t="s">
        <v>407</v>
      </c>
      <c r="AB247" t="s">
        <v>55</v>
      </c>
      <c r="AU247" t="s">
        <v>26</v>
      </c>
      <c r="AV247" t="s">
        <v>153</v>
      </c>
      <c r="AW247" t="s">
        <v>24</v>
      </c>
      <c r="AX247" t="s">
        <v>25</v>
      </c>
      <c r="AY247" s="70" t="s">
        <v>2422</v>
      </c>
      <c r="AZ247" s="70" t="s">
        <v>17</v>
      </c>
      <c r="BA247" s="70">
        <v>0</v>
      </c>
      <c r="BB247" s="70" t="s">
        <v>20</v>
      </c>
      <c r="BC247" s="70" t="s">
        <v>2418</v>
      </c>
      <c r="BD247" s="70" t="s">
        <v>18</v>
      </c>
      <c r="BE247" t="s">
        <v>165</v>
      </c>
      <c r="BF247" t="s">
        <v>23</v>
      </c>
      <c r="BG247" t="s">
        <v>155</v>
      </c>
      <c r="BH247" t="s">
        <v>172</v>
      </c>
      <c r="BI247" t="s">
        <v>172</v>
      </c>
      <c r="BJ247" t="s">
        <v>22</v>
      </c>
      <c r="BK247" s="70">
        <v>0</v>
      </c>
      <c r="BL247" s="70">
        <v>6</v>
      </c>
      <c r="BN247" t="s">
        <v>2652</v>
      </c>
      <c r="CY247" t="s">
        <v>981</v>
      </c>
      <c r="DM247" s="70" t="s">
        <v>1902</v>
      </c>
      <c r="DO247" s="70" t="s">
        <v>1902</v>
      </c>
      <c r="DP247" t="s">
        <v>981</v>
      </c>
      <c r="DQ247" t="s">
        <v>2652</v>
      </c>
      <c r="DS247" t="s">
        <v>2365</v>
      </c>
      <c r="DT247" t="s">
        <v>1972</v>
      </c>
      <c r="DU247" t="s">
        <v>1980</v>
      </c>
    </row>
    <row r="248" spans="2:125" customFormat="1" x14ac:dyDescent="0.25">
      <c r="B248">
        <v>6909261</v>
      </c>
      <c r="C248">
        <v>2</v>
      </c>
      <c r="D248">
        <v>3</v>
      </c>
      <c r="E248">
        <v>29</v>
      </c>
      <c r="F248">
        <v>1975</v>
      </c>
      <c r="G248">
        <v>4</v>
      </c>
      <c r="H248">
        <v>21</v>
      </c>
      <c r="I248">
        <v>2008</v>
      </c>
      <c r="J248" t="s">
        <v>719</v>
      </c>
      <c r="K248" t="s">
        <v>982</v>
      </c>
      <c r="L248">
        <v>39937503801</v>
      </c>
      <c r="M248" t="s">
        <v>1445</v>
      </c>
      <c r="N248" t="s">
        <v>434</v>
      </c>
      <c r="O248" t="s">
        <v>407</v>
      </c>
      <c r="P248" t="s">
        <v>1640</v>
      </c>
      <c r="Z248" t="s">
        <v>434</v>
      </c>
      <c r="AA248" t="s">
        <v>407</v>
      </c>
      <c r="AB248" t="s">
        <v>1446</v>
      </c>
      <c r="AU248" t="s">
        <v>153</v>
      </c>
      <c r="AV248" t="s">
        <v>159</v>
      </c>
      <c r="AW248" t="s">
        <v>24</v>
      </c>
      <c r="AX248" t="s">
        <v>170</v>
      </c>
      <c r="AY248" s="70" t="s">
        <v>2420</v>
      </c>
      <c r="AZ248" s="70" t="s">
        <v>2427</v>
      </c>
      <c r="BA248" s="70">
        <v>0</v>
      </c>
      <c r="BB248" s="70" t="s">
        <v>18</v>
      </c>
      <c r="BC248" s="70" t="s">
        <v>2418</v>
      </c>
      <c r="BD248" s="70" t="s">
        <v>17</v>
      </c>
      <c r="BE248" t="s">
        <v>165</v>
      </c>
      <c r="BF248" t="s">
        <v>23</v>
      </c>
      <c r="BG248" t="s">
        <v>155</v>
      </c>
      <c r="BH248" t="s">
        <v>177</v>
      </c>
      <c r="BI248" t="s">
        <v>172</v>
      </c>
      <c r="BJ248" t="s">
        <v>23</v>
      </c>
      <c r="BK248" s="70">
        <v>4</v>
      </c>
      <c r="BL248" s="70">
        <v>5</v>
      </c>
      <c r="BN248" t="s">
        <v>2653</v>
      </c>
      <c r="CY248" t="s">
        <v>2702</v>
      </c>
      <c r="DM248" s="70" t="s">
        <v>1903</v>
      </c>
      <c r="DO248" s="70" t="s">
        <v>1903</v>
      </c>
      <c r="DP248" t="s">
        <v>2702</v>
      </c>
      <c r="DQ248" t="s">
        <v>2653</v>
      </c>
      <c r="DS248" t="s">
        <v>2366</v>
      </c>
      <c r="DT248" t="s">
        <v>2343</v>
      </c>
      <c r="DU248" t="s">
        <v>1980</v>
      </c>
    </row>
    <row r="249" spans="2:125" customFormat="1" x14ac:dyDescent="0.25">
      <c r="B249">
        <v>5951647</v>
      </c>
      <c r="C249">
        <v>2</v>
      </c>
      <c r="D249">
        <v>10</v>
      </c>
      <c r="E249">
        <v>25</v>
      </c>
      <c r="F249">
        <v>1977</v>
      </c>
      <c r="G249">
        <v>12</v>
      </c>
      <c r="H249">
        <v>21</v>
      </c>
      <c r="I249">
        <v>1998</v>
      </c>
      <c r="J249" t="s">
        <v>720</v>
      </c>
      <c r="K249" t="s">
        <v>983</v>
      </c>
      <c r="L249">
        <v>30947723745</v>
      </c>
      <c r="M249" t="s">
        <v>1447</v>
      </c>
      <c r="N249" t="s">
        <v>402</v>
      </c>
      <c r="O249" t="s">
        <v>473</v>
      </c>
      <c r="P249" t="s">
        <v>1605</v>
      </c>
      <c r="Z249" t="s">
        <v>402</v>
      </c>
      <c r="AA249" t="s">
        <v>473</v>
      </c>
      <c r="AB249" t="s">
        <v>1605</v>
      </c>
      <c r="AU249" t="s">
        <v>22</v>
      </c>
      <c r="AV249" t="s">
        <v>146</v>
      </c>
      <c r="AW249" t="s">
        <v>149</v>
      </c>
      <c r="AX249" t="s">
        <v>146</v>
      </c>
      <c r="AY249" s="70" t="s">
        <v>2420</v>
      </c>
      <c r="AZ249" s="70" t="s">
        <v>2420</v>
      </c>
      <c r="BA249" s="70">
        <v>1</v>
      </c>
      <c r="BB249" s="70" t="s">
        <v>19</v>
      </c>
      <c r="BC249" s="70" t="s">
        <v>2418</v>
      </c>
      <c r="BD249" s="70" t="s">
        <v>2427</v>
      </c>
      <c r="BE249" t="s">
        <v>165</v>
      </c>
      <c r="BF249" t="s">
        <v>23</v>
      </c>
      <c r="BG249" t="s">
        <v>155</v>
      </c>
      <c r="BH249" t="s">
        <v>25</v>
      </c>
      <c r="BI249" t="s">
        <v>16</v>
      </c>
      <c r="BJ249" t="s">
        <v>157</v>
      </c>
      <c r="BK249" s="70">
        <v>4</v>
      </c>
      <c r="BL249" s="70">
        <v>8</v>
      </c>
      <c r="BN249" t="s">
        <v>2654</v>
      </c>
      <c r="CY249" t="s">
        <v>983</v>
      </c>
      <c r="DM249" s="70" t="s">
        <v>1904</v>
      </c>
      <c r="DO249" s="70" t="s">
        <v>1904</v>
      </c>
      <c r="DP249" t="s">
        <v>983</v>
      </c>
      <c r="DQ249" t="s">
        <v>2654</v>
      </c>
      <c r="DS249" t="s">
        <v>2275</v>
      </c>
      <c r="DT249" t="s">
        <v>2283</v>
      </c>
      <c r="DU249" t="s">
        <v>2240</v>
      </c>
    </row>
    <row r="250" spans="2:125" customFormat="1" x14ac:dyDescent="0.25">
      <c r="B250">
        <v>5975899</v>
      </c>
      <c r="C250">
        <v>2</v>
      </c>
      <c r="D250">
        <v>6</v>
      </c>
      <c r="E250">
        <v>23</v>
      </c>
      <c r="F250">
        <v>1976</v>
      </c>
      <c r="G250">
        <v>10</v>
      </c>
      <c r="H250">
        <v>30</v>
      </c>
      <c r="I250">
        <v>2000</v>
      </c>
      <c r="J250" t="s">
        <v>721</v>
      </c>
      <c r="K250" t="s">
        <v>984</v>
      </c>
      <c r="L250">
        <v>7007606648</v>
      </c>
      <c r="M250" t="s">
        <v>1448</v>
      </c>
      <c r="N250" t="s">
        <v>459</v>
      </c>
      <c r="O250" t="s">
        <v>1449</v>
      </c>
      <c r="P250" t="s">
        <v>1196</v>
      </c>
      <c r="Z250" t="s">
        <v>459</v>
      </c>
      <c r="AA250" t="s">
        <v>1449</v>
      </c>
      <c r="AB250" t="s">
        <v>1196</v>
      </c>
      <c r="AU250" t="s">
        <v>182</v>
      </c>
      <c r="AV250" t="s">
        <v>146</v>
      </c>
      <c r="AW250" t="s">
        <v>146</v>
      </c>
      <c r="AX250" t="s">
        <v>22</v>
      </c>
      <c r="AY250" s="70" t="s">
        <v>2420</v>
      </c>
      <c r="AZ250" s="70" t="s">
        <v>27</v>
      </c>
      <c r="BA250" s="70">
        <v>0</v>
      </c>
      <c r="BB250" s="70" t="s">
        <v>27</v>
      </c>
      <c r="BC250" s="70" t="s">
        <v>2418</v>
      </c>
      <c r="BD250" s="70" t="s">
        <v>18</v>
      </c>
      <c r="BE250" t="s">
        <v>165</v>
      </c>
      <c r="BF250" t="s">
        <v>23</v>
      </c>
      <c r="BG250" t="s">
        <v>155</v>
      </c>
      <c r="BH250" t="s">
        <v>24</v>
      </c>
      <c r="BI250" t="s">
        <v>25</v>
      </c>
      <c r="BJ250" t="s">
        <v>25</v>
      </c>
      <c r="BK250" s="70">
        <v>6</v>
      </c>
      <c r="BL250" s="70">
        <v>8</v>
      </c>
      <c r="BN250" t="s">
        <v>2655</v>
      </c>
      <c r="CY250" t="s">
        <v>984</v>
      </c>
      <c r="DM250" s="70" t="s">
        <v>1905</v>
      </c>
      <c r="DO250" s="70" t="s">
        <v>1905</v>
      </c>
      <c r="DP250" t="s">
        <v>984</v>
      </c>
      <c r="DQ250" t="s">
        <v>2655</v>
      </c>
      <c r="DS250" t="s">
        <v>2079</v>
      </c>
      <c r="DT250" t="s">
        <v>2189</v>
      </c>
      <c r="DU250" t="s">
        <v>2367</v>
      </c>
    </row>
    <row r="251" spans="2:125" customFormat="1" x14ac:dyDescent="0.25">
      <c r="B251">
        <v>40002281</v>
      </c>
      <c r="C251">
        <v>2</v>
      </c>
      <c r="D251">
        <v>11</v>
      </c>
      <c r="E251">
        <v>22</v>
      </c>
      <c r="F251">
        <v>1988</v>
      </c>
      <c r="G251">
        <v>1</v>
      </c>
      <c r="H251">
        <v>16</v>
      </c>
      <c r="I251">
        <v>2019</v>
      </c>
      <c r="J251" t="s">
        <v>722</v>
      </c>
      <c r="K251" t="s">
        <v>985</v>
      </c>
      <c r="L251">
        <v>42128804947</v>
      </c>
      <c r="M251" t="s">
        <v>1450</v>
      </c>
      <c r="N251" t="s">
        <v>1142</v>
      </c>
      <c r="O251" t="s">
        <v>1451</v>
      </c>
      <c r="P251" t="s">
        <v>1508</v>
      </c>
      <c r="Z251" t="s">
        <v>1142</v>
      </c>
      <c r="AA251" t="s">
        <v>1451</v>
      </c>
      <c r="AB251" t="s">
        <v>1508</v>
      </c>
      <c r="AU251" t="s">
        <v>157</v>
      </c>
      <c r="AV251" t="s">
        <v>180</v>
      </c>
      <c r="AW251" t="s">
        <v>182</v>
      </c>
      <c r="AX251" t="s">
        <v>165</v>
      </c>
      <c r="AY251" s="70" t="s">
        <v>2422</v>
      </c>
      <c r="AZ251" s="70" t="s">
        <v>2422</v>
      </c>
      <c r="BA251" s="70">
        <v>1</v>
      </c>
      <c r="BB251" s="70" t="s">
        <v>20</v>
      </c>
      <c r="BC251" s="70" t="s">
        <v>2418</v>
      </c>
      <c r="BD251" s="70" t="s">
        <v>2418</v>
      </c>
      <c r="BE251" t="s">
        <v>165</v>
      </c>
      <c r="BF251" t="s">
        <v>23</v>
      </c>
      <c r="BG251" t="s">
        <v>155</v>
      </c>
      <c r="BH251" t="s">
        <v>26</v>
      </c>
      <c r="BI251" t="s">
        <v>24</v>
      </c>
      <c r="BJ251" t="s">
        <v>25</v>
      </c>
      <c r="BK251" s="70">
        <v>4</v>
      </c>
      <c r="BL251" s="70">
        <v>7</v>
      </c>
      <c r="BN251" t="s">
        <v>2656</v>
      </c>
      <c r="CY251" t="s">
        <v>985</v>
      </c>
      <c r="DM251" s="70" t="s">
        <v>1906</v>
      </c>
      <c r="DO251" s="70" t="s">
        <v>1906</v>
      </c>
      <c r="DP251" t="s">
        <v>985</v>
      </c>
      <c r="DQ251" t="s">
        <v>2656</v>
      </c>
      <c r="DS251" t="s">
        <v>1988</v>
      </c>
      <c r="DT251" t="s">
        <v>2076</v>
      </c>
      <c r="DU251" t="s">
        <v>2368</v>
      </c>
    </row>
    <row r="252" spans="2:125" customFormat="1" x14ac:dyDescent="0.25">
      <c r="B252">
        <v>40009812</v>
      </c>
      <c r="C252">
        <v>2</v>
      </c>
      <c r="D252">
        <v>6</v>
      </c>
      <c r="E252">
        <v>5</v>
      </c>
      <c r="F252">
        <v>1996</v>
      </c>
      <c r="G252">
        <v>3</v>
      </c>
      <c r="H252">
        <v>1</v>
      </c>
      <c r="I252">
        <v>2022</v>
      </c>
      <c r="J252" t="s">
        <v>723</v>
      </c>
      <c r="K252" t="s">
        <v>986</v>
      </c>
      <c r="L252">
        <v>94129602176</v>
      </c>
      <c r="M252" t="s">
        <v>1452</v>
      </c>
      <c r="N252" t="s">
        <v>69</v>
      </c>
      <c r="O252" t="s">
        <v>1142</v>
      </c>
      <c r="P252" t="s">
        <v>1641</v>
      </c>
      <c r="Z252" t="s">
        <v>69</v>
      </c>
      <c r="AA252" t="s">
        <v>1142</v>
      </c>
      <c r="AB252" t="s">
        <v>75</v>
      </c>
      <c r="AU252" t="s">
        <v>146</v>
      </c>
      <c r="AV252" t="s">
        <v>170</v>
      </c>
      <c r="AW252" t="s">
        <v>157</v>
      </c>
      <c r="AX252" t="s">
        <v>22</v>
      </c>
      <c r="AY252" s="70" t="s">
        <v>17</v>
      </c>
      <c r="AZ252" s="70" t="s">
        <v>27</v>
      </c>
      <c r="BA252" s="70">
        <v>0</v>
      </c>
      <c r="BB252" s="70" t="s">
        <v>27</v>
      </c>
      <c r="BC252" s="70" t="s">
        <v>19</v>
      </c>
      <c r="BD252" s="70" t="s">
        <v>2427</v>
      </c>
      <c r="BE252" t="s">
        <v>165</v>
      </c>
      <c r="BF252" t="s">
        <v>23</v>
      </c>
      <c r="BG252" t="s">
        <v>155</v>
      </c>
      <c r="BH252" t="s">
        <v>166</v>
      </c>
      <c r="BI252" t="s">
        <v>26</v>
      </c>
      <c r="BJ252" t="s">
        <v>177</v>
      </c>
      <c r="BK252" s="70">
        <v>4</v>
      </c>
      <c r="BL252" s="70">
        <v>5</v>
      </c>
      <c r="BN252" t="s">
        <v>2657</v>
      </c>
      <c r="CY252" t="s">
        <v>986</v>
      </c>
      <c r="DM252" s="70" t="s">
        <v>1907</v>
      </c>
      <c r="DO252" s="70" t="s">
        <v>1907</v>
      </c>
      <c r="DP252" t="s">
        <v>986</v>
      </c>
      <c r="DQ252" t="s">
        <v>2657</v>
      </c>
      <c r="DS252" t="s">
        <v>2369</v>
      </c>
      <c r="DT252" t="s">
        <v>2370</v>
      </c>
      <c r="DU252" t="s">
        <v>2076</v>
      </c>
    </row>
    <row r="253" spans="2:125" customFormat="1" x14ac:dyDescent="0.25">
      <c r="B253">
        <v>40001218</v>
      </c>
      <c r="C253">
        <v>1</v>
      </c>
      <c r="D253">
        <v>8</v>
      </c>
      <c r="E253">
        <v>27</v>
      </c>
      <c r="F253">
        <v>1984</v>
      </c>
      <c r="G253">
        <v>8</v>
      </c>
      <c r="H253">
        <v>16</v>
      </c>
      <c r="I253">
        <v>2018</v>
      </c>
      <c r="J253" t="s">
        <v>724</v>
      </c>
      <c r="K253" t="s">
        <v>987</v>
      </c>
      <c r="L253">
        <v>94078412858</v>
      </c>
      <c r="M253" t="s">
        <v>1453</v>
      </c>
      <c r="N253" t="s">
        <v>406</v>
      </c>
      <c r="O253" t="s">
        <v>426</v>
      </c>
      <c r="P253" t="s">
        <v>90</v>
      </c>
      <c r="Z253" t="s">
        <v>406</v>
      </c>
      <c r="AA253" t="s">
        <v>426</v>
      </c>
      <c r="AB253" t="s">
        <v>90</v>
      </c>
      <c r="AU253" t="s">
        <v>177</v>
      </c>
      <c r="AV253" t="s">
        <v>153</v>
      </c>
      <c r="AW253" t="s">
        <v>177</v>
      </c>
      <c r="AX253" t="s">
        <v>153</v>
      </c>
      <c r="AY253" s="70" t="s">
        <v>2422</v>
      </c>
      <c r="AZ253" s="70" t="s">
        <v>2428</v>
      </c>
      <c r="BA253" s="70">
        <v>0</v>
      </c>
      <c r="BB253" s="70" t="s">
        <v>2422</v>
      </c>
      <c r="BC253" s="70" t="s">
        <v>2418</v>
      </c>
      <c r="BD253" s="70" t="s">
        <v>2420</v>
      </c>
      <c r="BE253" t="s">
        <v>21</v>
      </c>
      <c r="BF253" t="s">
        <v>23</v>
      </c>
      <c r="BG253" t="s">
        <v>155</v>
      </c>
      <c r="BH253" t="s">
        <v>25</v>
      </c>
      <c r="BI253" t="s">
        <v>166</v>
      </c>
      <c r="BJ253" t="s">
        <v>23</v>
      </c>
      <c r="BK253" s="70">
        <v>6</v>
      </c>
      <c r="BL253" s="70">
        <v>8</v>
      </c>
      <c r="BN253" t="s">
        <v>2658</v>
      </c>
      <c r="CY253" t="s">
        <v>987</v>
      </c>
      <c r="DM253" s="70" t="s">
        <v>1908</v>
      </c>
      <c r="DO253" s="70" t="s">
        <v>1908</v>
      </c>
      <c r="DP253" t="s">
        <v>987</v>
      </c>
      <c r="DQ253" t="s">
        <v>2658</v>
      </c>
      <c r="DS253" t="s">
        <v>2108</v>
      </c>
      <c r="DT253" t="s">
        <v>2105</v>
      </c>
      <c r="DU253" t="s">
        <v>1990</v>
      </c>
    </row>
    <row r="254" spans="2:125" customFormat="1" x14ac:dyDescent="0.25">
      <c r="B254">
        <v>5951752</v>
      </c>
      <c r="C254">
        <v>2</v>
      </c>
      <c r="D254">
        <v>9</v>
      </c>
      <c r="E254">
        <v>9</v>
      </c>
      <c r="F254">
        <v>1975</v>
      </c>
      <c r="G254">
        <v>6</v>
      </c>
      <c r="H254">
        <v>3</v>
      </c>
      <c r="I254">
        <v>1995</v>
      </c>
      <c r="J254" t="s">
        <v>725</v>
      </c>
      <c r="K254" t="s">
        <v>988</v>
      </c>
      <c r="L254">
        <v>94947521046</v>
      </c>
      <c r="M254" t="s">
        <v>1454</v>
      </c>
      <c r="N254" t="s">
        <v>404</v>
      </c>
      <c r="O254" t="s">
        <v>466</v>
      </c>
      <c r="P254" t="s">
        <v>1642</v>
      </c>
      <c r="Z254" t="s">
        <v>404</v>
      </c>
      <c r="AA254" t="s">
        <v>466</v>
      </c>
      <c r="AB254" t="s">
        <v>1455</v>
      </c>
      <c r="AU254" t="s">
        <v>22</v>
      </c>
      <c r="AV254" t="s">
        <v>146</v>
      </c>
      <c r="AW254" t="s">
        <v>25</v>
      </c>
      <c r="AX254" t="s">
        <v>23</v>
      </c>
      <c r="AY254" s="70" t="s">
        <v>2420</v>
      </c>
      <c r="AZ254" s="70" t="s">
        <v>2427</v>
      </c>
      <c r="BA254" s="70">
        <v>0</v>
      </c>
      <c r="BB254" s="70" t="s">
        <v>17</v>
      </c>
      <c r="BC254" s="70" t="s">
        <v>19</v>
      </c>
      <c r="BD254" s="70" t="s">
        <v>17</v>
      </c>
      <c r="BE254" t="s">
        <v>165</v>
      </c>
      <c r="BF254" t="s">
        <v>23</v>
      </c>
      <c r="BG254" t="s">
        <v>155</v>
      </c>
      <c r="BH254" t="s">
        <v>177</v>
      </c>
      <c r="BI254" t="s">
        <v>182</v>
      </c>
      <c r="BJ254" t="s">
        <v>25</v>
      </c>
      <c r="BK254" s="70">
        <v>7</v>
      </c>
      <c r="BL254" s="70">
        <v>4</v>
      </c>
      <c r="BN254" t="s">
        <v>2659</v>
      </c>
      <c r="CY254" t="s">
        <v>988</v>
      </c>
      <c r="DM254" s="70" t="s">
        <v>1909</v>
      </c>
      <c r="DO254" s="70" t="s">
        <v>1909</v>
      </c>
      <c r="DP254" t="s">
        <v>988</v>
      </c>
      <c r="DQ254" t="s">
        <v>2659</v>
      </c>
      <c r="DS254" t="s">
        <v>2371</v>
      </c>
      <c r="DT254" t="s">
        <v>2129</v>
      </c>
      <c r="DU254" t="s">
        <v>2052</v>
      </c>
    </row>
    <row r="255" spans="2:125" customFormat="1" x14ac:dyDescent="0.25">
      <c r="B255">
        <v>9215725</v>
      </c>
      <c r="C255">
        <v>2</v>
      </c>
      <c r="D255">
        <v>4</v>
      </c>
      <c r="E255">
        <v>23</v>
      </c>
      <c r="F255">
        <v>1983</v>
      </c>
      <c r="G255">
        <v>5</v>
      </c>
      <c r="H255">
        <v>1</v>
      </c>
      <c r="I255">
        <v>2017</v>
      </c>
      <c r="J255" t="s">
        <v>726</v>
      </c>
      <c r="K255" t="s">
        <v>989</v>
      </c>
      <c r="L255">
        <v>20048312134</v>
      </c>
      <c r="M255" t="s">
        <v>1456</v>
      </c>
      <c r="N255" t="s">
        <v>484</v>
      </c>
      <c r="O255" t="s">
        <v>460</v>
      </c>
      <c r="P255" t="s">
        <v>100</v>
      </c>
      <c r="Z255" t="s">
        <v>484</v>
      </c>
      <c r="AA255" t="s">
        <v>460</v>
      </c>
      <c r="AB255" t="s">
        <v>100</v>
      </c>
      <c r="AU255" t="s">
        <v>174</v>
      </c>
      <c r="AV255" t="s">
        <v>180</v>
      </c>
      <c r="AW255" t="s">
        <v>25</v>
      </c>
      <c r="AX255" t="s">
        <v>153</v>
      </c>
      <c r="AY255" s="70" t="s">
        <v>2422</v>
      </c>
      <c r="AZ255" s="70" t="s">
        <v>18</v>
      </c>
      <c r="BA255" s="70">
        <v>0</v>
      </c>
      <c r="BB255" s="70" t="s">
        <v>2428</v>
      </c>
      <c r="BC255" s="70" t="s">
        <v>2418</v>
      </c>
      <c r="BD255" s="70" t="s">
        <v>18</v>
      </c>
      <c r="BE255" t="s">
        <v>165</v>
      </c>
      <c r="BF255" t="s">
        <v>23</v>
      </c>
      <c r="BG255" t="s">
        <v>155</v>
      </c>
      <c r="BH255" t="s">
        <v>25</v>
      </c>
      <c r="BI255" t="s">
        <v>161</v>
      </c>
      <c r="BJ255" t="s">
        <v>25</v>
      </c>
      <c r="BK255" s="70">
        <v>7</v>
      </c>
      <c r="BL255" s="70">
        <v>3</v>
      </c>
      <c r="BN255" t="s">
        <v>2660</v>
      </c>
      <c r="CY255" t="s">
        <v>989</v>
      </c>
      <c r="DM255" s="70" t="s">
        <v>1910</v>
      </c>
      <c r="DO255" s="70" t="s">
        <v>1910</v>
      </c>
      <c r="DP255" t="s">
        <v>989</v>
      </c>
      <c r="DQ255" t="s">
        <v>2660</v>
      </c>
      <c r="DS255" t="s">
        <v>2372</v>
      </c>
      <c r="DT255" t="s">
        <v>2373</v>
      </c>
      <c r="DU255" t="s">
        <v>2177</v>
      </c>
    </row>
    <row r="256" spans="2:125" customFormat="1" x14ac:dyDescent="0.25">
      <c r="B256">
        <v>6952329</v>
      </c>
      <c r="C256">
        <v>2</v>
      </c>
      <c r="D256">
        <v>6</v>
      </c>
      <c r="E256">
        <v>23</v>
      </c>
      <c r="F256">
        <v>1970</v>
      </c>
      <c r="G256">
        <v>6</v>
      </c>
      <c r="H256">
        <v>23</v>
      </c>
      <c r="I256">
        <v>2008</v>
      </c>
      <c r="J256" t="s">
        <v>727</v>
      </c>
      <c r="K256" t="s">
        <v>990</v>
      </c>
      <c r="L256">
        <v>11907008814</v>
      </c>
      <c r="M256" t="s">
        <v>1457</v>
      </c>
      <c r="N256" t="s">
        <v>425</v>
      </c>
      <c r="O256" t="s">
        <v>1458</v>
      </c>
      <c r="P256" t="s">
        <v>56</v>
      </c>
      <c r="Z256" t="s">
        <v>425</v>
      </c>
      <c r="AA256" t="s">
        <v>1458</v>
      </c>
      <c r="AB256" t="s">
        <v>56</v>
      </c>
      <c r="AU256" t="s">
        <v>165</v>
      </c>
      <c r="AV256" t="s">
        <v>170</v>
      </c>
      <c r="AW256" t="s">
        <v>22</v>
      </c>
      <c r="AX256" t="s">
        <v>155</v>
      </c>
      <c r="AY256" s="70" t="s">
        <v>2420</v>
      </c>
      <c r="AZ256" s="70" t="s">
        <v>19</v>
      </c>
      <c r="BA256" s="70">
        <v>0</v>
      </c>
      <c r="BB256" s="70" t="s">
        <v>27</v>
      </c>
      <c r="BC256" s="70" t="s">
        <v>2418</v>
      </c>
      <c r="BD256" s="70" t="s">
        <v>18</v>
      </c>
      <c r="BE256" t="s">
        <v>165</v>
      </c>
      <c r="BF256" t="s">
        <v>23</v>
      </c>
      <c r="BG256" t="s">
        <v>155</v>
      </c>
      <c r="BH256" t="s">
        <v>25</v>
      </c>
      <c r="BI256" t="s">
        <v>165</v>
      </c>
      <c r="BJ256" t="s">
        <v>25</v>
      </c>
      <c r="BK256" s="70">
        <v>8</v>
      </c>
      <c r="BL256" s="70">
        <v>2</v>
      </c>
      <c r="BN256" t="s">
        <v>2661</v>
      </c>
      <c r="CY256" t="s">
        <v>990</v>
      </c>
      <c r="DM256" s="70" t="s">
        <v>1911</v>
      </c>
      <c r="DO256" s="70" t="s">
        <v>1911</v>
      </c>
      <c r="DP256" t="s">
        <v>990</v>
      </c>
      <c r="DQ256" t="s">
        <v>2661</v>
      </c>
      <c r="DS256" t="s">
        <v>2030</v>
      </c>
      <c r="DT256" t="s">
        <v>2201</v>
      </c>
      <c r="DU256" t="s">
        <v>2374</v>
      </c>
    </row>
    <row r="257" spans="2:125" customFormat="1" x14ac:dyDescent="0.25">
      <c r="B257">
        <v>40011937</v>
      </c>
      <c r="C257">
        <v>1</v>
      </c>
      <c r="D257">
        <v>4</v>
      </c>
      <c r="E257">
        <v>29</v>
      </c>
      <c r="F257">
        <v>1996</v>
      </c>
      <c r="G257">
        <v>4</v>
      </c>
      <c r="H257">
        <v>17</v>
      </c>
      <c r="I257">
        <v>2023</v>
      </c>
      <c r="J257" t="s">
        <v>728</v>
      </c>
      <c r="K257" t="s">
        <v>991</v>
      </c>
      <c r="L257">
        <v>94159604050</v>
      </c>
      <c r="M257" t="s">
        <v>1459</v>
      </c>
      <c r="N257" t="s">
        <v>417</v>
      </c>
      <c r="O257" t="s">
        <v>439</v>
      </c>
      <c r="P257" t="s">
        <v>53</v>
      </c>
      <c r="Z257" t="s">
        <v>417</v>
      </c>
      <c r="AA257" t="s">
        <v>439</v>
      </c>
      <c r="AB257" t="s">
        <v>53</v>
      </c>
      <c r="AU257" t="s">
        <v>22</v>
      </c>
      <c r="AV257" t="s">
        <v>159</v>
      </c>
      <c r="AW257" t="s">
        <v>165</v>
      </c>
      <c r="AX257" t="s">
        <v>157</v>
      </c>
      <c r="AY257" s="70" t="s">
        <v>17</v>
      </c>
      <c r="AZ257" s="70" t="s">
        <v>27</v>
      </c>
      <c r="BA257" s="70">
        <v>0</v>
      </c>
      <c r="BB257" s="70" t="s">
        <v>2428</v>
      </c>
      <c r="BC257" s="70" t="s">
        <v>2418</v>
      </c>
      <c r="BD257" s="70" t="s">
        <v>17</v>
      </c>
      <c r="BE257" t="s">
        <v>21</v>
      </c>
      <c r="BF257" t="s">
        <v>23</v>
      </c>
      <c r="BG257" t="s">
        <v>155</v>
      </c>
      <c r="BH257" t="s">
        <v>177</v>
      </c>
      <c r="BI257" t="s">
        <v>25</v>
      </c>
      <c r="BJ257" t="s">
        <v>149</v>
      </c>
      <c r="BK257" s="70">
        <v>0</v>
      </c>
      <c r="BL257" s="70">
        <v>7</v>
      </c>
      <c r="BN257" t="s">
        <v>2662</v>
      </c>
      <c r="CY257" t="s">
        <v>991</v>
      </c>
      <c r="DM257" s="70" t="s">
        <v>1912</v>
      </c>
      <c r="DO257" s="70" t="s">
        <v>1912</v>
      </c>
      <c r="DP257" t="s">
        <v>991</v>
      </c>
      <c r="DQ257" t="s">
        <v>2662</v>
      </c>
      <c r="DS257" t="s">
        <v>2375</v>
      </c>
      <c r="DT257" t="s">
        <v>2270</v>
      </c>
      <c r="DU257" t="s">
        <v>1974</v>
      </c>
    </row>
    <row r="258" spans="2:125" customFormat="1" x14ac:dyDescent="0.25">
      <c r="B258">
        <v>5956509</v>
      </c>
      <c r="C258">
        <v>2</v>
      </c>
      <c r="D258">
        <v>8</v>
      </c>
      <c r="E258">
        <v>19</v>
      </c>
      <c r="F258">
        <v>1981</v>
      </c>
      <c r="G258">
        <v>1</v>
      </c>
      <c r="H258">
        <v>2</v>
      </c>
      <c r="I258">
        <v>2006</v>
      </c>
      <c r="J258" t="s">
        <v>729</v>
      </c>
      <c r="K258" t="s">
        <v>992</v>
      </c>
      <c r="L258">
        <v>94018101058</v>
      </c>
      <c r="M258" t="s">
        <v>1460</v>
      </c>
      <c r="N258" t="s">
        <v>401</v>
      </c>
      <c r="O258" t="s">
        <v>1040</v>
      </c>
      <c r="P258" t="s">
        <v>1643</v>
      </c>
      <c r="Z258" t="s">
        <v>401</v>
      </c>
      <c r="AA258" t="s">
        <v>1040</v>
      </c>
      <c r="AB258" t="s">
        <v>1241</v>
      </c>
      <c r="AU258" t="s">
        <v>157</v>
      </c>
      <c r="AV258" t="s">
        <v>146</v>
      </c>
      <c r="AW258" t="s">
        <v>153</v>
      </c>
      <c r="AX258" t="s">
        <v>161</v>
      </c>
      <c r="AY258" s="70" t="s">
        <v>2422</v>
      </c>
      <c r="AZ258" s="70" t="s">
        <v>20</v>
      </c>
      <c r="BA258" s="70">
        <v>0</v>
      </c>
      <c r="BB258" s="70" t="s">
        <v>2422</v>
      </c>
      <c r="BC258" s="70" t="s">
        <v>20</v>
      </c>
      <c r="BD258" s="70" t="s">
        <v>17</v>
      </c>
      <c r="BE258" t="s">
        <v>165</v>
      </c>
      <c r="BF258" t="s">
        <v>23</v>
      </c>
      <c r="BG258" t="s">
        <v>155</v>
      </c>
      <c r="BH258" t="s">
        <v>25</v>
      </c>
      <c r="BI258" t="s">
        <v>177</v>
      </c>
      <c r="BJ258" t="s">
        <v>25</v>
      </c>
      <c r="BK258" s="70">
        <v>9</v>
      </c>
      <c r="BL258" s="70">
        <v>3</v>
      </c>
      <c r="BN258" t="s">
        <v>2663</v>
      </c>
      <c r="CY258" t="s">
        <v>992</v>
      </c>
      <c r="DM258" s="70" t="s">
        <v>1913</v>
      </c>
      <c r="DO258" s="70" t="s">
        <v>1913</v>
      </c>
      <c r="DP258" t="s">
        <v>992</v>
      </c>
      <c r="DQ258" t="s">
        <v>2663</v>
      </c>
      <c r="DS258" t="s">
        <v>2376</v>
      </c>
      <c r="DT258" t="s">
        <v>2063</v>
      </c>
      <c r="DU258" t="s">
        <v>1964</v>
      </c>
    </row>
    <row r="259" spans="2:125" customFormat="1" x14ac:dyDescent="0.25">
      <c r="B259">
        <v>5962657</v>
      </c>
      <c r="C259">
        <v>2</v>
      </c>
      <c r="D259">
        <v>5</v>
      </c>
      <c r="E259">
        <v>1</v>
      </c>
      <c r="F259">
        <v>1967</v>
      </c>
      <c r="G259">
        <v>9</v>
      </c>
      <c r="H259">
        <v>10</v>
      </c>
      <c r="I259">
        <v>1990</v>
      </c>
      <c r="J259" t="s">
        <v>730</v>
      </c>
      <c r="K259" t="s">
        <v>993</v>
      </c>
      <c r="L259">
        <v>1856729551</v>
      </c>
      <c r="M259" t="s">
        <v>1461</v>
      </c>
      <c r="N259" t="s">
        <v>407</v>
      </c>
      <c r="O259" t="s">
        <v>1462</v>
      </c>
      <c r="P259" t="s">
        <v>1644</v>
      </c>
      <c r="Z259" t="s">
        <v>407</v>
      </c>
      <c r="AA259" t="s">
        <v>1462</v>
      </c>
      <c r="AB259" t="s">
        <v>1644</v>
      </c>
      <c r="AU259" t="s">
        <v>24</v>
      </c>
      <c r="AV259" t="s">
        <v>170</v>
      </c>
      <c r="AW259" t="s">
        <v>177</v>
      </c>
      <c r="AX259" t="s">
        <v>155</v>
      </c>
      <c r="AY259" s="70" t="s">
        <v>27</v>
      </c>
      <c r="AZ259" s="70" t="s">
        <v>2420</v>
      </c>
      <c r="BA259" s="70">
        <v>0</v>
      </c>
      <c r="BB259" s="70" t="s">
        <v>2427</v>
      </c>
      <c r="BC259" s="70" t="s">
        <v>19</v>
      </c>
      <c r="BD259" s="70" t="s">
        <v>20</v>
      </c>
      <c r="BE259" t="s">
        <v>165</v>
      </c>
      <c r="BF259" t="s">
        <v>23</v>
      </c>
      <c r="BG259" t="s">
        <v>155</v>
      </c>
      <c r="BH259" t="s">
        <v>172</v>
      </c>
      <c r="BI259" t="s">
        <v>16</v>
      </c>
      <c r="BJ259" t="s">
        <v>24</v>
      </c>
      <c r="BK259" s="70">
        <v>0</v>
      </c>
      <c r="BL259" s="70">
        <v>5</v>
      </c>
      <c r="BN259" t="s">
        <v>2664</v>
      </c>
      <c r="CY259" t="s">
        <v>993</v>
      </c>
      <c r="DM259" s="70" t="s">
        <v>1914</v>
      </c>
      <c r="DO259" s="70" t="s">
        <v>1914</v>
      </c>
      <c r="DP259" t="s">
        <v>993</v>
      </c>
      <c r="DQ259" t="s">
        <v>2664</v>
      </c>
      <c r="DS259" t="s">
        <v>2377</v>
      </c>
      <c r="DT259" t="s">
        <v>1980</v>
      </c>
      <c r="DU259" t="s">
        <v>2378</v>
      </c>
    </row>
    <row r="260" spans="2:125" customFormat="1" x14ac:dyDescent="0.25">
      <c r="B260">
        <v>5974329</v>
      </c>
      <c r="C260">
        <v>1</v>
      </c>
      <c r="D260">
        <v>1</v>
      </c>
      <c r="E260">
        <v>19</v>
      </c>
      <c r="F260">
        <v>1971</v>
      </c>
      <c r="G260">
        <v>6</v>
      </c>
      <c r="H260">
        <v>20</v>
      </c>
      <c r="I260">
        <v>1990</v>
      </c>
      <c r="J260" t="s">
        <v>731</v>
      </c>
      <c r="K260" t="s">
        <v>994</v>
      </c>
      <c r="L260">
        <v>94887114810</v>
      </c>
      <c r="M260" t="s">
        <v>1463</v>
      </c>
      <c r="N260" t="s">
        <v>406</v>
      </c>
      <c r="O260" t="s">
        <v>408</v>
      </c>
      <c r="P260" t="s">
        <v>79</v>
      </c>
      <c r="Z260" t="s">
        <v>406</v>
      </c>
      <c r="AA260" t="s">
        <v>408</v>
      </c>
      <c r="AB260" t="s">
        <v>79</v>
      </c>
      <c r="AU260" t="s">
        <v>177</v>
      </c>
      <c r="AV260" t="s">
        <v>153</v>
      </c>
      <c r="AW260" t="s">
        <v>25</v>
      </c>
      <c r="AX260" t="s">
        <v>146</v>
      </c>
      <c r="AY260" s="70" t="s">
        <v>2420</v>
      </c>
      <c r="AZ260" s="70" t="s">
        <v>20</v>
      </c>
      <c r="BA260" s="70">
        <v>0</v>
      </c>
      <c r="BB260" s="70" t="s">
        <v>20</v>
      </c>
      <c r="BC260" s="70" t="s">
        <v>20</v>
      </c>
      <c r="BD260" s="70" t="s">
        <v>17</v>
      </c>
      <c r="BE260" t="s">
        <v>21</v>
      </c>
      <c r="BF260" t="s">
        <v>23</v>
      </c>
      <c r="BG260" t="s">
        <v>155</v>
      </c>
      <c r="BH260" t="s">
        <v>25</v>
      </c>
      <c r="BI260" t="s">
        <v>165</v>
      </c>
      <c r="BJ260" t="s">
        <v>25</v>
      </c>
      <c r="BK260" s="70">
        <v>5</v>
      </c>
      <c r="BL260" s="70">
        <v>4</v>
      </c>
      <c r="BN260" t="s">
        <v>2665</v>
      </c>
      <c r="CY260" t="s">
        <v>994</v>
      </c>
      <c r="DM260" s="70" t="s">
        <v>1915</v>
      </c>
      <c r="DO260" s="70" t="s">
        <v>1915</v>
      </c>
      <c r="DP260" t="s">
        <v>994</v>
      </c>
      <c r="DQ260" t="s">
        <v>2665</v>
      </c>
      <c r="DS260" t="s">
        <v>2178</v>
      </c>
      <c r="DT260" t="s">
        <v>2105</v>
      </c>
      <c r="DU260" t="s">
        <v>2043</v>
      </c>
    </row>
    <row r="261" spans="2:125" customFormat="1" x14ac:dyDescent="0.25">
      <c r="B261">
        <v>40008138</v>
      </c>
      <c r="C261">
        <v>1</v>
      </c>
      <c r="D261">
        <v>10</v>
      </c>
      <c r="E261">
        <v>10</v>
      </c>
      <c r="F261">
        <v>2001</v>
      </c>
      <c r="G261">
        <v>5</v>
      </c>
      <c r="H261">
        <v>24</v>
      </c>
      <c r="I261">
        <v>2021</v>
      </c>
      <c r="J261" t="s">
        <v>732</v>
      </c>
      <c r="K261" t="s">
        <v>995</v>
      </c>
      <c r="L261">
        <v>10200114238</v>
      </c>
      <c r="M261" t="s">
        <v>1464</v>
      </c>
      <c r="N261" t="s">
        <v>409</v>
      </c>
      <c r="O261" t="s">
        <v>447</v>
      </c>
      <c r="P261" t="s">
        <v>1645</v>
      </c>
      <c r="Z261" t="s">
        <v>409</v>
      </c>
      <c r="AA261" t="s">
        <v>447</v>
      </c>
      <c r="AB261" t="s">
        <v>1465</v>
      </c>
      <c r="AU261" t="s">
        <v>165</v>
      </c>
      <c r="AV261" t="s">
        <v>146</v>
      </c>
      <c r="AW261" t="s">
        <v>16</v>
      </c>
      <c r="AX261" t="s">
        <v>163</v>
      </c>
      <c r="AY261" s="70" t="s">
        <v>19</v>
      </c>
      <c r="AZ261" s="70" t="s">
        <v>20</v>
      </c>
      <c r="BA261" s="70">
        <v>1</v>
      </c>
      <c r="BB261" s="70" t="s">
        <v>19</v>
      </c>
      <c r="BC261" s="70" t="s">
        <v>20</v>
      </c>
      <c r="BD261" s="70" t="s">
        <v>19</v>
      </c>
      <c r="BE261" t="s">
        <v>21</v>
      </c>
      <c r="BF261" t="s">
        <v>23</v>
      </c>
      <c r="BG261" t="s">
        <v>155</v>
      </c>
      <c r="BH261" t="s">
        <v>25</v>
      </c>
      <c r="BI261" t="s">
        <v>25</v>
      </c>
      <c r="BJ261" t="s">
        <v>182</v>
      </c>
      <c r="BK261" s="70" t="s">
        <v>24</v>
      </c>
      <c r="BL261" s="70">
        <v>2</v>
      </c>
      <c r="BN261" t="s">
        <v>2666</v>
      </c>
      <c r="CY261" t="s">
        <v>995</v>
      </c>
      <c r="DM261" s="70" t="s">
        <v>1916</v>
      </c>
      <c r="DO261" s="70" t="s">
        <v>1916</v>
      </c>
      <c r="DP261" t="s">
        <v>995</v>
      </c>
      <c r="DQ261" t="s">
        <v>2666</v>
      </c>
      <c r="DS261" t="s">
        <v>2379</v>
      </c>
      <c r="DT261" t="s">
        <v>2016</v>
      </c>
      <c r="DU261" t="s">
        <v>2268</v>
      </c>
    </row>
    <row r="262" spans="2:125" customFormat="1" x14ac:dyDescent="0.25">
      <c r="B262">
        <v>8388498</v>
      </c>
      <c r="C262">
        <v>2</v>
      </c>
      <c r="D262">
        <v>3</v>
      </c>
      <c r="E262">
        <v>5</v>
      </c>
      <c r="F262">
        <v>1973</v>
      </c>
      <c r="G262">
        <v>1</v>
      </c>
      <c r="H262">
        <v>6</v>
      </c>
      <c r="I262">
        <v>2014</v>
      </c>
      <c r="J262" t="s">
        <v>733</v>
      </c>
      <c r="K262" t="s">
        <v>996</v>
      </c>
      <c r="L262">
        <v>11917321348</v>
      </c>
      <c r="M262" t="s">
        <v>1466</v>
      </c>
      <c r="N262" t="s">
        <v>399</v>
      </c>
      <c r="O262" t="s">
        <v>1467</v>
      </c>
      <c r="P262" t="s">
        <v>1646</v>
      </c>
      <c r="Z262" t="s">
        <v>399</v>
      </c>
      <c r="AA262" t="s">
        <v>1467</v>
      </c>
      <c r="AB262" t="s">
        <v>1646</v>
      </c>
      <c r="AU262" t="s">
        <v>165</v>
      </c>
      <c r="AV262" t="s">
        <v>153</v>
      </c>
      <c r="AW262" t="s">
        <v>157</v>
      </c>
      <c r="AX262" t="s">
        <v>153</v>
      </c>
      <c r="AY262" s="70" t="s">
        <v>2420</v>
      </c>
      <c r="AZ262" s="70" t="s">
        <v>18</v>
      </c>
      <c r="BA262" s="70">
        <v>0</v>
      </c>
      <c r="BB262" s="70" t="s">
        <v>18</v>
      </c>
      <c r="BC262" s="70" t="s">
        <v>19</v>
      </c>
      <c r="BD262" s="70" t="s">
        <v>2427</v>
      </c>
      <c r="BE262" t="s">
        <v>165</v>
      </c>
      <c r="BF262" t="s">
        <v>23</v>
      </c>
      <c r="BG262" t="s">
        <v>155</v>
      </c>
      <c r="BH262" t="s">
        <v>166</v>
      </c>
      <c r="BI262" t="s">
        <v>24</v>
      </c>
      <c r="BJ262" t="s">
        <v>24</v>
      </c>
      <c r="BK262" s="70">
        <v>4</v>
      </c>
      <c r="BL262" s="70">
        <v>9</v>
      </c>
      <c r="BN262" t="s">
        <v>2667</v>
      </c>
      <c r="CY262" t="s">
        <v>996</v>
      </c>
      <c r="DM262" s="70" t="s">
        <v>1917</v>
      </c>
      <c r="DO262" s="70" t="s">
        <v>1917</v>
      </c>
      <c r="DP262" t="s">
        <v>996</v>
      </c>
      <c r="DQ262" t="s">
        <v>2667</v>
      </c>
      <c r="DS262" t="s">
        <v>2380</v>
      </c>
      <c r="DT262" t="s">
        <v>1949</v>
      </c>
      <c r="DU262" t="s">
        <v>2381</v>
      </c>
    </row>
    <row r="263" spans="2:125" customFormat="1" x14ac:dyDescent="0.25">
      <c r="B263">
        <v>7504095</v>
      </c>
      <c r="C263">
        <v>1</v>
      </c>
      <c r="D263">
        <v>9</v>
      </c>
      <c r="E263">
        <v>18</v>
      </c>
      <c r="F263">
        <v>1982</v>
      </c>
      <c r="G263">
        <v>4</v>
      </c>
      <c r="H263">
        <v>12</v>
      </c>
      <c r="I263">
        <v>2010</v>
      </c>
      <c r="J263" t="s">
        <v>734</v>
      </c>
      <c r="K263" t="s">
        <v>997</v>
      </c>
      <c r="L263">
        <v>94008223623</v>
      </c>
      <c r="M263" t="s">
        <v>1468</v>
      </c>
      <c r="N263" t="s">
        <v>409</v>
      </c>
      <c r="O263" t="s">
        <v>421</v>
      </c>
      <c r="P263" t="s">
        <v>1241</v>
      </c>
      <c r="Z263" t="s">
        <v>409</v>
      </c>
      <c r="AA263" t="s">
        <v>421</v>
      </c>
      <c r="AB263" t="s">
        <v>1241</v>
      </c>
      <c r="AU263" t="s">
        <v>165</v>
      </c>
      <c r="AV263" t="s">
        <v>146</v>
      </c>
      <c r="AW263" t="s">
        <v>25</v>
      </c>
      <c r="AX263" t="s">
        <v>161</v>
      </c>
      <c r="AY263" s="70" t="s">
        <v>2422</v>
      </c>
      <c r="AZ263" s="70" t="s">
        <v>2418</v>
      </c>
      <c r="BA263" s="70">
        <v>0</v>
      </c>
      <c r="BB263" s="70" t="s">
        <v>17</v>
      </c>
      <c r="BC263" s="70" t="s">
        <v>20</v>
      </c>
      <c r="BD263" s="70" t="s">
        <v>2422</v>
      </c>
      <c r="BE263" t="s">
        <v>21</v>
      </c>
      <c r="BF263" t="s">
        <v>23</v>
      </c>
      <c r="BG263" t="s">
        <v>155</v>
      </c>
      <c r="BH263" t="s">
        <v>25</v>
      </c>
      <c r="BI263" t="s">
        <v>166</v>
      </c>
      <c r="BJ263" t="s">
        <v>25</v>
      </c>
      <c r="BK263" s="70">
        <v>8</v>
      </c>
      <c r="BL263" s="70">
        <v>4</v>
      </c>
      <c r="BN263" t="s">
        <v>2668</v>
      </c>
      <c r="CY263" t="s">
        <v>997</v>
      </c>
      <c r="DM263" s="70" t="s">
        <v>1918</v>
      </c>
      <c r="DO263" s="70" t="s">
        <v>1918</v>
      </c>
      <c r="DP263" t="s">
        <v>997</v>
      </c>
      <c r="DQ263" t="s">
        <v>2668</v>
      </c>
      <c r="DS263" t="s">
        <v>2303</v>
      </c>
      <c r="DT263" t="s">
        <v>2016</v>
      </c>
      <c r="DU263" t="s">
        <v>2070</v>
      </c>
    </row>
    <row r="264" spans="2:125" customFormat="1" x14ac:dyDescent="0.25">
      <c r="B264">
        <v>5949618</v>
      </c>
      <c r="C264">
        <v>2</v>
      </c>
      <c r="D264">
        <v>5</v>
      </c>
      <c r="E264">
        <v>20</v>
      </c>
      <c r="F264">
        <v>1971</v>
      </c>
      <c r="G264">
        <v>1</v>
      </c>
      <c r="H264">
        <v>27</v>
      </c>
      <c r="I264">
        <v>1992</v>
      </c>
      <c r="J264" t="s">
        <v>735</v>
      </c>
      <c r="K264" t="s">
        <v>998</v>
      </c>
      <c r="L264">
        <v>94897116862</v>
      </c>
      <c r="M264" t="s">
        <v>1469</v>
      </c>
      <c r="N264" t="s">
        <v>1470</v>
      </c>
      <c r="O264" t="s">
        <v>1471</v>
      </c>
      <c r="P264" t="s">
        <v>1647</v>
      </c>
      <c r="Z264" t="s">
        <v>1470</v>
      </c>
      <c r="AA264" t="s">
        <v>1471</v>
      </c>
      <c r="AB264" t="s">
        <v>1647</v>
      </c>
      <c r="AU264" t="s">
        <v>149</v>
      </c>
      <c r="AV264" t="s">
        <v>146</v>
      </c>
      <c r="AW264" t="s">
        <v>165</v>
      </c>
      <c r="AX264" t="s">
        <v>180</v>
      </c>
      <c r="AY264" s="70" t="s">
        <v>2420</v>
      </c>
      <c r="AZ264" s="70" t="s">
        <v>20</v>
      </c>
      <c r="BA264" s="70">
        <v>0</v>
      </c>
      <c r="BB264" s="70" t="s">
        <v>2427</v>
      </c>
      <c r="BC264" s="70" t="s">
        <v>2418</v>
      </c>
      <c r="BD264" s="70" t="s">
        <v>19</v>
      </c>
      <c r="BE264" t="s">
        <v>165</v>
      </c>
      <c r="BF264" t="s">
        <v>23</v>
      </c>
      <c r="BG264" t="s">
        <v>155</v>
      </c>
      <c r="BH264" t="s">
        <v>24</v>
      </c>
      <c r="BI264" t="s">
        <v>25</v>
      </c>
      <c r="BJ264" t="s">
        <v>24</v>
      </c>
      <c r="BK264" s="70">
        <v>1</v>
      </c>
      <c r="BL264" s="70">
        <v>8</v>
      </c>
      <c r="BN264" t="s">
        <v>2669</v>
      </c>
      <c r="CY264" t="s">
        <v>2703</v>
      </c>
      <c r="DM264" s="70" t="s">
        <v>1919</v>
      </c>
      <c r="DO264" s="70" t="s">
        <v>1919</v>
      </c>
      <c r="DP264" t="s">
        <v>2703</v>
      </c>
      <c r="DQ264" t="s">
        <v>2669</v>
      </c>
      <c r="DS264" t="s">
        <v>2382</v>
      </c>
      <c r="DT264" t="s">
        <v>2383</v>
      </c>
      <c r="DU264" t="s">
        <v>2384</v>
      </c>
    </row>
    <row r="265" spans="2:125" customFormat="1" x14ac:dyDescent="0.25">
      <c r="B265">
        <v>40004017</v>
      </c>
      <c r="C265">
        <v>1</v>
      </c>
      <c r="D265">
        <v>3</v>
      </c>
      <c r="E265">
        <v>29</v>
      </c>
      <c r="F265">
        <v>1997</v>
      </c>
      <c r="G265">
        <v>9</v>
      </c>
      <c r="H265">
        <v>17</v>
      </c>
      <c r="I265">
        <v>2019</v>
      </c>
      <c r="J265" t="s">
        <v>736</v>
      </c>
      <c r="K265" t="s">
        <v>999</v>
      </c>
      <c r="L265">
        <v>7139787225</v>
      </c>
      <c r="M265" t="s">
        <v>1472</v>
      </c>
      <c r="N265" t="s">
        <v>1358</v>
      </c>
      <c r="O265" t="s">
        <v>410</v>
      </c>
      <c r="P265" t="s">
        <v>1648</v>
      </c>
      <c r="Z265" t="s">
        <v>1358</v>
      </c>
      <c r="AA265" t="s">
        <v>410</v>
      </c>
      <c r="AB265" t="s">
        <v>1061</v>
      </c>
      <c r="AU265" t="s">
        <v>26</v>
      </c>
      <c r="AV265" t="s">
        <v>146</v>
      </c>
      <c r="AW265" t="s">
        <v>21</v>
      </c>
      <c r="AX265" t="s">
        <v>25</v>
      </c>
      <c r="AY265" s="70" t="s">
        <v>17</v>
      </c>
      <c r="AZ265" s="70" t="s">
        <v>2420</v>
      </c>
      <c r="BA265" s="70">
        <v>0</v>
      </c>
      <c r="BB265" s="70" t="s">
        <v>18</v>
      </c>
      <c r="BC265" s="70" t="s">
        <v>2418</v>
      </c>
      <c r="BD265" s="70" t="s">
        <v>17</v>
      </c>
      <c r="BE265" t="s">
        <v>21</v>
      </c>
      <c r="BF265" t="s">
        <v>23</v>
      </c>
      <c r="BG265" t="s">
        <v>155</v>
      </c>
      <c r="BH265" t="s">
        <v>165</v>
      </c>
      <c r="BI265" t="s">
        <v>25</v>
      </c>
      <c r="BJ265" t="s">
        <v>186</v>
      </c>
      <c r="BK265" s="70">
        <v>6</v>
      </c>
      <c r="BL265" s="70">
        <v>2</v>
      </c>
      <c r="BN265" t="s">
        <v>2670</v>
      </c>
      <c r="CY265" t="s">
        <v>2704</v>
      </c>
      <c r="DM265" s="70" t="s">
        <v>1920</v>
      </c>
      <c r="DO265" s="70" t="s">
        <v>1920</v>
      </c>
      <c r="DP265" t="s">
        <v>2704</v>
      </c>
      <c r="DQ265" t="s">
        <v>2670</v>
      </c>
      <c r="DS265" t="s">
        <v>2385</v>
      </c>
      <c r="DT265" t="s">
        <v>2287</v>
      </c>
      <c r="DU265" t="s">
        <v>1987</v>
      </c>
    </row>
    <row r="266" spans="2:125" customFormat="1" x14ac:dyDescent="0.25">
      <c r="B266">
        <v>8139625</v>
      </c>
      <c r="C266">
        <v>2</v>
      </c>
      <c r="D266">
        <v>9</v>
      </c>
      <c r="E266">
        <v>3</v>
      </c>
      <c r="F266">
        <v>1991</v>
      </c>
      <c r="G266">
        <v>6</v>
      </c>
      <c r="H266">
        <v>25</v>
      </c>
      <c r="I266">
        <v>2012</v>
      </c>
      <c r="J266" t="s">
        <v>737</v>
      </c>
      <c r="K266" t="s">
        <v>1000</v>
      </c>
      <c r="L266">
        <v>92099164011</v>
      </c>
      <c r="M266" t="s">
        <v>1473</v>
      </c>
      <c r="N266" t="s">
        <v>1402</v>
      </c>
      <c r="O266" t="s">
        <v>457</v>
      </c>
      <c r="P266" t="s">
        <v>1144</v>
      </c>
      <c r="Z266" t="s">
        <v>1402</v>
      </c>
      <c r="AA266" t="s">
        <v>457</v>
      </c>
      <c r="AB266" t="s">
        <v>1144</v>
      </c>
      <c r="AU266" t="s">
        <v>22</v>
      </c>
      <c r="AV266" t="s">
        <v>146</v>
      </c>
      <c r="AW266" t="s">
        <v>25</v>
      </c>
      <c r="AX266" t="s">
        <v>24</v>
      </c>
      <c r="AY266" s="70" t="s">
        <v>17</v>
      </c>
      <c r="AZ266" s="70" t="s">
        <v>20</v>
      </c>
      <c r="BA266" s="70">
        <v>0</v>
      </c>
      <c r="BB266" s="70" t="s">
        <v>17</v>
      </c>
      <c r="BC266" s="70" t="s">
        <v>19</v>
      </c>
      <c r="BD266" s="70" t="s">
        <v>18</v>
      </c>
      <c r="BE266" t="s">
        <v>165</v>
      </c>
      <c r="BF266" t="s">
        <v>23</v>
      </c>
      <c r="BG266" t="s">
        <v>155</v>
      </c>
      <c r="BH266" t="s">
        <v>25</v>
      </c>
      <c r="BI266" t="s">
        <v>149</v>
      </c>
      <c r="BJ266" t="s">
        <v>166</v>
      </c>
      <c r="BK266" s="70">
        <v>8</v>
      </c>
      <c r="BL266" s="70">
        <v>0</v>
      </c>
      <c r="BN266" t="s">
        <v>2671</v>
      </c>
      <c r="CY266" t="s">
        <v>1000</v>
      </c>
      <c r="DM266" s="70" t="s">
        <v>1921</v>
      </c>
      <c r="DO266" s="70" t="s">
        <v>1921</v>
      </c>
      <c r="DP266" t="s">
        <v>1000</v>
      </c>
      <c r="DQ266" t="s">
        <v>2671</v>
      </c>
      <c r="DS266" t="s">
        <v>2386</v>
      </c>
      <c r="DT266" t="s">
        <v>2329</v>
      </c>
      <c r="DU266" t="s">
        <v>2046</v>
      </c>
    </row>
    <row r="267" spans="2:125" customFormat="1" x14ac:dyDescent="0.25">
      <c r="B267">
        <v>9008389</v>
      </c>
      <c r="C267">
        <v>2</v>
      </c>
      <c r="D267">
        <v>8</v>
      </c>
      <c r="E267">
        <v>30</v>
      </c>
      <c r="F267">
        <v>1985</v>
      </c>
      <c r="G267">
        <v>4</v>
      </c>
      <c r="H267">
        <v>20</v>
      </c>
      <c r="I267">
        <v>2015</v>
      </c>
      <c r="J267" t="s">
        <v>738</v>
      </c>
      <c r="K267" t="s">
        <v>1001</v>
      </c>
      <c r="L267">
        <v>39098507435</v>
      </c>
      <c r="M267" t="s">
        <v>1474</v>
      </c>
      <c r="N267" t="s">
        <v>432</v>
      </c>
      <c r="O267" t="s">
        <v>416</v>
      </c>
      <c r="P267" t="s">
        <v>1649</v>
      </c>
      <c r="Z267" t="s">
        <v>432</v>
      </c>
      <c r="AA267" t="s">
        <v>416</v>
      </c>
      <c r="AB267" t="s">
        <v>1075</v>
      </c>
      <c r="AU267" t="s">
        <v>153</v>
      </c>
      <c r="AV267" t="s">
        <v>146</v>
      </c>
      <c r="AW267" t="s">
        <v>157</v>
      </c>
      <c r="AX267" t="s">
        <v>146</v>
      </c>
      <c r="AY267" s="70" t="s">
        <v>2422</v>
      </c>
      <c r="AZ267" s="70" t="s">
        <v>2427</v>
      </c>
      <c r="BA267" s="70">
        <v>0</v>
      </c>
      <c r="BB267" s="70" t="s">
        <v>2422</v>
      </c>
      <c r="BC267" s="70" t="s">
        <v>18</v>
      </c>
      <c r="BD267" s="70" t="s">
        <v>19</v>
      </c>
      <c r="BE267" t="s">
        <v>165</v>
      </c>
      <c r="BF267" t="s">
        <v>23</v>
      </c>
      <c r="BG267" t="s">
        <v>155</v>
      </c>
      <c r="BH267" t="s">
        <v>177</v>
      </c>
      <c r="BI267" t="s">
        <v>166</v>
      </c>
      <c r="BJ267" t="s">
        <v>166</v>
      </c>
      <c r="BK267" s="70">
        <v>3</v>
      </c>
      <c r="BL267" s="70">
        <v>3</v>
      </c>
      <c r="BN267" t="s">
        <v>2672</v>
      </c>
      <c r="CY267" t="s">
        <v>1001</v>
      </c>
      <c r="DM267" s="70" t="s">
        <v>1922</v>
      </c>
      <c r="DO267" s="70" t="s">
        <v>1922</v>
      </c>
      <c r="DP267" t="s">
        <v>1001</v>
      </c>
      <c r="DQ267" t="s">
        <v>2672</v>
      </c>
      <c r="DS267" t="s">
        <v>2387</v>
      </c>
      <c r="DT267" t="s">
        <v>2388</v>
      </c>
      <c r="DU267" t="s">
        <v>1966</v>
      </c>
    </row>
    <row r="268" spans="2:125" customFormat="1" x14ac:dyDescent="0.25">
      <c r="B268">
        <v>7869883</v>
      </c>
      <c r="C268">
        <v>2</v>
      </c>
      <c r="D268">
        <v>3</v>
      </c>
      <c r="E268">
        <v>2</v>
      </c>
      <c r="F268">
        <v>1981</v>
      </c>
      <c r="G268">
        <v>8</v>
      </c>
      <c r="H268">
        <v>22</v>
      </c>
      <c r="I268">
        <v>2011</v>
      </c>
      <c r="J268" t="s">
        <v>739</v>
      </c>
      <c r="K268" t="s">
        <v>1002</v>
      </c>
      <c r="L268">
        <v>1068104627</v>
      </c>
      <c r="M268" t="s">
        <v>1475</v>
      </c>
      <c r="N268" t="s">
        <v>407</v>
      </c>
      <c r="O268" t="s">
        <v>1105</v>
      </c>
      <c r="P268" t="s">
        <v>1650</v>
      </c>
      <c r="Z268" t="s">
        <v>407</v>
      </c>
      <c r="AA268" t="s">
        <v>1105</v>
      </c>
      <c r="AB268" t="s">
        <v>1476</v>
      </c>
      <c r="AU268" t="s">
        <v>24</v>
      </c>
      <c r="AV268" t="s">
        <v>170</v>
      </c>
      <c r="AW268" t="s">
        <v>157</v>
      </c>
      <c r="AX268" t="s">
        <v>177</v>
      </c>
      <c r="AY268" s="70" t="s">
        <v>2422</v>
      </c>
      <c r="AZ268" s="70" t="s">
        <v>20</v>
      </c>
      <c r="BA268" s="70">
        <v>0</v>
      </c>
      <c r="BB268" s="70" t="s">
        <v>18</v>
      </c>
      <c r="BC268" s="70" t="s">
        <v>19</v>
      </c>
      <c r="BD268" s="70" t="s">
        <v>2418</v>
      </c>
      <c r="BE268" t="s">
        <v>165</v>
      </c>
      <c r="BF268" t="s">
        <v>23</v>
      </c>
      <c r="BG268" t="s">
        <v>155</v>
      </c>
      <c r="BH268" t="s">
        <v>172</v>
      </c>
      <c r="BI268" t="s">
        <v>186</v>
      </c>
      <c r="BJ268" t="s">
        <v>25</v>
      </c>
      <c r="BK268" s="70">
        <v>3</v>
      </c>
      <c r="BL268" s="70">
        <v>7</v>
      </c>
      <c r="BN268" t="s">
        <v>2673</v>
      </c>
      <c r="CY268" t="s">
        <v>1002</v>
      </c>
      <c r="DM268" s="70" t="s">
        <v>1923</v>
      </c>
      <c r="DO268" s="70" t="s">
        <v>1923</v>
      </c>
      <c r="DP268" t="s">
        <v>1002</v>
      </c>
      <c r="DQ268" t="s">
        <v>2673</v>
      </c>
      <c r="DS268" t="s">
        <v>2389</v>
      </c>
      <c r="DT268" t="s">
        <v>1980</v>
      </c>
      <c r="DU268" t="s">
        <v>2036</v>
      </c>
    </row>
    <row r="269" spans="2:125" customFormat="1" x14ac:dyDescent="0.25">
      <c r="B269">
        <v>40000090</v>
      </c>
      <c r="C269">
        <v>1</v>
      </c>
      <c r="D269">
        <v>1</v>
      </c>
      <c r="E269">
        <v>11</v>
      </c>
      <c r="F269">
        <v>1986</v>
      </c>
      <c r="G269">
        <v>4</v>
      </c>
      <c r="H269">
        <v>16</v>
      </c>
      <c r="I269">
        <v>2018</v>
      </c>
      <c r="J269" t="s">
        <v>740</v>
      </c>
      <c r="K269" t="s">
        <v>1003</v>
      </c>
      <c r="L269">
        <v>45088625764</v>
      </c>
      <c r="M269" t="s">
        <v>1477</v>
      </c>
      <c r="N269" t="s">
        <v>440</v>
      </c>
      <c r="O269" t="s">
        <v>1160</v>
      </c>
      <c r="P269" t="s">
        <v>1651</v>
      </c>
      <c r="Z269" t="s">
        <v>440</v>
      </c>
      <c r="AA269" t="s">
        <v>1160</v>
      </c>
      <c r="AB269" t="s">
        <v>1651</v>
      </c>
      <c r="AU269" t="s">
        <v>170</v>
      </c>
      <c r="AV269" t="s">
        <v>180</v>
      </c>
      <c r="AW269" t="s">
        <v>170</v>
      </c>
      <c r="AX269" t="s">
        <v>24</v>
      </c>
      <c r="AY269" s="70" t="s">
        <v>2422</v>
      </c>
      <c r="AZ269" s="70" t="s">
        <v>27</v>
      </c>
      <c r="BA269" s="70">
        <v>0</v>
      </c>
      <c r="BB269" s="70" t="s">
        <v>20</v>
      </c>
      <c r="BC269" s="70" t="s">
        <v>20</v>
      </c>
      <c r="BD269" s="70" t="s">
        <v>20</v>
      </c>
      <c r="BE269" t="s">
        <v>21</v>
      </c>
      <c r="BF269" t="s">
        <v>23</v>
      </c>
      <c r="BG269" t="s">
        <v>155</v>
      </c>
      <c r="BH269" t="s">
        <v>24</v>
      </c>
      <c r="BI269" t="s">
        <v>25</v>
      </c>
      <c r="BJ269" t="s">
        <v>26</v>
      </c>
      <c r="BK269" s="70">
        <v>9</v>
      </c>
      <c r="BL269" s="70">
        <v>1</v>
      </c>
      <c r="BN269" t="s">
        <v>2674</v>
      </c>
      <c r="CY269" t="s">
        <v>1003</v>
      </c>
      <c r="DM269" s="70" t="s">
        <v>1924</v>
      </c>
      <c r="DO269" s="70" t="s">
        <v>1924</v>
      </c>
      <c r="DP269" t="s">
        <v>1003</v>
      </c>
      <c r="DQ269" t="s">
        <v>2674</v>
      </c>
      <c r="DS269" t="s">
        <v>2390</v>
      </c>
      <c r="DT269" t="s">
        <v>2391</v>
      </c>
      <c r="DU269" t="s">
        <v>2092</v>
      </c>
    </row>
    <row r="270" spans="2:125" customFormat="1" x14ac:dyDescent="0.25">
      <c r="B270">
        <v>5953917</v>
      </c>
      <c r="C270">
        <v>2</v>
      </c>
      <c r="D270">
        <v>2</v>
      </c>
      <c r="E270">
        <v>21</v>
      </c>
      <c r="F270">
        <v>1968</v>
      </c>
      <c r="G270">
        <v>8</v>
      </c>
      <c r="H270">
        <v>3</v>
      </c>
      <c r="I270">
        <v>1998</v>
      </c>
      <c r="J270" t="s">
        <v>741</v>
      </c>
      <c r="K270" t="s">
        <v>1004</v>
      </c>
      <c r="L270">
        <v>3866838257</v>
      </c>
      <c r="M270" t="s">
        <v>1478</v>
      </c>
      <c r="N270" t="s">
        <v>1479</v>
      </c>
      <c r="O270" t="s">
        <v>418</v>
      </c>
      <c r="P270" t="s">
        <v>1652</v>
      </c>
      <c r="Z270" t="s">
        <v>1031</v>
      </c>
      <c r="AA270" t="s">
        <v>418</v>
      </c>
      <c r="AB270" t="s">
        <v>2414</v>
      </c>
      <c r="AU270" t="s">
        <v>24</v>
      </c>
      <c r="AV270" t="s">
        <v>153</v>
      </c>
      <c r="AW270" t="s">
        <v>172</v>
      </c>
      <c r="AX270" t="s">
        <v>24</v>
      </c>
      <c r="AY270" s="70" t="s">
        <v>27</v>
      </c>
      <c r="AZ270" s="70" t="s">
        <v>2422</v>
      </c>
      <c r="BA270" s="70">
        <v>0</v>
      </c>
      <c r="BB270" s="70" t="s">
        <v>2418</v>
      </c>
      <c r="BC270" s="70" t="s">
        <v>2418</v>
      </c>
      <c r="BD270" s="70" t="s">
        <v>20</v>
      </c>
      <c r="BE270" t="s">
        <v>165</v>
      </c>
      <c r="BF270" t="s">
        <v>23</v>
      </c>
      <c r="BG270" t="s">
        <v>155</v>
      </c>
      <c r="BH270" t="s">
        <v>166</v>
      </c>
      <c r="BI270" t="s">
        <v>25</v>
      </c>
      <c r="BJ270" t="s">
        <v>177</v>
      </c>
      <c r="BK270" s="70">
        <v>6</v>
      </c>
      <c r="BL270" s="70">
        <v>7</v>
      </c>
      <c r="BN270" t="s">
        <v>2675</v>
      </c>
      <c r="CY270" t="s">
        <v>1673</v>
      </c>
      <c r="DM270" s="70" t="s">
        <v>1925</v>
      </c>
      <c r="DO270" s="70" t="s">
        <v>1925</v>
      </c>
      <c r="DP270" t="s">
        <v>1673</v>
      </c>
      <c r="DQ270" t="s">
        <v>2675</v>
      </c>
      <c r="DS270" t="s">
        <v>2392</v>
      </c>
      <c r="DT270" t="s">
        <v>2393</v>
      </c>
      <c r="DU270" t="s">
        <v>1981</v>
      </c>
    </row>
    <row r="271" spans="2:125" customFormat="1" x14ac:dyDescent="0.25">
      <c r="B271">
        <v>40009451</v>
      </c>
      <c r="C271">
        <v>1</v>
      </c>
      <c r="D271">
        <v>6</v>
      </c>
      <c r="E271">
        <v>20</v>
      </c>
      <c r="F271">
        <v>1984</v>
      </c>
      <c r="G271">
        <v>1</v>
      </c>
      <c r="H271">
        <v>4</v>
      </c>
      <c r="I271">
        <v>2022</v>
      </c>
      <c r="J271" t="s">
        <v>742</v>
      </c>
      <c r="K271" t="s">
        <v>1005</v>
      </c>
      <c r="L271">
        <v>92058408367</v>
      </c>
      <c r="M271" t="s">
        <v>1480</v>
      </c>
      <c r="N271" t="s">
        <v>465</v>
      </c>
      <c r="O271" t="s">
        <v>1470</v>
      </c>
      <c r="P271" t="s">
        <v>1584</v>
      </c>
      <c r="Z271" t="s">
        <v>465</v>
      </c>
      <c r="AA271" t="s">
        <v>1470</v>
      </c>
      <c r="AB271" t="s">
        <v>442</v>
      </c>
      <c r="AU271" t="s">
        <v>146</v>
      </c>
      <c r="AV271" t="s">
        <v>146</v>
      </c>
      <c r="AW271" t="s">
        <v>149</v>
      </c>
      <c r="AX271" t="s">
        <v>161</v>
      </c>
      <c r="AY271" s="70" t="s">
        <v>2422</v>
      </c>
      <c r="AZ271" s="70" t="s">
        <v>2428</v>
      </c>
      <c r="BA271" s="70">
        <v>0</v>
      </c>
      <c r="BB271" s="70" t="s">
        <v>27</v>
      </c>
      <c r="BC271" s="70" t="s">
        <v>2418</v>
      </c>
      <c r="BD271" s="70" t="s">
        <v>19</v>
      </c>
      <c r="BE271" t="s">
        <v>21</v>
      </c>
      <c r="BF271" t="s">
        <v>23</v>
      </c>
      <c r="BG271" t="s">
        <v>155</v>
      </c>
      <c r="BH271" t="s">
        <v>24</v>
      </c>
      <c r="BI271" t="s">
        <v>24</v>
      </c>
      <c r="BJ271" t="s">
        <v>166</v>
      </c>
      <c r="BK271" s="70">
        <v>6</v>
      </c>
      <c r="BL271" s="70">
        <v>6</v>
      </c>
      <c r="BN271" t="s">
        <v>2676</v>
      </c>
      <c r="CY271" t="s">
        <v>1005</v>
      </c>
      <c r="DM271" s="70" t="s">
        <v>1926</v>
      </c>
      <c r="DO271" s="70" t="s">
        <v>1926</v>
      </c>
      <c r="DP271" t="s">
        <v>1005</v>
      </c>
      <c r="DQ271" t="s">
        <v>2676</v>
      </c>
      <c r="DS271" t="s">
        <v>2208</v>
      </c>
      <c r="DT271" t="s">
        <v>2109</v>
      </c>
      <c r="DU271" t="s">
        <v>2383</v>
      </c>
    </row>
    <row r="272" spans="2:125" customFormat="1" x14ac:dyDescent="0.25">
      <c r="B272">
        <v>5949316</v>
      </c>
      <c r="C272">
        <v>1</v>
      </c>
      <c r="D272">
        <v>2</v>
      </c>
      <c r="E272">
        <v>18</v>
      </c>
      <c r="F272">
        <v>1979</v>
      </c>
      <c r="G272">
        <v>7</v>
      </c>
      <c r="H272">
        <v>15</v>
      </c>
      <c r="I272">
        <v>2004</v>
      </c>
      <c r="J272" t="s">
        <v>743</v>
      </c>
      <c r="K272" t="s">
        <v>1006</v>
      </c>
      <c r="L272">
        <v>43007936941</v>
      </c>
      <c r="M272" t="s">
        <v>1481</v>
      </c>
      <c r="N272" t="s">
        <v>465</v>
      </c>
      <c r="O272" t="s">
        <v>461</v>
      </c>
      <c r="P272" t="s">
        <v>1653</v>
      </c>
      <c r="Z272" t="s">
        <v>465</v>
      </c>
      <c r="AA272" t="s">
        <v>461</v>
      </c>
      <c r="AB272" t="s">
        <v>1482</v>
      </c>
      <c r="AU272" t="s">
        <v>146</v>
      </c>
      <c r="AV272" t="s">
        <v>146</v>
      </c>
      <c r="AW272" t="s">
        <v>157</v>
      </c>
      <c r="AX272" t="s">
        <v>146</v>
      </c>
      <c r="AY272" s="70" t="s">
        <v>2420</v>
      </c>
      <c r="AZ272" s="70" t="s">
        <v>17</v>
      </c>
      <c r="BA272" s="70">
        <v>0</v>
      </c>
      <c r="BB272" s="70" t="s">
        <v>2418</v>
      </c>
      <c r="BC272" s="70" t="s">
        <v>20</v>
      </c>
      <c r="BD272" s="70" t="s">
        <v>2422</v>
      </c>
      <c r="BE272" t="s">
        <v>21</v>
      </c>
      <c r="BF272" t="s">
        <v>23</v>
      </c>
      <c r="BG272" t="s">
        <v>155</v>
      </c>
      <c r="BH272" t="s">
        <v>24</v>
      </c>
      <c r="BI272" t="s">
        <v>182</v>
      </c>
      <c r="BJ272" t="s">
        <v>23</v>
      </c>
      <c r="BK272" s="70">
        <v>0</v>
      </c>
      <c r="BL272" s="70">
        <v>1</v>
      </c>
      <c r="BN272" t="s">
        <v>2677</v>
      </c>
      <c r="CY272" t="s">
        <v>1006</v>
      </c>
      <c r="DM272" s="70" t="s">
        <v>1927</v>
      </c>
      <c r="DO272" s="70" t="s">
        <v>1927</v>
      </c>
      <c r="DP272" t="s">
        <v>1006</v>
      </c>
      <c r="DQ272" t="s">
        <v>2677</v>
      </c>
      <c r="DS272" t="s">
        <v>2394</v>
      </c>
      <c r="DT272" t="s">
        <v>2109</v>
      </c>
      <c r="DU272" t="s">
        <v>2395</v>
      </c>
    </row>
    <row r="273" spans="2:125" customFormat="1" x14ac:dyDescent="0.25">
      <c r="B273">
        <v>40010353</v>
      </c>
      <c r="C273">
        <v>2</v>
      </c>
      <c r="D273">
        <v>10</v>
      </c>
      <c r="E273">
        <v>24</v>
      </c>
      <c r="F273">
        <v>1999</v>
      </c>
      <c r="G273">
        <v>6</v>
      </c>
      <c r="H273">
        <v>1</v>
      </c>
      <c r="I273">
        <v>2022</v>
      </c>
      <c r="J273" t="s">
        <v>744</v>
      </c>
      <c r="K273" t="s">
        <v>1007</v>
      </c>
      <c r="L273">
        <v>92149910769</v>
      </c>
      <c r="M273" t="s">
        <v>1483</v>
      </c>
      <c r="N273" t="s">
        <v>416</v>
      </c>
      <c r="O273" t="s">
        <v>410</v>
      </c>
      <c r="P273" t="s">
        <v>1654</v>
      </c>
      <c r="Z273" t="s">
        <v>416</v>
      </c>
      <c r="AA273" t="s">
        <v>410</v>
      </c>
      <c r="AB273" t="s">
        <v>1654</v>
      </c>
      <c r="AU273" t="s">
        <v>157</v>
      </c>
      <c r="AV273" t="s">
        <v>170</v>
      </c>
      <c r="AW273" t="s">
        <v>21</v>
      </c>
      <c r="AX273" t="s">
        <v>159</v>
      </c>
      <c r="AY273" s="70" t="s">
        <v>17</v>
      </c>
      <c r="AZ273" s="70" t="s">
        <v>17</v>
      </c>
      <c r="BA273" s="70">
        <v>1</v>
      </c>
      <c r="BB273" s="70" t="s">
        <v>19</v>
      </c>
      <c r="BC273" s="70" t="s">
        <v>2418</v>
      </c>
      <c r="BD273" s="70" t="s">
        <v>2428</v>
      </c>
      <c r="BE273" t="s">
        <v>165</v>
      </c>
      <c r="BF273" t="s">
        <v>23</v>
      </c>
      <c r="BG273" t="s">
        <v>155</v>
      </c>
      <c r="BH273" t="s">
        <v>166</v>
      </c>
      <c r="BI273" t="s">
        <v>25</v>
      </c>
      <c r="BJ273" t="s">
        <v>177</v>
      </c>
      <c r="BK273" s="70">
        <v>5</v>
      </c>
      <c r="BL273" s="70">
        <v>8</v>
      </c>
      <c r="BN273" t="s">
        <v>2678</v>
      </c>
      <c r="CY273" t="s">
        <v>1007</v>
      </c>
      <c r="DM273" s="70" t="s">
        <v>1928</v>
      </c>
      <c r="DO273" s="70" t="s">
        <v>1928</v>
      </c>
      <c r="DP273" t="s">
        <v>1007</v>
      </c>
      <c r="DQ273" t="s">
        <v>2678</v>
      </c>
      <c r="DS273" t="s">
        <v>2396</v>
      </c>
      <c r="DT273" t="s">
        <v>1966</v>
      </c>
      <c r="DU273" t="s">
        <v>1987</v>
      </c>
    </row>
    <row r="274" spans="2:125" customFormat="1" x14ac:dyDescent="0.25">
      <c r="B274">
        <v>40005462</v>
      </c>
      <c r="C274">
        <v>2</v>
      </c>
      <c r="D274">
        <v>11</v>
      </c>
      <c r="E274">
        <v>21</v>
      </c>
      <c r="F274">
        <v>1997</v>
      </c>
      <c r="G274">
        <v>9</v>
      </c>
      <c r="H274">
        <v>21</v>
      </c>
      <c r="I274">
        <v>2020</v>
      </c>
      <c r="J274" t="s">
        <v>745</v>
      </c>
      <c r="K274" t="s">
        <v>1008</v>
      </c>
      <c r="L274">
        <v>94129749894</v>
      </c>
      <c r="M274" t="s">
        <v>1484</v>
      </c>
      <c r="N274" t="s">
        <v>426</v>
      </c>
      <c r="O274" t="s">
        <v>1485</v>
      </c>
      <c r="P274" t="s">
        <v>1655</v>
      </c>
      <c r="Z274" t="s">
        <v>426</v>
      </c>
      <c r="AA274" t="s">
        <v>1485</v>
      </c>
      <c r="AB274" t="s">
        <v>1149</v>
      </c>
      <c r="AU274" t="s">
        <v>177</v>
      </c>
      <c r="AV274" t="s">
        <v>146</v>
      </c>
      <c r="AW274" t="s">
        <v>172</v>
      </c>
      <c r="AX274" t="s">
        <v>24</v>
      </c>
      <c r="AY274" s="70" t="s">
        <v>17</v>
      </c>
      <c r="AZ274" s="70" t="s">
        <v>2420</v>
      </c>
      <c r="BA274" s="70">
        <v>1</v>
      </c>
      <c r="BB274" s="70" t="s">
        <v>20</v>
      </c>
      <c r="BC274" s="70" t="s">
        <v>2418</v>
      </c>
      <c r="BD274" s="70" t="s">
        <v>20</v>
      </c>
      <c r="BE274" t="s">
        <v>165</v>
      </c>
      <c r="BF274" t="s">
        <v>23</v>
      </c>
      <c r="BG274" t="s">
        <v>155</v>
      </c>
      <c r="BH274" t="s">
        <v>166</v>
      </c>
      <c r="BI274" t="s">
        <v>25</v>
      </c>
      <c r="BJ274" t="s">
        <v>177</v>
      </c>
      <c r="BK274" s="70">
        <v>3</v>
      </c>
      <c r="BL274" s="70">
        <v>1</v>
      </c>
      <c r="BN274" t="s">
        <v>2679</v>
      </c>
      <c r="CY274" t="s">
        <v>2705</v>
      </c>
      <c r="DM274" s="70" t="s">
        <v>1929</v>
      </c>
      <c r="DO274" s="70" t="s">
        <v>1929</v>
      </c>
      <c r="DP274" t="s">
        <v>2705</v>
      </c>
      <c r="DQ274" t="s">
        <v>2679</v>
      </c>
      <c r="DS274" t="s">
        <v>2397</v>
      </c>
      <c r="DT274" t="s">
        <v>1990</v>
      </c>
      <c r="DU274" t="s">
        <v>2398</v>
      </c>
    </row>
    <row r="275" spans="2:125" customFormat="1" x14ac:dyDescent="0.25">
      <c r="B275">
        <v>40011248</v>
      </c>
      <c r="C275">
        <v>2</v>
      </c>
      <c r="D275">
        <v>10</v>
      </c>
      <c r="E275">
        <v>15</v>
      </c>
      <c r="F275">
        <v>1998</v>
      </c>
      <c r="G275">
        <v>9</v>
      </c>
      <c r="H275">
        <v>19</v>
      </c>
      <c r="I275">
        <v>2022</v>
      </c>
      <c r="J275" t="s">
        <v>746</v>
      </c>
      <c r="K275" t="s">
        <v>1009</v>
      </c>
      <c r="L275">
        <v>90149801194</v>
      </c>
      <c r="M275" t="s">
        <v>1486</v>
      </c>
      <c r="N275" t="s">
        <v>481</v>
      </c>
      <c r="O275" t="s">
        <v>465</v>
      </c>
      <c r="P275" t="s">
        <v>1656</v>
      </c>
      <c r="Z275" t="s">
        <v>481</v>
      </c>
      <c r="AA275" t="s">
        <v>465</v>
      </c>
      <c r="AB275" t="s">
        <v>77</v>
      </c>
      <c r="AU275" t="s">
        <v>155</v>
      </c>
      <c r="AV275" t="s">
        <v>170</v>
      </c>
      <c r="AW275" t="s">
        <v>146</v>
      </c>
      <c r="AX275" t="s">
        <v>25</v>
      </c>
      <c r="AY275" s="70" t="s">
        <v>17</v>
      </c>
      <c r="AZ275" s="70" t="s">
        <v>2422</v>
      </c>
      <c r="BA275" s="70">
        <v>1</v>
      </c>
      <c r="BB275" s="70" t="s">
        <v>19</v>
      </c>
      <c r="BC275" s="70" t="s">
        <v>20</v>
      </c>
      <c r="BD275" s="70" t="s">
        <v>2427</v>
      </c>
      <c r="BE275" t="s">
        <v>165</v>
      </c>
      <c r="BF275" t="s">
        <v>23</v>
      </c>
      <c r="BG275" t="s">
        <v>155</v>
      </c>
      <c r="BH275" t="s">
        <v>24</v>
      </c>
      <c r="BI275" t="s">
        <v>24</v>
      </c>
      <c r="BJ275" t="s">
        <v>155</v>
      </c>
      <c r="BK275" s="70">
        <v>3</v>
      </c>
      <c r="BL275" s="70">
        <v>5</v>
      </c>
      <c r="BN275" t="s">
        <v>2680</v>
      </c>
      <c r="CY275" t="s">
        <v>1009</v>
      </c>
      <c r="DM275" s="70" t="s">
        <v>1930</v>
      </c>
      <c r="DO275" s="70" t="s">
        <v>1930</v>
      </c>
      <c r="DP275" t="s">
        <v>1009</v>
      </c>
      <c r="DQ275" t="s">
        <v>2680</v>
      </c>
      <c r="DS275" t="s">
        <v>2399</v>
      </c>
      <c r="DT275" t="s">
        <v>1968</v>
      </c>
      <c r="DU275" t="s">
        <v>2109</v>
      </c>
    </row>
    <row r="276" spans="2:125" customFormat="1" x14ac:dyDescent="0.25">
      <c r="B276">
        <v>5972334</v>
      </c>
      <c r="C276">
        <v>2</v>
      </c>
      <c r="D276">
        <v>9</v>
      </c>
      <c r="E276">
        <v>24</v>
      </c>
      <c r="F276">
        <v>1973</v>
      </c>
      <c r="G276">
        <v>10</v>
      </c>
      <c r="H276">
        <v>13</v>
      </c>
      <c r="I276">
        <v>1997</v>
      </c>
      <c r="J276" t="s">
        <v>747</v>
      </c>
      <c r="K276" t="s">
        <v>1010</v>
      </c>
      <c r="L276">
        <v>11927333762</v>
      </c>
      <c r="M276" t="s">
        <v>1487</v>
      </c>
      <c r="N276" t="s">
        <v>420</v>
      </c>
      <c r="O276" t="s">
        <v>481</v>
      </c>
      <c r="P276" t="s">
        <v>1657</v>
      </c>
      <c r="Z276" t="s">
        <v>420</v>
      </c>
      <c r="AA276" t="s">
        <v>481</v>
      </c>
      <c r="AB276" t="s">
        <v>1657</v>
      </c>
      <c r="AU276" t="s">
        <v>25</v>
      </c>
      <c r="AV276" t="s">
        <v>180</v>
      </c>
      <c r="AW276" t="s">
        <v>155</v>
      </c>
      <c r="AX276" t="s">
        <v>165</v>
      </c>
      <c r="AY276" s="70" t="s">
        <v>2420</v>
      </c>
      <c r="AZ276" s="70" t="s">
        <v>18</v>
      </c>
      <c r="BA276" s="70">
        <v>0</v>
      </c>
      <c r="BB276" s="70" t="s">
        <v>17</v>
      </c>
      <c r="BC276" s="70" t="s">
        <v>2418</v>
      </c>
      <c r="BD276" s="70" t="s">
        <v>2428</v>
      </c>
      <c r="BE276" t="s">
        <v>165</v>
      </c>
      <c r="BF276" t="s">
        <v>23</v>
      </c>
      <c r="BG276" t="s">
        <v>155</v>
      </c>
      <c r="BH276" t="s">
        <v>26</v>
      </c>
      <c r="BI276" t="s">
        <v>24</v>
      </c>
      <c r="BJ276" t="s">
        <v>25</v>
      </c>
      <c r="BK276" s="70">
        <v>5</v>
      </c>
      <c r="BL276" s="70">
        <v>3</v>
      </c>
      <c r="BN276" t="s">
        <v>2681</v>
      </c>
      <c r="CY276" t="s">
        <v>1010</v>
      </c>
      <c r="DM276" s="70" t="s">
        <v>1931</v>
      </c>
      <c r="DO276" s="70" t="s">
        <v>1931</v>
      </c>
      <c r="DP276" t="s">
        <v>1010</v>
      </c>
      <c r="DQ276" t="s">
        <v>2681</v>
      </c>
      <c r="DS276" t="s">
        <v>2400</v>
      </c>
      <c r="DT276" t="s">
        <v>2060</v>
      </c>
      <c r="DU276" t="s">
        <v>1968</v>
      </c>
    </row>
    <row r="277" spans="2:125" customFormat="1" x14ac:dyDescent="0.25">
      <c r="B277">
        <v>5947569</v>
      </c>
      <c r="C277">
        <v>1</v>
      </c>
      <c r="D277">
        <v>2</v>
      </c>
      <c r="E277">
        <v>22</v>
      </c>
      <c r="F277">
        <v>1971</v>
      </c>
      <c r="G277">
        <v>9</v>
      </c>
      <c r="H277">
        <v>4</v>
      </c>
      <c r="I277">
        <v>1997</v>
      </c>
      <c r="J277" t="s">
        <v>748</v>
      </c>
      <c r="K277" t="s">
        <v>1011</v>
      </c>
      <c r="L277">
        <v>30897149198</v>
      </c>
      <c r="M277" t="s">
        <v>1488</v>
      </c>
      <c r="N277" t="s">
        <v>1489</v>
      </c>
      <c r="O277" t="s">
        <v>409</v>
      </c>
      <c r="P277" t="s">
        <v>1658</v>
      </c>
      <c r="Z277" t="s">
        <v>1489</v>
      </c>
      <c r="AA277" t="s">
        <v>409</v>
      </c>
      <c r="AB277" t="s">
        <v>1490</v>
      </c>
      <c r="AU277" t="s">
        <v>146</v>
      </c>
      <c r="AV277" t="s">
        <v>146</v>
      </c>
      <c r="AW277" t="s">
        <v>165</v>
      </c>
      <c r="AX277" t="s">
        <v>165</v>
      </c>
      <c r="AY277" s="70" t="s">
        <v>2420</v>
      </c>
      <c r="AZ277" s="70" t="s">
        <v>20</v>
      </c>
      <c r="BA277" s="70">
        <v>0</v>
      </c>
      <c r="BB277" s="70" t="s">
        <v>2418</v>
      </c>
      <c r="BC277" s="70" t="s">
        <v>2418</v>
      </c>
      <c r="BD277" s="70" t="s">
        <v>2418</v>
      </c>
      <c r="BE277" t="s">
        <v>21</v>
      </c>
      <c r="BF277" t="s">
        <v>23</v>
      </c>
      <c r="BG277" t="s">
        <v>155</v>
      </c>
      <c r="BH277" t="s">
        <v>182</v>
      </c>
      <c r="BI277" t="s">
        <v>25</v>
      </c>
      <c r="BJ277" t="s">
        <v>25</v>
      </c>
      <c r="BK277" s="70">
        <v>0</v>
      </c>
      <c r="BL277" s="70">
        <v>1</v>
      </c>
      <c r="BN277" t="s">
        <v>2682</v>
      </c>
      <c r="CY277" t="s">
        <v>1011</v>
      </c>
      <c r="DM277" s="70" t="s">
        <v>1932</v>
      </c>
      <c r="DO277" s="70" t="s">
        <v>1932</v>
      </c>
      <c r="DP277" t="s">
        <v>1011</v>
      </c>
      <c r="DQ277" t="s">
        <v>2682</v>
      </c>
      <c r="DS277" t="s">
        <v>2401</v>
      </c>
      <c r="DT277" t="s">
        <v>2402</v>
      </c>
      <c r="DU277" t="s">
        <v>2016</v>
      </c>
    </row>
    <row r="278" spans="2:125" customFormat="1" x14ac:dyDescent="0.25">
      <c r="B278">
        <v>5967624</v>
      </c>
      <c r="C278">
        <v>1</v>
      </c>
      <c r="D278">
        <v>3</v>
      </c>
      <c r="E278">
        <v>2</v>
      </c>
      <c r="F278">
        <v>1969</v>
      </c>
      <c r="G278">
        <v>3</v>
      </c>
      <c r="H278">
        <v>1</v>
      </c>
      <c r="I278">
        <v>2003</v>
      </c>
      <c r="J278" t="s">
        <v>749</v>
      </c>
      <c r="K278" t="s">
        <v>1012</v>
      </c>
      <c r="L278">
        <v>1866917949</v>
      </c>
      <c r="M278" t="s">
        <v>1491</v>
      </c>
      <c r="N278" t="s">
        <v>1160</v>
      </c>
      <c r="O278" t="s">
        <v>488</v>
      </c>
      <c r="P278" t="s">
        <v>1659</v>
      </c>
      <c r="Z278" t="s">
        <v>1160</v>
      </c>
      <c r="AA278" t="s">
        <v>488</v>
      </c>
      <c r="AB278" t="s">
        <v>92</v>
      </c>
      <c r="AU278" t="s">
        <v>170</v>
      </c>
      <c r="AV278" t="s">
        <v>153</v>
      </c>
      <c r="AW278" t="s">
        <v>25</v>
      </c>
      <c r="AX278" t="s">
        <v>165</v>
      </c>
      <c r="AY278" s="70" t="s">
        <v>27</v>
      </c>
      <c r="AZ278" s="70" t="s">
        <v>17</v>
      </c>
      <c r="BA278" s="70">
        <v>0</v>
      </c>
      <c r="BB278" s="70" t="s">
        <v>18</v>
      </c>
      <c r="BC278" s="70" t="s">
        <v>19</v>
      </c>
      <c r="BD278" s="70" t="s">
        <v>2418</v>
      </c>
      <c r="BE278" t="s">
        <v>21</v>
      </c>
      <c r="BF278" t="s">
        <v>23</v>
      </c>
      <c r="BG278" t="s">
        <v>155</v>
      </c>
      <c r="BH278" t="s">
        <v>25</v>
      </c>
      <c r="BI278" t="s">
        <v>165</v>
      </c>
      <c r="BJ278" t="s">
        <v>166</v>
      </c>
      <c r="BK278" s="70">
        <v>7</v>
      </c>
      <c r="BL278" s="70">
        <v>5</v>
      </c>
      <c r="BN278" t="s">
        <v>2683</v>
      </c>
      <c r="CY278" t="s">
        <v>1012</v>
      </c>
      <c r="DM278" s="70" t="s">
        <v>1933</v>
      </c>
      <c r="DO278" s="70" t="s">
        <v>1933</v>
      </c>
      <c r="DP278" t="s">
        <v>1012</v>
      </c>
      <c r="DQ278" t="s">
        <v>2683</v>
      </c>
      <c r="DS278" t="s">
        <v>2403</v>
      </c>
      <c r="DT278" t="s">
        <v>2092</v>
      </c>
      <c r="DU278" t="s">
        <v>2262</v>
      </c>
    </row>
    <row r="279" spans="2:125" customFormat="1" x14ac:dyDescent="0.25">
      <c r="B279">
        <v>40008833</v>
      </c>
      <c r="C279">
        <v>1</v>
      </c>
      <c r="D279">
        <v>11</v>
      </c>
      <c r="E279">
        <v>18</v>
      </c>
      <c r="F279">
        <v>1984</v>
      </c>
      <c r="G279">
        <v>9</v>
      </c>
      <c r="H279">
        <v>1</v>
      </c>
      <c r="I279">
        <v>2021</v>
      </c>
      <c r="J279" t="s">
        <v>750</v>
      </c>
      <c r="K279" t="s">
        <v>1013</v>
      </c>
      <c r="L279">
        <v>11078407316</v>
      </c>
      <c r="M279" t="s">
        <v>1492</v>
      </c>
      <c r="N279" t="s">
        <v>407</v>
      </c>
      <c r="O279" t="s">
        <v>1493</v>
      </c>
      <c r="P279" t="s">
        <v>72</v>
      </c>
      <c r="Z279" t="s">
        <v>407</v>
      </c>
      <c r="AA279" t="s">
        <v>1493</v>
      </c>
      <c r="AB279" t="s">
        <v>444</v>
      </c>
      <c r="AU279" t="s">
        <v>24</v>
      </c>
      <c r="AV279" t="s">
        <v>170</v>
      </c>
      <c r="AW279" t="s">
        <v>165</v>
      </c>
      <c r="AX279" t="s">
        <v>165</v>
      </c>
      <c r="AY279" s="70" t="s">
        <v>2422</v>
      </c>
      <c r="AZ279" s="70" t="s">
        <v>2428</v>
      </c>
      <c r="BA279" s="70">
        <v>1</v>
      </c>
      <c r="BB279" s="70" t="s">
        <v>20</v>
      </c>
      <c r="BC279" s="70" t="s">
        <v>20</v>
      </c>
      <c r="BD279" s="70" t="s">
        <v>2422</v>
      </c>
      <c r="BE279" t="s">
        <v>21</v>
      </c>
      <c r="BF279" t="s">
        <v>23</v>
      </c>
      <c r="BG279" t="s">
        <v>155</v>
      </c>
      <c r="BH279" t="s">
        <v>172</v>
      </c>
      <c r="BI279" t="s">
        <v>25</v>
      </c>
      <c r="BJ279" t="s">
        <v>157</v>
      </c>
      <c r="BK279" s="70">
        <v>6</v>
      </c>
      <c r="BL279" s="70">
        <v>3</v>
      </c>
      <c r="BN279" t="s">
        <v>2684</v>
      </c>
      <c r="CY279" t="s">
        <v>1013</v>
      </c>
      <c r="DM279" s="70" t="s">
        <v>1934</v>
      </c>
      <c r="DO279" s="70" t="s">
        <v>1934</v>
      </c>
      <c r="DP279" t="s">
        <v>1013</v>
      </c>
      <c r="DQ279" t="s">
        <v>2684</v>
      </c>
      <c r="DS279" t="s">
        <v>2001</v>
      </c>
      <c r="DT279" t="s">
        <v>1980</v>
      </c>
      <c r="DU279" t="s">
        <v>2404</v>
      </c>
    </row>
    <row r="280" spans="2:125" customFormat="1" x14ac:dyDescent="0.25">
      <c r="B280">
        <v>5966326</v>
      </c>
      <c r="C280">
        <v>1</v>
      </c>
      <c r="D280">
        <v>5</v>
      </c>
      <c r="E280">
        <v>3</v>
      </c>
      <c r="F280">
        <v>1966</v>
      </c>
      <c r="G280">
        <v>11</v>
      </c>
      <c r="H280">
        <v>3</v>
      </c>
      <c r="I280">
        <v>1998</v>
      </c>
      <c r="J280" t="s">
        <v>751</v>
      </c>
      <c r="K280" t="s">
        <v>1014</v>
      </c>
      <c r="L280">
        <v>17856636901</v>
      </c>
      <c r="M280" t="s">
        <v>1494</v>
      </c>
      <c r="N280" t="s">
        <v>411</v>
      </c>
      <c r="O280" t="s">
        <v>1039</v>
      </c>
      <c r="P280" t="s">
        <v>1660</v>
      </c>
      <c r="Z280" t="s">
        <v>411</v>
      </c>
      <c r="AA280" t="s">
        <v>1039</v>
      </c>
      <c r="AB280" t="s">
        <v>1495</v>
      </c>
      <c r="AU280" t="s">
        <v>165</v>
      </c>
      <c r="AV280" t="s">
        <v>170</v>
      </c>
      <c r="AW280" t="s">
        <v>22</v>
      </c>
      <c r="AX280" t="s">
        <v>166</v>
      </c>
      <c r="AY280" s="70" t="s">
        <v>27</v>
      </c>
      <c r="AZ280" s="70" t="s">
        <v>27</v>
      </c>
      <c r="BA280" s="70">
        <v>0</v>
      </c>
      <c r="BB280" s="70" t="s">
        <v>2427</v>
      </c>
      <c r="BC280" s="70" t="s">
        <v>19</v>
      </c>
      <c r="BD280" s="70" t="s">
        <v>18</v>
      </c>
      <c r="BE280" t="s">
        <v>21</v>
      </c>
      <c r="BF280" t="s">
        <v>23</v>
      </c>
      <c r="BG280" t="s">
        <v>155</v>
      </c>
      <c r="BH280" t="s">
        <v>25</v>
      </c>
      <c r="BI280" t="s">
        <v>25</v>
      </c>
      <c r="BJ280" t="s">
        <v>24</v>
      </c>
      <c r="BK280" s="70">
        <v>9</v>
      </c>
      <c r="BL280" s="70">
        <v>8</v>
      </c>
      <c r="BN280" t="s">
        <v>2685</v>
      </c>
      <c r="CY280" t="s">
        <v>1014</v>
      </c>
      <c r="DM280" s="70" t="s">
        <v>1935</v>
      </c>
      <c r="DO280" s="70" t="s">
        <v>1935</v>
      </c>
      <c r="DP280" t="s">
        <v>1014</v>
      </c>
      <c r="DQ280" t="s">
        <v>2685</v>
      </c>
      <c r="DS280" t="s">
        <v>2405</v>
      </c>
      <c r="DT280" t="s">
        <v>2069</v>
      </c>
      <c r="DU280" t="s">
        <v>1963</v>
      </c>
    </row>
    <row r="281" spans="2:125" customFormat="1" x14ac:dyDescent="0.25">
      <c r="B281">
        <v>9215776</v>
      </c>
      <c r="C281">
        <v>2</v>
      </c>
      <c r="D281">
        <v>3</v>
      </c>
      <c r="E281">
        <v>7</v>
      </c>
      <c r="F281">
        <v>1976</v>
      </c>
      <c r="G281">
        <v>5</v>
      </c>
      <c r="H281">
        <v>1</v>
      </c>
      <c r="I281">
        <v>2017</v>
      </c>
      <c r="J281" t="s">
        <v>752</v>
      </c>
      <c r="K281" t="s">
        <v>1015</v>
      </c>
      <c r="L281">
        <v>11987615967</v>
      </c>
      <c r="M281" t="s">
        <v>1496</v>
      </c>
      <c r="N281" t="s">
        <v>80</v>
      </c>
      <c r="O281" t="s">
        <v>1169</v>
      </c>
      <c r="P281" t="s">
        <v>1661</v>
      </c>
      <c r="Z281" t="s">
        <v>80</v>
      </c>
      <c r="AA281" t="s">
        <v>1169</v>
      </c>
      <c r="AB281" t="s">
        <v>1661</v>
      </c>
      <c r="AU281" t="s">
        <v>157</v>
      </c>
      <c r="AV281" t="s">
        <v>180</v>
      </c>
      <c r="AW281" t="s">
        <v>146</v>
      </c>
      <c r="AX281" t="s">
        <v>166</v>
      </c>
      <c r="AY281" s="70" t="s">
        <v>2420</v>
      </c>
      <c r="AZ281" s="70" t="s">
        <v>27</v>
      </c>
      <c r="BA281" s="70">
        <v>0</v>
      </c>
      <c r="BB281" s="70" t="s">
        <v>18</v>
      </c>
      <c r="BC281" s="70" t="s">
        <v>19</v>
      </c>
      <c r="BD281" s="70" t="s">
        <v>2420</v>
      </c>
      <c r="BE281" t="s">
        <v>165</v>
      </c>
      <c r="BF281" t="s">
        <v>23</v>
      </c>
      <c r="BG281" t="s">
        <v>155</v>
      </c>
      <c r="BH281" t="s">
        <v>25</v>
      </c>
      <c r="BI281" t="s">
        <v>25</v>
      </c>
      <c r="BJ281" t="s">
        <v>25</v>
      </c>
      <c r="BK281" s="70">
        <v>5</v>
      </c>
      <c r="BL281" s="70">
        <v>3</v>
      </c>
      <c r="BN281" t="s">
        <v>2686</v>
      </c>
      <c r="CY281" t="s">
        <v>2706</v>
      </c>
      <c r="DM281" s="70" t="s">
        <v>1936</v>
      </c>
      <c r="DO281" s="70" t="s">
        <v>1936</v>
      </c>
      <c r="DP281" t="s">
        <v>2706</v>
      </c>
      <c r="DQ281" t="s">
        <v>2686</v>
      </c>
      <c r="DS281" t="s">
        <v>2406</v>
      </c>
      <c r="DT281" t="s">
        <v>2169</v>
      </c>
      <c r="DU281" t="s">
        <v>2100</v>
      </c>
    </row>
    <row r="282" spans="2:125" customFormat="1" x14ac:dyDescent="0.25"/>
    <row r="283" spans="2:125" customFormat="1" x14ac:dyDescent="0.25"/>
    <row r="284" spans="2:125" customFormat="1" x14ac:dyDescent="0.25"/>
    <row r="285" spans="2:125" customFormat="1" x14ac:dyDescent="0.25"/>
    <row r="286" spans="2:125" customFormat="1" x14ac:dyDescent="0.25"/>
    <row r="287" spans="2:125" customFormat="1" x14ac:dyDescent="0.25"/>
    <row r="288" spans="2:125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  <row r="10001" customFormat="1" x14ac:dyDescent="0.25"/>
    <row r="10002" customFormat="1" x14ac:dyDescent="0.25"/>
    <row r="10003" customFormat="1" x14ac:dyDescent="0.25"/>
    <row r="10004" customFormat="1" x14ac:dyDescent="0.25"/>
    <row r="10005" customFormat="1" x14ac:dyDescent="0.25"/>
    <row r="10006" customFormat="1" x14ac:dyDescent="0.25"/>
    <row r="10007" customFormat="1" x14ac:dyDescent="0.25"/>
    <row r="10008" customFormat="1" x14ac:dyDescent="0.25"/>
    <row r="10009" customFormat="1" x14ac:dyDescent="0.25"/>
    <row r="10010" customFormat="1" x14ac:dyDescent="0.25"/>
    <row r="10011" customFormat="1" x14ac:dyDescent="0.25"/>
    <row r="10012" customFormat="1" x14ac:dyDescent="0.25"/>
    <row r="10013" customFormat="1" x14ac:dyDescent="0.25"/>
    <row r="10014" customFormat="1" x14ac:dyDescent="0.25"/>
    <row r="10015" customFormat="1" x14ac:dyDescent="0.25"/>
    <row r="10016" customFormat="1" x14ac:dyDescent="0.25"/>
    <row r="10017" customFormat="1" x14ac:dyDescent="0.25"/>
    <row r="10018" customFormat="1" x14ac:dyDescent="0.25"/>
    <row r="10019" customFormat="1" x14ac:dyDescent="0.25"/>
    <row r="10020" customFormat="1" x14ac:dyDescent="0.25"/>
    <row r="10021" customFormat="1" x14ac:dyDescent="0.25"/>
    <row r="10022" customFormat="1" x14ac:dyDescent="0.25"/>
    <row r="10023" customFormat="1" x14ac:dyDescent="0.25"/>
    <row r="10024" customFormat="1" x14ac:dyDescent="0.25"/>
    <row r="10025" customFormat="1" x14ac:dyDescent="0.25"/>
    <row r="10026" customFormat="1" x14ac:dyDescent="0.25"/>
    <row r="10027" customFormat="1" x14ac:dyDescent="0.25"/>
    <row r="10028" customFormat="1" x14ac:dyDescent="0.25"/>
    <row r="10029" customFormat="1" x14ac:dyDescent="0.25"/>
    <row r="10030" customFormat="1" x14ac:dyDescent="0.25"/>
    <row r="10031" customFormat="1" x14ac:dyDescent="0.25"/>
    <row r="10032" customFormat="1" x14ac:dyDescent="0.25"/>
    <row r="10033" customFormat="1" x14ac:dyDescent="0.25"/>
    <row r="10034" customFormat="1" x14ac:dyDescent="0.25"/>
    <row r="10035" customFormat="1" x14ac:dyDescent="0.25"/>
    <row r="10036" customFormat="1" x14ac:dyDescent="0.25"/>
    <row r="10037" customFormat="1" x14ac:dyDescent="0.25"/>
    <row r="10038" customFormat="1" x14ac:dyDescent="0.25"/>
    <row r="10039" customFormat="1" x14ac:dyDescent="0.25"/>
    <row r="10040" customFormat="1" x14ac:dyDescent="0.25"/>
    <row r="10041" customFormat="1" x14ac:dyDescent="0.25"/>
    <row r="10042" customFormat="1" x14ac:dyDescent="0.25"/>
    <row r="10043" customFormat="1" x14ac:dyDescent="0.25"/>
    <row r="10044" customFormat="1" x14ac:dyDescent="0.25"/>
    <row r="10045" customFormat="1" x14ac:dyDescent="0.25"/>
    <row r="10046" customFormat="1" x14ac:dyDescent="0.25"/>
    <row r="10047" customFormat="1" x14ac:dyDescent="0.25"/>
    <row r="10048" customFormat="1" x14ac:dyDescent="0.25"/>
    <row r="10049" customFormat="1" x14ac:dyDescent="0.25"/>
    <row r="10050" customFormat="1" x14ac:dyDescent="0.25"/>
    <row r="10051" customFormat="1" x14ac:dyDescent="0.25"/>
    <row r="10052" customFormat="1" x14ac:dyDescent="0.25"/>
    <row r="10053" customFormat="1" x14ac:dyDescent="0.25"/>
    <row r="10054" customFormat="1" x14ac:dyDescent="0.25"/>
    <row r="10055" customFormat="1" x14ac:dyDescent="0.25"/>
    <row r="10056" customFormat="1" x14ac:dyDescent="0.25"/>
    <row r="10057" customFormat="1" x14ac:dyDescent="0.25"/>
    <row r="10058" customFormat="1" x14ac:dyDescent="0.25"/>
    <row r="10059" customFormat="1" x14ac:dyDescent="0.25"/>
    <row r="10060" customFormat="1" x14ac:dyDescent="0.25"/>
    <row r="10061" customFormat="1" x14ac:dyDescent="0.25"/>
    <row r="10062" customFormat="1" x14ac:dyDescent="0.25"/>
    <row r="10063" customFormat="1" x14ac:dyDescent="0.25"/>
    <row r="10064" customFormat="1" x14ac:dyDescent="0.25"/>
    <row r="10065" customFormat="1" x14ac:dyDescent="0.25"/>
    <row r="10066" customFormat="1" x14ac:dyDescent="0.25"/>
    <row r="10067" customFormat="1" x14ac:dyDescent="0.25"/>
    <row r="10068" customFormat="1" x14ac:dyDescent="0.25"/>
    <row r="10069" customFormat="1" x14ac:dyDescent="0.25"/>
    <row r="10070" customFormat="1" x14ac:dyDescent="0.25"/>
    <row r="10071" customFormat="1" x14ac:dyDescent="0.25"/>
    <row r="10072" customFormat="1" x14ac:dyDescent="0.25"/>
    <row r="10073" customFormat="1" x14ac:dyDescent="0.25"/>
    <row r="10074" customFormat="1" x14ac:dyDescent="0.25"/>
    <row r="10075" customFormat="1" x14ac:dyDescent="0.25"/>
    <row r="10076" customFormat="1" x14ac:dyDescent="0.25"/>
    <row r="10077" customFormat="1" x14ac:dyDescent="0.25"/>
    <row r="10078" customFormat="1" x14ac:dyDescent="0.25"/>
    <row r="10079" customFormat="1" x14ac:dyDescent="0.25"/>
    <row r="10080" customFormat="1" x14ac:dyDescent="0.25"/>
    <row r="10081" customFormat="1" x14ac:dyDescent="0.25"/>
    <row r="10082" customFormat="1" x14ac:dyDescent="0.25"/>
    <row r="10083" customFormat="1" x14ac:dyDescent="0.25"/>
    <row r="10084" customFormat="1" x14ac:dyDescent="0.25"/>
    <row r="10085" customFormat="1" x14ac:dyDescent="0.25"/>
    <row r="10086" customFormat="1" x14ac:dyDescent="0.25"/>
    <row r="10087" customFormat="1" x14ac:dyDescent="0.25"/>
    <row r="10088" customFormat="1" x14ac:dyDescent="0.25"/>
    <row r="10089" customFormat="1" x14ac:dyDescent="0.25"/>
    <row r="10090" customFormat="1" x14ac:dyDescent="0.25"/>
    <row r="10091" customFormat="1" x14ac:dyDescent="0.25"/>
    <row r="10092" customFormat="1" x14ac:dyDescent="0.25"/>
    <row r="10093" customFormat="1" x14ac:dyDescent="0.25"/>
    <row r="10094" customFormat="1" x14ac:dyDescent="0.25"/>
    <row r="10095" customFormat="1" x14ac:dyDescent="0.25"/>
    <row r="10096" customFormat="1" x14ac:dyDescent="0.25"/>
    <row r="10097" customFormat="1" x14ac:dyDescent="0.25"/>
    <row r="10098" customFormat="1" x14ac:dyDescent="0.25"/>
    <row r="10099" customFormat="1" x14ac:dyDescent="0.25"/>
    <row r="10100" customFormat="1" x14ac:dyDescent="0.25"/>
    <row r="10101" customFormat="1" x14ac:dyDescent="0.25"/>
    <row r="10102" customFormat="1" x14ac:dyDescent="0.25"/>
    <row r="10103" customFormat="1" x14ac:dyDescent="0.25"/>
    <row r="10104" customFormat="1" x14ac:dyDescent="0.25"/>
    <row r="10105" customFormat="1" x14ac:dyDescent="0.25"/>
    <row r="10106" customFormat="1" x14ac:dyDescent="0.25"/>
    <row r="10107" customFormat="1" x14ac:dyDescent="0.25"/>
    <row r="10108" customFormat="1" x14ac:dyDescent="0.25"/>
    <row r="10109" customFormat="1" x14ac:dyDescent="0.25"/>
    <row r="10110" customFormat="1" x14ac:dyDescent="0.25"/>
    <row r="10111" customFormat="1" x14ac:dyDescent="0.25"/>
    <row r="10112" customFormat="1" x14ac:dyDescent="0.25"/>
    <row r="10113" customFormat="1" x14ac:dyDescent="0.25"/>
    <row r="10114" customFormat="1" x14ac:dyDescent="0.25"/>
    <row r="10115" customFormat="1" x14ac:dyDescent="0.25"/>
    <row r="10116" customFormat="1" x14ac:dyDescent="0.25"/>
    <row r="10117" customFormat="1" x14ac:dyDescent="0.25"/>
    <row r="10118" customFormat="1" x14ac:dyDescent="0.25"/>
    <row r="10119" customFormat="1" x14ac:dyDescent="0.25"/>
    <row r="10120" customFormat="1" x14ac:dyDescent="0.25"/>
    <row r="10121" customFormat="1" x14ac:dyDescent="0.25"/>
    <row r="10122" customFormat="1" x14ac:dyDescent="0.25"/>
    <row r="10123" customFormat="1" x14ac:dyDescent="0.25"/>
    <row r="10124" customFormat="1" x14ac:dyDescent="0.25"/>
    <row r="10125" customFormat="1" x14ac:dyDescent="0.25"/>
    <row r="10126" customFormat="1" x14ac:dyDescent="0.25"/>
    <row r="10127" customFormat="1" x14ac:dyDescent="0.25"/>
    <row r="10128" customFormat="1" x14ac:dyDescent="0.25"/>
    <row r="10129" customFormat="1" x14ac:dyDescent="0.25"/>
    <row r="10130" customFormat="1" x14ac:dyDescent="0.25"/>
    <row r="10131" customFormat="1" x14ac:dyDescent="0.25"/>
    <row r="10132" customFormat="1" x14ac:dyDescent="0.25"/>
    <row r="10133" customFormat="1" x14ac:dyDescent="0.25"/>
    <row r="10134" customFormat="1" x14ac:dyDescent="0.25"/>
    <row r="10135" customFormat="1" x14ac:dyDescent="0.25"/>
    <row r="10136" customFormat="1" x14ac:dyDescent="0.25"/>
    <row r="10137" customFormat="1" x14ac:dyDescent="0.25"/>
    <row r="10138" customFormat="1" x14ac:dyDescent="0.25"/>
    <row r="10139" customFormat="1" x14ac:dyDescent="0.25"/>
    <row r="10140" customFormat="1" x14ac:dyDescent="0.25"/>
    <row r="10141" customFormat="1" x14ac:dyDescent="0.25"/>
    <row r="10142" customFormat="1" x14ac:dyDescent="0.25"/>
    <row r="10143" customFormat="1" x14ac:dyDescent="0.25"/>
    <row r="10144" customFormat="1" x14ac:dyDescent="0.25"/>
    <row r="10145" customFormat="1" x14ac:dyDescent="0.25"/>
    <row r="10146" customFormat="1" x14ac:dyDescent="0.25"/>
    <row r="10147" customFormat="1" x14ac:dyDescent="0.25"/>
    <row r="10148" customFormat="1" x14ac:dyDescent="0.25"/>
    <row r="10149" customFormat="1" x14ac:dyDescent="0.25"/>
    <row r="10150" customFormat="1" x14ac:dyDescent="0.25"/>
    <row r="10151" customFormat="1" x14ac:dyDescent="0.25"/>
    <row r="10152" customFormat="1" x14ac:dyDescent="0.25"/>
    <row r="10153" customFormat="1" x14ac:dyDescent="0.25"/>
    <row r="10154" customFormat="1" x14ac:dyDescent="0.25"/>
    <row r="10155" customFormat="1" x14ac:dyDescent="0.25"/>
    <row r="10156" customFormat="1" x14ac:dyDescent="0.25"/>
    <row r="10157" customFormat="1" x14ac:dyDescent="0.25"/>
    <row r="10158" customFormat="1" x14ac:dyDescent="0.25"/>
    <row r="10159" customFormat="1" x14ac:dyDescent="0.25"/>
    <row r="10160" customFormat="1" x14ac:dyDescent="0.25"/>
    <row r="10161" customFormat="1" x14ac:dyDescent="0.25"/>
    <row r="10162" customFormat="1" x14ac:dyDescent="0.25"/>
    <row r="10163" customFormat="1" x14ac:dyDescent="0.25"/>
    <row r="10164" customFormat="1" x14ac:dyDescent="0.25"/>
    <row r="10165" customFormat="1" x14ac:dyDescent="0.25"/>
    <row r="10166" customFormat="1" x14ac:dyDescent="0.25"/>
    <row r="10167" customFormat="1" x14ac:dyDescent="0.25"/>
    <row r="10168" customFormat="1" x14ac:dyDescent="0.25"/>
    <row r="10169" customFormat="1" x14ac:dyDescent="0.25"/>
    <row r="10170" customFormat="1" x14ac:dyDescent="0.25"/>
    <row r="10171" customFormat="1" x14ac:dyDescent="0.25"/>
    <row r="10172" customFormat="1" x14ac:dyDescent="0.25"/>
    <row r="10173" customFormat="1" x14ac:dyDescent="0.25"/>
    <row r="10174" customFormat="1" x14ac:dyDescent="0.25"/>
    <row r="10175" customFormat="1" x14ac:dyDescent="0.25"/>
    <row r="10176" customFormat="1" x14ac:dyDescent="0.25"/>
    <row r="10177" customFormat="1" x14ac:dyDescent="0.25"/>
    <row r="10178" customFormat="1" x14ac:dyDescent="0.25"/>
    <row r="10179" customFormat="1" x14ac:dyDescent="0.25"/>
    <row r="10180" customFormat="1" x14ac:dyDescent="0.25"/>
    <row r="10181" customFormat="1" x14ac:dyDescent="0.25"/>
    <row r="10182" customFormat="1" x14ac:dyDescent="0.25"/>
    <row r="10183" customFormat="1" x14ac:dyDescent="0.25"/>
    <row r="10184" customFormat="1" x14ac:dyDescent="0.25"/>
    <row r="10185" customFormat="1" x14ac:dyDescent="0.25"/>
    <row r="10186" customFormat="1" x14ac:dyDescent="0.25"/>
    <row r="10187" customFormat="1" x14ac:dyDescent="0.25"/>
    <row r="10188" customFormat="1" x14ac:dyDescent="0.25"/>
    <row r="10189" customFormat="1" x14ac:dyDescent="0.25"/>
    <row r="10190" customFormat="1" x14ac:dyDescent="0.25"/>
    <row r="10191" customFormat="1" x14ac:dyDescent="0.25"/>
    <row r="10192" customFormat="1" x14ac:dyDescent="0.25"/>
    <row r="10193" customFormat="1" x14ac:dyDescent="0.25"/>
    <row r="10194" customFormat="1" x14ac:dyDescent="0.25"/>
    <row r="10195" customFormat="1" x14ac:dyDescent="0.25"/>
    <row r="10196" customFormat="1" x14ac:dyDescent="0.25"/>
    <row r="10197" customFormat="1" x14ac:dyDescent="0.25"/>
    <row r="10198" customFormat="1" x14ac:dyDescent="0.25"/>
    <row r="10199" customFormat="1" x14ac:dyDescent="0.25"/>
    <row r="10200" customFormat="1" x14ac:dyDescent="0.25"/>
    <row r="10201" customFormat="1" x14ac:dyDescent="0.25"/>
    <row r="10202" customFormat="1" x14ac:dyDescent="0.25"/>
    <row r="10203" customFormat="1" x14ac:dyDescent="0.25"/>
    <row r="10204" customFormat="1" x14ac:dyDescent="0.25"/>
    <row r="10205" customFormat="1" x14ac:dyDescent="0.25"/>
    <row r="10206" customFormat="1" x14ac:dyDescent="0.25"/>
    <row r="10207" customFormat="1" x14ac:dyDescent="0.25"/>
    <row r="10208" customFormat="1" x14ac:dyDescent="0.25"/>
    <row r="10209" customFormat="1" x14ac:dyDescent="0.25"/>
    <row r="10210" customFormat="1" x14ac:dyDescent="0.25"/>
    <row r="10211" customFormat="1" x14ac:dyDescent="0.25"/>
    <row r="10212" customFormat="1" x14ac:dyDescent="0.25"/>
    <row r="10213" customFormat="1" x14ac:dyDescent="0.25"/>
    <row r="10214" customFormat="1" x14ac:dyDescent="0.25"/>
    <row r="10215" customFormat="1" x14ac:dyDescent="0.25"/>
    <row r="10216" customFormat="1" x14ac:dyDescent="0.25"/>
    <row r="10217" customFormat="1" x14ac:dyDescent="0.25"/>
    <row r="10218" customFormat="1" x14ac:dyDescent="0.25"/>
    <row r="10219" customFormat="1" x14ac:dyDescent="0.25"/>
    <row r="10220" customFormat="1" x14ac:dyDescent="0.25"/>
    <row r="10221" customFormat="1" x14ac:dyDescent="0.25"/>
    <row r="10222" customFormat="1" x14ac:dyDescent="0.25"/>
    <row r="10223" customFormat="1" x14ac:dyDescent="0.25"/>
    <row r="10224" customFormat="1" x14ac:dyDescent="0.25"/>
    <row r="10225" customFormat="1" x14ac:dyDescent="0.25"/>
    <row r="10226" customFormat="1" x14ac:dyDescent="0.25"/>
    <row r="10227" customFormat="1" x14ac:dyDescent="0.25"/>
    <row r="10228" customFormat="1" x14ac:dyDescent="0.25"/>
    <row r="10229" customFormat="1" x14ac:dyDescent="0.25"/>
    <row r="10230" customFormat="1" x14ac:dyDescent="0.25"/>
    <row r="10231" customFormat="1" x14ac:dyDescent="0.25"/>
    <row r="10232" customFormat="1" x14ac:dyDescent="0.25"/>
    <row r="10233" customFormat="1" x14ac:dyDescent="0.25"/>
    <row r="10234" customFormat="1" x14ac:dyDescent="0.25"/>
    <row r="10235" customFormat="1" x14ac:dyDescent="0.25"/>
    <row r="10236" customFormat="1" x14ac:dyDescent="0.25"/>
    <row r="10237" customFormat="1" x14ac:dyDescent="0.25"/>
    <row r="10238" customFormat="1" x14ac:dyDescent="0.25"/>
    <row r="10239" customFormat="1" x14ac:dyDescent="0.25"/>
    <row r="10240" customFormat="1" x14ac:dyDescent="0.25"/>
    <row r="10241" customFormat="1" x14ac:dyDescent="0.25"/>
    <row r="10242" customFormat="1" x14ac:dyDescent="0.25"/>
    <row r="10243" customFormat="1" x14ac:dyDescent="0.25"/>
    <row r="10244" customFormat="1" x14ac:dyDescent="0.25"/>
    <row r="10245" customFormat="1" x14ac:dyDescent="0.25"/>
    <row r="10246" customFormat="1" x14ac:dyDescent="0.25"/>
    <row r="10247" customFormat="1" x14ac:dyDescent="0.25"/>
    <row r="10248" customFormat="1" x14ac:dyDescent="0.25"/>
    <row r="10249" customFormat="1" x14ac:dyDescent="0.25"/>
    <row r="10250" customFormat="1" x14ac:dyDescent="0.25"/>
    <row r="10251" customFormat="1" x14ac:dyDescent="0.25"/>
    <row r="10252" customFormat="1" x14ac:dyDescent="0.25"/>
    <row r="10253" customFormat="1" x14ac:dyDescent="0.25"/>
    <row r="10254" customFormat="1" x14ac:dyDescent="0.25"/>
    <row r="10255" customFormat="1" x14ac:dyDescent="0.25"/>
    <row r="10256" customFormat="1" x14ac:dyDescent="0.25"/>
    <row r="10257" customFormat="1" x14ac:dyDescent="0.25"/>
    <row r="10258" customFormat="1" x14ac:dyDescent="0.25"/>
    <row r="10259" customFormat="1" x14ac:dyDescent="0.25"/>
    <row r="10260" customFormat="1" x14ac:dyDescent="0.25"/>
    <row r="10261" customFormat="1" x14ac:dyDescent="0.25"/>
    <row r="10262" customFormat="1" x14ac:dyDescent="0.25"/>
    <row r="10263" customFormat="1" x14ac:dyDescent="0.25"/>
    <row r="10264" customFormat="1" x14ac:dyDescent="0.25"/>
    <row r="10265" customFormat="1" x14ac:dyDescent="0.25"/>
    <row r="10266" customFormat="1" x14ac:dyDescent="0.25"/>
    <row r="10267" customFormat="1" x14ac:dyDescent="0.25"/>
    <row r="10268" customFormat="1" x14ac:dyDescent="0.25"/>
    <row r="10269" customFormat="1" x14ac:dyDescent="0.25"/>
    <row r="10270" customFormat="1" x14ac:dyDescent="0.25"/>
    <row r="10271" customFormat="1" x14ac:dyDescent="0.25"/>
    <row r="10272" customFormat="1" x14ac:dyDescent="0.25"/>
    <row r="10273" customFormat="1" x14ac:dyDescent="0.25"/>
    <row r="10274" customFormat="1" x14ac:dyDescent="0.25"/>
    <row r="10275" customFormat="1" x14ac:dyDescent="0.25"/>
    <row r="10276" customFormat="1" x14ac:dyDescent="0.25"/>
    <row r="10277" customFormat="1" x14ac:dyDescent="0.25"/>
    <row r="10278" customFormat="1" x14ac:dyDescent="0.25"/>
    <row r="10279" customFormat="1" x14ac:dyDescent="0.25"/>
    <row r="10280" customFormat="1" x14ac:dyDescent="0.25"/>
    <row r="10281" customFormat="1" x14ac:dyDescent="0.25"/>
    <row r="10282" customFormat="1" x14ac:dyDescent="0.25"/>
    <row r="10283" customFormat="1" x14ac:dyDescent="0.25"/>
    <row r="10284" customFormat="1" x14ac:dyDescent="0.25"/>
    <row r="10285" customFormat="1" x14ac:dyDescent="0.25"/>
    <row r="10286" customFormat="1" x14ac:dyDescent="0.25"/>
    <row r="10287" customFormat="1" x14ac:dyDescent="0.25"/>
    <row r="10288" customFormat="1" x14ac:dyDescent="0.25"/>
    <row r="10289" customFormat="1" x14ac:dyDescent="0.25"/>
    <row r="10290" customFormat="1" x14ac:dyDescent="0.25"/>
    <row r="10291" customFormat="1" x14ac:dyDescent="0.25"/>
    <row r="10292" customFormat="1" x14ac:dyDescent="0.25"/>
    <row r="10293" customFormat="1" x14ac:dyDescent="0.25"/>
    <row r="10294" customFormat="1" x14ac:dyDescent="0.25"/>
    <row r="10295" customFormat="1" x14ac:dyDescent="0.25"/>
    <row r="10296" customFormat="1" x14ac:dyDescent="0.25"/>
    <row r="10297" customFormat="1" x14ac:dyDescent="0.25"/>
    <row r="10298" customFormat="1" x14ac:dyDescent="0.25"/>
    <row r="10299" customFormat="1" x14ac:dyDescent="0.25"/>
    <row r="10300" customFormat="1" x14ac:dyDescent="0.25"/>
    <row r="10301" customFormat="1" x14ac:dyDescent="0.25"/>
    <row r="10302" customFormat="1" x14ac:dyDescent="0.25"/>
    <row r="10303" customFormat="1" x14ac:dyDescent="0.25"/>
    <row r="10304" customFormat="1" x14ac:dyDescent="0.25"/>
    <row r="10305" customFormat="1" x14ac:dyDescent="0.25"/>
    <row r="10306" customFormat="1" x14ac:dyDescent="0.25"/>
    <row r="10307" customFormat="1" x14ac:dyDescent="0.25"/>
    <row r="10308" customFormat="1" x14ac:dyDescent="0.25"/>
    <row r="10309" customFormat="1" x14ac:dyDescent="0.25"/>
    <row r="10310" customFormat="1" x14ac:dyDescent="0.25"/>
    <row r="10311" customFormat="1" x14ac:dyDescent="0.25"/>
    <row r="10312" customFormat="1" x14ac:dyDescent="0.25"/>
    <row r="10313" customFormat="1" x14ac:dyDescent="0.25"/>
    <row r="10314" customFormat="1" x14ac:dyDescent="0.25"/>
    <row r="10315" customFormat="1" x14ac:dyDescent="0.25"/>
    <row r="10316" customFormat="1" x14ac:dyDescent="0.25"/>
    <row r="10317" customFormat="1" x14ac:dyDescent="0.25"/>
    <row r="10318" customFormat="1" x14ac:dyDescent="0.25"/>
    <row r="10319" customFormat="1" x14ac:dyDescent="0.25"/>
    <row r="10320" customFormat="1" x14ac:dyDescent="0.25"/>
    <row r="10321" customFormat="1" x14ac:dyDescent="0.25"/>
    <row r="10322" customFormat="1" x14ac:dyDescent="0.25"/>
    <row r="10323" customFormat="1" x14ac:dyDescent="0.25"/>
    <row r="10324" customFormat="1" x14ac:dyDescent="0.25"/>
    <row r="10325" customFormat="1" x14ac:dyDescent="0.25"/>
    <row r="10326" customFormat="1" x14ac:dyDescent="0.25"/>
    <row r="10327" customFormat="1" x14ac:dyDescent="0.25"/>
    <row r="10328" customFormat="1" x14ac:dyDescent="0.25"/>
    <row r="10329" customFormat="1" x14ac:dyDescent="0.25"/>
    <row r="10330" customFormat="1" x14ac:dyDescent="0.25"/>
    <row r="10331" customFormat="1" x14ac:dyDescent="0.25"/>
    <row r="10332" customFormat="1" x14ac:dyDescent="0.25"/>
    <row r="10333" customFormat="1" x14ac:dyDescent="0.25"/>
    <row r="10334" customFormat="1" x14ac:dyDescent="0.25"/>
    <row r="10335" customFormat="1" x14ac:dyDescent="0.25"/>
    <row r="10336" customFormat="1" x14ac:dyDescent="0.25"/>
    <row r="10337" customFormat="1" x14ac:dyDescent="0.25"/>
    <row r="10338" customFormat="1" x14ac:dyDescent="0.25"/>
    <row r="10339" customFormat="1" x14ac:dyDescent="0.25"/>
    <row r="10340" customFormat="1" x14ac:dyDescent="0.25"/>
    <row r="10341" customFormat="1" x14ac:dyDescent="0.25"/>
    <row r="10342" customFormat="1" x14ac:dyDescent="0.25"/>
    <row r="10343" customFormat="1" x14ac:dyDescent="0.25"/>
    <row r="10344" customFormat="1" x14ac:dyDescent="0.25"/>
    <row r="10345" customFormat="1" x14ac:dyDescent="0.25"/>
    <row r="10346" customFormat="1" x14ac:dyDescent="0.25"/>
    <row r="10347" customFormat="1" x14ac:dyDescent="0.25"/>
    <row r="10348" customFormat="1" x14ac:dyDescent="0.25"/>
    <row r="10349" customFormat="1" x14ac:dyDescent="0.25"/>
    <row r="10350" customFormat="1" x14ac:dyDescent="0.25"/>
    <row r="10351" customFormat="1" x14ac:dyDescent="0.25"/>
    <row r="10352" customFormat="1" x14ac:dyDescent="0.25"/>
    <row r="10353" customFormat="1" x14ac:dyDescent="0.25"/>
    <row r="10354" customFormat="1" x14ac:dyDescent="0.25"/>
    <row r="10355" customFormat="1" x14ac:dyDescent="0.25"/>
    <row r="10356" customFormat="1" x14ac:dyDescent="0.25"/>
    <row r="10357" customFormat="1" x14ac:dyDescent="0.25"/>
    <row r="10358" customFormat="1" x14ac:dyDescent="0.25"/>
    <row r="10359" customFormat="1" x14ac:dyDescent="0.25"/>
    <row r="10360" customFormat="1" x14ac:dyDescent="0.25"/>
    <row r="10361" customFormat="1" x14ac:dyDescent="0.25"/>
    <row r="10362" customFormat="1" x14ac:dyDescent="0.25"/>
    <row r="10363" customFormat="1" x14ac:dyDescent="0.25"/>
    <row r="10364" customFormat="1" x14ac:dyDescent="0.25"/>
    <row r="10365" customFormat="1" x14ac:dyDescent="0.25"/>
    <row r="10366" customFormat="1" x14ac:dyDescent="0.25"/>
    <row r="10367" customFormat="1" x14ac:dyDescent="0.25"/>
    <row r="10368" customFormat="1" x14ac:dyDescent="0.25"/>
    <row r="10369" customFormat="1" x14ac:dyDescent="0.25"/>
    <row r="10370" customFormat="1" x14ac:dyDescent="0.25"/>
    <row r="10371" customFormat="1" x14ac:dyDescent="0.25"/>
    <row r="10372" customFormat="1" x14ac:dyDescent="0.25"/>
    <row r="10373" customFormat="1" x14ac:dyDescent="0.25"/>
    <row r="10374" customFormat="1" x14ac:dyDescent="0.25"/>
    <row r="10375" customFormat="1" x14ac:dyDescent="0.25"/>
    <row r="10376" customFormat="1" x14ac:dyDescent="0.25"/>
    <row r="10377" customFormat="1" x14ac:dyDescent="0.25"/>
    <row r="10378" customFormat="1" x14ac:dyDescent="0.25"/>
    <row r="10379" customFormat="1" x14ac:dyDescent="0.25"/>
    <row r="10380" customFormat="1" x14ac:dyDescent="0.25"/>
    <row r="10381" customFormat="1" x14ac:dyDescent="0.25"/>
    <row r="10382" customFormat="1" x14ac:dyDescent="0.25"/>
    <row r="10383" customFormat="1" x14ac:dyDescent="0.25"/>
    <row r="10384" customFormat="1" x14ac:dyDescent="0.25"/>
    <row r="10385" customFormat="1" x14ac:dyDescent="0.25"/>
    <row r="10386" customFormat="1" x14ac:dyDescent="0.25"/>
    <row r="10387" customFormat="1" x14ac:dyDescent="0.25"/>
    <row r="10388" customFormat="1" x14ac:dyDescent="0.25"/>
    <row r="10389" customFormat="1" x14ac:dyDescent="0.25"/>
    <row r="10390" customFormat="1" x14ac:dyDescent="0.25"/>
    <row r="10391" customFormat="1" x14ac:dyDescent="0.25"/>
    <row r="10392" customFormat="1" x14ac:dyDescent="0.25"/>
    <row r="10393" customFormat="1" x14ac:dyDescent="0.25"/>
    <row r="10394" customFormat="1" x14ac:dyDescent="0.25"/>
    <row r="10395" customFormat="1" x14ac:dyDescent="0.25"/>
    <row r="10396" customFormat="1" x14ac:dyDescent="0.25"/>
    <row r="10397" customFormat="1" x14ac:dyDescent="0.25"/>
    <row r="10398" customFormat="1" x14ac:dyDescent="0.25"/>
    <row r="10399" customFormat="1" x14ac:dyDescent="0.25"/>
    <row r="10400" customFormat="1" x14ac:dyDescent="0.25"/>
    <row r="10401" customFormat="1" x14ac:dyDescent="0.25"/>
    <row r="10402" customFormat="1" x14ac:dyDescent="0.25"/>
    <row r="10403" customFormat="1" x14ac:dyDescent="0.25"/>
    <row r="10404" customFormat="1" x14ac:dyDescent="0.25"/>
    <row r="10405" customFormat="1" x14ac:dyDescent="0.25"/>
    <row r="10406" customFormat="1" x14ac:dyDescent="0.25"/>
    <row r="10407" customFormat="1" x14ac:dyDescent="0.25"/>
    <row r="10408" customFormat="1" x14ac:dyDescent="0.25"/>
    <row r="10409" customFormat="1" x14ac:dyDescent="0.25"/>
    <row r="10410" customFormat="1" x14ac:dyDescent="0.25"/>
    <row r="10411" customFormat="1" x14ac:dyDescent="0.25"/>
    <row r="10412" customFormat="1" x14ac:dyDescent="0.25"/>
    <row r="10413" customFormat="1" x14ac:dyDescent="0.25"/>
    <row r="10414" customFormat="1" x14ac:dyDescent="0.25"/>
    <row r="10415" customFormat="1" x14ac:dyDescent="0.25"/>
    <row r="10416" customFormat="1" x14ac:dyDescent="0.25"/>
    <row r="10417" customFormat="1" x14ac:dyDescent="0.25"/>
    <row r="10418" customFormat="1" x14ac:dyDescent="0.25"/>
    <row r="10419" customFormat="1" x14ac:dyDescent="0.25"/>
    <row r="10420" customFormat="1" x14ac:dyDescent="0.25"/>
    <row r="10421" customFormat="1" x14ac:dyDescent="0.25"/>
    <row r="10422" customFormat="1" x14ac:dyDescent="0.25"/>
    <row r="10423" customFormat="1" x14ac:dyDescent="0.25"/>
    <row r="10424" customFormat="1" x14ac:dyDescent="0.25"/>
    <row r="10425" customFormat="1" x14ac:dyDescent="0.25"/>
    <row r="10426" customFormat="1" x14ac:dyDescent="0.25"/>
    <row r="10427" customFormat="1" x14ac:dyDescent="0.25"/>
    <row r="10428" customFormat="1" x14ac:dyDescent="0.25"/>
    <row r="10429" customFormat="1" x14ac:dyDescent="0.25"/>
    <row r="10430" customFormat="1" x14ac:dyDescent="0.25"/>
    <row r="10431" customFormat="1" x14ac:dyDescent="0.25"/>
    <row r="10432" customFormat="1" x14ac:dyDescent="0.25"/>
    <row r="10433" customFormat="1" x14ac:dyDescent="0.25"/>
    <row r="10434" customFormat="1" x14ac:dyDescent="0.25"/>
    <row r="10435" customFormat="1" x14ac:dyDescent="0.25"/>
    <row r="10436" customFormat="1" x14ac:dyDescent="0.25"/>
    <row r="10437" customFormat="1" x14ac:dyDescent="0.25"/>
    <row r="10438" customFormat="1" x14ac:dyDescent="0.25"/>
    <row r="10439" customFormat="1" x14ac:dyDescent="0.25"/>
    <row r="10440" customFormat="1" x14ac:dyDescent="0.25"/>
    <row r="10441" customFormat="1" x14ac:dyDescent="0.25"/>
    <row r="10442" customFormat="1" x14ac:dyDescent="0.25"/>
    <row r="10443" customFormat="1" x14ac:dyDescent="0.25"/>
    <row r="10444" customFormat="1" x14ac:dyDescent="0.25"/>
    <row r="10445" customFormat="1" x14ac:dyDescent="0.25"/>
    <row r="10446" customFormat="1" x14ac:dyDescent="0.25"/>
    <row r="10447" customFormat="1" x14ac:dyDescent="0.25"/>
    <row r="10448" customFormat="1" x14ac:dyDescent="0.25"/>
    <row r="10449" customFormat="1" x14ac:dyDescent="0.25"/>
    <row r="10450" customFormat="1" x14ac:dyDescent="0.25"/>
    <row r="10451" customFormat="1" x14ac:dyDescent="0.25"/>
    <row r="10452" customFormat="1" x14ac:dyDescent="0.25"/>
    <row r="10453" customFormat="1" x14ac:dyDescent="0.25"/>
    <row r="10454" customFormat="1" x14ac:dyDescent="0.25"/>
    <row r="10455" customFormat="1" x14ac:dyDescent="0.25"/>
    <row r="10456" customFormat="1" x14ac:dyDescent="0.25"/>
    <row r="10457" customFormat="1" x14ac:dyDescent="0.25"/>
    <row r="10458" customFormat="1" x14ac:dyDescent="0.25"/>
    <row r="10459" customFormat="1" x14ac:dyDescent="0.25"/>
    <row r="10460" customFormat="1" x14ac:dyDescent="0.25"/>
    <row r="10461" customFormat="1" x14ac:dyDescent="0.25"/>
    <row r="10462" customFormat="1" x14ac:dyDescent="0.25"/>
    <row r="10463" customFormat="1" x14ac:dyDescent="0.25"/>
    <row r="10464" customFormat="1" x14ac:dyDescent="0.25"/>
    <row r="10465" customFormat="1" x14ac:dyDescent="0.25"/>
    <row r="10466" customFormat="1" x14ac:dyDescent="0.25"/>
    <row r="10467" customFormat="1" x14ac:dyDescent="0.25"/>
    <row r="10468" customFormat="1" x14ac:dyDescent="0.25"/>
    <row r="10469" customFormat="1" x14ac:dyDescent="0.25"/>
    <row r="10470" customFormat="1" x14ac:dyDescent="0.25"/>
    <row r="10471" customFormat="1" x14ac:dyDescent="0.25"/>
    <row r="10472" customFormat="1" x14ac:dyDescent="0.25"/>
    <row r="10473" customFormat="1" x14ac:dyDescent="0.25"/>
    <row r="10474" customFormat="1" x14ac:dyDescent="0.25"/>
    <row r="10475" customFormat="1" x14ac:dyDescent="0.25"/>
    <row r="10476" customFormat="1" x14ac:dyDescent="0.25"/>
    <row r="10477" customFormat="1" x14ac:dyDescent="0.25"/>
    <row r="10478" customFormat="1" x14ac:dyDescent="0.25"/>
    <row r="10479" customFormat="1" x14ac:dyDescent="0.25"/>
    <row r="10480" customFormat="1" x14ac:dyDescent="0.25"/>
    <row r="10481" customFormat="1" x14ac:dyDescent="0.25"/>
    <row r="10482" customFormat="1" x14ac:dyDescent="0.25"/>
    <row r="10483" customFormat="1" x14ac:dyDescent="0.25"/>
    <row r="10484" customFormat="1" x14ac:dyDescent="0.25"/>
    <row r="10485" customFormat="1" x14ac:dyDescent="0.25"/>
    <row r="10486" customFormat="1" x14ac:dyDescent="0.25"/>
    <row r="10487" customFormat="1" x14ac:dyDescent="0.25"/>
    <row r="10488" customFormat="1" x14ac:dyDescent="0.25"/>
    <row r="10489" customFormat="1" x14ac:dyDescent="0.25"/>
    <row r="10490" customFormat="1" x14ac:dyDescent="0.25"/>
    <row r="10491" customFormat="1" x14ac:dyDescent="0.25"/>
    <row r="10492" customFormat="1" x14ac:dyDescent="0.25"/>
    <row r="10493" customFormat="1" x14ac:dyDescent="0.25"/>
    <row r="10494" customFormat="1" x14ac:dyDescent="0.25"/>
    <row r="10495" customFormat="1" x14ac:dyDescent="0.25"/>
    <row r="10496" customFormat="1" x14ac:dyDescent="0.25"/>
    <row r="10497" customFormat="1" x14ac:dyDescent="0.25"/>
    <row r="10498" customFormat="1" x14ac:dyDescent="0.25"/>
    <row r="10499" customFormat="1" x14ac:dyDescent="0.25"/>
    <row r="10500" customFormat="1" x14ac:dyDescent="0.25"/>
    <row r="10501" customFormat="1" x14ac:dyDescent="0.25"/>
    <row r="10502" customFormat="1" x14ac:dyDescent="0.25"/>
    <row r="10503" customFormat="1" x14ac:dyDescent="0.25"/>
    <row r="10504" customFormat="1" x14ac:dyDescent="0.25"/>
    <row r="10505" customFormat="1" x14ac:dyDescent="0.25"/>
    <row r="10506" customFormat="1" x14ac:dyDescent="0.25"/>
    <row r="10507" customFormat="1" x14ac:dyDescent="0.25"/>
    <row r="10508" customFormat="1" x14ac:dyDescent="0.25"/>
    <row r="10509" customFormat="1" x14ac:dyDescent="0.25"/>
    <row r="10510" customFormat="1" x14ac:dyDescent="0.25"/>
    <row r="10511" customFormat="1" x14ac:dyDescent="0.25"/>
    <row r="10512" customFormat="1" x14ac:dyDescent="0.25"/>
    <row r="10513" customFormat="1" x14ac:dyDescent="0.25"/>
    <row r="10514" customFormat="1" x14ac:dyDescent="0.25"/>
    <row r="10515" customFormat="1" x14ac:dyDescent="0.25"/>
    <row r="10516" customFormat="1" x14ac:dyDescent="0.25"/>
    <row r="10517" customFormat="1" x14ac:dyDescent="0.25"/>
    <row r="10518" customFormat="1" x14ac:dyDescent="0.25"/>
    <row r="10519" customFormat="1" x14ac:dyDescent="0.25"/>
    <row r="10520" customFormat="1" x14ac:dyDescent="0.25"/>
    <row r="10521" customFormat="1" x14ac:dyDescent="0.25"/>
    <row r="10522" customFormat="1" x14ac:dyDescent="0.25"/>
    <row r="10523" customFormat="1" x14ac:dyDescent="0.25"/>
    <row r="10524" customFormat="1" x14ac:dyDescent="0.25"/>
    <row r="10525" customFormat="1" x14ac:dyDescent="0.25"/>
    <row r="10526" customFormat="1" x14ac:dyDescent="0.25"/>
    <row r="10527" customFormat="1" x14ac:dyDescent="0.25"/>
    <row r="10528" customFormat="1" x14ac:dyDescent="0.25"/>
    <row r="10529" customFormat="1" x14ac:dyDescent="0.25"/>
    <row r="10530" customFormat="1" x14ac:dyDescent="0.25"/>
    <row r="10531" customFormat="1" x14ac:dyDescent="0.25"/>
    <row r="10532" customFormat="1" x14ac:dyDescent="0.25"/>
    <row r="10533" customFormat="1" x14ac:dyDescent="0.25"/>
    <row r="10534" customFormat="1" x14ac:dyDescent="0.25"/>
    <row r="10535" customFormat="1" x14ac:dyDescent="0.25"/>
    <row r="10536" customFormat="1" x14ac:dyDescent="0.25"/>
    <row r="10537" customFormat="1" x14ac:dyDescent="0.25"/>
    <row r="10538" customFormat="1" x14ac:dyDescent="0.25"/>
    <row r="10539" customFormat="1" x14ac:dyDescent="0.25"/>
    <row r="10540" customFormat="1" x14ac:dyDescent="0.25"/>
    <row r="10541" customFormat="1" x14ac:dyDescent="0.25"/>
    <row r="10542" customFormat="1" x14ac:dyDescent="0.25"/>
    <row r="10543" customFormat="1" x14ac:dyDescent="0.25"/>
    <row r="10544" customFormat="1" x14ac:dyDescent="0.25"/>
    <row r="10545" customFormat="1" x14ac:dyDescent="0.25"/>
    <row r="10546" customFormat="1" x14ac:dyDescent="0.25"/>
    <row r="10547" customFormat="1" x14ac:dyDescent="0.25"/>
    <row r="10548" customFormat="1" x14ac:dyDescent="0.25"/>
    <row r="10549" customFormat="1" x14ac:dyDescent="0.25"/>
    <row r="10550" customFormat="1" x14ac:dyDescent="0.25"/>
    <row r="10551" customFormat="1" x14ac:dyDescent="0.25"/>
    <row r="10552" customFormat="1" x14ac:dyDescent="0.25"/>
    <row r="10553" customFormat="1" x14ac:dyDescent="0.25"/>
    <row r="10554" customFormat="1" x14ac:dyDescent="0.25"/>
    <row r="10555" customFormat="1" x14ac:dyDescent="0.25"/>
    <row r="10556" customFormat="1" x14ac:dyDescent="0.25"/>
    <row r="10557" customFormat="1" x14ac:dyDescent="0.25"/>
    <row r="10558" customFormat="1" x14ac:dyDescent="0.25"/>
    <row r="10559" customFormat="1" x14ac:dyDescent="0.25"/>
    <row r="10560" customFormat="1" x14ac:dyDescent="0.25"/>
    <row r="10561" customFormat="1" x14ac:dyDescent="0.25"/>
    <row r="10562" customFormat="1" x14ac:dyDescent="0.25"/>
    <row r="10563" customFormat="1" x14ac:dyDescent="0.25"/>
    <row r="10564" customFormat="1" x14ac:dyDescent="0.25"/>
    <row r="10565" customFormat="1" x14ac:dyDescent="0.25"/>
    <row r="10566" customFormat="1" x14ac:dyDescent="0.25"/>
    <row r="10567" customFormat="1" x14ac:dyDescent="0.25"/>
    <row r="10568" customFormat="1" x14ac:dyDescent="0.25"/>
    <row r="10569" customFormat="1" x14ac:dyDescent="0.25"/>
    <row r="10570" customFormat="1" x14ac:dyDescent="0.25"/>
    <row r="10571" customFormat="1" x14ac:dyDescent="0.25"/>
    <row r="10572" customFormat="1" x14ac:dyDescent="0.25"/>
    <row r="10573" customFormat="1" x14ac:dyDescent="0.25"/>
    <row r="10574" customFormat="1" x14ac:dyDescent="0.25"/>
    <row r="10575" customFormat="1" x14ac:dyDescent="0.25"/>
    <row r="10576" customFormat="1" x14ac:dyDescent="0.25"/>
    <row r="10577" customFormat="1" x14ac:dyDescent="0.25"/>
    <row r="10578" customFormat="1" x14ac:dyDescent="0.25"/>
    <row r="10579" customFormat="1" x14ac:dyDescent="0.25"/>
    <row r="10580" customFormat="1" x14ac:dyDescent="0.25"/>
    <row r="10581" customFormat="1" x14ac:dyDescent="0.25"/>
    <row r="10582" customFormat="1" x14ac:dyDescent="0.25"/>
    <row r="10583" customFormat="1" x14ac:dyDescent="0.25"/>
    <row r="10584" customFormat="1" x14ac:dyDescent="0.25"/>
    <row r="10585" customFormat="1" x14ac:dyDescent="0.25"/>
    <row r="10586" customFormat="1" x14ac:dyDescent="0.25"/>
    <row r="10587" customFormat="1" x14ac:dyDescent="0.25"/>
    <row r="10588" customFormat="1" x14ac:dyDescent="0.25"/>
    <row r="10589" customFormat="1" x14ac:dyDescent="0.25"/>
    <row r="10590" customFormat="1" x14ac:dyDescent="0.25"/>
    <row r="10591" customFormat="1" x14ac:dyDescent="0.25"/>
    <row r="10592" customFormat="1" x14ac:dyDescent="0.25"/>
    <row r="10593" customFormat="1" x14ac:dyDescent="0.25"/>
    <row r="10594" customFormat="1" x14ac:dyDescent="0.25"/>
    <row r="10595" customFormat="1" x14ac:dyDescent="0.25"/>
    <row r="10596" customFormat="1" x14ac:dyDescent="0.25"/>
    <row r="10597" customFormat="1" x14ac:dyDescent="0.25"/>
    <row r="10598" customFormat="1" x14ac:dyDescent="0.25"/>
    <row r="10599" customFormat="1" x14ac:dyDescent="0.25"/>
    <row r="10600" customFormat="1" x14ac:dyDescent="0.25"/>
    <row r="10601" customFormat="1" x14ac:dyDescent="0.25"/>
    <row r="10602" customFormat="1" x14ac:dyDescent="0.25"/>
    <row r="10603" customFormat="1" x14ac:dyDescent="0.25"/>
    <row r="10604" customFormat="1" x14ac:dyDescent="0.25"/>
    <row r="10605" customFormat="1" x14ac:dyDescent="0.25"/>
    <row r="10606" customFormat="1" x14ac:dyDescent="0.25"/>
    <row r="10607" customFormat="1" x14ac:dyDescent="0.25"/>
    <row r="10608" customFormat="1" x14ac:dyDescent="0.25"/>
    <row r="10609" customFormat="1" x14ac:dyDescent="0.25"/>
    <row r="10610" customFormat="1" x14ac:dyDescent="0.25"/>
    <row r="10611" customFormat="1" x14ac:dyDescent="0.25"/>
    <row r="10612" customFormat="1" x14ac:dyDescent="0.25"/>
    <row r="10613" customFormat="1" x14ac:dyDescent="0.25"/>
    <row r="10614" customFormat="1" x14ac:dyDescent="0.25"/>
    <row r="10615" customFormat="1" x14ac:dyDescent="0.25"/>
    <row r="10616" customFormat="1" x14ac:dyDescent="0.25"/>
    <row r="10617" customFormat="1" x14ac:dyDescent="0.25"/>
    <row r="10618" customFormat="1" x14ac:dyDescent="0.25"/>
    <row r="10619" customFormat="1" x14ac:dyDescent="0.25"/>
    <row r="10620" customFormat="1" x14ac:dyDescent="0.25"/>
    <row r="10621" customFormat="1" x14ac:dyDescent="0.25"/>
    <row r="10622" customFormat="1" x14ac:dyDescent="0.25"/>
    <row r="10623" customFormat="1" x14ac:dyDescent="0.25"/>
    <row r="10624" customFormat="1" x14ac:dyDescent="0.25"/>
    <row r="10625" customFormat="1" x14ac:dyDescent="0.25"/>
    <row r="10626" customFormat="1" x14ac:dyDescent="0.25"/>
    <row r="10627" customFormat="1" x14ac:dyDescent="0.25"/>
    <row r="10628" customFormat="1" x14ac:dyDescent="0.25"/>
    <row r="10629" customFormat="1" x14ac:dyDescent="0.25"/>
    <row r="10630" customFormat="1" x14ac:dyDescent="0.25"/>
    <row r="10631" customFormat="1" x14ac:dyDescent="0.25"/>
    <row r="10632" customFormat="1" x14ac:dyDescent="0.25"/>
    <row r="10633" customFormat="1" x14ac:dyDescent="0.25"/>
    <row r="10634" customFormat="1" x14ac:dyDescent="0.25"/>
    <row r="10635" customFormat="1" x14ac:dyDescent="0.25"/>
    <row r="10636" customFormat="1" x14ac:dyDescent="0.25"/>
    <row r="10637" customFormat="1" x14ac:dyDescent="0.25"/>
    <row r="10638" customFormat="1" x14ac:dyDescent="0.25"/>
    <row r="10639" customFormat="1" x14ac:dyDescent="0.25"/>
    <row r="10640" customFormat="1" x14ac:dyDescent="0.25"/>
    <row r="10641" customFormat="1" x14ac:dyDescent="0.25"/>
    <row r="10642" customFormat="1" x14ac:dyDescent="0.25"/>
    <row r="10643" customFormat="1" x14ac:dyDescent="0.25"/>
    <row r="10644" customFormat="1" x14ac:dyDescent="0.25"/>
    <row r="10645" customFormat="1" x14ac:dyDescent="0.25"/>
    <row r="10646" customFormat="1" x14ac:dyDescent="0.25"/>
    <row r="10647" customFormat="1" x14ac:dyDescent="0.25"/>
    <row r="10648" customFormat="1" x14ac:dyDescent="0.25"/>
    <row r="10649" customFormat="1" x14ac:dyDescent="0.25"/>
    <row r="10650" customFormat="1" x14ac:dyDescent="0.25"/>
    <row r="10651" customFormat="1" x14ac:dyDescent="0.25"/>
    <row r="10652" customFormat="1" x14ac:dyDescent="0.25"/>
    <row r="10653" customFormat="1" x14ac:dyDescent="0.25"/>
    <row r="10654" customFormat="1" x14ac:dyDescent="0.25"/>
    <row r="10655" customFormat="1" x14ac:dyDescent="0.25"/>
    <row r="10656" customFormat="1" x14ac:dyDescent="0.25"/>
    <row r="10657" customFormat="1" x14ac:dyDescent="0.25"/>
    <row r="10658" customFormat="1" x14ac:dyDescent="0.25"/>
    <row r="10659" customFormat="1" x14ac:dyDescent="0.25"/>
    <row r="10660" customFormat="1" x14ac:dyDescent="0.25"/>
    <row r="10661" customFormat="1" x14ac:dyDescent="0.25"/>
    <row r="10662" customFormat="1" x14ac:dyDescent="0.25"/>
    <row r="10663" customFormat="1" x14ac:dyDescent="0.25"/>
    <row r="10664" customFormat="1" x14ac:dyDescent="0.25"/>
    <row r="10665" customFormat="1" x14ac:dyDescent="0.25"/>
    <row r="10666" customFormat="1" x14ac:dyDescent="0.25"/>
    <row r="10667" customFormat="1" x14ac:dyDescent="0.25"/>
    <row r="10668" customFormat="1" x14ac:dyDescent="0.25"/>
    <row r="10669" customFormat="1" x14ac:dyDescent="0.25"/>
    <row r="10670" customFormat="1" x14ac:dyDescent="0.25"/>
    <row r="10671" customFormat="1" x14ac:dyDescent="0.25"/>
    <row r="10672" customFormat="1" x14ac:dyDescent="0.25"/>
    <row r="10673" customFormat="1" x14ac:dyDescent="0.25"/>
    <row r="10674" customFormat="1" x14ac:dyDescent="0.25"/>
    <row r="10675" customFormat="1" x14ac:dyDescent="0.25"/>
    <row r="10676" customFormat="1" x14ac:dyDescent="0.25"/>
    <row r="10677" customFormat="1" x14ac:dyDescent="0.25"/>
    <row r="10678" customFormat="1" x14ac:dyDescent="0.25"/>
    <row r="10679" customFormat="1" x14ac:dyDescent="0.25"/>
    <row r="10680" customFormat="1" x14ac:dyDescent="0.25"/>
    <row r="10681" customFormat="1" x14ac:dyDescent="0.25"/>
    <row r="10682" customFormat="1" x14ac:dyDescent="0.25"/>
    <row r="10683" customFormat="1" x14ac:dyDescent="0.25"/>
    <row r="10684" customFormat="1" x14ac:dyDescent="0.25"/>
    <row r="10685" customFormat="1" x14ac:dyDescent="0.25"/>
    <row r="10686" customFormat="1" x14ac:dyDescent="0.25"/>
    <row r="10687" customFormat="1" x14ac:dyDescent="0.25"/>
    <row r="10688" customFormat="1" x14ac:dyDescent="0.25"/>
    <row r="10689" customFormat="1" x14ac:dyDescent="0.25"/>
    <row r="10690" customFormat="1" x14ac:dyDescent="0.25"/>
    <row r="10691" customFormat="1" x14ac:dyDescent="0.25"/>
    <row r="10692" customFormat="1" x14ac:dyDescent="0.25"/>
    <row r="10693" customFormat="1" x14ac:dyDescent="0.25"/>
    <row r="10694" customFormat="1" x14ac:dyDescent="0.25"/>
    <row r="10695" customFormat="1" x14ac:dyDescent="0.25"/>
    <row r="10696" customFormat="1" x14ac:dyDescent="0.25"/>
    <row r="10697" customFormat="1" x14ac:dyDescent="0.25"/>
    <row r="10698" customFormat="1" x14ac:dyDescent="0.25"/>
    <row r="10699" customFormat="1" x14ac:dyDescent="0.25"/>
    <row r="10700" customFormat="1" x14ac:dyDescent="0.25"/>
    <row r="10701" customFormat="1" x14ac:dyDescent="0.25"/>
    <row r="10702" customFormat="1" x14ac:dyDescent="0.25"/>
    <row r="10703" customFormat="1" x14ac:dyDescent="0.25"/>
    <row r="10704" customFormat="1" x14ac:dyDescent="0.25"/>
    <row r="10705" customFormat="1" x14ac:dyDescent="0.25"/>
    <row r="10706" customFormat="1" x14ac:dyDescent="0.25"/>
    <row r="10707" customFormat="1" x14ac:dyDescent="0.25"/>
    <row r="10708" customFormat="1" x14ac:dyDescent="0.25"/>
    <row r="10709" customFormat="1" x14ac:dyDescent="0.25"/>
    <row r="10710" customFormat="1" x14ac:dyDescent="0.25"/>
    <row r="10711" customFormat="1" x14ac:dyDescent="0.25"/>
    <row r="10712" customFormat="1" x14ac:dyDescent="0.25"/>
    <row r="10713" customFormat="1" x14ac:dyDescent="0.25"/>
    <row r="10714" customFormat="1" x14ac:dyDescent="0.25"/>
    <row r="10715" customFormat="1" x14ac:dyDescent="0.25"/>
    <row r="10716" customFormat="1" x14ac:dyDescent="0.25"/>
    <row r="10717" customFormat="1" x14ac:dyDescent="0.25"/>
    <row r="10718" customFormat="1" x14ac:dyDescent="0.25"/>
    <row r="10719" customFormat="1" x14ac:dyDescent="0.25"/>
    <row r="10720" customFormat="1" x14ac:dyDescent="0.25"/>
    <row r="10721" customFormat="1" x14ac:dyDescent="0.25"/>
    <row r="10722" customFormat="1" x14ac:dyDescent="0.25"/>
    <row r="10723" customFormat="1" x14ac:dyDescent="0.25"/>
    <row r="10724" customFormat="1" x14ac:dyDescent="0.25"/>
    <row r="10725" customFormat="1" x14ac:dyDescent="0.25"/>
    <row r="10726" customFormat="1" x14ac:dyDescent="0.25"/>
    <row r="10727" customFormat="1" x14ac:dyDescent="0.25"/>
    <row r="10728" customFormat="1" x14ac:dyDescent="0.25"/>
    <row r="10729" customFormat="1" x14ac:dyDescent="0.25"/>
    <row r="10730" customFormat="1" x14ac:dyDescent="0.25"/>
    <row r="10731" customFormat="1" x14ac:dyDescent="0.25"/>
    <row r="10732" customFormat="1" x14ac:dyDescent="0.25"/>
    <row r="10733" customFormat="1" x14ac:dyDescent="0.25"/>
    <row r="10734" customFormat="1" x14ac:dyDescent="0.25"/>
    <row r="10735" customFormat="1" x14ac:dyDescent="0.25"/>
    <row r="10736" customFormat="1" x14ac:dyDescent="0.25"/>
    <row r="10737" customFormat="1" x14ac:dyDescent="0.25"/>
    <row r="10738" customFormat="1" x14ac:dyDescent="0.25"/>
    <row r="10739" customFormat="1" x14ac:dyDescent="0.25"/>
    <row r="10740" customFormat="1" x14ac:dyDescent="0.25"/>
    <row r="10741" customFormat="1" x14ac:dyDescent="0.25"/>
    <row r="10742" customFormat="1" x14ac:dyDescent="0.25"/>
    <row r="10743" customFormat="1" x14ac:dyDescent="0.25"/>
    <row r="10744" customFormat="1" x14ac:dyDescent="0.25"/>
    <row r="10745" customFormat="1" x14ac:dyDescent="0.25"/>
    <row r="10746" customFormat="1" x14ac:dyDescent="0.25"/>
    <row r="10747" customFormat="1" x14ac:dyDescent="0.25"/>
    <row r="10748" customFormat="1" x14ac:dyDescent="0.25"/>
    <row r="10749" customFormat="1" x14ac:dyDescent="0.25"/>
    <row r="10750" customFormat="1" x14ac:dyDescent="0.25"/>
    <row r="10751" customFormat="1" x14ac:dyDescent="0.25"/>
    <row r="10752" customFormat="1" x14ac:dyDescent="0.25"/>
    <row r="10753" customFormat="1" x14ac:dyDescent="0.25"/>
    <row r="10754" customFormat="1" x14ac:dyDescent="0.25"/>
    <row r="10755" customFormat="1" x14ac:dyDescent="0.25"/>
    <row r="10756" customFormat="1" x14ac:dyDescent="0.25"/>
    <row r="10757" customFormat="1" x14ac:dyDescent="0.25"/>
    <row r="10758" customFormat="1" x14ac:dyDescent="0.25"/>
    <row r="10759" customFormat="1" x14ac:dyDescent="0.25"/>
    <row r="10760" customFormat="1" x14ac:dyDescent="0.25"/>
    <row r="10761" customFormat="1" x14ac:dyDescent="0.25"/>
    <row r="10762" customFormat="1" x14ac:dyDescent="0.25"/>
    <row r="10763" customFormat="1" x14ac:dyDescent="0.25"/>
    <row r="10764" customFormat="1" x14ac:dyDescent="0.25"/>
    <row r="10765" customFormat="1" x14ac:dyDescent="0.25"/>
    <row r="10766" customFormat="1" x14ac:dyDescent="0.25"/>
    <row r="10767" customFormat="1" x14ac:dyDescent="0.25"/>
    <row r="10768" customFormat="1" x14ac:dyDescent="0.25"/>
    <row r="10769" customFormat="1" x14ac:dyDescent="0.25"/>
    <row r="10770" customFormat="1" x14ac:dyDescent="0.25"/>
    <row r="10771" customFormat="1" x14ac:dyDescent="0.25"/>
    <row r="10772" customFormat="1" x14ac:dyDescent="0.25"/>
    <row r="10773" customFormat="1" x14ac:dyDescent="0.25"/>
    <row r="10774" customFormat="1" x14ac:dyDescent="0.25"/>
    <row r="10775" customFormat="1" x14ac:dyDescent="0.25"/>
    <row r="10776" customFormat="1" x14ac:dyDescent="0.25"/>
    <row r="10777" customFormat="1" x14ac:dyDescent="0.25"/>
    <row r="10778" customFormat="1" x14ac:dyDescent="0.25"/>
    <row r="10779" customFormat="1" x14ac:dyDescent="0.25"/>
    <row r="10780" customFormat="1" x14ac:dyDescent="0.25"/>
    <row r="10781" customFormat="1" x14ac:dyDescent="0.25"/>
    <row r="10782" customFormat="1" x14ac:dyDescent="0.25"/>
    <row r="10783" customFormat="1" x14ac:dyDescent="0.25"/>
    <row r="10784" customFormat="1" x14ac:dyDescent="0.25"/>
    <row r="10785" customFormat="1" x14ac:dyDescent="0.25"/>
    <row r="10786" customFormat="1" x14ac:dyDescent="0.25"/>
    <row r="10787" customFormat="1" x14ac:dyDescent="0.25"/>
    <row r="10788" customFormat="1" x14ac:dyDescent="0.25"/>
    <row r="10789" customFormat="1" x14ac:dyDescent="0.25"/>
    <row r="10790" customFormat="1" x14ac:dyDescent="0.25"/>
    <row r="10791" customFormat="1" x14ac:dyDescent="0.25"/>
    <row r="10792" customFormat="1" x14ac:dyDescent="0.25"/>
    <row r="10793" customFormat="1" x14ac:dyDescent="0.25"/>
    <row r="10794" customFormat="1" x14ac:dyDescent="0.25"/>
    <row r="10795" customFormat="1" x14ac:dyDescent="0.25"/>
    <row r="10796" customFormat="1" x14ac:dyDescent="0.25"/>
    <row r="10797" customFormat="1" x14ac:dyDescent="0.25"/>
    <row r="10798" customFormat="1" x14ac:dyDescent="0.25"/>
    <row r="10799" customFormat="1" x14ac:dyDescent="0.25"/>
    <row r="10800" customFormat="1" x14ac:dyDescent="0.25"/>
    <row r="10801" customFormat="1" x14ac:dyDescent="0.25"/>
    <row r="10802" customFormat="1" x14ac:dyDescent="0.25"/>
    <row r="10803" customFormat="1" x14ac:dyDescent="0.25"/>
    <row r="10804" customFormat="1" x14ac:dyDescent="0.25"/>
    <row r="10805" customFormat="1" x14ac:dyDescent="0.25"/>
    <row r="10806" customFormat="1" x14ac:dyDescent="0.25"/>
    <row r="10807" customFormat="1" x14ac:dyDescent="0.25"/>
    <row r="10808" customFormat="1" x14ac:dyDescent="0.25"/>
    <row r="10809" customFormat="1" x14ac:dyDescent="0.25"/>
    <row r="10810" customFormat="1" x14ac:dyDescent="0.25"/>
    <row r="10811" customFormat="1" x14ac:dyDescent="0.25"/>
    <row r="10812" customFormat="1" x14ac:dyDescent="0.25"/>
    <row r="10813" customFormat="1" x14ac:dyDescent="0.25"/>
    <row r="10814" customFormat="1" x14ac:dyDescent="0.25"/>
    <row r="10815" customFormat="1" x14ac:dyDescent="0.25"/>
    <row r="10816" customFormat="1" x14ac:dyDescent="0.25"/>
    <row r="10817" customFormat="1" x14ac:dyDescent="0.25"/>
    <row r="10818" customFormat="1" x14ac:dyDescent="0.25"/>
    <row r="10819" customFormat="1" x14ac:dyDescent="0.25"/>
    <row r="10820" customFormat="1" x14ac:dyDescent="0.25"/>
    <row r="10821" customFormat="1" x14ac:dyDescent="0.25"/>
    <row r="10822" customFormat="1" x14ac:dyDescent="0.25"/>
    <row r="10823" customFormat="1" x14ac:dyDescent="0.25"/>
    <row r="10824" customFormat="1" x14ac:dyDescent="0.25"/>
    <row r="10825" customFormat="1" x14ac:dyDescent="0.25"/>
    <row r="10826" customFormat="1" x14ac:dyDescent="0.25"/>
    <row r="10827" customFormat="1" x14ac:dyDescent="0.25"/>
    <row r="10828" customFormat="1" x14ac:dyDescent="0.25"/>
    <row r="10829" customFormat="1" x14ac:dyDescent="0.25"/>
    <row r="10830" customFormat="1" x14ac:dyDescent="0.25"/>
    <row r="10831" customFormat="1" x14ac:dyDescent="0.25"/>
    <row r="10832" customFormat="1" x14ac:dyDescent="0.25"/>
    <row r="10833" customFormat="1" x14ac:dyDescent="0.25"/>
    <row r="10834" customFormat="1" x14ac:dyDescent="0.25"/>
    <row r="10835" customFormat="1" x14ac:dyDescent="0.25"/>
    <row r="10836" customFormat="1" x14ac:dyDescent="0.25"/>
    <row r="10837" customFormat="1" x14ac:dyDescent="0.25"/>
    <row r="10838" customFormat="1" x14ac:dyDescent="0.25"/>
    <row r="10839" customFormat="1" x14ac:dyDescent="0.25"/>
    <row r="10840" customFormat="1" x14ac:dyDescent="0.25"/>
    <row r="10841" customFormat="1" x14ac:dyDescent="0.25"/>
    <row r="10842" customFormat="1" x14ac:dyDescent="0.25"/>
    <row r="10843" customFormat="1" x14ac:dyDescent="0.25"/>
    <row r="10844" customFormat="1" x14ac:dyDescent="0.25"/>
    <row r="10845" customFormat="1" x14ac:dyDescent="0.25"/>
    <row r="10846" customFormat="1" x14ac:dyDescent="0.25"/>
    <row r="10847" customFormat="1" x14ac:dyDescent="0.25"/>
    <row r="10848" customFormat="1" x14ac:dyDescent="0.25"/>
    <row r="10849" customFormat="1" x14ac:dyDescent="0.25"/>
    <row r="10850" customFormat="1" x14ac:dyDescent="0.25"/>
    <row r="10851" customFormat="1" x14ac:dyDescent="0.25"/>
    <row r="10852" customFormat="1" x14ac:dyDescent="0.25"/>
    <row r="10853" customFormat="1" x14ac:dyDescent="0.25"/>
    <row r="10854" customFormat="1" x14ac:dyDescent="0.25"/>
    <row r="10855" customFormat="1" x14ac:dyDescent="0.25"/>
    <row r="10856" customFormat="1" x14ac:dyDescent="0.25"/>
    <row r="10857" customFormat="1" x14ac:dyDescent="0.25"/>
    <row r="10858" customFormat="1" x14ac:dyDescent="0.25"/>
    <row r="10859" customFormat="1" x14ac:dyDescent="0.25"/>
    <row r="10860" customFormat="1" x14ac:dyDescent="0.25"/>
    <row r="10861" customFormat="1" x14ac:dyDescent="0.25"/>
    <row r="10862" customFormat="1" x14ac:dyDescent="0.25"/>
    <row r="10863" customFormat="1" x14ac:dyDescent="0.25"/>
    <row r="10864" customFormat="1" x14ac:dyDescent="0.25"/>
    <row r="10865" customFormat="1" x14ac:dyDescent="0.25"/>
    <row r="10866" customFormat="1" x14ac:dyDescent="0.25"/>
    <row r="10867" customFormat="1" x14ac:dyDescent="0.25"/>
    <row r="10868" customFormat="1" x14ac:dyDescent="0.25"/>
    <row r="10869" customFormat="1" x14ac:dyDescent="0.25"/>
    <row r="10870" customFormat="1" x14ac:dyDescent="0.25"/>
    <row r="10871" customFormat="1" x14ac:dyDescent="0.25"/>
    <row r="10872" customFormat="1" x14ac:dyDescent="0.25"/>
    <row r="10873" customFormat="1" x14ac:dyDescent="0.25"/>
    <row r="10874" customFormat="1" x14ac:dyDescent="0.25"/>
    <row r="10875" customFormat="1" x14ac:dyDescent="0.25"/>
    <row r="10876" customFormat="1" x14ac:dyDescent="0.25"/>
    <row r="10877" customFormat="1" x14ac:dyDescent="0.25"/>
    <row r="10878" customFormat="1" x14ac:dyDescent="0.25"/>
    <row r="10879" customFormat="1" x14ac:dyDescent="0.25"/>
    <row r="10880" customFormat="1" x14ac:dyDescent="0.25"/>
    <row r="10881" customFormat="1" x14ac:dyDescent="0.25"/>
    <row r="10882" customFormat="1" x14ac:dyDescent="0.25"/>
    <row r="10883" customFormat="1" x14ac:dyDescent="0.25"/>
    <row r="10884" customFormat="1" x14ac:dyDescent="0.25"/>
    <row r="10885" customFormat="1" x14ac:dyDescent="0.25"/>
    <row r="10886" customFormat="1" x14ac:dyDescent="0.25"/>
    <row r="10887" customFormat="1" x14ac:dyDescent="0.25"/>
    <row r="10888" customFormat="1" x14ac:dyDescent="0.25"/>
    <row r="10889" customFormat="1" x14ac:dyDescent="0.25"/>
    <row r="10890" customFormat="1" x14ac:dyDescent="0.25"/>
    <row r="10891" customFormat="1" x14ac:dyDescent="0.25"/>
    <row r="10892" customFormat="1" x14ac:dyDescent="0.25"/>
    <row r="10893" customFormat="1" x14ac:dyDescent="0.25"/>
    <row r="10894" customFormat="1" x14ac:dyDescent="0.25"/>
    <row r="10895" customFormat="1" x14ac:dyDescent="0.25"/>
    <row r="10896" customFormat="1" x14ac:dyDescent="0.25"/>
    <row r="10897" customFormat="1" x14ac:dyDescent="0.25"/>
    <row r="10898" customFormat="1" x14ac:dyDescent="0.25"/>
    <row r="10899" customFormat="1" x14ac:dyDescent="0.25"/>
    <row r="10900" customFormat="1" x14ac:dyDescent="0.25"/>
    <row r="10901" customFormat="1" x14ac:dyDescent="0.25"/>
    <row r="10902" customFormat="1" x14ac:dyDescent="0.25"/>
    <row r="10903" customFormat="1" x14ac:dyDescent="0.25"/>
    <row r="10904" customFormat="1" x14ac:dyDescent="0.25"/>
    <row r="10905" customFormat="1" x14ac:dyDescent="0.25"/>
    <row r="10906" customFormat="1" x14ac:dyDescent="0.25"/>
    <row r="10907" customFormat="1" x14ac:dyDescent="0.25"/>
    <row r="10908" customFormat="1" x14ac:dyDescent="0.25"/>
    <row r="10909" customFormat="1" x14ac:dyDescent="0.25"/>
    <row r="10910" customFormat="1" x14ac:dyDescent="0.25"/>
    <row r="10911" customFormat="1" x14ac:dyDescent="0.25"/>
    <row r="10912" customFormat="1" x14ac:dyDescent="0.25"/>
    <row r="10913" customFormat="1" x14ac:dyDescent="0.25"/>
    <row r="10914" customFormat="1" x14ac:dyDescent="0.25"/>
    <row r="10915" customFormat="1" x14ac:dyDescent="0.25"/>
    <row r="10916" customFormat="1" x14ac:dyDescent="0.25"/>
    <row r="10917" customFormat="1" x14ac:dyDescent="0.25"/>
    <row r="10918" customFormat="1" x14ac:dyDescent="0.25"/>
    <row r="10919" customFormat="1" x14ac:dyDescent="0.25"/>
    <row r="10920" customFormat="1" x14ac:dyDescent="0.25"/>
    <row r="10921" customFormat="1" x14ac:dyDescent="0.25"/>
    <row r="10922" customFormat="1" x14ac:dyDescent="0.25"/>
    <row r="10923" customFormat="1" x14ac:dyDescent="0.25"/>
    <row r="10924" customFormat="1" x14ac:dyDescent="0.25"/>
    <row r="10925" customFormat="1" x14ac:dyDescent="0.25"/>
    <row r="10926" customFormat="1" x14ac:dyDescent="0.25"/>
    <row r="10927" customFormat="1" x14ac:dyDescent="0.25"/>
    <row r="10928" customFormat="1" x14ac:dyDescent="0.25"/>
    <row r="10929" customFormat="1" x14ac:dyDescent="0.25"/>
    <row r="10930" customFormat="1" x14ac:dyDescent="0.25"/>
    <row r="10931" customFormat="1" x14ac:dyDescent="0.25"/>
    <row r="10932" customFormat="1" x14ac:dyDescent="0.25"/>
    <row r="10933" customFormat="1" x14ac:dyDescent="0.25"/>
    <row r="10934" customFormat="1" x14ac:dyDescent="0.25"/>
    <row r="10935" customFormat="1" x14ac:dyDescent="0.25"/>
    <row r="10936" customFormat="1" x14ac:dyDescent="0.25"/>
    <row r="10937" customFormat="1" x14ac:dyDescent="0.25"/>
    <row r="10938" customFormat="1" x14ac:dyDescent="0.25"/>
    <row r="10939" customFormat="1" x14ac:dyDescent="0.25"/>
    <row r="10940" customFormat="1" x14ac:dyDescent="0.25"/>
    <row r="10941" customFormat="1" x14ac:dyDescent="0.25"/>
    <row r="10942" customFormat="1" x14ac:dyDescent="0.25"/>
    <row r="10943" customFormat="1" x14ac:dyDescent="0.25"/>
    <row r="10944" customFormat="1" x14ac:dyDescent="0.25"/>
    <row r="10945" customFormat="1" x14ac:dyDescent="0.25"/>
    <row r="10946" customFormat="1" x14ac:dyDescent="0.25"/>
    <row r="10947" customFormat="1" x14ac:dyDescent="0.25"/>
    <row r="10948" customFormat="1" x14ac:dyDescent="0.25"/>
    <row r="10949" customFormat="1" x14ac:dyDescent="0.25"/>
    <row r="10950" customFormat="1" x14ac:dyDescent="0.25"/>
    <row r="10951" customFormat="1" x14ac:dyDescent="0.25"/>
    <row r="10952" customFormat="1" x14ac:dyDescent="0.25"/>
    <row r="10953" customFormat="1" x14ac:dyDescent="0.25"/>
    <row r="10954" customFormat="1" x14ac:dyDescent="0.25"/>
    <row r="10955" customFormat="1" x14ac:dyDescent="0.25"/>
    <row r="10956" customFormat="1" x14ac:dyDescent="0.25"/>
    <row r="10957" customFormat="1" x14ac:dyDescent="0.25"/>
    <row r="10958" customFormat="1" x14ac:dyDescent="0.25"/>
    <row r="10959" customFormat="1" x14ac:dyDescent="0.25"/>
    <row r="10960" customFormat="1" x14ac:dyDescent="0.25"/>
    <row r="10961" customFormat="1" x14ac:dyDescent="0.25"/>
    <row r="10962" customFormat="1" x14ac:dyDescent="0.25"/>
    <row r="10963" customFormat="1" x14ac:dyDescent="0.25"/>
    <row r="10964" customFormat="1" x14ac:dyDescent="0.25"/>
    <row r="10965" customFormat="1" x14ac:dyDescent="0.25"/>
    <row r="10966" customFormat="1" x14ac:dyDescent="0.25"/>
    <row r="10967" customFormat="1" x14ac:dyDescent="0.25"/>
    <row r="10968" customFormat="1" x14ac:dyDescent="0.25"/>
    <row r="10969" customFormat="1" x14ac:dyDescent="0.25"/>
    <row r="10970" customFormat="1" x14ac:dyDescent="0.25"/>
    <row r="10971" customFormat="1" x14ac:dyDescent="0.25"/>
    <row r="10972" customFormat="1" x14ac:dyDescent="0.25"/>
    <row r="10973" customFormat="1" x14ac:dyDescent="0.25"/>
    <row r="10974" customFormat="1" x14ac:dyDescent="0.25"/>
    <row r="10975" customFormat="1" x14ac:dyDescent="0.25"/>
    <row r="10976" customFormat="1" x14ac:dyDescent="0.25"/>
    <row r="10977" customFormat="1" x14ac:dyDescent="0.25"/>
    <row r="10978" customFormat="1" x14ac:dyDescent="0.25"/>
    <row r="10979" customFormat="1" x14ac:dyDescent="0.25"/>
    <row r="10980" customFormat="1" x14ac:dyDescent="0.25"/>
    <row r="10981" customFormat="1" x14ac:dyDescent="0.25"/>
    <row r="10982" customFormat="1" x14ac:dyDescent="0.25"/>
    <row r="10983" customFormat="1" x14ac:dyDescent="0.25"/>
    <row r="10984" customFormat="1" x14ac:dyDescent="0.25"/>
    <row r="10985" customFormat="1" x14ac:dyDescent="0.25"/>
    <row r="10986" customFormat="1" x14ac:dyDescent="0.25"/>
    <row r="10987" customFormat="1" x14ac:dyDescent="0.25"/>
    <row r="10988" customFormat="1" x14ac:dyDescent="0.25"/>
    <row r="10989" customFormat="1" x14ac:dyDescent="0.25"/>
    <row r="10990" customFormat="1" x14ac:dyDescent="0.25"/>
    <row r="10991" customFormat="1" x14ac:dyDescent="0.25"/>
    <row r="10992" customFormat="1" x14ac:dyDescent="0.25"/>
    <row r="10993" customFormat="1" x14ac:dyDescent="0.25"/>
    <row r="10994" customFormat="1" x14ac:dyDescent="0.25"/>
    <row r="10995" customFormat="1" x14ac:dyDescent="0.25"/>
    <row r="10996" customFormat="1" x14ac:dyDescent="0.25"/>
    <row r="10997" customFormat="1" x14ac:dyDescent="0.25"/>
    <row r="10998" customFormat="1" x14ac:dyDescent="0.25"/>
    <row r="10999" customFormat="1" x14ac:dyDescent="0.25"/>
    <row r="11000" customFormat="1" x14ac:dyDescent="0.25"/>
    <row r="11001" customFormat="1" x14ac:dyDescent="0.25"/>
    <row r="11002" customFormat="1" x14ac:dyDescent="0.25"/>
    <row r="11003" customFormat="1" x14ac:dyDescent="0.25"/>
    <row r="11004" customFormat="1" x14ac:dyDescent="0.25"/>
    <row r="11005" customFormat="1" x14ac:dyDescent="0.25"/>
    <row r="11006" customFormat="1" x14ac:dyDescent="0.25"/>
    <row r="11007" customFormat="1" x14ac:dyDescent="0.25"/>
    <row r="11008" customFormat="1" x14ac:dyDescent="0.25"/>
    <row r="11009" customFormat="1" x14ac:dyDescent="0.25"/>
    <row r="11010" customFormat="1" x14ac:dyDescent="0.25"/>
    <row r="11011" customFormat="1" x14ac:dyDescent="0.25"/>
    <row r="11012" customFormat="1" x14ac:dyDescent="0.25"/>
    <row r="11013" customFormat="1" x14ac:dyDescent="0.25"/>
    <row r="11014" customFormat="1" x14ac:dyDescent="0.25"/>
    <row r="11015" customFormat="1" x14ac:dyDescent="0.25"/>
    <row r="11016" customFormat="1" x14ac:dyDescent="0.25"/>
    <row r="11017" customFormat="1" x14ac:dyDescent="0.25"/>
    <row r="11018" customFormat="1" x14ac:dyDescent="0.25"/>
    <row r="11019" customFormat="1" x14ac:dyDescent="0.25"/>
    <row r="11020" customFormat="1" x14ac:dyDescent="0.25"/>
    <row r="11021" customFormat="1" x14ac:dyDescent="0.25"/>
    <row r="11022" customFormat="1" x14ac:dyDescent="0.25"/>
    <row r="11023" customFormat="1" x14ac:dyDescent="0.25"/>
    <row r="11024" customFormat="1" x14ac:dyDescent="0.25"/>
    <row r="11025" customFormat="1" x14ac:dyDescent="0.25"/>
    <row r="11026" customFormat="1" x14ac:dyDescent="0.25"/>
    <row r="11027" customFormat="1" x14ac:dyDescent="0.25"/>
    <row r="11028" customFormat="1" x14ac:dyDescent="0.25"/>
    <row r="11029" customFormat="1" x14ac:dyDescent="0.25"/>
    <row r="11030" customFormat="1" x14ac:dyDescent="0.25"/>
    <row r="11031" customFormat="1" x14ac:dyDescent="0.25"/>
    <row r="11032" customFormat="1" x14ac:dyDescent="0.25"/>
    <row r="11033" customFormat="1" x14ac:dyDescent="0.25"/>
    <row r="11034" customFormat="1" x14ac:dyDescent="0.25"/>
    <row r="11035" customFormat="1" x14ac:dyDescent="0.25"/>
    <row r="11036" customFormat="1" x14ac:dyDescent="0.25"/>
    <row r="11037" customFormat="1" x14ac:dyDescent="0.25"/>
    <row r="11038" customFormat="1" x14ac:dyDescent="0.25"/>
    <row r="11039" customFormat="1" x14ac:dyDescent="0.25"/>
    <row r="11040" customFormat="1" x14ac:dyDescent="0.25"/>
    <row r="11041" customFormat="1" x14ac:dyDescent="0.25"/>
    <row r="11042" customFormat="1" x14ac:dyDescent="0.25"/>
    <row r="11043" customFormat="1" x14ac:dyDescent="0.25"/>
    <row r="11044" customFormat="1" x14ac:dyDescent="0.25"/>
    <row r="11045" customFormat="1" x14ac:dyDescent="0.25"/>
    <row r="11046" customFormat="1" x14ac:dyDescent="0.25"/>
    <row r="11047" customFormat="1" x14ac:dyDescent="0.25"/>
    <row r="11048" customFormat="1" x14ac:dyDescent="0.25"/>
    <row r="11049" customFormat="1" x14ac:dyDescent="0.25"/>
    <row r="11050" customFormat="1" x14ac:dyDescent="0.25"/>
    <row r="11051" customFormat="1" x14ac:dyDescent="0.25"/>
    <row r="11052" customFormat="1" x14ac:dyDescent="0.25"/>
    <row r="11053" customFormat="1" x14ac:dyDescent="0.25"/>
    <row r="11054" customFormat="1" x14ac:dyDescent="0.25"/>
    <row r="11055" customFormat="1" x14ac:dyDescent="0.25"/>
    <row r="11056" customFormat="1" x14ac:dyDescent="0.25"/>
    <row r="11057" customFormat="1" x14ac:dyDescent="0.25"/>
    <row r="11058" customFormat="1" x14ac:dyDescent="0.25"/>
    <row r="11059" customFormat="1" x14ac:dyDescent="0.25"/>
    <row r="11060" customFormat="1" x14ac:dyDescent="0.25"/>
    <row r="11061" customFormat="1" x14ac:dyDescent="0.25"/>
    <row r="11062" customFormat="1" x14ac:dyDescent="0.25"/>
    <row r="11063" customFormat="1" x14ac:dyDescent="0.25"/>
    <row r="11064" customFormat="1" x14ac:dyDescent="0.25"/>
    <row r="11065" customFormat="1" x14ac:dyDescent="0.25"/>
    <row r="11066" customFormat="1" x14ac:dyDescent="0.25"/>
    <row r="11067" customFormat="1" x14ac:dyDescent="0.25"/>
    <row r="11068" customFormat="1" x14ac:dyDescent="0.25"/>
    <row r="11069" customFormat="1" x14ac:dyDescent="0.25"/>
    <row r="11070" customFormat="1" x14ac:dyDescent="0.25"/>
    <row r="11071" customFormat="1" x14ac:dyDescent="0.25"/>
    <row r="11072" customFormat="1" x14ac:dyDescent="0.25"/>
    <row r="11073" customFormat="1" x14ac:dyDescent="0.25"/>
    <row r="11074" customFormat="1" x14ac:dyDescent="0.25"/>
    <row r="11075" customFormat="1" x14ac:dyDescent="0.25"/>
    <row r="11076" customFormat="1" x14ac:dyDescent="0.25"/>
    <row r="11077" customFormat="1" x14ac:dyDescent="0.25"/>
    <row r="11078" customFormat="1" x14ac:dyDescent="0.25"/>
    <row r="11079" customFormat="1" x14ac:dyDescent="0.25"/>
    <row r="11080" customFormat="1" x14ac:dyDescent="0.25"/>
    <row r="11081" customFormat="1" x14ac:dyDescent="0.25"/>
    <row r="11082" customFormat="1" x14ac:dyDescent="0.25"/>
    <row r="11083" customFormat="1" x14ac:dyDescent="0.25"/>
    <row r="11084" customFormat="1" x14ac:dyDescent="0.25"/>
    <row r="11085" customFormat="1" x14ac:dyDescent="0.25"/>
    <row r="11086" customFormat="1" x14ac:dyDescent="0.25"/>
    <row r="11087" customFormat="1" x14ac:dyDescent="0.25"/>
    <row r="11088" customFormat="1" x14ac:dyDescent="0.25"/>
    <row r="11089" customFormat="1" x14ac:dyDescent="0.25"/>
    <row r="11090" customFormat="1" x14ac:dyDescent="0.25"/>
    <row r="11091" customFormat="1" x14ac:dyDescent="0.25"/>
    <row r="11092" customFormat="1" x14ac:dyDescent="0.25"/>
    <row r="11093" customFormat="1" x14ac:dyDescent="0.25"/>
    <row r="11094" customFormat="1" x14ac:dyDescent="0.25"/>
    <row r="11095" customFormat="1" x14ac:dyDescent="0.25"/>
    <row r="11096" customFormat="1" x14ac:dyDescent="0.25"/>
    <row r="11097" customFormat="1" x14ac:dyDescent="0.25"/>
    <row r="11098" customFormat="1" x14ac:dyDescent="0.25"/>
    <row r="11099" customFormat="1" x14ac:dyDescent="0.25"/>
    <row r="11100" customFormat="1" x14ac:dyDescent="0.25"/>
    <row r="11101" customFormat="1" x14ac:dyDescent="0.25"/>
    <row r="11102" customFormat="1" x14ac:dyDescent="0.25"/>
    <row r="11103" customFormat="1" x14ac:dyDescent="0.25"/>
    <row r="11104" customFormat="1" x14ac:dyDescent="0.25"/>
    <row r="11105" customFormat="1" x14ac:dyDescent="0.25"/>
    <row r="11106" customFormat="1" x14ac:dyDescent="0.25"/>
    <row r="11107" customFormat="1" x14ac:dyDescent="0.25"/>
    <row r="11108" customFormat="1" x14ac:dyDescent="0.25"/>
    <row r="11109" customFormat="1" x14ac:dyDescent="0.25"/>
    <row r="11110" customFormat="1" x14ac:dyDescent="0.25"/>
    <row r="11111" customFormat="1" x14ac:dyDescent="0.25"/>
    <row r="11112" customFormat="1" x14ac:dyDescent="0.25"/>
    <row r="11113" customFormat="1" x14ac:dyDescent="0.25"/>
    <row r="11114" customFormat="1" x14ac:dyDescent="0.25"/>
    <row r="11115" customFormat="1" x14ac:dyDescent="0.25"/>
    <row r="11116" customFormat="1" x14ac:dyDescent="0.25"/>
    <row r="11117" customFormat="1" x14ac:dyDescent="0.25"/>
    <row r="11118" customFormat="1" x14ac:dyDescent="0.25"/>
    <row r="11119" customFormat="1" x14ac:dyDescent="0.25"/>
    <row r="11120" customFormat="1" x14ac:dyDescent="0.25"/>
    <row r="11121" customFormat="1" x14ac:dyDescent="0.25"/>
    <row r="11122" customFormat="1" x14ac:dyDescent="0.25"/>
    <row r="11123" customFormat="1" x14ac:dyDescent="0.25"/>
    <row r="11124" customFormat="1" x14ac:dyDescent="0.25"/>
    <row r="11125" customFormat="1" x14ac:dyDescent="0.25"/>
    <row r="11126" customFormat="1" x14ac:dyDescent="0.25"/>
    <row r="11127" customFormat="1" x14ac:dyDescent="0.25"/>
    <row r="11128" customFormat="1" x14ac:dyDescent="0.25"/>
    <row r="11129" customFormat="1" x14ac:dyDescent="0.25"/>
    <row r="11130" customFormat="1" x14ac:dyDescent="0.25"/>
    <row r="11131" customFormat="1" x14ac:dyDescent="0.25"/>
    <row r="11132" customFormat="1" x14ac:dyDescent="0.25"/>
    <row r="11133" customFormat="1" x14ac:dyDescent="0.25"/>
    <row r="11134" customFormat="1" x14ac:dyDescent="0.25"/>
    <row r="11135" customFormat="1" x14ac:dyDescent="0.25"/>
    <row r="11136" customFormat="1" x14ac:dyDescent="0.25"/>
    <row r="11137" customFormat="1" x14ac:dyDescent="0.25"/>
    <row r="11138" customFormat="1" x14ac:dyDescent="0.25"/>
    <row r="11139" customFormat="1" x14ac:dyDescent="0.25"/>
    <row r="11140" customFormat="1" x14ac:dyDescent="0.25"/>
    <row r="11141" customFormat="1" x14ac:dyDescent="0.25"/>
    <row r="11142" customFormat="1" x14ac:dyDescent="0.25"/>
    <row r="11143" customFormat="1" x14ac:dyDescent="0.25"/>
    <row r="11144" customFormat="1" x14ac:dyDescent="0.25"/>
    <row r="11145" customFormat="1" x14ac:dyDescent="0.25"/>
    <row r="11146" customFormat="1" x14ac:dyDescent="0.25"/>
    <row r="11147" customFormat="1" x14ac:dyDescent="0.25"/>
    <row r="11148" customFormat="1" x14ac:dyDescent="0.25"/>
    <row r="11149" customFormat="1" x14ac:dyDescent="0.25"/>
    <row r="11150" customFormat="1" x14ac:dyDescent="0.25"/>
    <row r="11151" customFormat="1" x14ac:dyDescent="0.25"/>
    <row r="11152" customFormat="1" x14ac:dyDescent="0.25"/>
    <row r="11153" customFormat="1" x14ac:dyDescent="0.25"/>
    <row r="11154" customFormat="1" x14ac:dyDescent="0.25"/>
    <row r="11155" customFormat="1" x14ac:dyDescent="0.25"/>
    <row r="11156" customFormat="1" x14ac:dyDescent="0.25"/>
    <row r="11157" customFormat="1" x14ac:dyDescent="0.25"/>
    <row r="11158" customFormat="1" x14ac:dyDescent="0.25"/>
    <row r="11159" customFormat="1" x14ac:dyDescent="0.25"/>
    <row r="11160" customFormat="1" x14ac:dyDescent="0.25"/>
    <row r="11161" customFormat="1" x14ac:dyDescent="0.25"/>
    <row r="11162" customFormat="1" x14ac:dyDescent="0.25"/>
    <row r="11163" customFormat="1" x14ac:dyDescent="0.25"/>
    <row r="11164" customFormat="1" x14ac:dyDescent="0.25"/>
    <row r="11165" customFormat="1" x14ac:dyDescent="0.25"/>
    <row r="11166" customFormat="1" x14ac:dyDescent="0.25"/>
    <row r="11167" customFormat="1" x14ac:dyDescent="0.25"/>
    <row r="11168" customFormat="1" x14ac:dyDescent="0.25"/>
    <row r="11169" customFormat="1" x14ac:dyDescent="0.25"/>
    <row r="11170" customFormat="1" x14ac:dyDescent="0.25"/>
    <row r="11171" customFormat="1" x14ac:dyDescent="0.25"/>
    <row r="11172" customFormat="1" x14ac:dyDescent="0.25"/>
    <row r="11173" customFormat="1" x14ac:dyDescent="0.25"/>
    <row r="11174" customFormat="1" x14ac:dyDescent="0.25"/>
    <row r="11175" customFormat="1" x14ac:dyDescent="0.25"/>
    <row r="11176" customFormat="1" x14ac:dyDescent="0.25"/>
    <row r="11177" customFormat="1" x14ac:dyDescent="0.25"/>
    <row r="11178" customFormat="1" x14ac:dyDescent="0.25"/>
    <row r="11179" customFormat="1" x14ac:dyDescent="0.25"/>
    <row r="11180" customFormat="1" x14ac:dyDescent="0.25"/>
    <row r="11181" customFormat="1" x14ac:dyDescent="0.25"/>
    <row r="11182" customFormat="1" x14ac:dyDescent="0.25"/>
    <row r="11183" customFormat="1" x14ac:dyDescent="0.25"/>
    <row r="11184" customFormat="1" x14ac:dyDescent="0.25"/>
    <row r="11185" customFormat="1" x14ac:dyDescent="0.25"/>
    <row r="11186" customFormat="1" x14ac:dyDescent="0.25"/>
    <row r="11187" customFormat="1" x14ac:dyDescent="0.25"/>
    <row r="11188" customFormat="1" x14ac:dyDescent="0.25"/>
    <row r="11189" customFormat="1" x14ac:dyDescent="0.25"/>
    <row r="11190" customFormat="1" x14ac:dyDescent="0.25"/>
    <row r="11191" customFormat="1" x14ac:dyDescent="0.25"/>
    <row r="11192" customFormat="1" x14ac:dyDescent="0.25"/>
    <row r="11193" customFormat="1" x14ac:dyDescent="0.25"/>
    <row r="11194" customFormat="1" x14ac:dyDescent="0.25"/>
    <row r="11195" customFormat="1" x14ac:dyDescent="0.25"/>
    <row r="11196" customFormat="1" x14ac:dyDescent="0.25"/>
    <row r="11197" customFormat="1" x14ac:dyDescent="0.25"/>
    <row r="11198" customFormat="1" x14ac:dyDescent="0.25"/>
    <row r="11199" customFormat="1" x14ac:dyDescent="0.25"/>
    <row r="11200" customFormat="1" x14ac:dyDescent="0.25"/>
    <row r="11201" customFormat="1" x14ac:dyDescent="0.25"/>
    <row r="11202" customFormat="1" x14ac:dyDescent="0.25"/>
    <row r="11203" customFormat="1" x14ac:dyDescent="0.25"/>
    <row r="11204" customFormat="1" x14ac:dyDescent="0.25"/>
    <row r="11205" customFormat="1" x14ac:dyDescent="0.25"/>
    <row r="11206" customFormat="1" x14ac:dyDescent="0.25"/>
    <row r="11207" customFormat="1" x14ac:dyDescent="0.25"/>
    <row r="11208" customFormat="1" x14ac:dyDescent="0.25"/>
    <row r="11209" customFormat="1" x14ac:dyDescent="0.25"/>
    <row r="11210" customFormat="1" x14ac:dyDescent="0.25"/>
    <row r="11211" customFormat="1" x14ac:dyDescent="0.25"/>
    <row r="11212" customFormat="1" x14ac:dyDescent="0.25"/>
    <row r="11213" customFormat="1" x14ac:dyDescent="0.25"/>
    <row r="11214" customFormat="1" x14ac:dyDescent="0.25"/>
    <row r="11215" customFormat="1" x14ac:dyDescent="0.25"/>
    <row r="11216" customFormat="1" x14ac:dyDescent="0.25"/>
    <row r="11217" customFormat="1" x14ac:dyDescent="0.25"/>
    <row r="11218" customFormat="1" x14ac:dyDescent="0.25"/>
    <row r="11219" customFormat="1" x14ac:dyDescent="0.25"/>
    <row r="11220" customFormat="1" x14ac:dyDescent="0.25"/>
    <row r="11221" customFormat="1" x14ac:dyDescent="0.25"/>
    <row r="11222" customFormat="1" x14ac:dyDescent="0.25"/>
    <row r="11223" customFormat="1" x14ac:dyDescent="0.25"/>
    <row r="11224" customFormat="1" x14ac:dyDescent="0.25"/>
    <row r="11225" customFormat="1" x14ac:dyDescent="0.25"/>
    <row r="11226" customFormat="1" x14ac:dyDescent="0.25"/>
    <row r="11227" customFormat="1" x14ac:dyDescent="0.25"/>
    <row r="11228" customFormat="1" x14ac:dyDescent="0.25"/>
    <row r="11229" customFormat="1" x14ac:dyDescent="0.25"/>
    <row r="11230" customFormat="1" x14ac:dyDescent="0.25"/>
    <row r="11231" customFormat="1" x14ac:dyDescent="0.25"/>
    <row r="11232" customFormat="1" x14ac:dyDescent="0.25"/>
    <row r="11233" customFormat="1" x14ac:dyDescent="0.25"/>
    <row r="11234" customFormat="1" x14ac:dyDescent="0.25"/>
    <row r="11235" customFormat="1" x14ac:dyDescent="0.25"/>
    <row r="11236" customFormat="1" x14ac:dyDescent="0.25"/>
    <row r="11237" customFormat="1" x14ac:dyDescent="0.25"/>
    <row r="11238" customFormat="1" x14ac:dyDescent="0.25"/>
    <row r="11239" customFormat="1" x14ac:dyDescent="0.25"/>
    <row r="11240" customFormat="1" x14ac:dyDescent="0.25"/>
    <row r="11241" customFormat="1" x14ac:dyDescent="0.25"/>
    <row r="11242" customFormat="1" x14ac:dyDescent="0.25"/>
    <row r="11243" customFormat="1" x14ac:dyDescent="0.25"/>
    <row r="11244" customFormat="1" x14ac:dyDescent="0.25"/>
    <row r="11245" customFormat="1" x14ac:dyDescent="0.25"/>
    <row r="11246" customFormat="1" x14ac:dyDescent="0.25"/>
    <row r="11247" customFormat="1" x14ac:dyDescent="0.25"/>
    <row r="11248" customFormat="1" x14ac:dyDescent="0.25"/>
    <row r="11249" customFormat="1" x14ac:dyDescent="0.25"/>
    <row r="11250" customFormat="1" x14ac:dyDescent="0.25"/>
    <row r="11251" customFormat="1" x14ac:dyDescent="0.25"/>
    <row r="11252" customFormat="1" x14ac:dyDescent="0.25"/>
    <row r="11253" customFormat="1" x14ac:dyDescent="0.25"/>
    <row r="11254" customFormat="1" x14ac:dyDescent="0.25"/>
    <row r="11255" customFormat="1" x14ac:dyDescent="0.25"/>
    <row r="11256" customFormat="1" x14ac:dyDescent="0.25"/>
    <row r="11257" customFormat="1" x14ac:dyDescent="0.25"/>
    <row r="11258" customFormat="1" x14ac:dyDescent="0.25"/>
    <row r="11259" customFormat="1" x14ac:dyDescent="0.25"/>
    <row r="11260" customFormat="1" x14ac:dyDescent="0.25"/>
    <row r="11261" customFormat="1" x14ac:dyDescent="0.25"/>
    <row r="11262" customFormat="1" x14ac:dyDescent="0.25"/>
    <row r="11263" customFormat="1" x14ac:dyDescent="0.25"/>
    <row r="11264" customFormat="1" x14ac:dyDescent="0.25"/>
    <row r="11265" customFormat="1" x14ac:dyDescent="0.25"/>
    <row r="11266" customFormat="1" x14ac:dyDescent="0.25"/>
    <row r="11267" customFormat="1" x14ac:dyDescent="0.25"/>
    <row r="11268" customFormat="1" x14ac:dyDescent="0.25"/>
    <row r="11269" customFormat="1" x14ac:dyDescent="0.25"/>
    <row r="11270" customFormat="1" x14ac:dyDescent="0.25"/>
    <row r="11271" customFormat="1" x14ac:dyDescent="0.25"/>
    <row r="11272" customFormat="1" x14ac:dyDescent="0.25"/>
    <row r="11273" customFormat="1" x14ac:dyDescent="0.25"/>
    <row r="11274" customFormat="1" x14ac:dyDescent="0.25"/>
    <row r="11275" customFormat="1" x14ac:dyDescent="0.25"/>
    <row r="11276" customFormat="1" x14ac:dyDescent="0.25"/>
    <row r="11277" customFormat="1" x14ac:dyDescent="0.25"/>
    <row r="11278" customFormat="1" x14ac:dyDescent="0.25"/>
    <row r="11279" customFormat="1" x14ac:dyDescent="0.25"/>
    <row r="11280" customFormat="1" x14ac:dyDescent="0.25"/>
    <row r="11281" customFormat="1" x14ac:dyDescent="0.25"/>
    <row r="11282" customFormat="1" x14ac:dyDescent="0.25"/>
    <row r="11283" customFormat="1" x14ac:dyDescent="0.25"/>
    <row r="11284" customFormat="1" x14ac:dyDescent="0.25"/>
    <row r="11285" customFormat="1" x14ac:dyDescent="0.25"/>
    <row r="11286" customFormat="1" x14ac:dyDescent="0.25"/>
    <row r="11287" customFormat="1" x14ac:dyDescent="0.25"/>
    <row r="11288" customFormat="1" x14ac:dyDescent="0.25"/>
    <row r="11289" customFormat="1" x14ac:dyDescent="0.25"/>
    <row r="11290" customFormat="1" x14ac:dyDescent="0.25"/>
    <row r="11291" customFormat="1" x14ac:dyDescent="0.25"/>
    <row r="11292" customFormat="1" x14ac:dyDescent="0.25"/>
    <row r="11293" customFormat="1" x14ac:dyDescent="0.25"/>
    <row r="11294" customFormat="1" x14ac:dyDescent="0.25"/>
    <row r="11295" customFormat="1" x14ac:dyDescent="0.25"/>
    <row r="11296" customFormat="1" x14ac:dyDescent="0.25"/>
    <row r="11297" customFormat="1" x14ac:dyDescent="0.25"/>
    <row r="11298" customFormat="1" x14ac:dyDescent="0.25"/>
    <row r="11299" customFormat="1" x14ac:dyDescent="0.25"/>
    <row r="11300" customFormat="1" x14ac:dyDescent="0.25"/>
    <row r="11301" customFormat="1" x14ac:dyDescent="0.25"/>
    <row r="11302" customFormat="1" x14ac:dyDescent="0.25"/>
    <row r="11303" customFormat="1" x14ac:dyDescent="0.25"/>
    <row r="11304" customFormat="1" x14ac:dyDescent="0.25"/>
    <row r="11305" customFormat="1" x14ac:dyDescent="0.25"/>
    <row r="11306" customFormat="1" x14ac:dyDescent="0.25"/>
    <row r="11307" customFormat="1" x14ac:dyDescent="0.25"/>
    <row r="11308" customFormat="1" x14ac:dyDescent="0.25"/>
    <row r="11309" customFormat="1" x14ac:dyDescent="0.25"/>
    <row r="11310" customFormat="1" x14ac:dyDescent="0.25"/>
    <row r="11311" customFormat="1" x14ac:dyDescent="0.25"/>
    <row r="11312" customFormat="1" x14ac:dyDescent="0.25"/>
    <row r="11313" customFormat="1" x14ac:dyDescent="0.25"/>
    <row r="11314" customFormat="1" x14ac:dyDescent="0.25"/>
    <row r="11315" customFormat="1" x14ac:dyDescent="0.25"/>
    <row r="11316" customFormat="1" x14ac:dyDescent="0.25"/>
    <row r="11317" customFormat="1" x14ac:dyDescent="0.25"/>
    <row r="11318" customFormat="1" x14ac:dyDescent="0.25"/>
    <row r="11319" customFormat="1" x14ac:dyDescent="0.25"/>
    <row r="11320" customFormat="1" x14ac:dyDescent="0.25"/>
    <row r="11321" customFormat="1" x14ac:dyDescent="0.25"/>
    <row r="11322" customFormat="1" x14ac:dyDescent="0.25"/>
    <row r="11323" customFormat="1" x14ac:dyDescent="0.25"/>
    <row r="11324" customFormat="1" x14ac:dyDescent="0.25"/>
    <row r="11325" customFormat="1" x14ac:dyDescent="0.25"/>
    <row r="11326" customFormat="1" x14ac:dyDescent="0.25"/>
    <row r="11327" customFormat="1" x14ac:dyDescent="0.25"/>
    <row r="11328" customFormat="1" x14ac:dyDescent="0.25"/>
    <row r="11329" customFormat="1" x14ac:dyDescent="0.25"/>
    <row r="11330" customFormat="1" x14ac:dyDescent="0.25"/>
    <row r="11331" customFormat="1" x14ac:dyDescent="0.25"/>
    <row r="11332" customFormat="1" x14ac:dyDescent="0.25"/>
    <row r="11333" customFormat="1" x14ac:dyDescent="0.25"/>
    <row r="11334" customFormat="1" x14ac:dyDescent="0.25"/>
    <row r="11335" customFormat="1" x14ac:dyDescent="0.25"/>
    <row r="11336" customFormat="1" x14ac:dyDescent="0.25"/>
    <row r="11337" customFormat="1" x14ac:dyDescent="0.25"/>
    <row r="11338" customFormat="1" x14ac:dyDescent="0.25"/>
    <row r="11339" customFormat="1" x14ac:dyDescent="0.25"/>
    <row r="11340" customFormat="1" x14ac:dyDescent="0.25"/>
    <row r="11341" customFormat="1" x14ac:dyDescent="0.25"/>
    <row r="11342" customFormat="1" x14ac:dyDescent="0.25"/>
    <row r="11343" customFormat="1" x14ac:dyDescent="0.25"/>
    <row r="11344" customFormat="1" x14ac:dyDescent="0.25"/>
    <row r="11345" customFormat="1" x14ac:dyDescent="0.25"/>
    <row r="11346" customFormat="1" x14ac:dyDescent="0.25"/>
    <row r="11347" customFormat="1" x14ac:dyDescent="0.25"/>
    <row r="11348" customFormat="1" x14ac:dyDescent="0.25"/>
    <row r="11349" customFormat="1" x14ac:dyDescent="0.25"/>
    <row r="11350" customFormat="1" x14ac:dyDescent="0.25"/>
    <row r="11351" customFormat="1" x14ac:dyDescent="0.25"/>
    <row r="11352" customFormat="1" x14ac:dyDescent="0.25"/>
    <row r="11353" customFormat="1" x14ac:dyDescent="0.25"/>
    <row r="11354" customFormat="1" x14ac:dyDescent="0.25"/>
    <row r="11355" customFormat="1" x14ac:dyDescent="0.25"/>
    <row r="11356" customFormat="1" x14ac:dyDescent="0.25"/>
    <row r="11357" customFormat="1" x14ac:dyDescent="0.25"/>
    <row r="11358" customFormat="1" x14ac:dyDescent="0.25"/>
    <row r="11359" customFormat="1" x14ac:dyDescent="0.25"/>
    <row r="11360" customFormat="1" x14ac:dyDescent="0.25"/>
    <row r="11361" customFormat="1" x14ac:dyDescent="0.25"/>
    <row r="11362" customFormat="1" x14ac:dyDescent="0.25"/>
    <row r="11363" customFormat="1" x14ac:dyDescent="0.25"/>
    <row r="11364" customFormat="1" x14ac:dyDescent="0.25"/>
    <row r="11365" customFormat="1" x14ac:dyDescent="0.25"/>
    <row r="11366" customFormat="1" x14ac:dyDescent="0.25"/>
    <row r="11367" customFormat="1" x14ac:dyDescent="0.25"/>
    <row r="11368" customFormat="1" x14ac:dyDescent="0.25"/>
    <row r="11369" customFormat="1" x14ac:dyDescent="0.25"/>
    <row r="11370" customFormat="1" x14ac:dyDescent="0.25"/>
    <row r="11371" customFormat="1" x14ac:dyDescent="0.25"/>
    <row r="11372" customFormat="1" x14ac:dyDescent="0.25"/>
    <row r="11373" customFormat="1" x14ac:dyDescent="0.25"/>
    <row r="11374" customFormat="1" x14ac:dyDescent="0.25"/>
    <row r="11375" customFormat="1" x14ac:dyDescent="0.25"/>
    <row r="11376" customFormat="1" x14ac:dyDescent="0.25"/>
    <row r="11377" customFormat="1" x14ac:dyDescent="0.25"/>
    <row r="11378" customFormat="1" x14ac:dyDescent="0.25"/>
    <row r="11379" customFormat="1" x14ac:dyDescent="0.25"/>
    <row r="11380" customFormat="1" x14ac:dyDescent="0.25"/>
    <row r="11381" customFormat="1" x14ac:dyDescent="0.25"/>
    <row r="11382" customFormat="1" x14ac:dyDescent="0.25"/>
    <row r="11383" customFormat="1" x14ac:dyDescent="0.25"/>
    <row r="11384" customFormat="1" x14ac:dyDescent="0.25"/>
    <row r="11385" customFormat="1" x14ac:dyDescent="0.25"/>
    <row r="11386" customFormat="1" x14ac:dyDescent="0.25"/>
    <row r="11387" customFormat="1" x14ac:dyDescent="0.25"/>
    <row r="11388" customFormat="1" x14ac:dyDescent="0.25"/>
    <row r="11389" customFormat="1" x14ac:dyDescent="0.25"/>
    <row r="11390" customFormat="1" x14ac:dyDescent="0.25"/>
    <row r="11391" customFormat="1" x14ac:dyDescent="0.25"/>
    <row r="11392" customFormat="1" x14ac:dyDescent="0.25"/>
    <row r="11393" customFormat="1" x14ac:dyDescent="0.25"/>
    <row r="11394" customFormat="1" x14ac:dyDescent="0.25"/>
    <row r="11395" customFormat="1" x14ac:dyDescent="0.25"/>
    <row r="11396" customFormat="1" x14ac:dyDescent="0.25"/>
    <row r="11397" customFormat="1" x14ac:dyDescent="0.25"/>
    <row r="11398" customFormat="1" x14ac:dyDescent="0.25"/>
    <row r="11399" customFormat="1" x14ac:dyDescent="0.25"/>
    <row r="11400" customFormat="1" x14ac:dyDescent="0.25"/>
    <row r="11401" customFormat="1" x14ac:dyDescent="0.25"/>
    <row r="11402" customFormat="1" x14ac:dyDescent="0.25"/>
    <row r="11403" customFormat="1" x14ac:dyDescent="0.25"/>
    <row r="11404" customFormat="1" x14ac:dyDescent="0.25"/>
    <row r="11405" customFormat="1" x14ac:dyDescent="0.25"/>
    <row r="11406" customFormat="1" x14ac:dyDescent="0.25"/>
    <row r="11407" customFormat="1" x14ac:dyDescent="0.25"/>
    <row r="11408" customFormat="1" x14ac:dyDescent="0.25"/>
    <row r="11409" customFormat="1" x14ac:dyDescent="0.25"/>
    <row r="11410" customFormat="1" x14ac:dyDescent="0.25"/>
    <row r="11411" customFormat="1" x14ac:dyDescent="0.25"/>
    <row r="11412" customFormat="1" x14ac:dyDescent="0.25"/>
    <row r="11413" customFormat="1" x14ac:dyDescent="0.25"/>
    <row r="11414" customFormat="1" x14ac:dyDescent="0.25"/>
    <row r="11415" customFormat="1" x14ac:dyDescent="0.25"/>
    <row r="11416" customFormat="1" x14ac:dyDescent="0.25"/>
    <row r="11417" customFormat="1" x14ac:dyDescent="0.25"/>
    <row r="11418" customFormat="1" x14ac:dyDescent="0.25"/>
    <row r="11419" customFormat="1" x14ac:dyDescent="0.25"/>
    <row r="11420" customFormat="1" x14ac:dyDescent="0.25"/>
    <row r="11421" customFormat="1" x14ac:dyDescent="0.25"/>
    <row r="11422" customFormat="1" x14ac:dyDescent="0.25"/>
    <row r="11423" customFormat="1" x14ac:dyDescent="0.25"/>
    <row r="11424" customFormat="1" x14ac:dyDescent="0.25"/>
    <row r="11425" customFormat="1" x14ac:dyDescent="0.25"/>
    <row r="11426" customFormat="1" x14ac:dyDescent="0.25"/>
    <row r="11427" customFormat="1" x14ac:dyDescent="0.25"/>
    <row r="11428" customFormat="1" x14ac:dyDescent="0.25"/>
    <row r="11429" customFormat="1" x14ac:dyDescent="0.25"/>
    <row r="11430" customFormat="1" x14ac:dyDescent="0.25"/>
    <row r="11431" customFormat="1" x14ac:dyDescent="0.25"/>
    <row r="11432" customFormat="1" x14ac:dyDescent="0.25"/>
    <row r="11433" customFormat="1" x14ac:dyDescent="0.25"/>
    <row r="11434" customFormat="1" x14ac:dyDescent="0.25"/>
    <row r="11435" customFormat="1" x14ac:dyDescent="0.25"/>
    <row r="11436" customFormat="1" x14ac:dyDescent="0.25"/>
    <row r="11437" customFormat="1" x14ac:dyDescent="0.25"/>
    <row r="11438" customFormat="1" x14ac:dyDescent="0.25"/>
    <row r="11439" customFormat="1" x14ac:dyDescent="0.25"/>
    <row r="11440" customFormat="1" x14ac:dyDescent="0.25"/>
    <row r="11441" customFormat="1" x14ac:dyDescent="0.25"/>
    <row r="11442" customFormat="1" x14ac:dyDescent="0.25"/>
    <row r="11443" customFormat="1" x14ac:dyDescent="0.25"/>
    <row r="11444" customFormat="1" x14ac:dyDescent="0.25"/>
    <row r="11445" customFormat="1" x14ac:dyDescent="0.25"/>
    <row r="11446" customFormat="1" x14ac:dyDescent="0.25"/>
    <row r="11447" customFormat="1" x14ac:dyDescent="0.25"/>
    <row r="11448" customFormat="1" x14ac:dyDescent="0.25"/>
    <row r="11449" customFormat="1" x14ac:dyDescent="0.25"/>
    <row r="11450" customFormat="1" x14ac:dyDescent="0.25"/>
    <row r="11451" customFormat="1" x14ac:dyDescent="0.25"/>
    <row r="11452" customFormat="1" x14ac:dyDescent="0.25"/>
    <row r="11453" customFormat="1" x14ac:dyDescent="0.25"/>
    <row r="11454" customFormat="1" x14ac:dyDescent="0.25"/>
    <row r="11455" customFormat="1" x14ac:dyDescent="0.25"/>
    <row r="11456" customFormat="1" x14ac:dyDescent="0.25"/>
    <row r="11457" customFormat="1" x14ac:dyDescent="0.25"/>
    <row r="11458" customFormat="1" x14ac:dyDescent="0.25"/>
    <row r="11459" customFormat="1" x14ac:dyDescent="0.25"/>
    <row r="11460" customFormat="1" x14ac:dyDescent="0.25"/>
    <row r="11461" customFormat="1" x14ac:dyDescent="0.25"/>
    <row r="11462" customFormat="1" x14ac:dyDescent="0.25"/>
    <row r="11463" customFormat="1" x14ac:dyDescent="0.25"/>
    <row r="11464" customFormat="1" x14ac:dyDescent="0.25"/>
    <row r="11465" customFormat="1" x14ac:dyDescent="0.25"/>
    <row r="11466" customFormat="1" x14ac:dyDescent="0.25"/>
    <row r="11467" customFormat="1" x14ac:dyDescent="0.25"/>
    <row r="11468" customFormat="1" x14ac:dyDescent="0.25"/>
    <row r="11469" customFormat="1" x14ac:dyDescent="0.25"/>
    <row r="11470" customFormat="1" x14ac:dyDescent="0.25"/>
    <row r="11471" customFormat="1" x14ac:dyDescent="0.25"/>
    <row r="11472" customFormat="1" x14ac:dyDescent="0.25"/>
    <row r="11473" customFormat="1" x14ac:dyDescent="0.25"/>
    <row r="11474" customFormat="1" x14ac:dyDescent="0.25"/>
    <row r="11475" customFormat="1" x14ac:dyDescent="0.25"/>
    <row r="11476" customFormat="1" x14ac:dyDescent="0.25"/>
    <row r="11477" customFormat="1" x14ac:dyDescent="0.25"/>
    <row r="11478" customFormat="1" x14ac:dyDescent="0.25"/>
    <row r="11479" customFormat="1" x14ac:dyDescent="0.25"/>
    <row r="11480" customFormat="1" x14ac:dyDescent="0.25"/>
    <row r="11481" customFormat="1" x14ac:dyDescent="0.25"/>
    <row r="11482" customFormat="1" x14ac:dyDescent="0.25"/>
    <row r="11483" customFormat="1" x14ac:dyDescent="0.25"/>
    <row r="11484" customFormat="1" x14ac:dyDescent="0.25"/>
    <row r="11485" customFormat="1" x14ac:dyDescent="0.25"/>
    <row r="11486" customFormat="1" x14ac:dyDescent="0.25"/>
    <row r="11487" customFormat="1" x14ac:dyDescent="0.25"/>
    <row r="11488" customFormat="1" x14ac:dyDescent="0.25"/>
    <row r="11489" customFormat="1" x14ac:dyDescent="0.25"/>
    <row r="11490" customFormat="1" x14ac:dyDescent="0.25"/>
    <row r="11491" customFormat="1" x14ac:dyDescent="0.25"/>
    <row r="11492" customFormat="1" x14ac:dyDescent="0.25"/>
    <row r="11493" customFormat="1" x14ac:dyDescent="0.25"/>
    <row r="11494" customFormat="1" x14ac:dyDescent="0.25"/>
    <row r="11495" customFormat="1" x14ac:dyDescent="0.25"/>
    <row r="11496" customFormat="1" x14ac:dyDescent="0.25"/>
    <row r="11497" customFormat="1" x14ac:dyDescent="0.25"/>
    <row r="11498" customFormat="1" x14ac:dyDescent="0.25"/>
    <row r="11499" customFormat="1" x14ac:dyDescent="0.25"/>
    <row r="11500" customFormat="1" x14ac:dyDescent="0.25"/>
    <row r="11501" customFormat="1" x14ac:dyDescent="0.25"/>
    <row r="11502" customFormat="1" x14ac:dyDescent="0.25"/>
    <row r="11503" customFormat="1" x14ac:dyDescent="0.25"/>
    <row r="11504" customFormat="1" x14ac:dyDescent="0.25"/>
    <row r="11505" customFormat="1" x14ac:dyDescent="0.25"/>
    <row r="11506" customFormat="1" x14ac:dyDescent="0.25"/>
    <row r="11507" customFormat="1" x14ac:dyDescent="0.25"/>
    <row r="11508" customFormat="1" x14ac:dyDescent="0.25"/>
    <row r="11509" customFormat="1" x14ac:dyDescent="0.25"/>
    <row r="11510" customFormat="1" x14ac:dyDescent="0.25"/>
    <row r="11511" customFormat="1" x14ac:dyDescent="0.25"/>
    <row r="11512" customFormat="1" x14ac:dyDescent="0.25"/>
    <row r="11513" customFormat="1" x14ac:dyDescent="0.25"/>
    <row r="11514" customFormat="1" x14ac:dyDescent="0.25"/>
    <row r="11515" customFormat="1" x14ac:dyDescent="0.25"/>
    <row r="11516" customFormat="1" x14ac:dyDescent="0.25"/>
    <row r="11517" customFormat="1" x14ac:dyDescent="0.25"/>
    <row r="11518" customFormat="1" x14ac:dyDescent="0.25"/>
    <row r="11519" customFormat="1" x14ac:dyDescent="0.25"/>
    <row r="11520" customFormat="1" x14ac:dyDescent="0.25"/>
    <row r="11521" customFormat="1" x14ac:dyDescent="0.25"/>
    <row r="11522" customFormat="1" x14ac:dyDescent="0.25"/>
    <row r="11523" customFormat="1" x14ac:dyDescent="0.25"/>
    <row r="11524" customFormat="1" x14ac:dyDescent="0.25"/>
    <row r="11525" customFormat="1" x14ac:dyDescent="0.25"/>
    <row r="11526" customFormat="1" x14ac:dyDescent="0.25"/>
    <row r="11527" customFormat="1" x14ac:dyDescent="0.25"/>
    <row r="11528" customFormat="1" x14ac:dyDescent="0.25"/>
    <row r="11529" customFormat="1" x14ac:dyDescent="0.25"/>
    <row r="11530" customFormat="1" x14ac:dyDescent="0.25"/>
    <row r="11531" customFormat="1" x14ac:dyDescent="0.25"/>
    <row r="11532" customFormat="1" x14ac:dyDescent="0.25"/>
    <row r="11533" customFormat="1" x14ac:dyDescent="0.25"/>
    <row r="11534" customFormat="1" x14ac:dyDescent="0.25"/>
    <row r="11535" customFormat="1" x14ac:dyDescent="0.25"/>
    <row r="11536" customFormat="1" x14ac:dyDescent="0.25"/>
    <row r="11537" customFormat="1" x14ac:dyDescent="0.25"/>
    <row r="11538" customFormat="1" x14ac:dyDescent="0.25"/>
    <row r="11539" customFormat="1" x14ac:dyDescent="0.25"/>
    <row r="11540" customFormat="1" x14ac:dyDescent="0.25"/>
    <row r="11541" customFormat="1" x14ac:dyDescent="0.25"/>
    <row r="11542" customFormat="1" x14ac:dyDescent="0.25"/>
    <row r="11543" customFormat="1" x14ac:dyDescent="0.25"/>
    <row r="11544" customFormat="1" x14ac:dyDescent="0.25"/>
    <row r="11545" customFormat="1" x14ac:dyDescent="0.25"/>
    <row r="11546" customFormat="1" x14ac:dyDescent="0.25"/>
    <row r="11547" customFormat="1" x14ac:dyDescent="0.25"/>
    <row r="11548" customFormat="1" x14ac:dyDescent="0.25"/>
    <row r="11549" customFormat="1" x14ac:dyDescent="0.25"/>
    <row r="11550" customFormat="1" x14ac:dyDescent="0.25"/>
    <row r="11551" customFormat="1" x14ac:dyDescent="0.25"/>
    <row r="11552" customFormat="1" x14ac:dyDescent="0.25"/>
    <row r="11553" customFormat="1" x14ac:dyDescent="0.25"/>
    <row r="11554" customFormat="1" x14ac:dyDescent="0.25"/>
    <row r="11555" customFormat="1" x14ac:dyDescent="0.25"/>
    <row r="11556" customFormat="1" x14ac:dyDescent="0.25"/>
    <row r="11557" customFormat="1" x14ac:dyDescent="0.25"/>
    <row r="11558" customFormat="1" x14ac:dyDescent="0.25"/>
    <row r="11559" customFormat="1" x14ac:dyDescent="0.25"/>
    <row r="11560" customFormat="1" x14ac:dyDescent="0.25"/>
    <row r="11561" customFormat="1" x14ac:dyDescent="0.25"/>
    <row r="11562" customFormat="1" x14ac:dyDescent="0.25"/>
    <row r="11563" customFormat="1" x14ac:dyDescent="0.25"/>
    <row r="11564" customFormat="1" x14ac:dyDescent="0.25"/>
    <row r="11565" customFormat="1" x14ac:dyDescent="0.25"/>
    <row r="11566" customFormat="1" x14ac:dyDescent="0.25"/>
    <row r="11567" customFormat="1" x14ac:dyDescent="0.25"/>
    <row r="11568" customFormat="1" x14ac:dyDescent="0.25"/>
    <row r="11569" customFormat="1" x14ac:dyDescent="0.25"/>
    <row r="11570" customFormat="1" x14ac:dyDescent="0.25"/>
    <row r="11571" customFormat="1" x14ac:dyDescent="0.25"/>
    <row r="11572" customFormat="1" x14ac:dyDescent="0.25"/>
    <row r="11573" customFormat="1" x14ac:dyDescent="0.25"/>
    <row r="11574" customFormat="1" x14ac:dyDescent="0.25"/>
    <row r="11575" customFormat="1" x14ac:dyDescent="0.25"/>
    <row r="11576" customFormat="1" x14ac:dyDescent="0.25"/>
    <row r="11577" customFormat="1" x14ac:dyDescent="0.25"/>
    <row r="11578" customFormat="1" x14ac:dyDescent="0.25"/>
    <row r="11579" customFormat="1" x14ac:dyDescent="0.25"/>
    <row r="11580" customFormat="1" x14ac:dyDescent="0.25"/>
    <row r="11581" customFormat="1" x14ac:dyDescent="0.25"/>
    <row r="11582" customFormat="1" x14ac:dyDescent="0.25"/>
    <row r="11583" customFormat="1" x14ac:dyDescent="0.25"/>
    <row r="11584" customFormat="1" x14ac:dyDescent="0.25"/>
    <row r="11585" customFormat="1" x14ac:dyDescent="0.25"/>
    <row r="11586" customFormat="1" x14ac:dyDescent="0.25"/>
    <row r="11587" customFormat="1" x14ac:dyDescent="0.25"/>
    <row r="11588" customFormat="1" x14ac:dyDescent="0.25"/>
    <row r="11589" customFormat="1" x14ac:dyDescent="0.25"/>
    <row r="11590" customFormat="1" x14ac:dyDescent="0.25"/>
    <row r="11591" customFormat="1" x14ac:dyDescent="0.25"/>
    <row r="11592" customFormat="1" x14ac:dyDescent="0.25"/>
    <row r="11593" customFormat="1" x14ac:dyDescent="0.25"/>
    <row r="11594" customFormat="1" x14ac:dyDescent="0.25"/>
    <row r="11595" customFormat="1" x14ac:dyDescent="0.25"/>
    <row r="11596" customFormat="1" x14ac:dyDescent="0.25"/>
    <row r="11597" customFormat="1" x14ac:dyDescent="0.25"/>
    <row r="11598" customFormat="1" x14ac:dyDescent="0.25"/>
    <row r="11599" customFormat="1" x14ac:dyDescent="0.25"/>
    <row r="11600" customFormat="1" x14ac:dyDescent="0.25"/>
    <row r="11601" customFormat="1" x14ac:dyDescent="0.25"/>
    <row r="11602" customFormat="1" x14ac:dyDescent="0.25"/>
    <row r="11603" customFormat="1" x14ac:dyDescent="0.25"/>
    <row r="11604" customFormat="1" x14ac:dyDescent="0.25"/>
    <row r="11605" customFormat="1" x14ac:dyDescent="0.25"/>
    <row r="11606" customFormat="1" x14ac:dyDescent="0.25"/>
    <row r="11607" customFormat="1" x14ac:dyDescent="0.25"/>
    <row r="11608" customFormat="1" x14ac:dyDescent="0.25"/>
    <row r="11609" customFormat="1" x14ac:dyDescent="0.25"/>
    <row r="11610" customFormat="1" x14ac:dyDescent="0.25"/>
    <row r="11611" customFormat="1" x14ac:dyDescent="0.25"/>
    <row r="11612" customFormat="1" x14ac:dyDescent="0.25"/>
    <row r="11613" customFormat="1" x14ac:dyDescent="0.25"/>
    <row r="11614" customFormat="1" x14ac:dyDescent="0.25"/>
    <row r="11615" customFormat="1" x14ac:dyDescent="0.25"/>
    <row r="11616" customFormat="1" x14ac:dyDescent="0.25"/>
    <row r="11617" customFormat="1" x14ac:dyDescent="0.25"/>
    <row r="11618" customFormat="1" x14ac:dyDescent="0.25"/>
    <row r="11619" customFormat="1" x14ac:dyDescent="0.25"/>
    <row r="11620" customFormat="1" x14ac:dyDescent="0.25"/>
    <row r="11621" customFormat="1" x14ac:dyDescent="0.25"/>
    <row r="11622" customFormat="1" x14ac:dyDescent="0.25"/>
    <row r="11623" customFormat="1" x14ac:dyDescent="0.25"/>
    <row r="11624" customFormat="1" x14ac:dyDescent="0.25"/>
    <row r="11625" customFormat="1" x14ac:dyDescent="0.25"/>
    <row r="11626" customFormat="1" x14ac:dyDescent="0.25"/>
    <row r="11627" customFormat="1" x14ac:dyDescent="0.25"/>
    <row r="11628" customFormat="1" x14ac:dyDescent="0.25"/>
    <row r="11629" customFormat="1" x14ac:dyDescent="0.25"/>
    <row r="11630" customFormat="1" x14ac:dyDescent="0.25"/>
    <row r="11631" customFormat="1" x14ac:dyDescent="0.25"/>
    <row r="11632" customFormat="1" x14ac:dyDescent="0.25"/>
    <row r="11633" customFormat="1" x14ac:dyDescent="0.25"/>
    <row r="11634" customFormat="1" x14ac:dyDescent="0.25"/>
    <row r="11635" customFormat="1" x14ac:dyDescent="0.25"/>
    <row r="11636" customFormat="1" x14ac:dyDescent="0.25"/>
    <row r="11637" customFormat="1" x14ac:dyDescent="0.25"/>
    <row r="11638" customFormat="1" x14ac:dyDescent="0.25"/>
    <row r="11639" customFormat="1" x14ac:dyDescent="0.25"/>
    <row r="11640" customFormat="1" x14ac:dyDescent="0.25"/>
    <row r="11641" customFormat="1" x14ac:dyDescent="0.25"/>
    <row r="11642" customFormat="1" x14ac:dyDescent="0.25"/>
    <row r="11643" customFormat="1" x14ac:dyDescent="0.25"/>
    <row r="11644" customFormat="1" x14ac:dyDescent="0.25"/>
    <row r="11645" customFormat="1" x14ac:dyDescent="0.25"/>
    <row r="11646" customFormat="1" x14ac:dyDescent="0.25"/>
    <row r="11647" customFormat="1" x14ac:dyDescent="0.25"/>
    <row r="11648" customFormat="1" x14ac:dyDescent="0.25"/>
    <row r="11649" customFormat="1" x14ac:dyDescent="0.25"/>
    <row r="11650" customFormat="1" x14ac:dyDescent="0.25"/>
    <row r="11651" customFormat="1" x14ac:dyDescent="0.25"/>
    <row r="11652" customFormat="1" x14ac:dyDescent="0.25"/>
    <row r="11653" customFormat="1" x14ac:dyDescent="0.25"/>
    <row r="11654" customFormat="1" x14ac:dyDescent="0.25"/>
    <row r="11655" customFormat="1" x14ac:dyDescent="0.25"/>
    <row r="11656" customFormat="1" x14ac:dyDescent="0.25"/>
    <row r="11657" customFormat="1" x14ac:dyDescent="0.25"/>
    <row r="11658" customFormat="1" x14ac:dyDescent="0.25"/>
    <row r="11659" customFormat="1" x14ac:dyDescent="0.25"/>
    <row r="11660" customFormat="1" x14ac:dyDescent="0.25"/>
    <row r="11661" customFormat="1" x14ac:dyDescent="0.25"/>
    <row r="11662" customFormat="1" x14ac:dyDescent="0.25"/>
    <row r="11663" customFormat="1" x14ac:dyDescent="0.25"/>
    <row r="11664" customFormat="1" x14ac:dyDescent="0.25"/>
    <row r="11665" customFormat="1" x14ac:dyDescent="0.25"/>
    <row r="11666" customFormat="1" x14ac:dyDescent="0.25"/>
    <row r="11667" customFormat="1" x14ac:dyDescent="0.25"/>
    <row r="11668" customFormat="1" x14ac:dyDescent="0.25"/>
    <row r="11669" customFormat="1" x14ac:dyDescent="0.25"/>
    <row r="11670" customFormat="1" x14ac:dyDescent="0.25"/>
    <row r="11671" customFormat="1" x14ac:dyDescent="0.25"/>
    <row r="11672" customFormat="1" x14ac:dyDescent="0.25"/>
    <row r="11673" customFormat="1" x14ac:dyDescent="0.25"/>
    <row r="11674" customFormat="1" x14ac:dyDescent="0.25"/>
    <row r="11675" customFormat="1" x14ac:dyDescent="0.25"/>
    <row r="11676" customFormat="1" x14ac:dyDescent="0.25"/>
    <row r="11677" customFormat="1" x14ac:dyDescent="0.25"/>
    <row r="11678" customFormat="1" x14ac:dyDescent="0.25"/>
    <row r="11679" customFormat="1" x14ac:dyDescent="0.25"/>
    <row r="11680" customFormat="1" x14ac:dyDescent="0.25"/>
    <row r="11681" customFormat="1" x14ac:dyDescent="0.25"/>
    <row r="11682" customFormat="1" x14ac:dyDescent="0.25"/>
    <row r="11683" customFormat="1" x14ac:dyDescent="0.25"/>
    <row r="11684" customFormat="1" x14ac:dyDescent="0.25"/>
    <row r="11685" customFormat="1" x14ac:dyDescent="0.25"/>
    <row r="11686" customFormat="1" x14ac:dyDescent="0.25"/>
    <row r="11687" customFormat="1" x14ac:dyDescent="0.25"/>
    <row r="11688" customFormat="1" x14ac:dyDescent="0.25"/>
    <row r="11689" customFormat="1" x14ac:dyDescent="0.25"/>
    <row r="11690" customFormat="1" x14ac:dyDescent="0.25"/>
    <row r="11691" customFormat="1" x14ac:dyDescent="0.25"/>
    <row r="11692" customFormat="1" x14ac:dyDescent="0.25"/>
    <row r="11693" customFormat="1" x14ac:dyDescent="0.25"/>
    <row r="11694" customFormat="1" x14ac:dyDescent="0.25"/>
    <row r="11695" customFormat="1" x14ac:dyDescent="0.25"/>
    <row r="11696" customFormat="1" x14ac:dyDescent="0.25"/>
    <row r="11697" customFormat="1" x14ac:dyDescent="0.25"/>
    <row r="11698" customFormat="1" x14ac:dyDescent="0.25"/>
    <row r="11699" customFormat="1" x14ac:dyDescent="0.25"/>
    <row r="11700" customFormat="1" x14ac:dyDescent="0.25"/>
    <row r="11701" customFormat="1" x14ac:dyDescent="0.25"/>
    <row r="11702" customFormat="1" x14ac:dyDescent="0.25"/>
    <row r="11703" customFormat="1" x14ac:dyDescent="0.25"/>
    <row r="11704" customFormat="1" x14ac:dyDescent="0.25"/>
    <row r="11705" customFormat="1" x14ac:dyDescent="0.25"/>
    <row r="11706" customFormat="1" x14ac:dyDescent="0.25"/>
    <row r="11707" customFormat="1" x14ac:dyDescent="0.25"/>
    <row r="11708" customFormat="1" x14ac:dyDescent="0.25"/>
    <row r="11709" customFormat="1" x14ac:dyDescent="0.25"/>
    <row r="11710" customFormat="1" x14ac:dyDescent="0.25"/>
    <row r="11711" customFormat="1" x14ac:dyDescent="0.25"/>
    <row r="11712" customFormat="1" x14ac:dyDescent="0.25"/>
    <row r="11713" customFormat="1" x14ac:dyDescent="0.25"/>
    <row r="11714" customFormat="1" x14ac:dyDescent="0.25"/>
    <row r="11715" customFormat="1" x14ac:dyDescent="0.25"/>
    <row r="11716" customFormat="1" x14ac:dyDescent="0.25"/>
    <row r="11717" customFormat="1" x14ac:dyDescent="0.25"/>
    <row r="11718" customFormat="1" x14ac:dyDescent="0.25"/>
    <row r="11719" customFormat="1" x14ac:dyDescent="0.25"/>
    <row r="11720" customFormat="1" x14ac:dyDescent="0.25"/>
    <row r="11721" customFormat="1" x14ac:dyDescent="0.25"/>
    <row r="11722" customFormat="1" x14ac:dyDescent="0.25"/>
    <row r="11723" customFormat="1" x14ac:dyDescent="0.25"/>
    <row r="11724" customFormat="1" x14ac:dyDescent="0.25"/>
    <row r="11725" customFormat="1" x14ac:dyDescent="0.25"/>
    <row r="11726" customFormat="1" x14ac:dyDescent="0.25"/>
    <row r="11727" customFormat="1" x14ac:dyDescent="0.25"/>
    <row r="11728" customFormat="1" x14ac:dyDescent="0.25"/>
    <row r="11729" customFormat="1" x14ac:dyDescent="0.25"/>
    <row r="11730" customFormat="1" x14ac:dyDescent="0.25"/>
    <row r="11731" customFormat="1" x14ac:dyDescent="0.25"/>
    <row r="11732" customFormat="1" x14ac:dyDescent="0.25"/>
    <row r="11733" customFormat="1" x14ac:dyDescent="0.25"/>
    <row r="11734" customFormat="1" x14ac:dyDescent="0.25"/>
    <row r="11735" customFormat="1" x14ac:dyDescent="0.25"/>
    <row r="11736" customFormat="1" x14ac:dyDescent="0.25"/>
    <row r="11737" customFormat="1" x14ac:dyDescent="0.25"/>
    <row r="11738" customFormat="1" x14ac:dyDescent="0.25"/>
    <row r="11739" customFormat="1" x14ac:dyDescent="0.25"/>
    <row r="11740" customFormat="1" x14ac:dyDescent="0.25"/>
    <row r="11741" customFormat="1" x14ac:dyDescent="0.25"/>
    <row r="11742" customFormat="1" x14ac:dyDescent="0.25"/>
    <row r="11743" customFormat="1" x14ac:dyDescent="0.25"/>
    <row r="11744" customFormat="1" x14ac:dyDescent="0.25"/>
    <row r="11745" customFormat="1" x14ac:dyDescent="0.25"/>
    <row r="11746" customFormat="1" x14ac:dyDescent="0.25"/>
    <row r="11747" customFormat="1" x14ac:dyDescent="0.25"/>
    <row r="11748" customFormat="1" x14ac:dyDescent="0.25"/>
    <row r="11749" customFormat="1" x14ac:dyDescent="0.25"/>
    <row r="11750" customFormat="1" x14ac:dyDescent="0.25"/>
    <row r="11751" customFormat="1" x14ac:dyDescent="0.25"/>
    <row r="11752" customFormat="1" x14ac:dyDescent="0.25"/>
    <row r="11753" customFormat="1" x14ac:dyDescent="0.25"/>
    <row r="11754" customFormat="1" x14ac:dyDescent="0.25"/>
    <row r="11755" customFormat="1" x14ac:dyDescent="0.25"/>
    <row r="11756" customFormat="1" x14ac:dyDescent="0.25"/>
    <row r="11757" customFormat="1" x14ac:dyDescent="0.25"/>
    <row r="11758" customFormat="1" x14ac:dyDescent="0.25"/>
    <row r="11759" customFormat="1" x14ac:dyDescent="0.25"/>
    <row r="11760" customFormat="1" x14ac:dyDescent="0.25"/>
    <row r="11761" customFormat="1" x14ac:dyDescent="0.25"/>
    <row r="11762" customFormat="1" x14ac:dyDescent="0.25"/>
    <row r="11763" customFormat="1" x14ac:dyDescent="0.25"/>
    <row r="11764" customFormat="1" x14ac:dyDescent="0.25"/>
    <row r="11765" customFormat="1" x14ac:dyDescent="0.25"/>
    <row r="11766" customFormat="1" x14ac:dyDescent="0.25"/>
    <row r="11767" customFormat="1" x14ac:dyDescent="0.25"/>
    <row r="11768" customFormat="1" x14ac:dyDescent="0.25"/>
    <row r="11769" customFormat="1" x14ac:dyDescent="0.25"/>
    <row r="11770" customFormat="1" x14ac:dyDescent="0.25"/>
    <row r="11771" customFormat="1" x14ac:dyDescent="0.25"/>
    <row r="11772" customFormat="1" x14ac:dyDescent="0.25"/>
    <row r="11773" customFormat="1" x14ac:dyDescent="0.25"/>
    <row r="11774" customFormat="1" x14ac:dyDescent="0.25"/>
    <row r="11775" customFormat="1" x14ac:dyDescent="0.25"/>
    <row r="11776" customFormat="1" x14ac:dyDescent="0.25"/>
    <row r="11777" customFormat="1" x14ac:dyDescent="0.25"/>
    <row r="11778" customFormat="1" x14ac:dyDescent="0.25"/>
    <row r="11779" customFormat="1" x14ac:dyDescent="0.25"/>
    <row r="11780" customFormat="1" x14ac:dyDescent="0.25"/>
    <row r="11781" customFormat="1" x14ac:dyDescent="0.25"/>
    <row r="11782" customFormat="1" x14ac:dyDescent="0.25"/>
    <row r="11783" customFormat="1" x14ac:dyDescent="0.25"/>
    <row r="11784" customFormat="1" x14ac:dyDescent="0.25"/>
    <row r="11785" customFormat="1" x14ac:dyDescent="0.25"/>
    <row r="11786" customFormat="1" x14ac:dyDescent="0.25"/>
    <row r="11787" customFormat="1" x14ac:dyDescent="0.25"/>
    <row r="11788" customFormat="1" x14ac:dyDescent="0.25"/>
    <row r="11789" customFormat="1" x14ac:dyDescent="0.25"/>
    <row r="11790" customFormat="1" x14ac:dyDescent="0.25"/>
    <row r="11791" customFormat="1" x14ac:dyDescent="0.25"/>
    <row r="11792" customFormat="1" x14ac:dyDescent="0.25"/>
    <row r="11793" customFormat="1" x14ac:dyDescent="0.25"/>
    <row r="11794" customFormat="1" x14ac:dyDescent="0.25"/>
    <row r="11795" customFormat="1" x14ac:dyDescent="0.25"/>
    <row r="11796" customFormat="1" x14ac:dyDescent="0.25"/>
    <row r="11797" customFormat="1" x14ac:dyDescent="0.25"/>
    <row r="11798" customFormat="1" x14ac:dyDescent="0.25"/>
    <row r="11799" customFormat="1" x14ac:dyDescent="0.25"/>
    <row r="11800" customFormat="1" x14ac:dyDescent="0.25"/>
    <row r="11801" customFormat="1" x14ac:dyDescent="0.25"/>
    <row r="11802" customFormat="1" x14ac:dyDescent="0.25"/>
    <row r="11803" customFormat="1" x14ac:dyDescent="0.25"/>
    <row r="11804" customFormat="1" x14ac:dyDescent="0.25"/>
    <row r="11805" customFormat="1" x14ac:dyDescent="0.25"/>
    <row r="11806" customFormat="1" x14ac:dyDescent="0.25"/>
    <row r="11807" customFormat="1" x14ac:dyDescent="0.25"/>
    <row r="11808" customFormat="1" x14ac:dyDescent="0.25"/>
    <row r="11809" customFormat="1" x14ac:dyDescent="0.25"/>
    <row r="11810" customFormat="1" x14ac:dyDescent="0.25"/>
    <row r="11811" customFormat="1" x14ac:dyDescent="0.25"/>
    <row r="11812" customFormat="1" x14ac:dyDescent="0.25"/>
    <row r="11813" customFormat="1" x14ac:dyDescent="0.25"/>
    <row r="11814" customFormat="1" x14ac:dyDescent="0.25"/>
    <row r="11815" customFormat="1" x14ac:dyDescent="0.25"/>
    <row r="11816" customFormat="1" x14ac:dyDescent="0.25"/>
    <row r="11817" customFormat="1" x14ac:dyDescent="0.25"/>
    <row r="11818" customFormat="1" x14ac:dyDescent="0.25"/>
    <row r="11819" customFormat="1" x14ac:dyDescent="0.25"/>
    <row r="11820" customFormat="1" x14ac:dyDescent="0.25"/>
    <row r="11821" customFormat="1" x14ac:dyDescent="0.25"/>
    <row r="11822" customFormat="1" x14ac:dyDescent="0.25"/>
    <row r="11823" customFormat="1" x14ac:dyDescent="0.25"/>
    <row r="11824" customFormat="1" x14ac:dyDescent="0.25"/>
    <row r="11825" customFormat="1" x14ac:dyDescent="0.25"/>
    <row r="11826" customFormat="1" x14ac:dyDescent="0.25"/>
    <row r="11827" customFormat="1" x14ac:dyDescent="0.25"/>
    <row r="11828" customFormat="1" x14ac:dyDescent="0.25"/>
    <row r="11829" customFormat="1" x14ac:dyDescent="0.25"/>
    <row r="11830" customFormat="1" x14ac:dyDescent="0.25"/>
    <row r="11831" customFormat="1" x14ac:dyDescent="0.25"/>
    <row r="11832" customFormat="1" x14ac:dyDescent="0.25"/>
    <row r="11833" customFormat="1" x14ac:dyDescent="0.25"/>
    <row r="11834" customFormat="1" x14ac:dyDescent="0.25"/>
    <row r="11835" customFormat="1" x14ac:dyDescent="0.25"/>
    <row r="11836" customFormat="1" x14ac:dyDescent="0.25"/>
    <row r="11837" customFormat="1" x14ac:dyDescent="0.25"/>
    <row r="11838" customFormat="1" x14ac:dyDescent="0.25"/>
    <row r="11839" customFormat="1" x14ac:dyDescent="0.25"/>
    <row r="11840" customFormat="1" x14ac:dyDescent="0.25"/>
    <row r="11841" customFormat="1" x14ac:dyDescent="0.25"/>
    <row r="11842" customFormat="1" x14ac:dyDescent="0.25"/>
    <row r="11843" customFormat="1" x14ac:dyDescent="0.25"/>
    <row r="11844" customFormat="1" x14ac:dyDescent="0.25"/>
    <row r="11845" customFormat="1" x14ac:dyDescent="0.25"/>
    <row r="11846" customFormat="1" x14ac:dyDescent="0.25"/>
    <row r="11847" customFormat="1" x14ac:dyDescent="0.25"/>
    <row r="11848" customFormat="1" x14ac:dyDescent="0.25"/>
    <row r="11849" customFormat="1" x14ac:dyDescent="0.25"/>
    <row r="11850" customFormat="1" x14ac:dyDescent="0.25"/>
    <row r="11851" customFormat="1" x14ac:dyDescent="0.25"/>
    <row r="11852" customFormat="1" x14ac:dyDescent="0.25"/>
    <row r="11853" customFormat="1" x14ac:dyDescent="0.25"/>
    <row r="11854" customFormat="1" x14ac:dyDescent="0.25"/>
    <row r="11855" customFormat="1" x14ac:dyDescent="0.25"/>
    <row r="11856" customFormat="1" x14ac:dyDescent="0.25"/>
    <row r="11857" customFormat="1" x14ac:dyDescent="0.25"/>
    <row r="11858" customFormat="1" x14ac:dyDescent="0.25"/>
    <row r="11859" customFormat="1" x14ac:dyDescent="0.25"/>
    <row r="11860" customFormat="1" x14ac:dyDescent="0.25"/>
    <row r="11861" customFormat="1" x14ac:dyDescent="0.25"/>
    <row r="11862" customFormat="1" x14ac:dyDescent="0.25"/>
    <row r="11863" customFormat="1" x14ac:dyDescent="0.25"/>
    <row r="11864" customFormat="1" x14ac:dyDescent="0.25"/>
    <row r="11865" customFormat="1" x14ac:dyDescent="0.25"/>
    <row r="11866" customFormat="1" x14ac:dyDescent="0.25"/>
    <row r="11867" customFormat="1" x14ac:dyDescent="0.25"/>
    <row r="11868" customFormat="1" x14ac:dyDescent="0.25"/>
    <row r="11869" customFormat="1" x14ac:dyDescent="0.25"/>
    <row r="11870" customFormat="1" x14ac:dyDescent="0.25"/>
    <row r="11871" customFormat="1" x14ac:dyDescent="0.25"/>
    <row r="11872" customFormat="1" x14ac:dyDescent="0.25"/>
    <row r="11873" customFormat="1" x14ac:dyDescent="0.25"/>
    <row r="11874" customFormat="1" x14ac:dyDescent="0.25"/>
    <row r="11875" customFormat="1" x14ac:dyDescent="0.25"/>
    <row r="11876" customFormat="1" x14ac:dyDescent="0.25"/>
    <row r="11877" customFormat="1" x14ac:dyDescent="0.25"/>
    <row r="11878" customFormat="1" x14ac:dyDescent="0.25"/>
    <row r="11879" customFormat="1" x14ac:dyDescent="0.25"/>
    <row r="11880" customFormat="1" x14ac:dyDescent="0.25"/>
    <row r="11881" customFormat="1" x14ac:dyDescent="0.25"/>
    <row r="11882" customFormat="1" x14ac:dyDescent="0.25"/>
    <row r="11883" customFormat="1" x14ac:dyDescent="0.25"/>
    <row r="11884" customFormat="1" x14ac:dyDescent="0.25"/>
    <row r="11885" customFormat="1" x14ac:dyDescent="0.25"/>
    <row r="11886" customFormat="1" x14ac:dyDescent="0.25"/>
    <row r="11887" customFormat="1" x14ac:dyDescent="0.25"/>
    <row r="11888" customFormat="1" x14ac:dyDescent="0.25"/>
    <row r="11889" customFormat="1" x14ac:dyDescent="0.25"/>
    <row r="11890" customFormat="1" x14ac:dyDescent="0.25"/>
    <row r="11891" customFormat="1" x14ac:dyDescent="0.25"/>
    <row r="11892" customFormat="1" x14ac:dyDescent="0.25"/>
    <row r="11893" customFormat="1" x14ac:dyDescent="0.25"/>
    <row r="11894" customFormat="1" x14ac:dyDescent="0.25"/>
    <row r="11895" customFormat="1" x14ac:dyDescent="0.25"/>
    <row r="11896" customFormat="1" x14ac:dyDescent="0.25"/>
    <row r="11897" customFormat="1" x14ac:dyDescent="0.25"/>
    <row r="11898" customFormat="1" x14ac:dyDescent="0.25"/>
    <row r="11899" customFormat="1" x14ac:dyDescent="0.25"/>
    <row r="11900" customFormat="1" x14ac:dyDescent="0.25"/>
    <row r="11901" customFormat="1" x14ac:dyDescent="0.25"/>
    <row r="11902" customFormat="1" x14ac:dyDescent="0.25"/>
    <row r="11903" customFormat="1" x14ac:dyDescent="0.25"/>
    <row r="11904" customFormat="1" x14ac:dyDescent="0.25"/>
    <row r="11905" customFormat="1" x14ac:dyDescent="0.25"/>
    <row r="11906" customFormat="1" x14ac:dyDescent="0.25"/>
    <row r="11907" customFormat="1" x14ac:dyDescent="0.25"/>
    <row r="11908" customFormat="1" x14ac:dyDescent="0.25"/>
    <row r="11909" customFormat="1" x14ac:dyDescent="0.25"/>
    <row r="11910" customFormat="1" x14ac:dyDescent="0.25"/>
    <row r="11911" customFormat="1" x14ac:dyDescent="0.25"/>
    <row r="11912" customFormat="1" x14ac:dyDescent="0.25"/>
    <row r="11913" customFormat="1" x14ac:dyDescent="0.25"/>
    <row r="11914" customFormat="1" x14ac:dyDescent="0.25"/>
    <row r="11915" customFormat="1" x14ac:dyDescent="0.25"/>
    <row r="11916" customFormat="1" x14ac:dyDescent="0.25"/>
    <row r="11917" customFormat="1" x14ac:dyDescent="0.25"/>
    <row r="11918" customFormat="1" x14ac:dyDescent="0.25"/>
    <row r="11919" customFormat="1" x14ac:dyDescent="0.25"/>
    <row r="11920" customFormat="1" x14ac:dyDescent="0.25"/>
    <row r="11921" customFormat="1" x14ac:dyDescent="0.25"/>
    <row r="11922" customFormat="1" x14ac:dyDescent="0.25"/>
    <row r="11923" customFormat="1" x14ac:dyDescent="0.25"/>
    <row r="11924" customFormat="1" x14ac:dyDescent="0.25"/>
    <row r="11925" customFormat="1" x14ac:dyDescent="0.25"/>
    <row r="11926" customFormat="1" x14ac:dyDescent="0.25"/>
    <row r="11927" customFormat="1" x14ac:dyDescent="0.25"/>
    <row r="11928" customFormat="1" x14ac:dyDescent="0.25"/>
    <row r="11929" customFormat="1" x14ac:dyDescent="0.25"/>
    <row r="11930" customFormat="1" x14ac:dyDescent="0.25"/>
    <row r="11931" customFormat="1" x14ac:dyDescent="0.25"/>
    <row r="11932" customFormat="1" x14ac:dyDescent="0.25"/>
    <row r="11933" customFormat="1" x14ac:dyDescent="0.25"/>
    <row r="11934" customFormat="1" x14ac:dyDescent="0.25"/>
    <row r="11935" customFormat="1" x14ac:dyDescent="0.25"/>
    <row r="11936" customFormat="1" x14ac:dyDescent="0.25"/>
    <row r="11937" customFormat="1" x14ac:dyDescent="0.25"/>
    <row r="11938" customFormat="1" x14ac:dyDescent="0.25"/>
    <row r="11939" customFormat="1" x14ac:dyDescent="0.25"/>
    <row r="11940" customFormat="1" x14ac:dyDescent="0.25"/>
    <row r="11941" customFormat="1" x14ac:dyDescent="0.25"/>
    <row r="11942" customFormat="1" x14ac:dyDescent="0.25"/>
    <row r="11943" customFormat="1" x14ac:dyDescent="0.25"/>
    <row r="11944" customFormat="1" x14ac:dyDescent="0.25"/>
    <row r="11945" customFormat="1" x14ac:dyDescent="0.25"/>
    <row r="11946" customFormat="1" x14ac:dyDescent="0.25"/>
    <row r="11947" customFormat="1" x14ac:dyDescent="0.25"/>
    <row r="11948" customFormat="1" x14ac:dyDescent="0.25"/>
    <row r="11949" customFormat="1" x14ac:dyDescent="0.25"/>
    <row r="11950" customFormat="1" x14ac:dyDescent="0.25"/>
    <row r="11951" customFormat="1" x14ac:dyDescent="0.25"/>
    <row r="11952" customFormat="1" x14ac:dyDescent="0.25"/>
    <row r="11953" customFormat="1" x14ac:dyDescent="0.25"/>
    <row r="11954" customFormat="1" x14ac:dyDescent="0.25"/>
    <row r="11955" customFormat="1" x14ac:dyDescent="0.25"/>
    <row r="11956" customFormat="1" x14ac:dyDescent="0.25"/>
    <row r="11957" customFormat="1" x14ac:dyDescent="0.25"/>
    <row r="11958" customFormat="1" x14ac:dyDescent="0.25"/>
    <row r="11959" customFormat="1" x14ac:dyDescent="0.25"/>
    <row r="11960" customFormat="1" x14ac:dyDescent="0.25"/>
    <row r="11961" customFormat="1" x14ac:dyDescent="0.25"/>
    <row r="11962" customFormat="1" x14ac:dyDescent="0.25"/>
    <row r="11963" customFormat="1" x14ac:dyDescent="0.25"/>
    <row r="11964" customFormat="1" x14ac:dyDescent="0.25"/>
    <row r="11965" customFormat="1" x14ac:dyDescent="0.25"/>
    <row r="11966" customFormat="1" x14ac:dyDescent="0.25"/>
    <row r="11967" customFormat="1" x14ac:dyDescent="0.25"/>
    <row r="11968" customFormat="1" x14ac:dyDescent="0.25"/>
    <row r="11969" customFormat="1" x14ac:dyDescent="0.25"/>
    <row r="11970" customFormat="1" x14ac:dyDescent="0.25"/>
    <row r="11971" customFormat="1" x14ac:dyDescent="0.25"/>
    <row r="11972" customFormat="1" x14ac:dyDescent="0.25"/>
    <row r="11973" customFormat="1" x14ac:dyDescent="0.25"/>
    <row r="11974" customFormat="1" x14ac:dyDescent="0.25"/>
    <row r="11975" customFormat="1" x14ac:dyDescent="0.25"/>
    <row r="11976" customFormat="1" x14ac:dyDescent="0.25"/>
    <row r="11977" customFormat="1" x14ac:dyDescent="0.25"/>
    <row r="11978" customFormat="1" x14ac:dyDescent="0.25"/>
    <row r="11979" customFormat="1" x14ac:dyDescent="0.25"/>
    <row r="11980" customFormat="1" x14ac:dyDescent="0.25"/>
    <row r="11981" customFormat="1" x14ac:dyDescent="0.25"/>
    <row r="11982" customFormat="1" x14ac:dyDescent="0.25"/>
    <row r="11983" customFormat="1" x14ac:dyDescent="0.25"/>
    <row r="11984" customFormat="1" x14ac:dyDescent="0.25"/>
    <row r="11985" customFormat="1" x14ac:dyDescent="0.25"/>
    <row r="11986" customFormat="1" x14ac:dyDescent="0.25"/>
    <row r="11987" customFormat="1" x14ac:dyDescent="0.25"/>
    <row r="11988" customFormat="1" x14ac:dyDescent="0.25"/>
    <row r="11989" customFormat="1" x14ac:dyDescent="0.25"/>
    <row r="11990" customFormat="1" x14ac:dyDescent="0.25"/>
    <row r="11991" customFormat="1" x14ac:dyDescent="0.25"/>
    <row r="11992" customFormat="1" x14ac:dyDescent="0.25"/>
    <row r="11993" customFormat="1" x14ac:dyDescent="0.25"/>
    <row r="11994" customFormat="1" x14ac:dyDescent="0.25"/>
    <row r="11995" customFormat="1" x14ac:dyDescent="0.25"/>
    <row r="11996" customFormat="1" x14ac:dyDescent="0.25"/>
    <row r="11997" customFormat="1" x14ac:dyDescent="0.25"/>
    <row r="11998" customFormat="1" x14ac:dyDescent="0.25"/>
    <row r="11999" customFormat="1" x14ac:dyDescent="0.25"/>
    <row r="12000" customFormat="1" x14ac:dyDescent="0.25"/>
    <row r="12001" customFormat="1" x14ac:dyDescent="0.25"/>
    <row r="12002" customFormat="1" x14ac:dyDescent="0.25"/>
    <row r="12003" customFormat="1" x14ac:dyDescent="0.25"/>
    <row r="12004" customFormat="1" x14ac:dyDescent="0.25"/>
    <row r="12005" customFormat="1" x14ac:dyDescent="0.25"/>
    <row r="12006" customFormat="1" x14ac:dyDescent="0.25"/>
    <row r="12007" customFormat="1" x14ac:dyDescent="0.25"/>
    <row r="12008" customFormat="1" x14ac:dyDescent="0.25"/>
    <row r="12009" customFormat="1" x14ac:dyDescent="0.25"/>
    <row r="12010" customFormat="1" x14ac:dyDescent="0.25"/>
    <row r="12011" customFormat="1" x14ac:dyDescent="0.25"/>
    <row r="12012" customFormat="1" x14ac:dyDescent="0.25"/>
    <row r="12013" customFormat="1" x14ac:dyDescent="0.25"/>
    <row r="12014" customFormat="1" x14ac:dyDescent="0.25"/>
    <row r="12015" customFormat="1" x14ac:dyDescent="0.25"/>
    <row r="12016" customFormat="1" x14ac:dyDescent="0.25"/>
    <row r="12017" customFormat="1" x14ac:dyDescent="0.25"/>
    <row r="12018" customFormat="1" x14ac:dyDescent="0.25"/>
    <row r="12019" customFormat="1" x14ac:dyDescent="0.25"/>
    <row r="12020" customFormat="1" x14ac:dyDescent="0.25"/>
    <row r="12021" customFormat="1" x14ac:dyDescent="0.25"/>
    <row r="12022" customFormat="1" x14ac:dyDescent="0.25"/>
    <row r="12023" customFormat="1" x14ac:dyDescent="0.25"/>
    <row r="12024" customFormat="1" x14ac:dyDescent="0.25"/>
    <row r="12025" customFormat="1" x14ac:dyDescent="0.25"/>
    <row r="12026" customFormat="1" x14ac:dyDescent="0.25"/>
    <row r="12027" customFormat="1" x14ac:dyDescent="0.25"/>
    <row r="12028" customFormat="1" x14ac:dyDescent="0.25"/>
    <row r="12029" customFormat="1" x14ac:dyDescent="0.25"/>
    <row r="12030" customFormat="1" x14ac:dyDescent="0.25"/>
    <row r="12031" customFormat="1" x14ac:dyDescent="0.25"/>
    <row r="12032" customFormat="1" x14ac:dyDescent="0.25"/>
    <row r="12033" customFormat="1" x14ac:dyDescent="0.25"/>
    <row r="12034" customFormat="1" x14ac:dyDescent="0.25"/>
    <row r="12035" customFormat="1" x14ac:dyDescent="0.25"/>
    <row r="12036" customFormat="1" x14ac:dyDescent="0.25"/>
    <row r="12037" customFormat="1" x14ac:dyDescent="0.25"/>
    <row r="12038" customFormat="1" x14ac:dyDescent="0.25"/>
    <row r="12039" customFormat="1" x14ac:dyDescent="0.25"/>
    <row r="12040" customFormat="1" x14ac:dyDescent="0.25"/>
    <row r="12041" customFormat="1" x14ac:dyDescent="0.25"/>
    <row r="12042" customFormat="1" x14ac:dyDescent="0.25"/>
    <row r="12043" customFormat="1" x14ac:dyDescent="0.25"/>
    <row r="12044" customFormat="1" x14ac:dyDescent="0.25"/>
    <row r="12045" customFormat="1" x14ac:dyDescent="0.25"/>
    <row r="12046" customFormat="1" x14ac:dyDescent="0.25"/>
    <row r="12047" customFormat="1" x14ac:dyDescent="0.25"/>
    <row r="12048" customFormat="1" x14ac:dyDescent="0.25"/>
    <row r="12049" customFormat="1" x14ac:dyDescent="0.25"/>
    <row r="12050" customFormat="1" x14ac:dyDescent="0.25"/>
    <row r="12051" customFormat="1" x14ac:dyDescent="0.25"/>
    <row r="12052" customFormat="1" x14ac:dyDescent="0.25"/>
    <row r="12053" customFormat="1" x14ac:dyDescent="0.25"/>
    <row r="12054" customFormat="1" x14ac:dyDescent="0.25"/>
    <row r="12055" customFormat="1" x14ac:dyDescent="0.25"/>
    <row r="12056" customFormat="1" x14ac:dyDescent="0.25"/>
    <row r="12057" customFormat="1" x14ac:dyDescent="0.25"/>
    <row r="12058" customFormat="1" x14ac:dyDescent="0.25"/>
    <row r="12059" customFormat="1" x14ac:dyDescent="0.25"/>
    <row r="12060" customFormat="1" x14ac:dyDescent="0.25"/>
    <row r="12061" customFormat="1" x14ac:dyDescent="0.25"/>
    <row r="12062" customFormat="1" x14ac:dyDescent="0.25"/>
    <row r="12063" customFormat="1" x14ac:dyDescent="0.25"/>
    <row r="12064" customFormat="1" x14ac:dyDescent="0.25"/>
    <row r="12065" customFormat="1" x14ac:dyDescent="0.25"/>
    <row r="12066" customFormat="1" x14ac:dyDescent="0.25"/>
    <row r="12067" customFormat="1" x14ac:dyDescent="0.25"/>
    <row r="12068" customFormat="1" x14ac:dyDescent="0.25"/>
    <row r="12069" customFormat="1" x14ac:dyDescent="0.25"/>
    <row r="12070" customFormat="1" x14ac:dyDescent="0.25"/>
    <row r="12071" customFormat="1" x14ac:dyDescent="0.25"/>
    <row r="12072" customFormat="1" x14ac:dyDescent="0.25"/>
    <row r="12073" customFormat="1" x14ac:dyDescent="0.25"/>
    <row r="12074" customFormat="1" x14ac:dyDescent="0.25"/>
    <row r="12075" customFormat="1" x14ac:dyDescent="0.25"/>
    <row r="12076" customFormat="1" x14ac:dyDescent="0.25"/>
    <row r="12077" customFormat="1" x14ac:dyDescent="0.25"/>
    <row r="12078" customFormat="1" x14ac:dyDescent="0.25"/>
    <row r="12079" customFormat="1" x14ac:dyDescent="0.25"/>
    <row r="12080" customFormat="1" x14ac:dyDescent="0.25"/>
    <row r="12081" customFormat="1" x14ac:dyDescent="0.25"/>
    <row r="12082" customFormat="1" x14ac:dyDescent="0.25"/>
    <row r="12083" customFormat="1" x14ac:dyDescent="0.25"/>
    <row r="12084" customFormat="1" x14ac:dyDescent="0.25"/>
    <row r="12085" customFormat="1" x14ac:dyDescent="0.25"/>
    <row r="12086" customFormat="1" x14ac:dyDescent="0.25"/>
    <row r="12087" customFormat="1" x14ac:dyDescent="0.25"/>
    <row r="12088" customFormat="1" x14ac:dyDescent="0.25"/>
    <row r="12089" customFormat="1" x14ac:dyDescent="0.25"/>
    <row r="12090" customFormat="1" x14ac:dyDescent="0.25"/>
    <row r="12091" customFormat="1" x14ac:dyDescent="0.25"/>
    <row r="12092" customFormat="1" x14ac:dyDescent="0.25"/>
    <row r="12093" customFormat="1" x14ac:dyDescent="0.25"/>
    <row r="12094" customFormat="1" x14ac:dyDescent="0.25"/>
    <row r="12095" customFormat="1" x14ac:dyDescent="0.25"/>
    <row r="12096" customFormat="1" x14ac:dyDescent="0.25"/>
    <row r="12097" customFormat="1" x14ac:dyDescent="0.25"/>
    <row r="12098" customFormat="1" x14ac:dyDescent="0.25"/>
    <row r="12099" customFormat="1" x14ac:dyDescent="0.25"/>
    <row r="12100" customFormat="1" x14ac:dyDescent="0.25"/>
    <row r="12101" customFormat="1" x14ac:dyDescent="0.25"/>
    <row r="12102" customFormat="1" x14ac:dyDescent="0.25"/>
    <row r="12103" customFormat="1" x14ac:dyDescent="0.25"/>
    <row r="12104" customFormat="1" x14ac:dyDescent="0.25"/>
    <row r="12105" customFormat="1" x14ac:dyDescent="0.25"/>
    <row r="12106" customFormat="1" x14ac:dyDescent="0.25"/>
    <row r="12107" customFormat="1" x14ac:dyDescent="0.25"/>
    <row r="12108" customFormat="1" x14ac:dyDescent="0.25"/>
    <row r="12109" customFormat="1" x14ac:dyDescent="0.25"/>
    <row r="12110" customFormat="1" x14ac:dyDescent="0.25"/>
    <row r="12111" customFormat="1" x14ac:dyDescent="0.25"/>
    <row r="12112" customFormat="1" x14ac:dyDescent="0.25"/>
    <row r="12113" customFormat="1" x14ac:dyDescent="0.25"/>
    <row r="12114" customFormat="1" x14ac:dyDescent="0.25"/>
    <row r="12115" customFormat="1" x14ac:dyDescent="0.25"/>
    <row r="12116" customFormat="1" x14ac:dyDescent="0.25"/>
    <row r="12117" customFormat="1" x14ac:dyDescent="0.25"/>
    <row r="12118" customFormat="1" x14ac:dyDescent="0.25"/>
    <row r="12119" customFormat="1" x14ac:dyDescent="0.25"/>
    <row r="12120" customFormat="1" x14ac:dyDescent="0.25"/>
    <row r="12121" customFormat="1" x14ac:dyDescent="0.25"/>
    <row r="12122" customFormat="1" x14ac:dyDescent="0.25"/>
    <row r="12123" customFormat="1" x14ac:dyDescent="0.25"/>
    <row r="12124" customFormat="1" x14ac:dyDescent="0.25"/>
    <row r="12125" customFormat="1" x14ac:dyDescent="0.25"/>
    <row r="12126" customFormat="1" x14ac:dyDescent="0.25"/>
    <row r="12127" customFormat="1" x14ac:dyDescent="0.25"/>
    <row r="12128" customFormat="1" x14ac:dyDescent="0.25"/>
    <row r="12129" customFormat="1" x14ac:dyDescent="0.25"/>
    <row r="12130" customFormat="1" x14ac:dyDescent="0.25"/>
    <row r="12131" customFormat="1" x14ac:dyDescent="0.25"/>
    <row r="12132" customFormat="1" x14ac:dyDescent="0.25"/>
    <row r="12133" customFormat="1" x14ac:dyDescent="0.25"/>
    <row r="12134" customFormat="1" x14ac:dyDescent="0.25"/>
    <row r="12135" customFormat="1" x14ac:dyDescent="0.25"/>
    <row r="12136" customFormat="1" x14ac:dyDescent="0.25"/>
    <row r="12137" customFormat="1" x14ac:dyDescent="0.25"/>
    <row r="12138" customFormat="1" x14ac:dyDescent="0.25"/>
    <row r="12139" customFormat="1" x14ac:dyDescent="0.25"/>
    <row r="12140" customFormat="1" x14ac:dyDescent="0.25"/>
    <row r="12141" customFormat="1" x14ac:dyDescent="0.25"/>
    <row r="12142" customFormat="1" x14ac:dyDescent="0.25"/>
    <row r="12143" customFormat="1" x14ac:dyDescent="0.25"/>
    <row r="12144" customFormat="1" x14ac:dyDescent="0.25"/>
    <row r="12145" customFormat="1" x14ac:dyDescent="0.25"/>
    <row r="12146" customFormat="1" x14ac:dyDescent="0.25"/>
    <row r="12147" customFormat="1" x14ac:dyDescent="0.25"/>
    <row r="12148" customFormat="1" x14ac:dyDescent="0.25"/>
    <row r="12149" customFormat="1" x14ac:dyDescent="0.25"/>
    <row r="12150" customFormat="1" x14ac:dyDescent="0.25"/>
    <row r="12151" customFormat="1" x14ac:dyDescent="0.25"/>
    <row r="12152" customFormat="1" x14ac:dyDescent="0.25"/>
    <row r="12153" customFormat="1" x14ac:dyDescent="0.25"/>
    <row r="12154" customFormat="1" x14ac:dyDescent="0.25"/>
    <row r="12155" customFormat="1" x14ac:dyDescent="0.25"/>
    <row r="12156" customFormat="1" x14ac:dyDescent="0.25"/>
    <row r="12157" customFormat="1" x14ac:dyDescent="0.25"/>
    <row r="12158" customFormat="1" x14ac:dyDescent="0.25"/>
    <row r="12159" customFormat="1" x14ac:dyDescent="0.25"/>
    <row r="12160" customFormat="1" x14ac:dyDescent="0.25"/>
    <row r="12161" customFormat="1" x14ac:dyDescent="0.25"/>
    <row r="12162" customFormat="1" x14ac:dyDescent="0.25"/>
    <row r="12163" customFormat="1" x14ac:dyDescent="0.25"/>
    <row r="12164" customFormat="1" x14ac:dyDescent="0.25"/>
    <row r="12165" customFormat="1" x14ac:dyDescent="0.25"/>
    <row r="12166" customFormat="1" x14ac:dyDescent="0.25"/>
    <row r="12167" customFormat="1" x14ac:dyDescent="0.25"/>
    <row r="12168" customFormat="1" x14ac:dyDescent="0.25"/>
    <row r="12169" customFormat="1" x14ac:dyDescent="0.25"/>
    <row r="12170" customFormat="1" x14ac:dyDescent="0.25"/>
    <row r="12171" customFormat="1" x14ac:dyDescent="0.25"/>
    <row r="12172" customFormat="1" x14ac:dyDescent="0.25"/>
    <row r="12173" customFormat="1" x14ac:dyDescent="0.25"/>
    <row r="12174" customFormat="1" x14ac:dyDescent="0.25"/>
    <row r="12175" customFormat="1" x14ac:dyDescent="0.25"/>
    <row r="12176" customFormat="1" x14ac:dyDescent="0.25"/>
    <row r="12177" customFormat="1" x14ac:dyDescent="0.25"/>
    <row r="12178" customFormat="1" x14ac:dyDescent="0.25"/>
    <row r="12179" customFormat="1" x14ac:dyDescent="0.25"/>
    <row r="12180" customFormat="1" x14ac:dyDescent="0.25"/>
    <row r="12181" customFormat="1" x14ac:dyDescent="0.25"/>
    <row r="12182" customFormat="1" x14ac:dyDescent="0.25"/>
    <row r="12183" customFormat="1" x14ac:dyDescent="0.25"/>
    <row r="12184" customFormat="1" x14ac:dyDescent="0.25"/>
    <row r="12185" customFormat="1" x14ac:dyDescent="0.25"/>
    <row r="12186" customFormat="1" x14ac:dyDescent="0.25"/>
    <row r="12187" customFormat="1" x14ac:dyDescent="0.25"/>
    <row r="12188" customFormat="1" x14ac:dyDescent="0.25"/>
    <row r="12189" customFormat="1" x14ac:dyDescent="0.25"/>
    <row r="12190" customFormat="1" x14ac:dyDescent="0.25"/>
    <row r="12191" customFormat="1" x14ac:dyDescent="0.25"/>
    <row r="12192" customFormat="1" x14ac:dyDescent="0.25"/>
    <row r="12193" customFormat="1" x14ac:dyDescent="0.25"/>
    <row r="12194" customFormat="1" x14ac:dyDescent="0.25"/>
    <row r="12195" customFormat="1" x14ac:dyDescent="0.25"/>
    <row r="12196" customFormat="1" x14ac:dyDescent="0.25"/>
    <row r="12197" customFormat="1" x14ac:dyDescent="0.25"/>
    <row r="12198" customFormat="1" x14ac:dyDescent="0.25"/>
    <row r="12199" customFormat="1" x14ac:dyDescent="0.25"/>
    <row r="12200" customFormat="1" x14ac:dyDescent="0.25"/>
    <row r="12201" customFormat="1" x14ac:dyDescent="0.25"/>
    <row r="12202" customFormat="1" x14ac:dyDescent="0.25"/>
    <row r="12203" customFormat="1" x14ac:dyDescent="0.25"/>
    <row r="12204" customFormat="1" x14ac:dyDescent="0.25"/>
    <row r="12205" customFormat="1" x14ac:dyDescent="0.25"/>
    <row r="12206" customFormat="1" x14ac:dyDescent="0.25"/>
    <row r="12207" customFormat="1" x14ac:dyDescent="0.25"/>
    <row r="12208" customFormat="1" x14ac:dyDescent="0.25"/>
    <row r="12209" customFormat="1" x14ac:dyDescent="0.25"/>
    <row r="12210" customFormat="1" x14ac:dyDescent="0.25"/>
    <row r="12211" customFormat="1" x14ac:dyDescent="0.25"/>
    <row r="12212" customFormat="1" x14ac:dyDescent="0.25"/>
    <row r="12213" customFormat="1" x14ac:dyDescent="0.25"/>
    <row r="12214" customFormat="1" x14ac:dyDescent="0.25"/>
    <row r="12215" customFormat="1" x14ac:dyDescent="0.25"/>
    <row r="12216" customFormat="1" x14ac:dyDescent="0.25"/>
    <row r="12217" customFormat="1" x14ac:dyDescent="0.25"/>
    <row r="12218" customFormat="1" x14ac:dyDescent="0.25"/>
    <row r="12219" customFormat="1" x14ac:dyDescent="0.25"/>
    <row r="12220" customFormat="1" x14ac:dyDescent="0.25"/>
    <row r="12221" customFormat="1" x14ac:dyDescent="0.25"/>
    <row r="12222" customFormat="1" x14ac:dyDescent="0.25"/>
    <row r="12223" customFormat="1" x14ac:dyDescent="0.25"/>
    <row r="12224" customFormat="1" x14ac:dyDescent="0.25"/>
    <row r="12225" customFormat="1" x14ac:dyDescent="0.25"/>
    <row r="12226" customFormat="1" x14ac:dyDescent="0.25"/>
    <row r="12227" customFormat="1" x14ac:dyDescent="0.25"/>
    <row r="12228" customFormat="1" x14ac:dyDescent="0.25"/>
    <row r="12229" customFormat="1" x14ac:dyDescent="0.25"/>
    <row r="12230" customFormat="1" x14ac:dyDescent="0.25"/>
    <row r="12231" customFormat="1" x14ac:dyDescent="0.25"/>
    <row r="12232" customFormat="1" x14ac:dyDescent="0.25"/>
    <row r="12233" customFormat="1" x14ac:dyDescent="0.25"/>
    <row r="12234" customFormat="1" x14ac:dyDescent="0.25"/>
    <row r="12235" customFormat="1" x14ac:dyDescent="0.25"/>
    <row r="12236" customFormat="1" x14ac:dyDescent="0.25"/>
    <row r="12237" customFormat="1" x14ac:dyDescent="0.25"/>
    <row r="12238" customFormat="1" x14ac:dyDescent="0.25"/>
    <row r="12239" customFormat="1" x14ac:dyDescent="0.25"/>
    <row r="12240" customFormat="1" x14ac:dyDescent="0.25"/>
    <row r="12241" customFormat="1" x14ac:dyDescent="0.25"/>
    <row r="12242" customFormat="1" x14ac:dyDescent="0.25"/>
    <row r="12243" customFormat="1" x14ac:dyDescent="0.25"/>
    <row r="12244" customFormat="1" x14ac:dyDescent="0.25"/>
    <row r="12245" customFormat="1" x14ac:dyDescent="0.25"/>
    <row r="12246" customFormat="1" x14ac:dyDescent="0.25"/>
    <row r="12247" customFormat="1" x14ac:dyDescent="0.25"/>
    <row r="12248" customFormat="1" x14ac:dyDescent="0.25"/>
    <row r="12249" customFormat="1" x14ac:dyDescent="0.25"/>
    <row r="12250" customFormat="1" x14ac:dyDescent="0.25"/>
    <row r="12251" customFormat="1" x14ac:dyDescent="0.25"/>
    <row r="12252" customFormat="1" x14ac:dyDescent="0.25"/>
    <row r="12253" customFormat="1" x14ac:dyDescent="0.25"/>
    <row r="12254" customFormat="1" x14ac:dyDescent="0.25"/>
    <row r="12255" customFormat="1" x14ac:dyDescent="0.25"/>
    <row r="12256" customFormat="1" x14ac:dyDescent="0.25"/>
    <row r="12257" customFormat="1" x14ac:dyDescent="0.25"/>
    <row r="12258" customFormat="1" x14ac:dyDescent="0.25"/>
    <row r="12259" customFormat="1" x14ac:dyDescent="0.25"/>
    <row r="12260" customFormat="1" x14ac:dyDescent="0.25"/>
    <row r="12261" customFormat="1" x14ac:dyDescent="0.25"/>
    <row r="12262" customFormat="1" x14ac:dyDescent="0.25"/>
    <row r="12263" customFormat="1" x14ac:dyDescent="0.25"/>
    <row r="12264" customFormat="1" x14ac:dyDescent="0.25"/>
    <row r="12265" customFormat="1" x14ac:dyDescent="0.25"/>
    <row r="12266" customFormat="1" x14ac:dyDescent="0.25"/>
    <row r="12267" customFormat="1" x14ac:dyDescent="0.25"/>
    <row r="12268" customFormat="1" x14ac:dyDescent="0.25"/>
    <row r="12269" customFormat="1" x14ac:dyDescent="0.25"/>
    <row r="12270" customFormat="1" x14ac:dyDescent="0.25"/>
    <row r="12271" customFormat="1" x14ac:dyDescent="0.25"/>
    <row r="12272" customFormat="1" x14ac:dyDescent="0.25"/>
    <row r="12273" customFormat="1" x14ac:dyDescent="0.25"/>
    <row r="12274" customFormat="1" x14ac:dyDescent="0.25"/>
    <row r="12275" customFormat="1" x14ac:dyDescent="0.25"/>
    <row r="12276" customFormat="1" x14ac:dyDescent="0.25"/>
    <row r="12277" customFormat="1" x14ac:dyDescent="0.25"/>
    <row r="12278" customFormat="1" x14ac:dyDescent="0.25"/>
    <row r="12279" customFormat="1" x14ac:dyDescent="0.25"/>
    <row r="12280" customFormat="1" x14ac:dyDescent="0.25"/>
    <row r="12281" customFormat="1" x14ac:dyDescent="0.25"/>
    <row r="12282" customFormat="1" x14ac:dyDescent="0.25"/>
    <row r="12283" customFormat="1" x14ac:dyDescent="0.25"/>
    <row r="12284" customFormat="1" x14ac:dyDescent="0.25"/>
    <row r="12285" customFormat="1" x14ac:dyDescent="0.25"/>
    <row r="12286" customFormat="1" x14ac:dyDescent="0.25"/>
    <row r="12287" customFormat="1" x14ac:dyDescent="0.25"/>
    <row r="12288" customFormat="1" x14ac:dyDescent="0.25"/>
    <row r="12289" customFormat="1" x14ac:dyDescent="0.25"/>
    <row r="12290" customFormat="1" x14ac:dyDescent="0.25"/>
    <row r="12291" customFormat="1" x14ac:dyDescent="0.25"/>
    <row r="12292" customFormat="1" x14ac:dyDescent="0.25"/>
    <row r="12293" customFormat="1" x14ac:dyDescent="0.25"/>
    <row r="12294" customFormat="1" x14ac:dyDescent="0.25"/>
    <row r="12295" customFormat="1" x14ac:dyDescent="0.25"/>
    <row r="12296" customFormat="1" x14ac:dyDescent="0.25"/>
    <row r="12297" customFormat="1" x14ac:dyDescent="0.25"/>
    <row r="12298" customFormat="1" x14ac:dyDescent="0.25"/>
    <row r="12299" customFormat="1" x14ac:dyDescent="0.25"/>
    <row r="12300" customFormat="1" x14ac:dyDescent="0.25"/>
    <row r="12301" customFormat="1" x14ac:dyDescent="0.25"/>
    <row r="12302" customFormat="1" x14ac:dyDescent="0.25"/>
    <row r="12303" customFormat="1" x14ac:dyDescent="0.25"/>
    <row r="12304" customFormat="1" x14ac:dyDescent="0.25"/>
    <row r="12305" customFormat="1" x14ac:dyDescent="0.25"/>
    <row r="12306" customFormat="1" x14ac:dyDescent="0.25"/>
    <row r="12307" customFormat="1" x14ac:dyDescent="0.25"/>
    <row r="12308" customFormat="1" x14ac:dyDescent="0.25"/>
    <row r="12309" customFormat="1" x14ac:dyDescent="0.25"/>
    <row r="12310" customFormat="1" x14ac:dyDescent="0.25"/>
    <row r="12311" customFormat="1" x14ac:dyDescent="0.25"/>
    <row r="12312" customFormat="1" x14ac:dyDescent="0.25"/>
    <row r="12313" customFormat="1" x14ac:dyDescent="0.25"/>
    <row r="12314" customFormat="1" x14ac:dyDescent="0.25"/>
    <row r="12315" customFormat="1" x14ac:dyDescent="0.25"/>
    <row r="12316" customFormat="1" x14ac:dyDescent="0.25"/>
    <row r="12317" customFormat="1" x14ac:dyDescent="0.25"/>
    <row r="12318" customFormat="1" x14ac:dyDescent="0.25"/>
    <row r="12319" customFormat="1" x14ac:dyDescent="0.25"/>
    <row r="12320" customFormat="1" x14ac:dyDescent="0.25"/>
    <row r="12321" customFormat="1" x14ac:dyDescent="0.25"/>
    <row r="12322" customFormat="1" x14ac:dyDescent="0.25"/>
    <row r="12323" customFormat="1" x14ac:dyDescent="0.25"/>
    <row r="12324" customFormat="1" x14ac:dyDescent="0.25"/>
    <row r="12325" customFormat="1" x14ac:dyDescent="0.25"/>
    <row r="12326" customFormat="1" x14ac:dyDescent="0.25"/>
    <row r="12327" customFormat="1" x14ac:dyDescent="0.25"/>
    <row r="12328" customFormat="1" x14ac:dyDescent="0.25"/>
    <row r="12329" customFormat="1" x14ac:dyDescent="0.25"/>
    <row r="12330" customFormat="1" x14ac:dyDescent="0.25"/>
    <row r="12331" customFormat="1" x14ac:dyDescent="0.25"/>
    <row r="12332" customFormat="1" x14ac:dyDescent="0.25"/>
    <row r="12333" customFormat="1" x14ac:dyDescent="0.25"/>
    <row r="12334" customFormat="1" x14ac:dyDescent="0.25"/>
    <row r="12335" customFormat="1" x14ac:dyDescent="0.25"/>
    <row r="12336" customFormat="1" x14ac:dyDescent="0.25"/>
    <row r="12337" customFormat="1" x14ac:dyDescent="0.25"/>
    <row r="12338" customFormat="1" x14ac:dyDescent="0.25"/>
    <row r="12339" customFormat="1" x14ac:dyDescent="0.25"/>
    <row r="12340" customFormat="1" x14ac:dyDescent="0.25"/>
    <row r="12341" customFormat="1" x14ac:dyDescent="0.25"/>
    <row r="12342" customFormat="1" x14ac:dyDescent="0.25"/>
    <row r="12343" customFormat="1" x14ac:dyDescent="0.25"/>
    <row r="12344" customFormat="1" x14ac:dyDescent="0.25"/>
    <row r="12345" customFormat="1" x14ac:dyDescent="0.25"/>
    <row r="12346" customFormat="1" x14ac:dyDescent="0.25"/>
    <row r="12347" customFormat="1" x14ac:dyDescent="0.25"/>
    <row r="12348" customFormat="1" x14ac:dyDescent="0.25"/>
    <row r="12349" customFormat="1" x14ac:dyDescent="0.25"/>
    <row r="12350" customFormat="1" x14ac:dyDescent="0.25"/>
    <row r="12351" customFormat="1" x14ac:dyDescent="0.25"/>
    <row r="12352" customFormat="1" x14ac:dyDescent="0.25"/>
    <row r="12353" customFormat="1" x14ac:dyDescent="0.25"/>
    <row r="12354" customFormat="1" x14ac:dyDescent="0.25"/>
    <row r="12355" customFormat="1" x14ac:dyDescent="0.25"/>
    <row r="12356" customFormat="1" x14ac:dyDescent="0.25"/>
    <row r="12357" customFormat="1" x14ac:dyDescent="0.25"/>
    <row r="12358" customFormat="1" x14ac:dyDescent="0.25"/>
    <row r="12359" customFormat="1" x14ac:dyDescent="0.25"/>
    <row r="12360" customFormat="1" x14ac:dyDescent="0.25"/>
    <row r="12361" customFormat="1" x14ac:dyDescent="0.25"/>
    <row r="12362" customFormat="1" x14ac:dyDescent="0.25"/>
    <row r="12363" customFormat="1" x14ac:dyDescent="0.25"/>
    <row r="12364" customFormat="1" x14ac:dyDescent="0.25"/>
    <row r="12365" customFormat="1" x14ac:dyDescent="0.25"/>
    <row r="12366" customFormat="1" x14ac:dyDescent="0.25"/>
    <row r="12367" customFormat="1" x14ac:dyDescent="0.25"/>
    <row r="12368" customFormat="1" x14ac:dyDescent="0.25"/>
    <row r="12369" customFormat="1" x14ac:dyDescent="0.25"/>
    <row r="12370" customFormat="1" x14ac:dyDescent="0.25"/>
    <row r="12371" customFormat="1" x14ac:dyDescent="0.25"/>
    <row r="12372" customFormat="1" x14ac:dyDescent="0.25"/>
    <row r="12373" customFormat="1" x14ac:dyDescent="0.25"/>
    <row r="12374" customFormat="1" x14ac:dyDescent="0.25"/>
    <row r="12375" customFormat="1" x14ac:dyDescent="0.25"/>
    <row r="12376" customFormat="1" x14ac:dyDescent="0.25"/>
    <row r="12377" customFormat="1" x14ac:dyDescent="0.25"/>
    <row r="12378" customFormat="1" x14ac:dyDescent="0.25"/>
    <row r="12379" customFormat="1" x14ac:dyDescent="0.25"/>
    <row r="12380" customFormat="1" x14ac:dyDescent="0.25"/>
    <row r="12381" customFormat="1" x14ac:dyDescent="0.25"/>
    <row r="12382" customFormat="1" x14ac:dyDescent="0.25"/>
    <row r="12383" customFormat="1" x14ac:dyDescent="0.25"/>
    <row r="12384" customFormat="1" x14ac:dyDescent="0.25"/>
    <row r="12385" customFormat="1" x14ac:dyDescent="0.25"/>
    <row r="12386" customFormat="1" x14ac:dyDescent="0.25"/>
    <row r="12387" customFormat="1" x14ac:dyDescent="0.25"/>
    <row r="12388" customFormat="1" x14ac:dyDescent="0.25"/>
    <row r="12389" customFormat="1" x14ac:dyDescent="0.25"/>
    <row r="12390" customFormat="1" x14ac:dyDescent="0.25"/>
    <row r="12391" customFormat="1" x14ac:dyDescent="0.25"/>
    <row r="12392" customFormat="1" x14ac:dyDescent="0.25"/>
    <row r="12393" customFormat="1" x14ac:dyDescent="0.25"/>
    <row r="12394" customFormat="1" x14ac:dyDescent="0.25"/>
    <row r="12395" customFormat="1" x14ac:dyDescent="0.25"/>
    <row r="12396" customFormat="1" x14ac:dyDescent="0.25"/>
    <row r="12397" customFormat="1" x14ac:dyDescent="0.25"/>
    <row r="12398" customFormat="1" x14ac:dyDescent="0.25"/>
    <row r="12399" customFormat="1" x14ac:dyDescent="0.25"/>
    <row r="12400" customFormat="1" x14ac:dyDescent="0.25"/>
    <row r="12401" customFormat="1" x14ac:dyDescent="0.25"/>
    <row r="12402" customFormat="1" x14ac:dyDescent="0.25"/>
    <row r="12403" customFormat="1" x14ac:dyDescent="0.25"/>
    <row r="12404" customFormat="1" x14ac:dyDescent="0.25"/>
    <row r="12405" customFormat="1" x14ac:dyDescent="0.25"/>
    <row r="12406" customFormat="1" x14ac:dyDescent="0.25"/>
    <row r="12407" customFormat="1" x14ac:dyDescent="0.25"/>
    <row r="12408" customFormat="1" x14ac:dyDescent="0.25"/>
    <row r="12409" customFormat="1" x14ac:dyDescent="0.25"/>
    <row r="12410" customFormat="1" x14ac:dyDescent="0.25"/>
    <row r="12411" customFormat="1" x14ac:dyDescent="0.25"/>
    <row r="12412" customFormat="1" x14ac:dyDescent="0.25"/>
    <row r="12413" customFormat="1" x14ac:dyDescent="0.25"/>
    <row r="12414" customFormat="1" x14ac:dyDescent="0.25"/>
    <row r="12415" customFormat="1" x14ac:dyDescent="0.25"/>
    <row r="12416" customFormat="1" x14ac:dyDescent="0.25"/>
    <row r="12417" customFormat="1" x14ac:dyDescent="0.25"/>
    <row r="12418" customFormat="1" x14ac:dyDescent="0.25"/>
    <row r="12419" customFormat="1" x14ac:dyDescent="0.25"/>
    <row r="12420" customFormat="1" x14ac:dyDescent="0.25"/>
    <row r="12421" customFormat="1" x14ac:dyDescent="0.25"/>
    <row r="12422" customFormat="1" x14ac:dyDescent="0.25"/>
    <row r="12423" customFormat="1" x14ac:dyDescent="0.25"/>
    <row r="12424" customFormat="1" x14ac:dyDescent="0.25"/>
    <row r="12425" customFormat="1" x14ac:dyDescent="0.25"/>
    <row r="12426" customFormat="1" x14ac:dyDescent="0.25"/>
    <row r="12427" customFormat="1" x14ac:dyDescent="0.25"/>
    <row r="12428" customFormat="1" x14ac:dyDescent="0.25"/>
    <row r="12429" customFormat="1" x14ac:dyDescent="0.25"/>
    <row r="12430" customFormat="1" x14ac:dyDescent="0.25"/>
    <row r="12431" customFormat="1" x14ac:dyDescent="0.25"/>
    <row r="12432" customFormat="1" x14ac:dyDescent="0.25"/>
    <row r="12433" customFormat="1" x14ac:dyDescent="0.25"/>
    <row r="12434" customFormat="1" x14ac:dyDescent="0.25"/>
    <row r="12435" customFormat="1" x14ac:dyDescent="0.25"/>
    <row r="12436" customFormat="1" x14ac:dyDescent="0.25"/>
    <row r="12437" customFormat="1" x14ac:dyDescent="0.25"/>
    <row r="12438" customFormat="1" x14ac:dyDescent="0.25"/>
    <row r="12439" customFormat="1" x14ac:dyDescent="0.25"/>
    <row r="12440" customFormat="1" x14ac:dyDescent="0.25"/>
    <row r="12441" customFormat="1" x14ac:dyDescent="0.25"/>
    <row r="12442" customFormat="1" x14ac:dyDescent="0.25"/>
    <row r="12443" customFormat="1" x14ac:dyDescent="0.25"/>
    <row r="12444" customFormat="1" x14ac:dyDescent="0.25"/>
    <row r="12445" customFormat="1" x14ac:dyDescent="0.25"/>
    <row r="12446" customFormat="1" x14ac:dyDescent="0.25"/>
    <row r="12447" customFormat="1" x14ac:dyDescent="0.25"/>
    <row r="12448" customFormat="1" x14ac:dyDescent="0.25"/>
    <row r="12449" customFormat="1" x14ac:dyDescent="0.25"/>
    <row r="12450" customFormat="1" x14ac:dyDescent="0.25"/>
    <row r="12451" customFormat="1" x14ac:dyDescent="0.25"/>
    <row r="12452" customFormat="1" x14ac:dyDescent="0.25"/>
    <row r="12453" customFormat="1" x14ac:dyDescent="0.25"/>
    <row r="12454" customFormat="1" x14ac:dyDescent="0.25"/>
    <row r="12455" customFormat="1" x14ac:dyDescent="0.25"/>
    <row r="12456" customFormat="1" x14ac:dyDescent="0.25"/>
    <row r="12457" customFormat="1" x14ac:dyDescent="0.25"/>
    <row r="12458" customFormat="1" x14ac:dyDescent="0.25"/>
    <row r="12459" customFormat="1" x14ac:dyDescent="0.25"/>
    <row r="12460" customFormat="1" x14ac:dyDescent="0.25"/>
    <row r="12461" customFormat="1" x14ac:dyDescent="0.25"/>
    <row r="12462" customFormat="1" x14ac:dyDescent="0.25"/>
    <row r="12463" customFormat="1" x14ac:dyDescent="0.25"/>
    <row r="12464" customFormat="1" x14ac:dyDescent="0.25"/>
    <row r="12465" customFormat="1" x14ac:dyDescent="0.25"/>
    <row r="12466" customFormat="1" x14ac:dyDescent="0.25"/>
    <row r="12467" customFormat="1" x14ac:dyDescent="0.25"/>
    <row r="12468" customFormat="1" x14ac:dyDescent="0.25"/>
    <row r="12469" customFormat="1" x14ac:dyDescent="0.25"/>
    <row r="12470" customFormat="1" x14ac:dyDescent="0.25"/>
    <row r="12471" customFormat="1" x14ac:dyDescent="0.25"/>
    <row r="12472" customFormat="1" x14ac:dyDescent="0.25"/>
    <row r="12473" customFormat="1" x14ac:dyDescent="0.25"/>
    <row r="12474" customFormat="1" x14ac:dyDescent="0.25"/>
    <row r="12475" customFormat="1" x14ac:dyDescent="0.25"/>
    <row r="12476" customFormat="1" x14ac:dyDescent="0.25"/>
    <row r="12477" customFormat="1" x14ac:dyDescent="0.25"/>
    <row r="12478" customFormat="1" x14ac:dyDescent="0.25"/>
    <row r="12479" customFormat="1" x14ac:dyDescent="0.25"/>
    <row r="12480" customFormat="1" x14ac:dyDescent="0.25"/>
    <row r="12481" customFormat="1" x14ac:dyDescent="0.25"/>
    <row r="12482" customFormat="1" x14ac:dyDescent="0.25"/>
    <row r="12483" customFormat="1" x14ac:dyDescent="0.25"/>
    <row r="12484" customFormat="1" x14ac:dyDescent="0.25"/>
    <row r="12485" customFormat="1" x14ac:dyDescent="0.25"/>
    <row r="12486" customFormat="1" x14ac:dyDescent="0.25"/>
    <row r="12487" customFormat="1" x14ac:dyDescent="0.25"/>
    <row r="12488" customFormat="1" x14ac:dyDescent="0.25"/>
    <row r="12489" customFormat="1" x14ac:dyDescent="0.25"/>
    <row r="12490" customFormat="1" x14ac:dyDescent="0.25"/>
    <row r="12491" customFormat="1" x14ac:dyDescent="0.25"/>
    <row r="12492" customFormat="1" x14ac:dyDescent="0.25"/>
    <row r="12493" customFormat="1" x14ac:dyDescent="0.25"/>
    <row r="12494" customFormat="1" x14ac:dyDescent="0.25"/>
    <row r="12495" customFormat="1" x14ac:dyDescent="0.25"/>
    <row r="12496" customFormat="1" x14ac:dyDescent="0.25"/>
    <row r="12497" customFormat="1" x14ac:dyDescent="0.25"/>
    <row r="12498" customFormat="1" x14ac:dyDescent="0.25"/>
    <row r="12499" customFormat="1" x14ac:dyDescent="0.25"/>
    <row r="12500" customFormat="1" x14ac:dyDescent="0.25"/>
    <row r="12501" customFormat="1" x14ac:dyDescent="0.25"/>
    <row r="12502" customFormat="1" x14ac:dyDescent="0.25"/>
    <row r="12503" customFormat="1" x14ac:dyDescent="0.25"/>
    <row r="12504" customFormat="1" x14ac:dyDescent="0.25"/>
    <row r="12505" customFormat="1" x14ac:dyDescent="0.25"/>
    <row r="12506" customFormat="1" x14ac:dyDescent="0.25"/>
    <row r="12507" customFormat="1" x14ac:dyDescent="0.25"/>
    <row r="12508" customFormat="1" x14ac:dyDescent="0.25"/>
    <row r="12509" customFormat="1" x14ac:dyDescent="0.25"/>
    <row r="12510" customFormat="1" x14ac:dyDescent="0.25"/>
    <row r="12511" customFormat="1" x14ac:dyDescent="0.25"/>
    <row r="12512" customFormat="1" x14ac:dyDescent="0.25"/>
    <row r="12513" customFormat="1" x14ac:dyDescent="0.25"/>
    <row r="12514" customFormat="1" x14ac:dyDescent="0.25"/>
    <row r="12515" customFormat="1" x14ac:dyDescent="0.25"/>
    <row r="12516" customFormat="1" x14ac:dyDescent="0.25"/>
    <row r="12517" customFormat="1" x14ac:dyDescent="0.25"/>
    <row r="12518" customFormat="1" x14ac:dyDescent="0.25"/>
    <row r="12519" customFormat="1" x14ac:dyDescent="0.25"/>
    <row r="12520" customFormat="1" x14ac:dyDescent="0.25"/>
    <row r="12521" customFormat="1" x14ac:dyDescent="0.25"/>
    <row r="12522" customFormat="1" x14ac:dyDescent="0.25"/>
    <row r="12523" customFormat="1" x14ac:dyDescent="0.25"/>
    <row r="12524" customFormat="1" x14ac:dyDescent="0.25"/>
    <row r="12525" customFormat="1" x14ac:dyDescent="0.25"/>
    <row r="12526" customFormat="1" x14ac:dyDescent="0.25"/>
    <row r="12527" customFormat="1" x14ac:dyDescent="0.25"/>
    <row r="12528" customFormat="1" x14ac:dyDescent="0.25"/>
    <row r="12529" customFormat="1" x14ac:dyDescent="0.25"/>
    <row r="12530" customFormat="1" x14ac:dyDescent="0.25"/>
    <row r="12531" customFormat="1" x14ac:dyDescent="0.25"/>
    <row r="12532" customFormat="1" x14ac:dyDescent="0.25"/>
    <row r="12533" customFormat="1" x14ac:dyDescent="0.25"/>
    <row r="12534" customFormat="1" x14ac:dyDescent="0.25"/>
    <row r="12535" customFormat="1" x14ac:dyDescent="0.25"/>
    <row r="12536" customFormat="1" x14ac:dyDescent="0.25"/>
    <row r="12537" customFormat="1" x14ac:dyDescent="0.25"/>
    <row r="12538" customFormat="1" x14ac:dyDescent="0.25"/>
    <row r="12539" customFormat="1" x14ac:dyDescent="0.25"/>
    <row r="12540" customFormat="1" x14ac:dyDescent="0.25"/>
    <row r="12541" customFormat="1" x14ac:dyDescent="0.25"/>
    <row r="12542" customFormat="1" x14ac:dyDescent="0.25"/>
    <row r="12543" customFormat="1" x14ac:dyDescent="0.25"/>
    <row r="12544" customFormat="1" x14ac:dyDescent="0.25"/>
    <row r="12545" customFormat="1" x14ac:dyDescent="0.25"/>
    <row r="12546" customFormat="1" x14ac:dyDescent="0.25"/>
    <row r="12547" customFormat="1" x14ac:dyDescent="0.25"/>
    <row r="12548" customFormat="1" x14ac:dyDescent="0.25"/>
    <row r="12549" customFormat="1" x14ac:dyDescent="0.25"/>
    <row r="12550" customFormat="1" x14ac:dyDescent="0.25"/>
    <row r="12551" customFormat="1" x14ac:dyDescent="0.25"/>
    <row r="12552" customFormat="1" x14ac:dyDescent="0.25"/>
    <row r="12553" customFormat="1" x14ac:dyDescent="0.25"/>
    <row r="12554" customFormat="1" x14ac:dyDescent="0.25"/>
    <row r="12555" customFormat="1" x14ac:dyDescent="0.25"/>
    <row r="12556" customFormat="1" x14ac:dyDescent="0.25"/>
    <row r="12557" customFormat="1" x14ac:dyDescent="0.25"/>
    <row r="12558" customFormat="1" x14ac:dyDescent="0.25"/>
    <row r="12559" customFormat="1" x14ac:dyDescent="0.25"/>
    <row r="12560" customFormat="1" x14ac:dyDescent="0.25"/>
    <row r="12561" customFormat="1" x14ac:dyDescent="0.25"/>
    <row r="12562" customFormat="1" x14ac:dyDescent="0.25"/>
    <row r="12563" customFormat="1" x14ac:dyDescent="0.25"/>
    <row r="12564" customFormat="1" x14ac:dyDescent="0.25"/>
    <row r="12565" customFormat="1" x14ac:dyDescent="0.25"/>
    <row r="12566" customFormat="1" x14ac:dyDescent="0.25"/>
    <row r="12567" customFormat="1" x14ac:dyDescent="0.25"/>
    <row r="12568" customFormat="1" x14ac:dyDescent="0.25"/>
    <row r="12569" customFormat="1" x14ac:dyDescent="0.25"/>
    <row r="12570" customFormat="1" x14ac:dyDescent="0.25"/>
    <row r="12571" customFormat="1" x14ac:dyDescent="0.25"/>
    <row r="12572" customFormat="1" x14ac:dyDescent="0.25"/>
    <row r="12573" customFormat="1" x14ac:dyDescent="0.25"/>
    <row r="12574" customFormat="1" x14ac:dyDescent="0.25"/>
    <row r="12575" customFormat="1" x14ac:dyDescent="0.25"/>
    <row r="12576" customFormat="1" x14ac:dyDescent="0.25"/>
    <row r="12577" customFormat="1" x14ac:dyDescent="0.25"/>
    <row r="12578" customFormat="1" x14ac:dyDescent="0.25"/>
    <row r="12579" customFormat="1" x14ac:dyDescent="0.25"/>
    <row r="12580" customFormat="1" x14ac:dyDescent="0.25"/>
    <row r="12581" customFormat="1" x14ac:dyDescent="0.25"/>
    <row r="12582" customFormat="1" x14ac:dyDescent="0.25"/>
    <row r="12583" customFormat="1" x14ac:dyDescent="0.25"/>
    <row r="12584" customFormat="1" x14ac:dyDescent="0.25"/>
    <row r="12585" customFormat="1" x14ac:dyDescent="0.25"/>
    <row r="12586" customFormat="1" x14ac:dyDescent="0.25"/>
    <row r="12587" customFormat="1" x14ac:dyDescent="0.25"/>
    <row r="12588" customFormat="1" x14ac:dyDescent="0.25"/>
    <row r="12589" customFormat="1" x14ac:dyDescent="0.25"/>
    <row r="12590" customFormat="1" x14ac:dyDescent="0.25"/>
    <row r="12591" customFormat="1" x14ac:dyDescent="0.25"/>
    <row r="12592" customFormat="1" x14ac:dyDescent="0.25"/>
    <row r="12593" customFormat="1" x14ac:dyDescent="0.25"/>
    <row r="12594" customFormat="1" x14ac:dyDescent="0.25"/>
    <row r="12595" customFormat="1" x14ac:dyDescent="0.25"/>
    <row r="12596" customFormat="1" x14ac:dyDescent="0.25"/>
    <row r="12597" customFormat="1" x14ac:dyDescent="0.25"/>
    <row r="12598" customFormat="1" x14ac:dyDescent="0.25"/>
    <row r="12599" customFormat="1" x14ac:dyDescent="0.25"/>
    <row r="12600" customFormat="1" x14ac:dyDescent="0.25"/>
    <row r="12601" customFormat="1" x14ac:dyDescent="0.25"/>
    <row r="12602" customFormat="1" x14ac:dyDescent="0.25"/>
    <row r="12603" customFormat="1" x14ac:dyDescent="0.25"/>
    <row r="12604" customFormat="1" x14ac:dyDescent="0.25"/>
    <row r="12605" customFormat="1" x14ac:dyDescent="0.25"/>
    <row r="12606" customFormat="1" x14ac:dyDescent="0.25"/>
    <row r="12607" customFormat="1" x14ac:dyDescent="0.25"/>
    <row r="12608" customFormat="1" x14ac:dyDescent="0.25"/>
    <row r="12609" customFormat="1" x14ac:dyDescent="0.25"/>
    <row r="12610" customFormat="1" x14ac:dyDescent="0.25"/>
    <row r="12611" customFormat="1" x14ac:dyDescent="0.25"/>
    <row r="12612" customFormat="1" x14ac:dyDescent="0.25"/>
    <row r="12613" customFormat="1" x14ac:dyDescent="0.25"/>
    <row r="12614" customFormat="1" x14ac:dyDescent="0.25"/>
    <row r="12615" customFormat="1" x14ac:dyDescent="0.25"/>
    <row r="12616" customFormat="1" x14ac:dyDescent="0.25"/>
    <row r="12617" customFormat="1" x14ac:dyDescent="0.25"/>
    <row r="12618" customFormat="1" x14ac:dyDescent="0.25"/>
    <row r="12619" customFormat="1" x14ac:dyDescent="0.25"/>
    <row r="12620" customFormat="1" x14ac:dyDescent="0.25"/>
    <row r="12621" customFormat="1" x14ac:dyDescent="0.25"/>
    <row r="12622" customFormat="1" x14ac:dyDescent="0.25"/>
    <row r="12623" customFormat="1" x14ac:dyDescent="0.25"/>
    <row r="12624" customFormat="1" x14ac:dyDescent="0.25"/>
    <row r="12625" customFormat="1" x14ac:dyDescent="0.25"/>
    <row r="12626" customFormat="1" x14ac:dyDescent="0.25"/>
    <row r="12627" customFormat="1" x14ac:dyDescent="0.25"/>
    <row r="12628" customFormat="1" x14ac:dyDescent="0.25"/>
    <row r="12629" customFormat="1" x14ac:dyDescent="0.25"/>
    <row r="12630" customFormat="1" x14ac:dyDescent="0.25"/>
    <row r="12631" customFormat="1" x14ac:dyDescent="0.25"/>
    <row r="12632" customFormat="1" x14ac:dyDescent="0.25"/>
    <row r="12633" customFormat="1" x14ac:dyDescent="0.25"/>
    <row r="12634" customFormat="1" x14ac:dyDescent="0.25"/>
    <row r="12635" customFormat="1" x14ac:dyDescent="0.25"/>
    <row r="12636" customFormat="1" x14ac:dyDescent="0.25"/>
    <row r="12637" customFormat="1" x14ac:dyDescent="0.25"/>
    <row r="12638" customFormat="1" x14ac:dyDescent="0.25"/>
    <row r="12639" customFormat="1" x14ac:dyDescent="0.25"/>
    <row r="12640" customFormat="1" x14ac:dyDescent="0.25"/>
    <row r="12641" customFormat="1" x14ac:dyDescent="0.25"/>
    <row r="12642" customFormat="1" x14ac:dyDescent="0.25"/>
    <row r="12643" customFormat="1" x14ac:dyDescent="0.25"/>
    <row r="12644" customFormat="1" x14ac:dyDescent="0.25"/>
    <row r="12645" customFormat="1" x14ac:dyDescent="0.25"/>
    <row r="12646" customFormat="1" x14ac:dyDescent="0.25"/>
    <row r="12647" customFormat="1" x14ac:dyDescent="0.25"/>
    <row r="12648" customFormat="1" x14ac:dyDescent="0.25"/>
    <row r="12649" customFormat="1" x14ac:dyDescent="0.25"/>
    <row r="12650" customFormat="1" x14ac:dyDescent="0.25"/>
    <row r="12651" customFormat="1" x14ac:dyDescent="0.25"/>
    <row r="12652" customFormat="1" x14ac:dyDescent="0.25"/>
    <row r="12653" customFormat="1" x14ac:dyDescent="0.25"/>
    <row r="12654" customFormat="1" x14ac:dyDescent="0.25"/>
    <row r="12655" customFormat="1" x14ac:dyDescent="0.25"/>
    <row r="12656" customFormat="1" x14ac:dyDescent="0.25"/>
    <row r="12657" customFormat="1" x14ac:dyDescent="0.25"/>
    <row r="12658" customFormat="1" x14ac:dyDescent="0.25"/>
    <row r="12659" customFormat="1" x14ac:dyDescent="0.25"/>
    <row r="12660" customFormat="1" x14ac:dyDescent="0.25"/>
    <row r="12661" customFormat="1" x14ac:dyDescent="0.25"/>
    <row r="12662" customFormat="1" x14ac:dyDescent="0.25"/>
    <row r="12663" customFormat="1" x14ac:dyDescent="0.25"/>
    <row r="12664" customFormat="1" x14ac:dyDescent="0.25"/>
    <row r="12665" customFormat="1" x14ac:dyDescent="0.25"/>
    <row r="12666" customFormat="1" x14ac:dyDescent="0.25"/>
    <row r="12667" customFormat="1" x14ac:dyDescent="0.25"/>
    <row r="12668" customFormat="1" x14ac:dyDescent="0.25"/>
    <row r="12669" customFormat="1" x14ac:dyDescent="0.25"/>
    <row r="12670" customFormat="1" x14ac:dyDescent="0.25"/>
    <row r="12671" customFormat="1" x14ac:dyDescent="0.25"/>
    <row r="12672" customFormat="1" x14ac:dyDescent="0.25"/>
    <row r="12673" customFormat="1" x14ac:dyDescent="0.25"/>
    <row r="12674" customFormat="1" x14ac:dyDescent="0.25"/>
    <row r="12675" customFormat="1" x14ac:dyDescent="0.25"/>
    <row r="12676" customFormat="1" x14ac:dyDescent="0.25"/>
    <row r="12677" customFormat="1" x14ac:dyDescent="0.25"/>
    <row r="12678" customFormat="1" x14ac:dyDescent="0.25"/>
    <row r="12679" customFormat="1" x14ac:dyDescent="0.25"/>
    <row r="12680" customFormat="1" x14ac:dyDescent="0.25"/>
    <row r="12681" customFormat="1" x14ac:dyDescent="0.25"/>
    <row r="12682" customFormat="1" x14ac:dyDescent="0.25"/>
    <row r="12683" customFormat="1" x14ac:dyDescent="0.25"/>
    <row r="12684" customFormat="1" x14ac:dyDescent="0.25"/>
    <row r="12685" customFormat="1" x14ac:dyDescent="0.25"/>
    <row r="12686" customFormat="1" x14ac:dyDescent="0.25"/>
    <row r="12687" customFormat="1" x14ac:dyDescent="0.25"/>
    <row r="12688" customFormat="1" x14ac:dyDescent="0.25"/>
    <row r="12689" customFormat="1" x14ac:dyDescent="0.25"/>
    <row r="12690" customFormat="1" x14ac:dyDescent="0.25"/>
    <row r="12691" customFormat="1" x14ac:dyDescent="0.25"/>
    <row r="12692" customFormat="1" x14ac:dyDescent="0.25"/>
    <row r="12693" customFormat="1" x14ac:dyDescent="0.25"/>
    <row r="12694" customFormat="1" x14ac:dyDescent="0.25"/>
    <row r="12695" customFormat="1" x14ac:dyDescent="0.25"/>
    <row r="12696" customFormat="1" x14ac:dyDescent="0.25"/>
    <row r="12697" customFormat="1" x14ac:dyDescent="0.25"/>
    <row r="12698" customFormat="1" x14ac:dyDescent="0.25"/>
    <row r="12699" customFormat="1" x14ac:dyDescent="0.25"/>
    <row r="12700" customFormat="1" x14ac:dyDescent="0.25"/>
    <row r="12701" customFormat="1" x14ac:dyDescent="0.25"/>
    <row r="12702" customFormat="1" x14ac:dyDescent="0.25"/>
    <row r="12703" customFormat="1" x14ac:dyDescent="0.25"/>
    <row r="12704" customFormat="1" x14ac:dyDescent="0.25"/>
    <row r="12705" customFormat="1" x14ac:dyDescent="0.25"/>
    <row r="12706" customFormat="1" x14ac:dyDescent="0.25"/>
    <row r="12707" customFormat="1" x14ac:dyDescent="0.25"/>
    <row r="12708" customFormat="1" x14ac:dyDescent="0.25"/>
    <row r="12709" customFormat="1" x14ac:dyDescent="0.25"/>
    <row r="12710" customFormat="1" x14ac:dyDescent="0.25"/>
    <row r="12711" customFormat="1" x14ac:dyDescent="0.25"/>
    <row r="12712" customFormat="1" x14ac:dyDescent="0.25"/>
    <row r="12713" customFormat="1" x14ac:dyDescent="0.25"/>
    <row r="12714" customFormat="1" x14ac:dyDescent="0.25"/>
    <row r="12715" customFormat="1" x14ac:dyDescent="0.25"/>
    <row r="12716" customFormat="1" x14ac:dyDescent="0.25"/>
    <row r="12717" customFormat="1" x14ac:dyDescent="0.25"/>
    <row r="12718" customFormat="1" x14ac:dyDescent="0.25"/>
    <row r="12719" customFormat="1" x14ac:dyDescent="0.25"/>
    <row r="12720" customFormat="1" x14ac:dyDescent="0.25"/>
    <row r="12721" customFormat="1" x14ac:dyDescent="0.25"/>
    <row r="12722" customFormat="1" x14ac:dyDescent="0.25"/>
    <row r="12723" customFormat="1" x14ac:dyDescent="0.25"/>
    <row r="12724" customFormat="1" x14ac:dyDescent="0.25"/>
    <row r="12725" customFormat="1" x14ac:dyDescent="0.25"/>
    <row r="12726" customFormat="1" x14ac:dyDescent="0.25"/>
    <row r="12727" customFormat="1" x14ac:dyDescent="0.25"/>
    <row r="12728" customFormat="1" x14ac:dyDescent="0.25"/>
    <row r="12729" customFormat="1" x14ac:dyDescent="0.25"/>
    <row r="12730" customFormat="1" x14ac:dyDescent="0.25"/>
    <row r="12731" customFormat="1" x14ac:dyDescent="0.25"/>
    <row r="12732" customFormat="1" x14ac:dyDescent="0.25"/>
    <row r="12733" customFormat="1" x14ac:dyDescent="0.25"/>
    <row r="12734" customFormat="1" x14ac:dyDescent="0.25"/>
    <row r="12735" customFormat="1" x14ac:dyDescent="0.25"/>
    <row r="12736" customFormat="1" x14ac:dyDescent="0.25"/>
    <row r="12737" customFormat="1" x14ac:dyDescent="0.25"/>
    <row r="12738" customFormat="1" x14ac:dyDescent="0.25"/>
    <row r="12739" customFormat="1" x14ac:dyDescent="0.25"/>
    <row r="12740" customFormat="1" x14ac:dyDescent="0.25"/>
    <row r="12741" customFormat="1" x14ac:dyDescent="0.25"/>
    <row r="12742" customFormat="1" x14ac:dyDescent="0.25"/>
    <row r="12743" customFormat="1" x14ac:dyDescent="0.25"/>
    <row r="12744" customFormat="1" x14ac:dyDescent="0.25"/>
    <row r="12745" customFormat="1" x14ac:dyDescent="0.25"/>
    <row r="12746" customFormat="1" x14ac:dyDescent="0.25"/>
    <row r="12747" customFormat="1" x14ac:dyDescent="0.25"/>
    <row r="12748" customFormat="1" x14ac:dyDescent="0.25"/>
    <row r="12749" customFormat="1" x14ac:dyDescent="0.25"/>
    <row r="12750" customFormat="1" x14ac:dyDescent="0.25"/>
    <row r="12751" customFormat="1" x14ac:dyDescent="0.25"/>
    <row r="12752" customFormat="1" x14ac:dyDescent="0.25"/>
    <row r="12753" customFormat="1" x14ac:dyDescent="0.25"/>
    <row r="12754" customFormat="1" x14ac:dyDescent="0.25"/>
    <row r="12755" customFormat="1" x14ac:dyDescent="0.25"/>
    <row r="12756" customFormat="1" x14ac:dyDescent="0.25"/>
    <row r="12757" customFormat="1" x14ac:dyDescent="0.25"/>
    <row r="12758" customFormat="1" x14ac:dyDescent="0.25"/>
    <row r="12759" customFormat="1" x14ac:dyDescent="0.25"/>
    <row r="12760" customFormat="1" x14ac:dyDescent="0.25"/>
    <row r="12761" customFormat="1" x14ac:dyDescent="0.25"/>
    <row r="12762" customFormat="1" x14ac:dyDescent="0.25"/>
    <row r="12763" customFormat="1" x14ac:dyDescent="0.25"/>
    <row r="12764" customFormat="1" x14ac:dyDescent="0.25"/>
    <row r="12765" customFormat="1" x14ac:dyDescent="0.25"/>
    <row r="12766" customFormat="1" x14ac:dyDescent="0.25"/>
    <row r="12767" customFormat="1" x14ac:dyDescent="0.25"/>
    <row r="12768" customFormat="1" x14ac:dyDescent="0.25"/>
    <row r="12769" customFormat="1" x14ac:dyDescent="0.25"/>
    <row r="12770" customFormat="1" x14ac:dyDescent="0.25"/>
    <row r="12771" customFormat="1" x14ac:dyDescent="0.25"/>
    <row r="12772" customFormat="1" x14ac:dyDescent="0.25"/>
    <row r="12773" customFormat="1" x14ac:dyDescent="0.25"/>
    <row r="12774" customFormat="1" x14ac:dyDescent="0.25"/>
    <row r="12775" customFormat="1" x14ac:dyDescent="0.25"/>
    <row r="12776" customFormat="1" x14ac:dyDescent="0.25"/>
    <row r="12777" customFormat="1" x14ac:dyDescent="0.25"/>
    <row r="12778" customFormat="1" x14ac:dyDescent="0.25"/>
    <row r="12779" customFormat="1" x14ac:dyDescent="0.25"/>
    <row r="12780" customFormat="1" x14ac:dyDescent="0.25"/>
    <row r="12781" customFormat="1" x14ac:dyDescent="0.25"/>
    <row r="12782" customFormat="1" x14ac:dyDescent="0.25"/>
    <row r="12783" customFormat="1" x14ac:dyDescent="0.25"/>
    <row r="12784" customFormat="1" x14ac:dyDescent="0.25"/>
    <row r="12785" customFormat="1" x14ac:dyDescent="0.25"/>
    <row r="12786" customFormat="1" x14ac:dyDescent="0.25"/>
    <row r="12787" customFormat="1" x14ac:dyDescent="0.25"/>
    <row r="12788" customFormat="1" x14ac:dyDescent="0.25"/>
    <row r="12789" customFormat="1" x14ac:dyDescent="0.25"/>
    <row r="12790" customFormat="1" x14ac:dyDescent="0.25"/>
    <row r="12791" customFormat="1" x14ac:dyDescent="0.25"/>
    <row r="12792" customFormat="1" x14ac:dyDescent="0.25"/>
    <row r="12793" customFormat="1" x14ac:dyDescent="0.25"/>
    <row r="12794" customFormat="1" x14ac:dyDescent="0.25"/>
    <row r="12795" customFormat="1" x14ac:dyDescent="0.25"/>
    <row r="12796" customFormat="1" x14ac:dyDescent="0.25"/>
    <row r="12797" customFormat="1" x14ac:dyDescent="0.25"/>
    <row r="12798" customFormat="1" x14ac:dyDescent="0.25"/>
    <row r="12799" customFormat="1" x14ac:dyDescent="0.25"/>
    <row r="12800" customFormat="1" x14ac:dyDescent="0.25"/>
    <row r="12801" customFormat="1" x14ac:dyDescent="0.25"/>
    <row r="12802" customFormat="1" x14ac:dyDescent="0.25"/>
    <row r="12803" customFormat="1" x14ac:dyDescent="0.25"/>
    <row r="12804" customFormat="1" x14ac:dyDescent="0.25"/>
    <row r="12805" customFormat="1" x14ac:dyDescent="0.25"/>
    <row r="12806" customFormat="1" x14ac:dyDescent="0.25"/>
    <row r="12807" customFormat="1" x14ac:dyDescent="0.25"/>
    <row r="12808" customFormat="1" x14ac:dyDescent="0.25"/>
    <row r="12809" customFormat="1" x14ac:dyDescent="0.25"/>
    <row r="12810" customFormat="1" x14ac:dyDescent="0.25"/>
    <row r="12811" customFormat="1" x14ac:dyDescent="0.25"/>
    <row r="12812" customFormat="1" x14ac:dyDescent="0.25"/>
    <row r="12813" customFormat="1" x14ac:dyDescent="0.25"/>
    <row r="12814" customFormat="1" x14ac:dyDescent="0.25"/>
    <row r="12815" customFormat="1" x14ac:dyDescent="0.25"/>
    <row r="12816" customFormat="1" x14ac:dyDescent="0.25"/>
    <row r="12817" customFormat="1" x14ac:dyDescent="0.25"/>
    <row r="12818" customFormat="1" x14ac:dyDescent="0.25"/>
    <row r="12819" customFormat="1" x14ac:dyDescent="0.25"/>
    <row r="12820" customFormat="1" x14ac:dyDescent="0.25"/>
    <row r="12821" customFormat="1" x14ac:dyDescent="0.25"/>
    <row r="12822" customFormat="1" x14ac:dyDescent="0.25"/>
    <row r="12823" customFormat="1" x14ac:dyDescent="0.25"/>
    <row r="12824" customFormat="1" x14ac:dyDescent="0.25"/>
    <row r="12825" customFormat="1" x14ac:dyDescent="0.25"/>
    <row r="12826" customFormat="1" x14ac:dyDescent="0.25"/>
    <row r="12827" customFormat="1" x14ac:dyDescent="0.25"/>
    <row r="12828" customFormat="1" x14ac:dyDescent="0.25"/>
    <row r="12829" customFormat="1" x14ac:dyDescent="0.25"/>
    <row r="12830" customFormat="1" x14ac:dyDescent="0.25"/>
    <row r="12831" customFormat="1" x14ac:dyDescent="0.25"/>
    <row r="12832" customFormat="1" x14ac:dyDescent="0.25"/>
    <row r="12833" customFormat="1" x14ac:dyDescent="0.25"/>
    <row r="12834" customFormat="1" x14ac:dyDescent="0.25"/>
    <row r="12835" customFormat="1" x14ac:dyDescent="0.25"/>
    <row r="12836" customFormat="1" x14ac:dyDescent="0.25"/>
    <row r="12837" customFormat="1" x14ac:dyDescent="0.25"/>
    <row r="12838" customFormat="1" x14ac:dyDescent="0.25"/>
    <row r="12839" customFormat="1" x14ac:dyDescent="0.25"/>
    <row r="12840" customFormat="1" x14ac:dyDescent="0.25"/>
    <row r="12841" customFormat="1" x14ac:dyDescent="0.25"/>
    <row r="12842" customFormat="1" x14ac:dyDescent="0.25"/>
    <row r="12843" customFormat="1" x14ac:dyDescent="0.25"/>
    <row r="12844" customFormat="1" x14ac:dyDescent="0.25"/>
    <row r="12845" customFormat="1" x14ac:dyDescent="0.25"/>
    <row r="12846" customFormat="1" x14ac:dyDescent="0.25"/>
    <row r="12847" customFormat="1" x14ac:dyDescent="0.25"/>
    <row r="12848" customFormat="1" x14ac:dyDescent="0.25"/>
    <row r="12849" customFormat="1" x14ac:dyDescent="0.25"/>
    <row r="12850" customFormat="1" x14ac:dyDescent="0.25"/>
    <row r="12851" customFormat="1" x14ac:dyDescent="0.25"/>
    <row r="12852" customFormat="1" x14ac:dyDescent="0.25"/>
    <row r="12853" customFormat="1" x14ac:dyDescent="0.25"/>
    <row r="12854" customFormat="1" x14ac:dyDescent="0.25"/>
    <row r="12855" customFormat="1" x14ac:dyDescent="0.25"/>
    <row r="12856" customFormat="1" x14ac:dyDescent="0.25"/>
    <row r="12857" customFormat="1" x14ac:dyDescent="0.25"/>
    <row r="12858" customFormat="1" x14ac:dyDescent="0.25"/>
    <row r="12859" customFormat="1" x14ac:dyDescent="0.25"/>
    <row r="12860" customFormat="1" x14ac:dyDescent="0.25"/>
    <row r="12861" customFormat="1" x14ac:dyDescent="0.25"/>
    <row r="12862" customFormat="1" x14ac:dyDescent="0.25"/>
    <row r="12863" customFormat="1" x14ac:dyDescent="0.25"/>
    <row r="12864" customFormat="1" x14ac:dyDescent="0.25"/>
    <row r="12865" customFormat="1" x14ac:dyDescent="0.25"/>
    <row r="12866" customFormat="1" x14ac:dyDescent="0.25"/>
    <row r="12867" customFormat="1" x14ac:dyDescent="0.25"/>
    <row r="12868" customFormat="1" x14ac:dyDescent="0.25"/>
    <row r="12869" customFormat="1" x14ac:dyDescent="0.25"/>
    <row r="12870" customFormat="1" x14ac:dyDescent="0.25"/>
    <row r="12871" customFormat="1" x14ac:dyDescent="0.25"/>
    <row r="12872" customFormat="1" x14ac:dyDescent="0.25"/>
    <row r="12873" customFormat="1" x14ac:dyDescent="0.25"/>
    <row r="12874" customFormat="1" x14ac:dyDescent="0.25"/>
    <row r="12875" customFormat="1" x14ac:dyDescent="0.25"/>
    <row r="12876" customFormat="1" x14ac:dyDescent="0.25"/>
    <row r="12877" customFormat="1" x14ac:dyDescent="0.25"/>
    <row r="12878" customFormat="1" x14ac:dyDescent="0.25"/>
    <row r="12879" customFormat="1" x14ac:dyDescent="0.25"/>
    <row r="12880" customFormat="1" x14ac:dyDescent="0.25"/>
    <row r="12881" customFormat="1" x14ac:dyDescent="0.25"/>
    <row r="12882" customFormat="1" x14ac:dyDescent="0.25"/>
    <row r="12883" customFormat="1" x14ac:dyDescent="0.25"/>
    <row r="12884" customFormat="1" x14ac:dyDescent="0.25"/>
    <row r="12885" customFormat="1" x14ac:dyDescent="0.25"/>
    <row r="12886" customFormat="1" x14ac:dyDescent="0.25"/>
    <row r="12887" customFormat="1" x14ac:dyDescent="0.25"/>
    <row r="12888" customFormat="1" x14ac:dyDescent="0.25"/>
    <row r="12889" customFormat="1" x14ac:dyDescent="0.25"/>
    <row r="12890" customFormat="1" x14ac:dyDescent="0.25"/>
    <row r="12891" customFormat="1" x14ac:dyDescent="0.25"/>
    <row r="12892" customFormat="1" x14ac:dyDescent="0.25"/>
    <row r="12893" customFormat="1" x14ac:dyDescent="0.25"/>
    <row r="12894" customFormat="1" x14ac:dyDescent="0.25"/>
    <row r="12895" customFormat="1" x14ac:dyDescent="0.25"/>
    <row r="12896" customFormat="1" x14ac:dyDescent="0.25"/>
    <row r="12897" customFormat="1" x14ac:dyDescent="0.25"/>
    <row r="12898" customFormat="1" x14ac:dyDescent="0.25"/>
    <row r="12899" customFormat="1" x14ac:dyDescent="0.25"/>
    <row r="12900" customFormat="1" x14ac:dyDescent="0.25"/>
    <row r="12901" customFormat="1" x14ac:dyDescent="0.25"/>
    <row r="12902" customFormat="1" x14ac:dyDescent="0.25"/>
    <row r="12903" customFormat="1" x14ac:dyDescent="0.25"/>
    <row r="12904" customFormat="1" x14ac:dyDescent="0.25"/>
    <row r="12905" customFormat="1" x14ac:dyDescent="0.25"/>
    <row r="12906" customFormat="1" x14ac:dyDescent="0.25"/>
    <row r="12907" customFormat="1" x14ac:dyDescent="0.25"/>
    <row r="12908" customFormat="1" x14ac:dyDescent="0.25"/>
    <row r="12909" customFormat="1" x14ac:dyDescent="0.25"/>
    <row r="12910" customFormat="1" x14ac:dyDescent="0.25"/>
    <row r="12911" customFormat="1" x14ac:dyDescent="0.25"/>
    <row r="12912" customFormat="1" x14ac:dyDescent="0.25"/>
    <row r="12913" customFormat="1" x14ac:dyDescent="0.25"/>
    <row r="12914" customFormat="1" x14ac:dyDescent="0.25"/>
    <row r="12915" customFormat="1" x14ac:dyDescent="0.25"/>
    <row r="12916" customFormat="1" x14ac:dyDescent="0.25"/>
    <row r="12917" customFormat="1" x14ac:dyDescent="0.25"/>
    <row r="12918" customFormat="1" x14ac:dyDescent="0.25"/>
    <row r="12919" customFormat="1" x14ac:dyDescent="0.25"/>
    <row r="12920" customFormat="1" x14ac:dyDescent="0.25"/>
    <row r="12921" customFormat="1" x14ac:dyDescent="0.25"/>
    <row r="12922" customFormat="1" x14ac:dyDescent="0.25"/>
    <row r="12923" customFormat="1" x14ac:dyDescent="0.25"/>
    <row r="12924" customFormat="1" x14ac:dyDescent="0.25"/>
    <row r="12925" customFormat="1" x14ac:dyDescent="0.25"/>
    <row r="12926" customFormat="1" x14ac:dyDescent="0.25"/>
    <row r="12927" customFormat="1" x14ac:dyDescent="0.25"/>
    <row r="12928" customFormat="1" x14ac:dyDescent="0.25"/>
    <row r="12929" customFormat="1" x14ac:dyDescent="0.25"/>
    <row r="12930" customFormat="1" x14ac:dyDescent="0.25"/>
    <row r="12931" customFormat="1" x14ac:dyDescent="0.25"/>
    <row r="12932" customFormat="1" x14ac:dyDescent="0.25"/>
    <row r="12933" customFormat="1" x14ac:dyDescent="0.25"/>
    <row r="12934" customFormat="1" x14ac:dyDescent="0.25"/>
    <row r="12935" customFormat="1" x14ac:dyDescent="0.25"/>
    <row r="12936" customFormat="1" x14ac:dyDescent="0.25"/>
    <row r="12937" customFormat="1" x14ac:dyDescent="0.25"/>
    <row r="12938" customFormat="1" x14ac:dyDescent="0.25"/>
    <row r="12939" customFormat="1" x14ac:dyDescent="0.25"/>
    <row r="12940" customFormat="1" x14ac:dyDescent="0.25"/>
    <row r="12941" customFormat="1" x14ac:dyDescent="0.25"/>
    <row r="12942" customFormat="1" x14ac:dyDescent="0.25"/>
    <row r="12943" customFormat="1" x14ac:dyDescent="0.25"/>
    <row r="12944" customFormat="1" x14ac:dyDescent="0.25"/>
    <row r="12945" customFormat="1" x14ac:dyDescent="0.25"/>
    <row r="12946" customFormat="1" x14ac:dyDescent="0.25"/>
    <row r="12947" customFormat="1" x14ac:dyDescent="0.25"/>
    <row r="12948" customFormat="1" x14ac:dyDescent="0.25"/>
    <row r="12949" customFormat="1" x14ac:dyDescent="0.25"/>
    <row r="12950" customFormat="1" x14ac:dyDescent="0.25"/>
    <row r="12951" customFormat="1" x14ac:dyDescent="0.25"/>
    <row r="12952" customFormat="1" x14ac:dyDescent="0.25"/>
    <row r="12953" customFormat="1" x14ac:dyDescent="0.25"/>
    <row r="12954" customFormat="1" x14ac:dyDescent="0.25"/>
    <row r="12955" customFormat="1" x14ac:dyDescent="0.25"/>
    <row r="12956" customFormat="1" x14ac:dyDescent="0.25"/>
    <row r="12957" customFormat="1" x14ac:dyDescent="0.25"/>
    <row r="12958" customFormat="1" x14ac:dyDescent="0.25"/>
    <row r="12959" customFormat="1" x14ac:dyDescent="0.25"/>
    <row r="12960" customFormat="1" x14ac:dyDescent="0.25"/>
    <row r="12961" customFormat="1" x14ac:dyDescent="0.25"/>
    <row r="12962" customFormat="1" x14ac:dyDescent="0.25"/>
    <row r="12963" customFormat="1" x14ac:dyDescent="0.25"/>
    <row r="12964" customFormat="1" x14ac:dyDescent="0.25"/>
    <row r="12965" customFormat="1" x14ac:dyDescent="0.25"/>
    <row r="12966" customFormat="1" x14ac:dyDescent="0.25"/>
    <row r="12967" customFormat="1" x14ac:dyDescent="0.25"/>
    <row r="12968" customFormat="1" x14ac:dyDescent="0.25"/>
    <row r="12969" customFormat="1" x14ac:dyDescent="0.25"/>
    <row r="12970" customFormat="1" x14ac:dyDescent="0.25"/>
    <row r="12971" customFormat="1" x14ac:dyDescent="0.25"/>
    <row r="12972" customFormat="1" x14ac:dyDescent="0.25"/>
    <row r="12973" customFormat="1" x14ac:dyDescent="0.25"/>
    <row r="12974" customFormat="1" x14ac:dyDescent="0.25"/>
    <row r="12975" customFormat="1" x14ac:dyDescent="0.25"/>
    <row r="12976" customFormat="1" x14ac:dyDescent="0.25"/>
    <row r="12977" customFormat="1" x14ac:dyDescent="0.25"/>
    <row r="12978" customFormat="1" x14ac:dyDescent="0.25"/>
    <row r="12979" customFormat="1" x14ac:dyDescent="0.25"/>
    <row r="12980" customFormat="1" x14ac:dyDescent="0.25"/>
    <row r="12981" customFormat="1" x14ac:dyDescent="0.25"/>
    <row r="12982" customFormat="1" x14ac:dyDescent="0.25"/>
    <row r="12983" customFormat="1" x14ac:dyDescent="0.25"/>
    <row r="12984" customFormat="1" x14ac:dyDescent="0.25"/>
    <row r="12985" customFormat="1" x14ac:dyDescent="0.25"/>
    <row r="12986" customFormat="1" x14ac:dyDescent="0.25"/>
    <row r="12987" customFormat="1" x14ac:dyDescent="0.25"/>
    <row r="12988" customFormat="1" x14ac:dyDescent="0.25"/>
    <row r="12989" customFormat="1" x14ac:dyDescent="0.25"/>
    <row r="12990" customFormat="1" x14ac:dyDescent="0.25"/>
    <row r="12991" customFormat="1" x14ac:dyDescent="0.25"/>
    <row r="12992" customFormat="1" x14ac:dyDescent="0.25"/>
    <row r="12993" customFormat="1" x14ac:dyDescent="0.25"/>
    <row r="12994" customFormat="1" x14ac:dyDescent="0.25"/>
    <row r="12995" customFormat="1" x14ac:dyDescent="0.25"/>
    <row r="12996" customFormat="1" x14ac:dyDescent="0.25"/>
    <row r="12997" customFormat="1" x14ac:dyDescent="0.25"/>
    <row r="12998" customFormat="1" x14ac:dyDescent="0.25"/>
    <row r="12999" customFormat="1" x14ac:dyDescent="0.25"/>
    <row r="13000" customFormat="1" x14ac:dyDescent="0.25"/>
    <row r="13001" customFormat="1" x14ac:dyDescent="0.25"/>
    <row r="13002" customFormat="1" x14ac:dyDescent="0.25"/>
    <row r="13003" customFormat="1" x14ac:dyDescent="0.25"/>
    <row r="13004" customFormat="1" x14ac:dyDescent="0.25"/>
    <row r="13005" customFormat="1" x14ac:dyDescent="0.25"/>
    <row r="13006" customFormat="1" x14ac:dyDescent="0.25"/>
    <row r="13007" customFormat="1" x14ac:dyDescent="0.25"/>
    <row r="13008" customFormat="1" x14ac:dyDescent="0.25"/>
    <row r="13009" customFormat="1" x14ac:dyDescent="0.25"/>
    <row r="13010" customFormat="1" x14ac:dyDescent="0.25"/>
    <row r="13011" customFormat="1" x14ac:dyDescent="0.25"/>
    <row r="13012" customFormat="1" x14ac:dyDescent="0.25"/>
    <row r="13013" customFormat="1" x14ac:dyDescent="0.25"/>
    <row r="13014" customFormat="1" x14ac:dyDescent="0.25"/>
    <row r="13015" customFormat="1" x14ac:dyDescent="0.25"/>
    <row r="13016" customFormat="1" x14ac:dyDescent="0.25"/>
    <row r="13017" customFormat="1" x14ac:dyDescent="0.25"/>
    <row r="13018" customFormat="1" x14ac:dyDescent="0.25"/>
    <row r="13019" customFormat="1" x14ac:dyDescent="0.25"/>
    <row r="13020" customFormat="1" x14ac:dyDescent="0.25"/>
    <row r="13021" customFormat="1" x14ac:dyDescent="0.25"/>
    <row r="13022" customFormat="1" x14ac:dyDescent="0.25"/>
    <row r="13023" customFormat="1" x14ac:dyDescent="0.25"/>
    <row r="13024" customFormat="1" x14ac:dyDescent="0.25"/>
    <row r="13025" customFormat="1" x14ac:dyDescent="0.25"/>
    <row r="13026" customFormat="1" x14ac:dyDescent="0.25"/>
    <row r="13027" customFormat="1" x14ac:dyDescent="0.25"/>
    <row r="13028" customFormat="1" x14ac:dyDescent="0.25"/>
    <row r="13029" customFormat="1" x14ac:dyDescent="0.25"/>
    <row r="13030" customFormat="1" x14ac:dyDescent="0.25"/>
    <row r="13031" customFormat="1" x14ac:dyDescent="0.25"/>
    <row r="13032" customFormat="1" x14ac:dyDescent="0.25"/>
    <row r="13033" customFormat="1" x14ac:dyDescent="0.25"/>
    <row r="13034" customFormat="1" x14ac:dyDescent="0.25"/>
    <row r="13035" customFormat="1" x14ac:dyDescent="0.25"/>
    <row r="13036" customFormat="1" x14ac:dyDescent="0.25"/>
    <row r="13037" customFormat="1" x14ac:dyDescent="0.25"/>
    <row r="13038" customFormat="1" x14ac:dyDescent="0.25"/>
    <row r="13039" customFormat="1" x14ac:dyDescent="0.25"/>
    <row r="13040" customFormat="1" x14ac:dyDescent="0.25"/>
    <row r="13041" customFormat="1" x14ac:dyDescent="0.25"/>
    <row r="13042" customFormat="1" x14ac:dyDescent="0.25"/>
    <row r="13043" customFormat="1" x14ac:dyDescent="0.25"/>
    <row r="13044" customFormat="1" x14ac:dyDescent="0.25"/>
    <row r="13045" customFormat="1" x14ac:dyDescent="0.25"/>
    <row r="13046" customFormat="1" x14ac:dyDescent="0.25"/>
    <row r="13047" customFormat="1" x14ac:dyDescent="0.25"/>
    <row r="13048" customFormat="1" x14ac:dyDescent="0.25"/>
    <row r="13049" customFormat="1" x14ac:dyDescent="0.25"/>
    <row r="13050" customFormat="1" x14ac:dyDescent="0.25"/>
    <row r="13051" customFormat="1" x14ac:dyDescent="0.25"/>
    <row r="13052" customFormat="1" x14ac:dyDescent="0.25"/>
    <row r="13053" customFormat="1" x14ac:dyDescent="0.25"/>
    <row r="13054" customFormat="1" x14ac:dyDescent="0.25"/>
    <row r="13055" customFormat="1" x14ac:dyDescent="0.25"/>
    <row r="13056" customFormat="1" x14ac:dyDescent="0.25"/>
    <row r="13057" customFormat="1" x14ac:dyDescent="0.25"/>
    <row r="13058" customFormat="1" x14ac:dyDescent="0.25"/>
    <row r="13059" customFormat="1" x14ac:dyDescent="0.25"/>
    <row r="13060" customFormat="1" x14ac:dyDescent="0.25"/>
    <row r="13061" customFormat="1" x14ac:dyDescent="0.25"/>
    <row r="13062" customFormat="1" x14ac:dyDescent="0.25"/>
    <row r="13063" customFormat="1" x14ac:dyDescent="0.25"/>
    <row r="13064" customFormat="1" x14ac:dyDescent="0.25"/>
    <row r="13065" customFormat="1" x14ac:dyDescent="0.25"/>
    <row r="13066" customFormat="1" x14ac:dyDescent="0.25"/>
    <row r="13067" customFormat="1" x14ac:dyDescent="0.25"/>
    <row r="13068" customFormat="1" x14ac:dyDescent="0.25"/>
    <row r="13069" customFormat="1" x14ac:dyDescent="0.25"/>
    <row r="13070" customFormat="1" x14ac:dyDescent="0.25"/>
    <row r="13071" customFormat="1" x14ac:dyDescent="0.25"/>
    <row r="13072" customFormat="1" x14ac:dyDescent="0.25"/>
    <row r="13073" customFormat="1" x14ac:dyDescent="0.25"/>
    <row r="13074" customFormat="1" x14ac:dyDescent="0.25"/>
    <row r="13075" customFormat="1" x14ac:dyDescent="0.25"/>
    <row r="13076" customFormat="1" x14ac:dyDescent="0.25"/>
    <row r="13077" customFormat="1" x14ac:dyDescent="0.25"/>
    <row r="13078" customFormat="1" x14ac:dyDescent="0.25"/>
    <row r="13079" customFormat="1" x14ac:dyDescent="0.25"/>
    <row r="13080" customFormat="1" x14ac:dyDescent="0.25"/>
    <row r="13081" customFormat="1" x14ac:dyDescent="0.25"/>
    <row r="13082" customFormat="1" x14ac:dyDescent="0.25"/>
    <row r="13083" customFormat="1" x14ac:dyDescent="0.25"/>
    <row r="13084" customFormat="1" x14ac:dyDescent="0.25"/>
    <row r="13085" customFormat="1" x14ac:dyDescent="0.25"/>
    <row r="13086" customFormat="1" x14ac:dyDescent="0.25"/>
    <row r="13087" customFormat="1" x14ac:dyDescent="0.25"/>
    <row r="13088" customFormat="1" x14ac:dyDescent="0.25"/>
    <row r="13089" customFormat="1" x14ac:dyDescent="0.25"/>
    <row r="13090" customFormat="1" x14ac:dyDescent="0.25"/>
    <row r="13091" customFormat="1" x14ac:dyDescent="0.25"/>
    <row r="13092" customFormat="1" x14ac:dyDescent="0.25"/>
    <row r="13093" customFormat="1" x14ac:dyDescent="0.25"/>
    <row r="13094" customFormat="1" x14ac:dyDescent="0.25"/>
    <row r="13095" customFormat="1" x14ac:dyDescent="0.25"/>
    <row r="13096" customFormat="1" x14ac:dyDescent="0.25"/>
    <row r="13097" customFormat="1" x14ac:dyDescent="0.25"/>
    <row r="13098" customFormat="1" x14ac:dyDescent="0.25"/>
    <row r="13099" customFormat="1" x14ac:dyDescent="0.25"/>
    <row r="13100" customFormat="1" x14ac:dyDescent="0.25"/>
    <row r="13101" customFormat="1" x14ac:dyDescent="0.25"/>
    <row r="13102" customFormat="1" x14ac:dyDescent="0.25"/>
    <row r="13103" customFormat="1" x14ac:dyDescent="0.25"/>
    <row r="13104" customFormat="1" x14ac:dyDescent="0.25"/>
    <row r="13105" customFormat="1" x14ac:dyDescent="0.25"/>
    <row r="13106" customFormat="1" x14ac:dyDescent="0.25"/>
    <row r="13107" customFormat="1" x14ac:dyDescent="0.25"/>
    <row r="13108" customFormat="1" x14ac:dyDescent="0.25"/>
    <row r="13109" customFormat="1" x14ac:dyDescent="0.25"/>
    <row r="13110" customFormat="1" x14ac:dyDescent="0.25"/>
    <row r="13111" customFormat="1" x14ac:dyDescent="0.25"/>
    <row r="13112" customFormat="1" x14ac:dyDescent="0.25"/>
    <row r="13113" customFormat="1" x14ac:dyDescent="0.25"/>
    <row r="13114" customFormat="1" x14ac:dyDescent="0.25"/>
    <row r="13115" customFormat="1" x14ac:dyDescent="0.25"/>
    <row r="13116" customFormat="1" x14ac:dyDescent="0.25"/>
    <row r="13117" customFormat="1" x14ac:dyDescent="0.25"/>
    <row r="13118" customFormat="1" x14ac:dyDescent="0.25"/>
    <row r="13119" customFormat="1" x14ac:dyDescent="0.25"/>
    <row r="13120" customFormat="1" x14ac:dyDescent="0.25"/>
    <row r="13121" customFormat="1" x14ac:dyDescent="0.25"/>
    <row r="13122" customFormat="1" x14ac:dyDescent="0.25"/>
    <row r="13123" customFormat="1" x14ac:dyDescent="0.25"/>
    <row r="13124" customFormat="1" x14ac:dyDescent="0.25"/>
    <row r="13125" customFormat="1" x14ac:dyDescent="0.25"/>
    <row r="13126" customFormat="1" x14ac:dyDescent="0.25"/>
    <row r="13127" customFormat="1" x14ac:dyDescent="0.25"/>
    <row r="13128" customFormat="1" x14ac:dyDescent="0.25"/>
    <row r="13129" customFormat="1" x14ac:dyDescent="0.25"/>
    <row r="13130" customFormat="1" x14ac:dyDescent="0.25"/>
    <row r="13131" customFormat="1" x14ac:dyDescent="0.25"/>
    <row r="13132" customFormat="1" x14ac:dyDescent="0.25"/>
    <row r="13133" customFormat="1" x14ac:dyDescent="0.25"/>
    <row r="13134" customFormat="1" x14ac:dyDescent="0.25"/>
    <row r="13135" customFormat="1" x14ac:dyDescent="0.25"/>
    <row r="13136" customFormat="1" x14ac:dyDescent="0.25"/>
    <row r="13137" customFormat="1" x14ac:dyDescent="0.25"/>
    <row r="13138" customFormat="1" x14ac:dyDescent="0.25"/>
    <row r="13139" customFormat="1" x14ac:dyDescent="0.25"/>
    <row r="13140" customFormat="1" x14ac:dyDescent="0.25"/>
    <row r="13141" customFormat="1" x14ac:dyDescent="0.25"/>
    <row r="13142" customFormat="1" x14ac:dyDescent="0.25"/>
    <row r="13143" customFormat="1" x14ac:dyDescent="0.25"/>
    <row r="13144" customFormat="1" x14ac:dyDescent="0.25"/>
    <row r="13145" customFormat="1" x14ac:dyDescent="0.25"/>
    <row r="13146" customFormat="1" x14ac:dyDescent="0.25"/>
    <row r="13147" customFormat="1" x14ac:dyDescent="0.25"/>
    <row r="13148" customFormat="1" x14ac:dyDescent="0.25"/>
    <row r="13149" customFormat="1" x14ac:dyDescent="0.25"/>
    <row r="13150" customFormat="1" x14ac:dyDescent="0.25"/>
    <row r="13151" customFormat="1" x14ac:dyDescent="0.25"/>
    <row r="13152" customFormat="1" x14ac:dyDescent="0.25"/>
    <row r="13153" customFormat="1" x14ac:dyDescent="0.25"/>
    <row r="13154" customFormat="1" x14ac:dyDescent="0.25"/>
    <row r="13155" customFormat="1" x14ac:dyDescent="0.25"/>
    <row r="13156" customFormat="1" x14ac:dyDescent="0.25"/>
    <row r="13157" customFormat="1" x14ac:dyDescent="0.25"/>
    <row r="13158" customFormat="1" x14ac:dyDescent="0.25"/>
    <row r="13159" customFormat="1" x14ac:dyDescent="0.25"/>
    <row r="13160" customFormat="1" x14ac:dyDescent="0.25"/>
    <row r="13161" customFormat="1" x14ac:dyDescent="0.25"/>
    <row r="13162" customFormat="1" x14ac:dyDescent="0.25"/>
    <row r="13163" customFormat="1" x14ac:dyDescent="0.25"/>
    <row r="13164" customFormat="1" x14ac:dyDescent="0.25"/>
    <row r="13165" customFormat="1" x14ac:dyDescent="0.25"/>
    <row r="13166" customFormat="1" x14ac:dyDescent="0.25"/>
    <row r="13167" customFormat="1" x14ac:dyDescent="0.25"/>
    <row r="13168" customFormat="1" x14ac:dyDescent="0.25"/>
    <row r="13169" customFormat="1" x14ac:dyDescent="0.25"/>
    <row r="13170" customFormat="1" x14ac:dyDescent="0.25"/>
    <row r="13171" customFormat="1" x14ac:dyDescent="0.25"/>
    <row r="13172" customFormat="1" x14ac:dyDescent="0.25"/>
    <row r="13173" customFormat="1" x14ac:dyDescent="0.25"/>
    <row r="13174" customFormat="1" x14ac:dyDescent="0.25"/>
    <row r="13175" customFormat="1" x14ac:dyDescent="0.25"/>
    <row r="13176" customFormat="1" x14ac:dyDescent="0.25"/>
    <row r="13177" customFormat="1" x14ac:dyDescent="0.25"/>
    <row r="13178" customFormat="1" x14ac:dyDescent="0.25"/>
    <row r="13179" customFormat="1" x14ac:dyDescent="0.25"/>
    <row r="13180" customFormat="1" x14ac:dyDescent="0.25"/>
    <row r="13181" customFormat="1" x14ac:dyDescent="0.25"/>
    <row r="13182" customFormat="1" x14ac:dyDescent="0.25"/>
    <row r="13183" customFormat="1" x14ac:dyDescent="0.25"/>
    <row r="13184" customFormat="1" x14ac:dyDescent="0.25"/>
    <row r="13185" customFormat="1" x14ac:dyDescent="0.25"/>
    <row r="13186" customFormat="1" x14ac:dyDescent="0.25"/>
    <row r="13187" customFormat="1" x14ac:dyDescent="0.25"/>
    <row r="13188" customFormat="1" x14ac:dyDescent="0.25"/>
    <row r="13189" customFormat="1" x14ac:dyDescent="0.25"/>
    <row r="13190" customFormat="1" x14ac:dyDescent="0.25"/>
    <row r="13191" customFormat="1" x14ac:dyDescent="0.25"/>
    <row r="13192" customFormat="1" x14ac:dyDescent="0.25"/>
    <row r="13193" customFormat="1" x14ac:dyDescent="0.25"/>
    <row r="13194" customFormat="1" x14ac:dyDescent="0.25"/>
    <row r="13195" customFormat="1" x14ac:dyDescent="0.25"/>
    <row r="13196" customFormat="1" x14ac:dyDescent="0.25"/>
    <row r="13197" customFormat="1" x14ac:dyDescent="0.25"/>
    <row r="13198" customFormat="1" x14ac:dyDescent="0.25"/>
    <row r="13199" customFormat="1" x14ac:dyDescent="0.25"/>
    <row r="13200" customFormat="1" x14ac:dyDescent="0.25"/>
    <row r="13201" customFormat="1" x14ac:dyDescent="0.25"/>
    <row r="13202" customFormat="1" x14ac:dyDescent="0.25"/>
    <row r="13203" customFormat="1" x14ac:dyDescent="0.25"/>
    <row r="13204" customFormat="1" x14ac:dyDescent="0.25"/>
    <row r="13205" customFormat="1" x14ac:dyDescent="0.25"/>
    <row r="13206" customFormat="1" x14ac:dyDescent="0.25"/>
    <row r="13207" customFormat="1" x14ac:dyDescent="0.25"/>
    <row r="13208" customFormat="1" x14ac:dyDescent="0.25"/>
    <row r="13209" customFormat="1" x14ac:dyDescent="0.25"/>
    <row r="13210" customFormat="1" x14ac:dyDescent="0.25"/>
    <row r="13211" customFormat="1" x14ac:dyDescent="0.25"/>
    <row r="13212" customFormat="1" x14ac:dyDescent="0.25"/>
    <row r="13213" customFormat="1" x14ac:dyDescent="0.25"/>
    <row r="13214" customFormat="1" x14ac:dyDescent="0.25"/>
    <row r="13215" customFormat="1" x14ac:dyDescent="0.25"/>
    <row r="13216" customFormat="1" x14ac:dyDescent="0.25"/>
    <row r="13217" customFormat="1" x14ac:dyDescent="0.25"/>
    <row r="13218" customFormat="1" x14ac:dyDescent="0.25"/>
    <row r="13219" customFormat="1" x14ac:dyDescent="0.25"/>
    <row r="13220" customFormat="1" x14ac:dyDescent="0.25"/>
    <row r="13221" customFormat="1" x14ac:dyDescent="0.25"/>
    <row r="13222" customFormat="1" x14ac:dyDescent="0.25"/>
    <row r="13223" customFormat="1" x14ac:dyDescent="0.25"/>
    <row r="13224" customFormat="1" x14ac:dyDescent="0.25"/>
    <row r="13225" customFormat="1" x14ac:dyDescent="0.25"/>
    <row r="13226" customFormat="1" x14ac:dyDescent="0.25"/>
    <row r="13227" customFormat="1" x14ac:dyDescent="0.25"/>
    <row r="13228" customFormat="1" x14ac:dyDescent="0.25"/>
    <row r="13229" customFormat="1" x14ac:dyDescent="0.25"/>
    <row r="13230" customFormat="1" x14ac:dyDescent="0.25"/>
    <row r="13231" customFormat="1" x14ac:dyDescent="0.25"/>
    <row r="13232" customFormat="1" x14ac:dyDescent="0.25"/>
    <row r="13233" customFormat="1" x14ac:dyDescent="0.25"/>
    <row r="13234" customFormat="1" x14ac:dyDescent="0.25"/>
    <row r="13235" customFormat="1" x14ac:dyDescent="0.25"/>
    <row r="13236" customFormat="1" x14ac:dyDescent="0.25"/>
    <row r="13237" customFormat="1" x14ac:dyDescent="0.25"/>
    <row r="13238" customFormat="1" x14ac:dyDescent="0.25"/>
    <row r="13239" customFormat="1" x14ac:dyDescent="0.25"/>
    <row r="13240" customFormat="1" x14ac:dyDescent="0.25"/>
    <row r="13241" customFormat="1" x14ac:dyDescent="0.25"/>
    <row r="13242" customFormat="1" x14ac:dyDescent="0.25"/>
    <row r="13243" customFormat="1" x14ac:dyDescent="0.25"/>
    <row r="13244" customFormat="1" x14ac:dyDescent="0.25"/>
    <row r="13245" customFormat="1" x14ac:dyDescent="0.25"/>
    <row r="13246" customFormat="1" x14ac:dyDescent="0.25"/>
    <row r="13247" customFormat="1" x14ac:dyDescent="0.25"/>
    <row r="13248" customFormat="1" x14ac:dyDescent="0.25"/>
    <row r="13249" customFormat="1" x14ac:dyDescent="0.25"/>
    <row r="13250" customFormat="1" x14ac:dyDescent="0.25"/>
    <row r="13251" customFormat="1" x14ac:dyDescent="0.25"/>
    <row r="13252" customFormat="1" x14ac:dyDescent="0.25"/>
    <row r="13253" customFormat="1" x14ac:dyDescent="0.25"/>
    <row r="13254" customFormat="1" x14ac:dyDescent="0.25"/>
    <row r="13255" customFormat="1" x14ac:dyDescent="0.25"/>
    <row r="13256" customFormat="1" x14ac:dyDescent="0.25"/>
    <row r="13257" customFormat="1" x14ac:dyDescent="0.25"/>
    <row r="13258" customFormat="1" x14ac:dyDescent="0.25"/>
    <row r="13259" customFormat="1" x14ac:dyDescent="0.25"/>
    <row r="13260" customFormat="1" x14ac:dyDescent="0.25"/>
    <row r="13261" customFormat="1" x14ac:dyDescent="0.25"/>
    <row r="13262" customFormat="1" x14ac:dyDescent="0.25"/>
    <row r="13263" customFormat="1" x14ac:dyDescent="0.25"/>
    <row r="13264" customFormat="1" x14ac:dyDescent="0.25"/>
    <row r="13265" customFormat="1" x14ac:dyDescent="0.25"/>
    <row r="13266" customFormat="1" x14ac:dyDescent="0.25"/>
    <row r="13267" customFormat="1" x14ac:dyDescent="0.25"/>
    <row r="13268" customFormat="1" x14ac:dyDescent="0.25"/>
    <row r="13269" customFormat="1" x14ac:dyDescent="0.25"/>
    <row r="13270" customFormat="1" x14ac:dyDescent="0.25"/>
    <row r="13271" customFormat="1" x14ac:dyDescent="0.25"/>
    <row r="13272" customFormat="1" x14ac:dyDescent="0.25"/>
    <row r="13273" customFormat="1" x14ac:dyDescent="0.25"/>
    <row r="13274" customFormat="1" x14ac:dyDescent="0.25"/>
    <row r="13275" customFormat="1" x14ac:dyDescent="0.25"/>
    <row r="13276" customFormat="1" x14ac:dyDescent="0.25"/>
    <row r="13277" customFormat="1" x14ac:dyDescent="0.25"/>
    <row r="13278" customFormat="1" x14ac:dyDescent="0.25"/>
    <row r="13279" customFormat="1" x14ac:dyDescent="0.25"/>
    <row r="13280" customFormat="1" x14ac:dyDescent="0.25"/>
    <row r="13281" customFormat="1" x14ac:dyDescent="0.25"/>
    <row r="13282" customFormat="1" x14ac:dyDescent="0.25"/>
    <row r="13283" customFormat="1" x14ac:dyDescent="0.25"/>
    <row r="13284" customFormat="1" x14ac:dyDescent="0.25"/>
    <row r="13285" customFormat="1" x14ac:dyDescent="0.25"/>
    <row r="13286" customFormat="1" x14ac:dyDescent="0.25"/>
    <row r="13287" customFormat="1" x14ac:dyDescent="0.25"/>
    <row r="13288" customFormat="1" x14ac:dyDescent="0.25"/>
    <row r="13289" customFormat="1" x14ac:dyDescent="0.25"/>
    <row r="13290" customFormat="1" x14ac:dyDescent="0.25"/>
    <row r="13291" customFormat="1" x14ac:dyDescent="0.25"/>
    <row r="13292" customFormat="1" x14ac:dyDescent="0.25"/>
    <row r="13293" customFormat="1" x14ac:dyDescent="0.25"/>
    <row r="13294" customFormat="1" x14ac:dyDescent="0.25"/>
    <row r="13295" customFormat="1" x14ac:dyDescent="0.25"/>
    <row r="13296" customFormat="1" x14ac:dyDescent="0.25"/>
    <row r="13297" customFormat="1" x14ac:dyDescent="0.25"/>
    <row r="13298" customFormat="1" x14ac:dyDescent="0.25"/>
    <row r="13299" customFormat="1" x14ac:dyDescent="0.25"/>
    <row r="13300" customFormat="1" x14ac:dyDescent="0.25"/>
    <row r="13301" customFormat="1" x14ac:dyDescent="0.25"/>
    <row r="13302" customFormat="1" x14ac:dyDescent="0.25"/>
    <row r="13303" customFormat="1" x14ac:dyDescent="0.25"/>
    <row r="13304" customFormat="1" x14ac:dyDescent="0.25"/>
    <row r="13305" customFormat="1" x14ac:dyDescent="0.25"/>
    <row r="13306" customFormat="1" x14ac:dyDescent="0.25"/>
    <row r="13307" customFormat="1" x14ac:dyDescent="0.25"/>
    <row r="13308" customFormat="1" x14ac:dyDescent="0.25"/>
    <row r="13309" customFormat="1" x14ac:dyDescent="0.25"/>
    <row r="13310" customFormat="1" x14ac:dyDescent="0.25"/>
    <row r="13311" customFormat="1" x14ac:dyDescent="0.25"/>
    <row r="13312" customFormat="1" x14ac:dyDescent="0.25"/>
    <row r="13313" customFormat="1" x14ac:dyDescent="0.25"/>
    <row r="13314" customFormat="1" x14ac:dyDescent="0.25"/>
    <row r="13315" customFormat="1" x14ac:dyDescent="0.25"/>
    <row r="13316" customFormat="1" x14ac:dyDescent="0.25"/>
    <row r="13317" customFormat="1" x14ac:dyDescent="0.25"/>
    <row r="13318" customFormat="1" x14ac:dyDescent="0.25"/>
    <row r="13319" customFormat="1" x14ac:dyDescent="0.25"/>
    <row r="13320" customFormat="1" x14ac:dyDescent="0.25"/>
    <row r="13321" customFormat="1" x14ac:dyDescent="0.25"/>
    <row r="13322" customFormat="1" x14ac:dyDescent="0.25"/>
    <row r="13323" customFormat="1" x14ac:dyDescent="0.25"/>
    <row r="13324" customFormat="1" x14ac:dyDescent="0.25"/>
    <row r="13325" customFormat="1" x14ac:dyDescent="0.25"/>
    <row r="13326" customFormat="1" x14ac:dyDescent="0.25"/>
    <row r="13327" customFormat="1" x14ac:dyDescent="0.25"/>
    <row r="13328" customFormat="1" x14ac:dyDescent="0.25"/>
    <row r="13329" customFormat="1" x14ac:dyDescent="0.25"/>
    <row r="13330" customFormat="1" x14ac:dyDescent="0.25"/>
    <row r="13331" customFormat="1" x14ac:dyDescent="0.25"/>
    <row r="13332" customFormat="1" x14ac:dyDescent="0.25"/>
    <row r="13333" customFormat="1" x14ac:dyDescent="0.25"/>
    <row r="13334" customFormat="1" x14ac:dyDescent="0.25"/>
    <row r="13335" customFormat="1" x14ac:dyDescent="0.25"/>
    <row r="13336" customFormat="1" x14ac:dyDescent="0.25"/>
    <row r="13337" customFormat="1" x14ac:dyDescent="0.25"/>
    <row r="13338" customFormat="1" x14ac:dyDescent="0.25"/>
    <row r="13339" customFormat="1" x14ac:dyDescent="0.25"/>
    <row r="13340" customFormat="1" x14ac:dyDescent="0.25"/>
    <row r="13341" customFormat="1" x14ac:dyDescent="0.25"/>
    <row r="13342" customFormat="1" x14ac:dyDescent="0.25"/>
    <row r="13343" customFormat="1" x14ac:dyDescent="0.25"/>
    <row r="13344" customFormat="1" x14ac:dyDescent="0.25"/>
    <row r="13345" customFormat="1" x14ac:dyDescent="0.25"/>
    <row r="13346" customFormat="1" x14ac:dyDescent="0.25"/>
    <row r="13347" customFormat="1" x14ac:dyDescent="0.25"/>
    <row r="13348" customFormat="1" x14ac:dyDescent="0.25"/>
    <row r="13349" customFormat="1" x14ac:dyDescent="0.25"/>
    <row r="13350" customFormat="1" x14ac:dyDescent="0.25"/>
    <row r="13351" customFormat="1" x14ac:dyDescent="0.25"/>
    <row r="13352" customFormat="1" x14ac:dyDescent="0.25"/>
    <row r="13353" customFormat="1" x14ac:dyDescent="0.25"/>
    <row r="13354" customFormat="1" x14ac:dyDescent="0.25"/>
    <row r="13355" customFormat="1" x14ac:dyDescent="0.25"/>
    <row r="13356" customFormat="1" x14ac:dyDescent="0.25"/>
    <row r="13357" customFormat="1" x14ac:dyDescent="0.25"/>
    <row r="13358" customFormat="1" x14ac:dyDescent="0.25"/>
    <row r="13359" customFormat="1" x14ac:dyDescent="0.25"/>
    <row r="13360" customFormat="1" x14ac:dyDescent="0.25"/>
    <row r="13361" customFormat="1" x14ac:dyDescent="0.25"/>
    <row r="13362" customFormat="1" x14ac:dyDescent="0.25"/>
    <row r="13363" customFormat="1" x14ac:dyDescent="0.25"/>
    <row r="13364" customFormat="1" x14ac:dyDescent="0.25"/>
    <row r="13365" customFormat="1" x14ac:dyDescent="0.25"/>
    <row r="13366" customFormat="1" x14ac:dyDescent="0.25"/>
    <row r="13367" customFormat="1" x14ac:dyDescent="0.25"/>
    <row r="13368" customFormat="1" x14ac:dyDescent="0.25"/>
    <row r="13369" customFormat="1" x14ac:dyDescent="0.25"/>
    <row r="13370" customFormat="1" x14ac:dyDescent="0.25"/>
    <row r="13371" customFormat="1" x14ac:dyDescent="0.25"/>
    <row r="13372" customFormat="1" x14ac:dyDescent="0.25"/>
    <row r="13373" customFormat="1" x14ac:dyDescent="0.25"/>
    <row r="13374" customFormat="1" x14ac:dyDescent="0.25"/>
    <row r="13375" customFormat="1" x14ac:dyDescent="0.25"/>
    <row r="13376" customFormat="1" x14ac:dyDescent="0.25"/>
    <row r="13377" customFormat="1" x14ac:dyDescent="0.25"/>
    <row r="13378" customFormat="1" x14ac:dyDescent="0.25"/>
    <row r="13379" customFormat="1" x14ac:dyDescent="0.25"/>
    <row r="13380" customFormat="1" x14ac:dyDescent="0.25"/>
    <row r="13381" customFormat="1" x14ac:dyDescent="0.25"/>
    <row r="13382" customFormat="1" x14ac:dyDescent="0.25"/>
    <row r="13383" customFormat="1" x14ac:dyDescent="0.25"/>
    <row r="13384" customFormat="1" x14ac:dyDescent="0.25"/>
    <row r="13385" customFormat="1" x14ac:dyDescent="0.25"/>
    <row r="13386" customFormat="1" x14ac:dyDescent="0.25"/>
    <row r="13387" customFormat="1" x14ac:dyDescent="0.25"/>
    <row r="13388" customFormat="1" x14ac:dyDescent="0.25"/>
    <row r="13389" customFormat="1" x14ac:dyDescent="0.25"/>
    <row r="13390" customFormat="1" x14ac:dyDescent="0.25"/>
    <row r="13391" customFormat="1" x14ac:dyDescent="0.25"/>
    <row r="13392" customFormat="1" x14ac:dyDescent="0.25"/>
    <row r="13393" customFormat="1" x14ac:dyDescent="0.25"/>
    <row r="13394" customFormat="1" x14ac:dyDescent="0.25"/>
    <row r="13395" customFormat="1" x14ac:dyDescent="0.25"/>
    <row r="13396" customFormat="1" x14ac:dyDescent="0.25"/>
    <row r="13397" customFormat="1" x14ac:dyDescent="0.25"/>
    <row r="13398" customFormat="1" x14ac:dyDescent="0.25"/>
    <row r="13399" customFormat="1" x14ac:dyDescent="0.25"/>
    <row r="13400" customFormat="1" x14ac:dyDescent="0.25"/>
    <row r="13401" customFormat="1" x14ac:dyDescent="0.25"/>
    <row r="13402" customFormat="1" x14ac:dyDescent="0.25"/>
    <row r="13403" customFormat="1" x14ac:dyDescent="0.25"/>
    <row r="13404" customFormat="1" x14ac:dyDescent="0.25"/>
    <row r="13405" customFormat="1" x14ac:dyDescent="0.25"/>
    <row r="13406" customFormat="1" x14ac:dyDescent="0.25"/>
    <row r="13407" customFormat="1" x14ac:dyDescent="0.25"/>
    <row r="13408" customFormat="1" x14ac:dyDescent="0.25"/>
    <row r="13409" customFormat="1" x14ac:dyDescent="0.25"/>
    <row r="13410" customFormat="1" x14ac:dyDescent="0.25"/>
    <row r="13411" customFormat="1" x14ac:dyDescent="0.25"/>
    <row r="13412" customFormat="1" x14ac:dyDescent="0.25"/>
    <row r="13413" customFormat="1" x14ac:dyDescent="0.25"/>
    <row r="13414" customFormat="1" x14ac:dyDescent="0.25"/>
    <row r="13415" customFormat="1" x14ac:dyDescent="0.25"/>
    <row r="13416" customFormat="1" x14ac:dyDescent="0.25"/>
    <row r="13417" customFormat="1" x14ac:dyDescent="0.25"/>
    <row r="13418" customFormat="1" x14ac:dyDescent="0.25"/>
    <row r="13419" customFormat="1" x14ac:dyDescent="0.25"/>
    <row r="13420" customFormat="1" x14ac:dyDescent="0.25"/>
    <row r="13421" customFormat="1" x14ac:dyDescent="0.25"/>
    <row r="13422" customFormat="1" x14ac:dyDescent="0.25"/>
    <row r="13423" customFormat="1" x14ac:dyDescent="0.25"/>
    <row r="13424" customFormat="1" x14ac:dyDescent="0.25"/>
    <row r="13425" customFormat="1" x14ac:dyDescent="0.25"/>
    <row r="13426" customFormat="1" x14ac:dyDescent="0.25"/>
    <row r="13427" customFormat="1" x14ac:dyDescent="0.25"/>
    <row r="13428" customFormat="1" x14ac:dyDescent="0.25"/>
    <row r="13429" customFormat="1" x14ac:dyDescent="0.25"/>
    <row r="13430" customFormat="1" x14ac:dyDescent="0.25"/>
    <row r="13431" customFormat="1" x14ac:dyDescent="0.25"/>
    <row r="13432" customFormat="1" x14ac:dyDescent="0.25"/>
    <row r="13433" customFormat="1" x14ac:dyDescent="0.25"/>
    <row r="13434" customFormat="1" x14ac:dyDescent="0.25"/>
    <row r="13435" customFormat="1" x14ac:dyDescent="0.25"/>
    <row r="13436" customFormat="1" x14ac:dyDescent="0.25"/>
    <row r="13437" customFormat="1" x14ac:dyDescent="0.25"/>
    <row r="13438" customFormat="1" x14ac:dyDescent="0.25"/>
    <row r="13439" customFormat="1" x14ac:dyDescent="0.25"/>
    <row r="13440" customFormat="1" x14ac:dyDescent="0.25"/>
    <row r="13441" customFormat="1" x14ac:dyDescent="0.25"/>
    <row r="13442" customFormat="1" x14ac:dyDescent="0.25"/>
    <row r="13443" customFormat="1" x14ac:dyDescent="0.25"/>
    <row r="13444" customFormat="1" x14ac:dyDescent="0.25"/>
    <row r="13445" customFormat="1" x14ac:dyDescent="0.25"/>
    <row r="13446" customFormat="1" x14ac:dyDescent="0.25"/>
    <row r="13447" customFormat="1" x14ac:dyDescent="0.25"/>
    <row r="13448" customFormat="1" x14ac:dyDescent="0.25"/>
    <row r="13449" customFormat="1" x14ac:dyDescent="0.25"/>
    <row r="13450" customFormat="1" x14ac:dyDescent="0.25"/>
    <row r="13451" customFormat="1" x14ac:dyDescent="0.25"/>
    <row r="13452" customFormat="1" x14ac:dyDescent="0.25"/>
    <row r="13453" customFormat="1" x14ac:dyDescent="0.25"/>
    <row r="13454" customFormat="1" x14ac:dyDescent="0.25"/>
    <row r="13455" customFormat="1" x14ac:dyDescent="0.25"/>
    <row r="13456" customFormat="1" x14ac:dyDescent="0.25"/>
    <row r="13457" customFormat="1" x14ac:dyDescent="0.25"/>
    <row r="13458" customFormat="1" x14ac:dyDescent="0.25"/>
    <row r="13459" customFormat="1" x14ac:dyDescent="0.25"/>
    <row r="13460" customFormat="1" x14ac:dyDescent="0.25"/>
    <row r="13461" customFormat="1" x14ac:dyDescent="0.25"/>
    <row r="13462" customFormat="1" x14ac:dyDescent="0.25"/>
    <row r="13463" customFormat="1" x14ac:dyDescent="0.25"/>
    <row r="13464" customFormat="1" x14ac:dyDescent="0.25"/>
    <row r="13465" customFormat="1" x14ac:dyDescent="0.25"/>
    <row r="13466" customFormat="1" x14ac:dyDescent="0.25"/>
    <row r="13467" customFormat="1" x14ac:dyDescent="0.25"/>
    <row r="13468" customFormat="1" x14ac:dyDescent="0.25"/>
    <row r="13469" customFormat="1" x14ac:dyDescent="0.25"/>
    <row r="13470" customFormat="1" x14ac:dyDescent="0.25"/>
    <row r="13471" customFormat="1" x14ac:dyDescent="0.25"/>
    <row r="13472" customFormat="1" x14ac:dyDescent="0.25"/>
    <row r="13473" customFormat="1" x14ac:dyDescent="0.25"/>
    <row r="13474" customFormat="1" x14ac:dyDescent="0.25"/>
    <row r="13475" customFormat="1" x14ac:dyDescent="0.25"/>
    <row r="13476" customFormat="1" x14ac:dyDescent="0.25"/>
    <row r="13477" customFormat="1" x14ac:dyDescent="0.25"/>
    <row r="13478" customFormat="1" x14ac:dyDescent="0.25"/>
    <row r="13479" customFormat="1" x14ac:dyDescent="0.25"/>
    <row r="13480" customFormat="1" x14ac:dyDescent="0.25"/>
    <row r="13481" customFormat="1" x14ac:dyDescent="0.25"/>
    <row r="13482" customFormat="1" x14ac:dyDescent="0.25"/>
    <row r="13483" customFormat="1" x14ac:dyDescent="0.25"/>
    <row r="13484" customFormat="1" x14ac:dyDescent="0.25"/>
    <row r="13485" customFormat="1" x14ac:dyDescent="0.25"/>
    <row r="13486" customFormat="1" x14ac:dyDescent="0.25"/>
    <row r="13487" customFormat="1" x14ac:dyDescent="0.25"/>
    <row r="13488" customFormat="1" x14ac:dyDescent="0.25"/>
    <row r="13489" customFormat="1" x14ac:dyDescent="0.25"/>
    <row r="13490" customFormat="1" x14ac:dyDescent="0.25"/>
    <row r="13491" customFormat="1" x14ac:dyDescent="0.25"/>
    <row r="13492" customFormat="1" x14ac:dyDescent="0.25"/>
    <row r="13493" customFormat="1" x14ac:dyDescent="0.25"/>
    <row r="13494" customFormat="1" x14ac:dyDescent="0.25"/>
    <row r="13495" customFormat="1" x14ac:dyDescent="0.25"/>
    <row r="13496" customFormat="1" x14ac:dyDescent="0.25"/>
    <row r="13497" customFormat="1" x14ac:dyDescent="0.25"/>
    <row r="13498" customFormat="1" x14ac:dyDescent="0.25"/>
    <row r="13499" customFormat="1" x14ac:dyDescent="0.25"/>
    <row r="13500" customFormat="1" x14ac:dyDescent="0.25"/>
    <row r="13501" customFormat="1" x14ac:dyDescent="0.25"/>
    <row r="13502" customFormat="1" x14ac:dyDescent="0.25"/>
    <row r="13503" customFormat="1" x14ac:dyDescent="0.25"/>
    <row r="13504" customFormat="1" x14ac:dyDescent="0.25"/>
    <row r="13505" customFormat="1" x14ac:dyDescent="0.25"/>
    <row r="13506" customFormat="1" x14ac:dyDescent="0.25"/>
    <row r="13507" customFormat="1" x14ac:dyDescent="0.25"/>
    <row r="13508" customFormat="1" x14ac:dyDescent="0.25"/>
    <row r="13509" customFormat="1" x14ac:dyDescent="0.25"/>
    <row r="13510" customFormat="1" x14ac:dyDescent="0.25"/>
    <row r="13511" customFormat="1" x14ac:dyDescent="0.25"/>
    <row r="13512" customFormat="1" x14ac:dyDescent="0.25"/>
    <row r="13513" customFormat="1" x14ac:dyDescent="0.25"/>
    <row r="13514" customFormat="1" x14ac:dyDescent="0.25"/>
    <row r="13515" customFormat="1" x14ac:dyDescent="0.25"/>
    <row r="13516" customFormat="1" x14ac:dyDescent="0.25"/>
    <row r="13517" customFormat="1" x14ac:dyDescent="0.25"/>
    <row r="13518" customFormat="1" x14ac:dyDescent="0.25"/>
    <row r="13519" customFormat="1" x14ac:dyDescent="0.25"/>
    <row r="13520" customFormat="1" x14ac:dyDescent="0.25"/>
    <row r="13521" customFormat="1" x14ac:dyDescent="0.25"/>
    <row r="13522" customFormat="1" x14ac:dyDescent="0.25"/>
    <row r="13523" customFormat="1" x14ac:dyDescent="0.25"/>
    <row r="13524" customFormat="1" x14ac:dyDescent="0.25"/>
    <row r="13525" customFormat="1" x14ac:dyDescent="0.25"/>
    <row r="13526" customFormat="1" x14ac:dyDescent="0.25"/>
    <row r="13527" customFormat="1" x14ac:dyDescent="0.25"/>
    <row r="13528" customFormat="1" x14ac:dyDescent="0.25"/>
    <row r="13529" customFormat="1" x14ac:dyDescent="0.25"/>
    <row r="13530" customFormat="1" x14ac:dyDescent="0.25"/>
    <row r="13531" customFormat="1" x14ac:dyDescent="0.25"/>
    <row r="13532" customFormat="1" x14ac:dyDescent="0.25"/>
    <row r="13533" customFormat="1" x14ac:dyDescent="0.25"/>
    <row r="13534" customFormat="1" x14ac:dyDescent="0.25"/>
    <row r="13535" customFormat="1" x14ac:dyDescent="0.25"/>
    <row r="13536" customFormat="1" x14ac:dyDescent="0.25"/>
    <row r="13537" customFormat="1" x14ac:dyDescent="0.25"/>
    <row r="13538" customFormat="1" x14ac:dyDescent="0.25"/>
    <row r="13539" customFormat="1" x14ac:dyDescent="0.25"/>
    <row r="13540" customFormat="1" x14ac:dyDescent="0.25"/>
    <row r="13541" customFormat="1" x14ac:dyDescent="0.25"/>
    <row r="13542" customFormat="1" x14ac:dyDescent="0.25"/>
    <row r="13543" customFormat="1" x14ac:dyDescent="0.25"/>
    <row r="13544" customFormat="1" x14ac:dyDescent="0.25"/>
    <row r="13545" customFormat="1" x14ac:dyDescent="0.25"/>
    <row r="13546" customFormat="1" x14ac:dyDescent="0.25"/>
    <row r="13547" customFormat="1" x14ac:dyDescent="0.25"/>
    <row r="13548" customFormat="1" x14ac:dyDescent="0.25"/>
    <row r="13549" customFormat="1" x14ac:dyDescent="0.25"/>
    <row r="13550" customFormat="1" x14ac:dyDescent="0.25"/>
    <row r="13551" customFormat="1" x14ac:dyDescent="0.25"/>
    <row r="13552" customFormat="1" x14ac:dyDescent="0.25"/>
    <row r="13553" customFormat="1" x14ac:dyDescent="0.25"/>
    <row r="13554" customFormat="1" x14ac:dyDescent="0.25"/>
    <row r="13555" customFormat="1" x14ac:dyDescent="0.25"/>
    <row r="13556" customFormat="1" x14ac:dyDescent="0.25"/>
    <row r="13557" customFormat="1" x14ac:dyDescent="0.25"/>
    <row r="13558" customFormat="1" x14ac:dyDescent="0.25"/>
    <row r="13559" customFormat="1" x14ac:dyDescent="0.25"/>
    <row r="13560" customFormat="1" x14ac:dyDescent="0.25"/>
    <row r="13561" customFormat="1" x14ac:dyDescent="0.25"/>
    <row r="13562" customFormat="1" x14ac:dyDescent="0.25"/>
    <row r="13563" customFormat="1" x14ac:dyDescent="0.25"/>
    <row r="13564" customFormat="1" x14ac:dyDescent="0.25"/>
    <row r="13565" customFormat="1" x14ac:dyDescent="0.25"/>
    <row r="13566" customFormat="1" x14ac:dyDescent="0.25"/>
    <row r="13567" customFormat="1" x14ac:dyDescent="0.25"/>
    <row r="13568" customFormat="1" x14ac:dyDescent="0.25"/>
    <row r="13569" customFormat="1" x14ac:dyDescent="0.25"/>
    <row r="13570" customFormat="1" x14ac:dyDescent="0.25"/>
    <row r="13571" customFormat="1" x14ac:dyDescent="0.25"/>
    <row r="13572" customFormat="1" x14ac:dyDescent="0.25"/>
    <row r="13573" customFormat="1" x14ac:dyDescent="0.25"/>
    <row r="13574" customFormat="1" x14ac:dyDescent="0.25"/>
    <row r="13575" customFormat="1" x14ac:dyDescent="0.25"/>
    <row r="13576" customFormat="1" x14ac:dyDescent="0.25"/>
    <row r="13577" customFormat="1" x14ac:dyDescent="0.25"/>
    <row r="13578" customFormat="1" x14ac:dyDescent="0.25"/>
    <row r="13579" customFormat="1" x14ac:dyDescent="0.25"/>
    <row r="13580" customFormat="1" x14ac:dyDescent="0.25"/>
    <row r="13581" customFormat="1" x14ac:dyDescent="0.25"/>
    <row r="13582" customFormat="1" x14ac:dyDescent="0.25"/>
    <row r="13583" customFormat="1" x14ac:dyDescent="0.25"/>
    <row r="13584" customFormat="1" x14ac:dyDescent="0.25"/>
    <row r="13585" customFormat="1" x14ac:dyDescent="0.25"/>
    <row r="13586" customFormat="1" x14ac:dyDescent="0.25"/>
    <row r="13587" customFormat="1" x14ac:dyDescent="0.25"/>
    <row r="13588" customFormat="1" x14ac:dyDescent="0.25"/>
    <row r="13589" customFormat="1" x14ac:dyDescent="0.25"/>
    <row r="13590" customFormat="1" x14ac:dyDescent="0.25"/>
    <row r="13591" customFormat="1" x14ac:dyDescent="0.25"/>
    <row r="13592" customFormat="1" x14ac:dyDescent="0.25"/>
    <row r="13593" customFormat="1" x14ac:dyDescent="0.25"/>
    <row r="13594" customFormat="1" x14ac:dyDescent="0.25"/>
    <row r="13595" customFormat="1" x14ac:dyDescent="0.25"/>
    <row r="13596" customFormat="1" x14ac:dyDescent="0.25"/>
    <row r="13597" customFormat="1" x14ac:dyDescent="0.25"/>
    <row r="13598" customFormat="1" x14ac:dyDescent="0.25"/>
    <row r="13599" customFormat="1" x14ac:dyDescent="0.25"/>
    <row r="13600" customFormat="1" x14ac:dyDescent="0.25"/>
    <row r="13601" customFormat="1" x14ac:dyDescent="0.25"/>
    <row r="13602" customFormat="1" x14ac:dyDescent="0.25"/>
    <row r="13603" customFormat="1" x14ac:dyDescent="0.25"/>
    <row r="13604" customFormat="1" x14ac:dyDescent="0.25"/>
    <row r="13605" customFormat="1" x14ac:dyDescent="0.25"/>
    <row r="13606" customFormat="1" x14ac:dyDescent="0.25"/>
    <row r="13607" customFormat="1" x14ac:dyDescent="0.25"/>
    <row r="13608" customFormat="1" x14ac:dyDescent="0.25"/>
    <row r="13609" customFormat="1" x14ac:dyDescent="0.25"/>
    <row r="13610" customFormat="1" x14ac:dyDescent="0.25"/>
    <row r="13611" customFormat="1" x14ac:dyDescent="0.25"/>
    <row r="13612" customFormat="1" x14ac:dyDescent="0.25"/>
    <row r="13613" customFormat="1" x14ac:dyDescent="0.25"/>
    <row r="13614" customFormat="1" x14ac:dyDescent="0.25"/>
    <row r="13615" customFormat="1" x14ac:dyDescent="0.25"/>
    <row r="13616" customFormat="1" x14ac:dyDescent="0.25"/>
    <row r="13617" customFormat="1" x14ac:dyDescent="0.25"/>
    <row r="13618" customFormat="1" x14ac:dyDescent="0.25"/>
    <row r="13619" customFormat="1" x14ac:dyDescent="0.25"/>
    <row r="13620" customFormat="1" x14ac:dyDescent="0.25"/>
    <row r="13621" customFormat="1" x14ac:dyDescent="0.25"/>
    <row r="13622" customFormat="1" x14ac:dyDescent="0.25"/>
    <row r="13623" customFormat="1" x14ac:dyDescent="0.25"/>
    <row r="13624" customFormat="1" x14ac:dyDescent="0.25"/>
    <row r="13625" customFormat="1" x14ac:dyDescent="0.25"/>
    <row r="13626" customFormat="1" x14ac:dyDescent="0.25"/>
    <row r="13627" customFormat="1" x14ac:dyDescent="0.25"/>
    <row r="13628" customFormat="1" x14ac:dyDescent="0.25"/>
    <row r="13629" customFormat="1" x14ac:dyDescent="0.25"/>
    <row r="13630" customFormat="1" x14ac:dyDescent="0.25"/>
    <row r="13631" customFormat="1" x14ac:dyDescent="0.25"/>
    <row r="13632" customFormat="1" x14ac:dyDescent="0.25"/>
    <row r="13633" customFormat="1" x14ac:dyDescent="0.25"/>
    <row r="13634" customFormat="1" x14ac:dyDescent="0.25"/>
    <row r="13635" customFormat="1" x14ac:dyDescent="0.25"/>
    <row r="13636" customFormat="1" x14ac:dyDescent="0.25"/>
    <row r="13637" customFormat="1" x14ac:dyDescent="0.25"/>
    <row r="13638" customFormat="1" x14ac:dyDescent="0.25"/>
    <row r="13639" customFormat="1" x14ac:dyDescent="0.25"/>
    <row r="13640" customFormat="1" x14ac:dyDescent="0.25"/>
    <row r="13641" customFormat="1" x14ac:dyDescent="0.25"/>
    <row r="13642" customFormat="1" x14ac:dyDescent="0.25"/>
    <row r="13643" customFormat="1" x14ac:dyDescent="0.25"/>
    <row r="13644" customFormat="1" x14ac:dyDescent="0.25"/>
    <row r="13645" customFormat="1" x14ac:dyDescent="0.25"/>
    <row r="13646" customFormat="1" x14ac:dyDescent="0.25"/>
    <row r="13647" customFormat="1" x14ac:dyDescent="0.25"/>
    <row r="13648" customFormat="1" x14ac:dyDescent="0.25"/>
    <row r="13649" customFormat="1" x14ac:dyDescent="0.25"/>
    <row r="13650" customFormat="1" x14ac:dyDescent="0.25"/>
    <row r="13651" customFormat="1" x14ac:dyDescent="0.25"/>
    <row r="13652" customFormat="1" x14ac:dyDescent="0.25"/>
    <row r="13653" customFormat="1" x14ac:dyDescent="0.25"/>
    <row r="13654" customFormat="1" x14ac:dyDescent="0.25"/>
    <row r="13655" customFormat="1" x14ac:dyDescent="0.25"/>
    <row r="13656" customFormat="1" x14ac:dyDescent="0.25"/>
    <row r="13657" customFormat="1" x14ac:dyDescent="0.25"/>
    <row r="13658" customFormat="1" x14ac:dyDescent="0.25"/>
    <row r="13659" customFormat="1" x14ac:dyDescent="0.25"/>
    <row r="13660" customFormat="1" x14ac:dyDescent="0.25"/>
    <row r="13661" customFormat="1" x14ac:dyDescent="0.25"/>
    <row r="13662" customFormat="1" x14ac:dyDescent="0.25"/>
    <row r="13663" customFormat="1" x14ac:dyDescent="0.25"/>
    <row r="13664" customFormat="1" x14ac:dyDescent="0.25"/>
    <row r="13665" customFormat="1" x14ac:dyDescent="0.25"/>
    <row r="13666" customFormat="1" x14ac:dyDescent="0.25"/>
    <row r="13667" customFormat="1" x14ac:dyDescent="0.25"/>
    <row r="13668" customFormat="1" x14ac:dyDescent="0.25"/>
    <row r="13669" customFormat="1" x14ac:dyDescent="0.25"/>
    <row r="13670" customFormat="1" x14ac:dyDescent="0.25"/>
    <row r="13671" customFormat="1" x14ac:dyDescent="0.25"/>
    <row r="13672" customFormat="1" x14ac:dyDescent="0.25"/>
    <row r="13673" customFormat="1" x14ac:dyDescent="0.25"/>
    <row r="13674" customFormat="1" x14ac:dyDescent="0.25"/>
    <row r="13675" customFormat="1" x14ac:dyDescent="0.25"/>
    <row r="13676" customFormat="1" x14ac:dyDescent="0.25"/>
    <row r="13677" customFormat="1" x14ac:dyDescent="0.25"/>
    <row r="13678" customFormat="1" x14ac:dyDescent="0.25"/>
    <row r="13679" customFormat="1" x14ac:dyDescent="0.25"/>
    <row r="13680" customFormat="1" x14ac:dyDescent="0.25"/>
    <row r="13681" customFormat="1" x14ac:dyDescent="0.25"/>
    <row r="13682" customFormat="1" x14ac:dyDescent="0.25"/>
    <row r="13683" customFormat="1" x14ac:dyDescent="0.25"/>
    <row r="13684" customFormat="1" x14ac:dyDescent="0.25"/>
    <row r="13685" customFormat="1" x14ac:dyDescent="0.25"/>
    <row r="13686" customFormat="1" x14ac:dyDescent="0.25"/>
    <row r="13687" customFormat="1" x14ac:dyDescent="0.25"/>
    <row r="13688" customFormat="1" x14ac:dyDescent="0.25"/>
    <row r="13689" customFormat="1" x14ac:dyDescent="0.25"/>
    <row r="13690" customFormat="1" x14ac:dyDescent="0.25"/>
    <row r="13691" customFormat="1" x14ac:dyDescent="0.25"/>
    <row r="13692" customFormat="1" x14ac:dyDescent="0.25"/>
    <row r="13693" customFormat="1" x14ac:dyDescent="0.25"/>
    <row r="13694" customFormat="1" x14ac:dyDescent="0.25"/>
    <row r="13695" customFormat="1" x14ac:dyDescent="0.25"/>
    <row r="13696" customFormat="1" x14ac:dyDescent="0.25"/>
    <row r="13697" customFormat="1" x14ac:dyDescent="0.25"/>
    <row r="13698" customFormat="1" x14ac:dyDescent="0.25"/>
    <row r="13699" customFormat="1" x14ac:dyDescent="0.25"/>
    <row r="13700" customFormat="1" x14ac:dyDescent="0.25"/>
    <row r="13701" customFormat="1" x14ac:dyDescent="0.25"/>
    <row r="13702" customFormat="1" x14ac:dyDescent="0.25"/>
    <row r="13703" customFormat="1" x14ac:dyDescent="0.25"/>
    <row r="13704" customFormat="1" x14ac:dyDescent="0.25"/>
    <row r="13705" customFormat="1" x14ac:dyDescent="0.25"/>
    <row r="13706" customFormat="1" x14ac:dyDescent="0.25"/>
    <row r="13707" customFormat="1" x14ac:dyDescent="0.25"/>
    <row r="13708" customFormat="1" x14ac:dyDescent="0.25"/>
    <row r="13709" customFormat="1" x14ac:dyDescent="0.25"/>
    <row r="13710" customFormat="1" x14ac:dyDescent="0.25"/>
    <row r="13711" customFormat="1" x14ac:dyDescent="0.25"/>
    <row r="13712" customFormat="1" x14ac:dyDescent="0.25"/>
    <row r="13713" customFormat="1" x14ac:dyDescent="0.25"/>
    <row r="13714" customFormat="1" x14ac:dyDescent="0.25"/>
    <row r="13715" customFormat="1" x14ac:dyDescent="0.25"/>
    <row r="13716" customFormat="1" x14ac:dyDescent="0.25"/>
    <row r="13717" customFormat="1" x14ac:dyDescent="0.25"/>
    <row r="13718" customFormat="1" x14ac:dyDescent="0.25"/>
    <row r="13719" customFormat="1" x14ac:dyDescent="0.25"/>
    <row r="13720" customFormat="1" x14ac:dyDescent="0.25"/>
    <row r="13721" customFormat="1" x14ac:dyDescent="0.25"/>
    <row r="13722" customFormat="1" x14ac:dyDescent="0.25"/>
    <row r="13723" customFormat="1" x14ac:dyDescent="0.25"/>
    <row r="13724" customFormat="1" x14ac:dyDescent="0.25"/>
    <row r="13725" customFormat="1" x14ac:dyDescent="0.25"/>
    <row r="13726" customFormat="1" x14ac:dyDescent="0.25"/>
    <row r="13727" customFormat="1" x14ac:dyDescent="0.25"/>
    <row r="13728" customFormat="1" x14ac:dyDescent="0.25"/>
    <row r="13729" customFormat="1" x14ac:dyDescent="0.25"/>
    <row r="13730" customFormat="1" x14ac:dyDescent="0.25"/>
    <row r="13731" customFormat="1" x14ac:dyDescent="0.25"/>
    <row r="13732" customFormat="1" x14ac:dyDescent="0.25"/>
    <row r="13733" customFormat="1" x14ac:dyDescent="0.25"/>
    <row r="13734" customFormat="1" x14ac:dyDescent="0.25"/>
    <row r="13735" customFormat="1" x14ac:dyDescent="0.25"/>
    <row r="13736" customFormat="1" x14ac:dyDescent="0.25"/>
    <row r="13737" customFormat="1" x14ac:dyDescent="0.25"/>
    <row r="13738" customFormat="1" x14ac:dyDescent="0.25"/>
    <row r="13739" customFormat="1" x14ac:dyDescent="0.25"/>
    <row r="13740" customFormat="1" x14ac:dyDescent="0.25"/>
    <row r="13741" customFormat="1" x14ac:dyDescent="0.25"/>
    <row r="13742" customFormat="1" x14ac:dyDescent="0.25"/>
    <row r="13743" customFormat="1" x14ac:dyDescent="0.25"/>
    <row r="13744" customFormat="1" x14ac:dyDescent="0.25"/>
    <row r="13745" customFormat="1" x14ac:dyDescent="0.25"/>
    <row r="13746" customFormat="1" x14ac:dyDescent="0.25"/>
    <row r="13747" customFormat="1" x14ac:dyDescent="0.25"/>
    <row r="13748" customFormat="1" x14ac:dyDescent="0.25"/>
    <row r="13749" customFormat="1" x14ac:dyDescent="0.25"/>
    <row r="13750" customFormat="1" x14ac:dyDescent="0.25"/>
    <row r="13751" customFormat="1" x14ac:dyDescent="0.25"/>
    <row r="13752" customFormat="1" x14ac:dyDescent="0.25"/>
    <row r="13753" customFormat="1" x14ac:dyDescent="0.25"/>
    <row r="13754" customFormat="1" x14ac:dyDescent="0.25"/>
    <row r="13755" customFormat="1" x14ac:dyDescent="0.25"/>
    <row r="13756" customFormat="1" x14ac:dyDescent="0.25"/>
    <row r="13757" customFormat="1" x14ac:dyDescent="0.25"/>
    <row r="13758" customFormat="1" x14ac:dyDescent="0.25"/>
    <row r="13759" customFormat="1" x14ac:dyDescent="0.25"/>
    <row r="13760" customFormat="1" x14ac:dyDescent="0.25"/>
    <row r="13761" customFormat="1" x14ac:dyDescent="0.25"/>
    <row r="13762" customFormat="1" x14ac:dyDescent="0.25"/>
    <row r="13763" customFormat="1" x14ac:dyDescent="0.25"/>
    <row r="13764" customFormat="1" x14ac:dyDescent="0.25"/>
    <row r="13765" customFormat="1" x14ac:dyDescent="0.25"/>
    <row r="13766" customFormat="1" x14ac:dyDescent="0.25"/>
    <row r="13767" customFormat="1" x14ac:dyDescent="0.25"/>
    <row r="13768" customFormat="1" x14ac:dyDescent="0.25"/>
    <row r="13769" customFormat="1" x14ac:dyDescent="0.25"/>
    <row r="13770" customFormat="1" x14ac:dyDescent="0.25"/>
    <row r="13771" customFormat="1" x14ac:dyDescent="0.25"/>
    <row r="13772" customFormat="1" x14ac:dyDescent="0.25"/>
    <row r="13773" customFormat="1" x14ac:dyDescent="0.25"/>
    <row r="13774" customFormat="1" x14ac:dyDescent="0.25"/>
    <row r="13775" customFormat="1" x14ac:dyDescent="0.25"/>
    <row r="13776" customFormat="1" x14ac:dyDescent="0.25"/>
    <row r="13777" customFormat="1" x14ac:dyDescent="0.25"/>
    <row r="13778" customFormat="1" x14ac:dyDescent="0.25"/>
    <row r="13779" customFormat="1" x14ac:dyDescent="0.25"/>
    <row r="13780" customFormat="1" x14ac:dyDescent="0.25"/>
    <row r="13781" customFormat="1" x14ac:dyDescent="0.25"/>
    <row r="13782" customFormat="1" x14ac:dyDescent="0.25"/>
    <row r="13783" customFormat="1" x14ac:dyDescent="0.25"/>
    <row r="13784" customFormat="1" x14ac:dyDescent="0.25"/>
    <row r="13785" customFormat="1" x14ac:dyDescent="0.25"/>
    <row r="13786" customFormat="1" x14ac:dyDescent="0.25"/>
    <row r="13787" customFormat="1" x14ac:dyDescent="0.25"/>
    <row r="13788" customFormat="1" x14ac:dyDescent="0.25"/>
    <row r="13789" customFormat="1" x14ac:dyDescent="0.25"/>
    <row r="13790" customFormat="1" x14ac:dyDescent="0.25"/>
    <row r="13791" customFormat="1" x14ac:dyDescent="0.25"/>
    <row r="13792" customFormat="1" x14ac:dyDescent="0.25"/>
    <row r="13793" customFormat="1" x14ac:dyDescent="0.25"/>
    <row r="13794" customFormat="1" x14ac:dyDescent="0.25"/>
    <row r="13795" customFormat="1" x14ac:dyDescent="0.25"/>
    <row r="13796" customFormat="1" x14ac:dyDescent="0.25"/>
    <row r="13797" customFormat="1" x14ac:dyDescent="0.25"/>
    <row r="13798" customFormat="1" x14ac:dyDescent="0.25"/>
    <row r="13799" customFormat="1" x14ac:dyDescent="0.25"/>
    <row r="13800" customFormat="1" x14ac:dyDescent="0.25"/>
    <row r="13801" customFormat="1" x14ac:dyDescent="0.25"/>
    <row r="13802" customFormat="1" x14ac:dyDescent="0.25"/>
    <row r="13803" customFormat="1" x14ac:dyDescent="0.25"/>
    <row r="13804" customFormat="1" x14ac:dyDescent="0.25"/>
    <row r="13805" customFormat="1" x14ac:dyDescent="0.25"/>
    <row r="13806" customFormat="1" x14ac:dyDescent="0.25"/>
    <row r="13807" customFormat="1" x14ac:dyDescent="0.25"/>
    <row r="13808" customFormat="1" x14ac:dyDescent="0.25"/>
    <row r="13809" customFormat="1" x14ac:dyDescent="0.25"/>
    <row r="13810" customFormat="1" x14ac:dyDescent="0.25"/>
    <row r="13811" customFormat="1" x14ac:dyDescent="0.25"/>
    <row r="13812" customFormat="1" x14ac:dyDescent="0.25"/>
    <row r="13813" customFormat="1" x14ac:dyDescent="0.25"/>
    <row r="13814" customFormat="1" x14ac:dyDescent="0.25"/>
    <row r="13815" customFormat="1" x14ac:dyDescent="0.25"/>
    <row r="13816" customFormat="1" x14ac:dyDescent="0.25"/>
    <row r="13817" customFormat="1" x14ac:dyDescent="0.25"/>
    <row r="13818" customFormat="1" x14ac:dyDescent="0.25"/>
    <row r="13819" customFormat="1" x14ac:dyDescent="0.25"/>
    <row r="13820" customFormat="1" x14ac:dyDescent="0.25"/>
    <row r="13821" customFormat="1" x14ac:dyDescent="0.25"/>
    <row r="13822" customFormat="1" x14ac:dyDescent="0.25"/>
    <row r="13823" customFormat="1" x14ac:dyDescent="0.25"/>
    <row r="13824" customFormat="1" x14ac:dyDescent="0.25"/>
    <row r="13825" customFormat="1" x14ac:dyDescent="0.25"/>
    <row r="13826" customFormat="1" x14ac:dyDescent="0.25"/>
    <row r="13827" customFormat="1" x14ac:dyDescent="0.25"/>
    <row r="13828" customFormat="1" x14ac:dyDescent="0.25"/>
    <row r="13829" customFormat="1" x14ac:dyDescent="0.25"/>
    <row r="13830" customFormat="1" x14ac:dyDescent="0.25"/>
    <row r="13831" customFormat="1" x14ac:dyDescent="0.25"/>
    <row r="13832" customFormat="1" x14ac:dyDescent="0.25"/>
    <row r="13833" customFormat="1" x14ac:dyDescent="0.25"/>
    <row r="13834" customFormat="1" x14ac:dyDescent="0.25"/>
    <row r="13835" customFormat="1" x14ac:dyDescent="0.25"/>
    <row r="13836" customFormat="1" x14ac:dyDescent="0.25"/>
    <row r="13837" customFormat="1" x14ac:dyDescent="0.25"/>
    <row r="13838" customFormat="1" x14ac:dyDescent="0.25"/>
    <row r="13839" customFormat="1" x14ac:dyDescent="0.25"/>
    <row r="13840" customFormat="1" x14ac:dyDescent="0.25"/>
    <row r="13841" customFormat="1" x14ac:dyDescent="0.25"/>
    <row r="13842" customFormat="1" x14ac:dyDescent="0.25"/>
    <row r="13843" customFormat="1" x14ac:dyDescent="0.25"/>
    <row r="13844" customFormat="1" x14ac:dyDescent="0.25"/>
    <row r="13845" customFormat="1" x14ac:dyDescent="0.25"/>
    <row r="13846" customFormat="1" x14ac:dyDescent="0.25"/>
    <row r="13847" customFormat="1" x14ac:dyDescent="0.25"/>
    <row r="13848" customFormat="1" x14ac:dyDescent="0.25"/>
    <row r="13849" customFormat="1" x14ac:dyDescent="0.25"/>
    <row r="13850" customFormat="1" x14ac:dyDescent="0.25"/>
    <row r="13851" customFormat="1" x14ac:dyDescent="0.25"/>
    <row r="13852" customFormat="1" x14ac:dyDescent="0.25"/>
    <row r="13853" customFormat="1" x14ac:dyDescent="0.25"/>
    <row r="13854" customFormat="1" x14ac:dyDescent="0.25"/>
    <row r="13855" customFormat="1" x14ac:dyDescent="0.25"/>
    <row r="13856" customFormat="1" x14ac:dyDescent="0.25"/>
    <row r="13857" customFormat="1" x14ac:dyDescent="0.25"/>
    <row r="13858" customFormat="1" x14ac:dyDescent="0.25"/>
    <row r="13859" customFormat="1" x14ac:dyDescent="0.25"/>
    <row r="13860" customFormat="1" x14ac:dyDescent="0.25"/>
    <row r="13861" customFormat="1" x14ac:dyDescent="0.25"/>
    <row r="13862" customFormat="1" x14ac:dyDescent="0.25"/>
    <row r="13863" customFormat="1" x14ac:dyDescent="0.25"/>
    <row r="13864" customFormat="1" x14ac:dyDescent="0.25"/>
    <row r="13865" customFormat="1" x14ac:dyDescent="0.25"/>
    <row r="13866" customFormat="1" x14ac:dyDescent="0.25"/>
    <row r="13867" customFormat="1" x14ac:dyDescent="0.25"/>
    <row r="13868" customFormat="1" x14ac:dyDescent="0.25"/>
    <row r="13869" customFormat="1" x14ac:dyDescent="0.25"/>
    <row r="13870" customFormat="1" x14ac:dyDescent="0.25"/>
    <row r="13871" customFormat="1" x14ac:dyDescent="0.25"/>
    <row r="13872" customFormat="1" x14ac:dyDescent="0.25"/>
    <row r="13873" customFormat="1" x14ac:dyDescent="0.25"/>
    <row r="13874" customFormat="1" x14ac:dyDescent="0.25"/>
    <row r="13875" customFormat="1" x14ac:dyDescent="0.25"/>
    <row r="13876" customFormat="1" x14ac:dyDescent="0.25"/>
    <row r="13877" customFormat="1" x14ac:dyDescent="0.25"/>
    <row r="13878" customFormat="1" x14ac:dyDescent="0.25"/>
    <row r="13879" customFormat="1" x14ac:dyDescent="0.25"/>
    <row r="13880" customFormat="1" x14ac:dyDescent="0.25"/>
    <row r="13881" customFormat="1" x14ac:dyDescent="0.25"/>
    <row r="13882" customFormat="1" x14ac:dyDescent="0.25"/>
    <row r="13883" customFormat="1" x14ac:dyDescent="0.25"/>
    <row r="13884" customFormat="1" x14ac:dyDescent="0.25"/>
    <row r="13885" customFormat="1" x14ac:dyDescent="0.25"/>
    <row r="13886" customFormat="1" x14ac:dyDescent="0.25"/>
    <row r="13887" customFormat="1" x14ac:dyDescent="0.25"/>
    <row r="13888" customFormat="1" x14ac:dyDescent="0.25"/>
    <row r="13889" customFormat="1" x14ac:dyDescent="0.25"/>
    <row r="13890" customFormat="1" x14ac:dyDescent="0.25"/>
    <row r="13891" customFormat="1" x14ac:dyDescent="0.25"/>
    <row r="13892" customFormat="1" x14ac:dyDescent="0.25"/>
    <row r="13893" customFormat="1" x14ac:dyDescent="0.25"/>
    <row r="13894" customFormat="1" x14ac:dyDescent="0.25"/>
    <row r="13895" customFormat="1" x14ac:dyDescent="0.25"/>
    <row r="13896" customFormat="1" x14ac:dyDescent="0.25"/>
    <row r="13897" customFormat="1" x14ac:dyDescent="0.25"/>
    <row r="13898" customFormat="1" x14ac:dyDescent="0.25"/>
    <row r="13899" customFormat="1" x14ac:dyDescent="0.25"/>
    <row r="13900" customFormat="1" x14ac:dyDescent="0.25"/>
    <row r="13901" customFormat="1" x14ac:dyDescent="0.25"/>
    <row r="13902" customFormat="1" x14ac:dyDescent="0.25"/>
    <row r="13903" customFormat="1" x14ac:dyDescent="0.25"/>
    <row r="13904" customFormat="1" x14ac:dyDescent="0.25"/>
    <row r="13905" customFormat="1" x14ac:dyDescent="0.25"/>
    <row r="13906" customFormat="1" x14ac:dyDescent="0.25"/>
    <row r="13907" customFormat="1" x14ac:dyDescent="0.25"/>
    <row r="13908" customFormat="1" x14ac:dyDescent="0.25"/>
    <row r="13909" customFormat="1" x14ac:dyDescent="0.25"/>
    <row r="13910" customFormat="1" x14ac:dyDescent="0.25"/>
    <row r="13911" customFormat="1" x14ac:dyDescent="0.25"/>
    <row r="13912" customFormat="1" x14ac:dyDescent="0.25"/>
    <row r="13913" customFormat="1" x14ac:dyDescent="0.25"/>
    <row r="13914" customFormat="1" x14ac:dyDescent="0.25"/>
    <row r="13915" customFormat="1" x14ac:dyDescent="0.25"/>
    <row r="13916" customFormat="1" x14ac:dyDescent="0.25"/>
    <row r="13917" customFormat="1" x14ac:dyDescent="0.25"/>
    <row r="13918" customFormat="1" x14ac:dyDescent="0.25"/>
    <row r="13919" customFormat="1" x14ac:dyDescent="0.25"/>
    <row r="13920" customFormat="1" x14ac:dyDescent="0.25"/>
    <row r="13921" customFormat="1" x14ac:dyDescent="0.25"/>
    <row r="13922" customFormat="1" x14ac:dyDescent="0.25"/>
    <row r="13923" customFormat="1" x14ac:dyDescent="0.25"/>
    <row r="13924" customFormat="1" x14ac:dyDescent="0.25"/>
    <row r="13925" customFormat="1" x14ac:dyDescent="0.25"/>
    <row r="13926" customFormat="1" x14ac:dyDescent="0.25"/>
    <row r="13927" customFormat="1" x14ac:dyDescent="0.25"/>
    <row r="13928" customFormat="1" x14ac:dyDescent="0.25"/>
    <row r="13929" customFormat="1" x14ac:dyDescent="0.25"/>
    <row r="13930" customFormat="1" x14ac:dyDescent="0.25"/>
    <row r="13931" customFormat="1" x14ac:dyDescent="0.25"/>
    <row r="13932" customFormat="1" x14ac:dyDescent="0.25"/>
    <row r="13933" customFormat="1" x14ac:dyDescent="0.25"/>
    <row r="13934" customFormat="1" x14ac:dyDescent="0.25"/>
    <row r="13935" customFormat="1" x14ac:dyDescent="0.25"/>
    <row r="13936" customFormat="1" x14ac:dyDescent="0.25"/>
    <row r="13937" customFormat="1" x14ac:dyDescent="0.25"/>
    <row r="13938" customFormat="1" x14ac:dyDescent="0.25"/>
    <row r="13939" customFormat="1" x14ac:dyDescent="0.25"/>
    <row r="13940" customFormat="1" x14ac:dyDescent="0.25"/>
    <row r="13941" customFormat="1" x14ac:dyDescent="0.25"/>
    <row r="13942" customFormat="1" x14ac:dyDescent="0.25"/>
    <row r="13943" customFormat="1" x14ac:dyDescent="0.25"/>
    <row r="13944" customFormat="1" x14ac:dyDescent="0.25"/>
    <row r="13945" customFormat="1" x14ac:dyDescent="0.25"/>
    <row r="13946" customFormat="1" x14ac:dyDescent="0.25"/>
    <row r="13947" customFormat="1" x14ac:dyDescent="0.25"/>
    <row r="13948" customFormat="1" x14ac:dyDescent="0.25"/>
    <row r="13949" customFormat="1" x14ac:dyDescent="0.25"/>
    <row r="13950" customFormat="1" x14ac:dyDescent="0.25"/>
    <row r="13951" customFormat="1" x14ac:dyDescent="0.25"/>
    <row r="13952" customFormat="1" x14ac:dyDescent="0.25"/>
    <row r="13953" customFormat="1" x14ac:dyDescent="0.25"/>
    <row r="13954" customFormat="1" x14ac:dyDescent="0.25"/>
    <row r="13955" customFormat="1" x14ac:dyDescent="0.25"/>
    <row r="13956" customFormat="1" x14ac:dyDescent="0.25"/>
    <row r="13957" customFormat="1" x14ac:dyDescent="0.25"/>
    <row r="13958" customFormat="1" x14ac:dyDescent="0.25"/>
    <row r="13959" customFormat="1" x14ac:dyDescent="0.25"/>
    <row r="13960" customFormat="1" x14ac:dyDescent="0.25"/>
    <row r="13961" customFormat="1" x14ac:dyDescent="0.25"/>
    <row r="13962" customFormat="1" x14ac:dyDescent="0.25"/>
    <row r="13963" customFormat="1" x14ac:dyDescent="0.25"/>
    <row r="13964" customFormat="1" x14ac:dyDescent="0.25"/>
    <row r="13965" customFormat="1" x14ac:dyDescent="0.25"/>
    <row r="13966" customFormat="1" x14ac:dyDescent="0.25"/>
    <row r="13967" customFormat="1" x14ac:dyDescent="0.25"/>
    <row r="13968" customFormat="1" x14ac:dyDescent="0.25"/>
    <row r="13969" customFormat="1" x14ac:dyDescent="0.25"/>
    <row r="13970" customFormat="1" x14ac:dyDescent="0.25"/>
    <row r="13971" customFormat="1" x14ac:dyDescent="0.25"/>
    <row r="13972" customFormat="1" x14ac:dyDescent="0.25"/>
    <row r="13973" customFormat="1" x14ac:dyDescent="0.25"/>
    <row r="13974" customFormat="1" x14ac:dyDescent="0.25"/>
    <row r="13975" customFormat="1" x14ac:dyDescent="0.25"/>
    <row r="13976" customFormat="1" x14ac:dyDescent="0.25"/>
    <row r="13977" customFormat="1" x14ac:dyDescent="0.25"/>
    <row r="13978" customFormat="1" x14ac:dyDescent="0.25"/>
    <row r="13979" customFormat="1" x14ac:dyDescent="0.25"/>
    <row r="13980" customFormat="1" x14ac:dyDescent="0.25"/>
    <row r="13981" customFormat="1" x14ac:dyDescent="0.25"/>
    <row r="13982" customFormat="1" x14ac:dyDescent="0.25"/>
    <row r="13983" customFormat="1" x14ac:dyDescent="0.25"/>
    <row r="13984" customFormat="1" x14ac:dyDescent="0.25"/>
    <row r="13985" customFormat="1" x14ac:dyDescent="0.25"/>
    <row r="13986" customFormat="1" x14ac:dyDescent="0.25"/>
    <row r="13987" customFormat="1" x14ac:dyDescent="0.25"/>
    <row r="13988" customFormat="1" x14ac:dyDescent="0.25"/>
    <row r="13989" customFormat="1" x14ac:dyDescent="0.25"/>
    <row r="13990" customFormat="1" x14ac:dyDescent="0.25"/>
    <row r="13991" customFormat="1" x14ac:dyDescent="0.25"/>
    <row r="13992" customFormat="1" x14ac:dyDescent="0.25"/>
    <row r="13993" customFormat="1" x14ac:dyDescent="0.25"/>
    <row r="13994" customFormat="1" x14ac:dyDescent="0.25"/>
    <row r="13995" customFormat="1" x14ac:dyDescent="0.25"/>
    <row r="13996" customFormat="1" x14ac:dyDescent="0.25"/>
    <row r="13997" customFormat="1" x14ac:dyDescent="0.25"/>
    <row r="13998" customFormat="1" x14ac:dyDescent="0.25"/>
    <row r="13999" customFormat="1" x14ac:dyDescent="0.25"/>
    <row r="14000" customFormat="1" x14ac:dyDescent="0.25"/>
    <row r="14001" customFormat="1" x14ac:dyDescent="0.25"/>
    <row r="14002" customFormat="1" x14ac:dyDescent="0.25"/>
    <row r="14003" customFormat="1" x14ac:dyDescent="0.25"/>
    <row r="14004" customFormat="1" x14ac:dyDescent="0.25"/>
    <row r="14005" customFormat="1" x14ac:dyDescent="0.25"/>
    <row r="14006" customFormat="1" x14ac:dyDescent="0.25"/>
    <row r="14007" customFormat="1" x14ac:dyDescent="0.25"/>
    <row r="14008" customFormat="1" x14ac:dyDescent="0.25"/>
    <row r="14009" customFormat="1" x14ac:dyDescent="0.25"/>
    <row r="14010" customFormat="1" x14ac:dyDescent="0.25"/>
    <row r="14011" customFormat="1" x14ac:dyDescent="0.25"/>
    <row r="14012" customFormat="1" x14ac:dyDescent="0.25"/>
    <row r="14013" customFormat="1" x14ac:dyDescent="0.25"/>
    <row r="14014" customFormat="1" x14ac:dyDescent="0.25"/>
    <row r="14015" customFormat="1" x14ac:dyDescent="0.25"/>
    <row r="14016" customFormat="1" x14ac:dyDescent="0.25"/>
    <row r="14017" customFormat="1" x14ac:dyDescent="0.25"/>
    <row r="14018" customFormat="1" x14ac:dyDescent="0.25"/>
    <row r="14019" customFormat="1" x14ac:dyDescent="0.25"/>
    <row r="14020" customFormat="1" x14ac:dyDescent="0.25"/>
    <row r="14021" customFormat="1" x14ac:dyDescent="0.25"/>
    <row r="14022" customFormat="1" x14ac:dyDescent="0.25"/>
    <row r="14023" customFormat="1" x14ac:dyDescent="0.25"/>
    <row r="14024" customFormat="1" x14ac:dyDescent="0.25"/>
    <row r="14025" customFormat="1" x14ac:dyDescent="0.25"/>
    <row r="14026" customFormat="1" x14ac:dyDescent="0.25"/>
    <row r="14027" customFormat="1" x14ac:dyDescent="0.25"/>
    <row r="14028" customFormat="1" x14ac:dyDescent="0.25"/>
    <row r="14029" customFormat="1" x14ac:dyDescent="0.25"/>
    <row r="14030" customFormat="1" x14ac:dyDescent="0.25"/>
    <row r="14031" customFormat="1" x14ac:dyDescent="0.25"/>
    <row r="14032" customFormat="1" x14ac:dyDescent="0.25"/>
    <row r="14033" customFormat="1" x14ac:dyDescent="0.25"/>
    <row r="14034" customFormat="1" x14ac:dyDescent="0.25"/>
    <row r="14035" customFormat="1" x14ac:dyDescent="0.25"/>
    <row r="14036" customFormat="1" x14ac:dyDescent="0.25"/>
    <row r="14037" customFormat="1" x14ac:dyDescent="0.25"/>
    <row r="14038" customFormat="1" x14ac:dyDescent="0.25"/>
    <row r="14039" customFormat="1" x14ac:dyDescent="0.25"/>
    <row r="14040" customFormat="1" x14ac:dyDescent="0.25"/>
    <row r="14041" customFormat="1" x14ac:dyDescent="0.25"/>
    <row r="14042" customFormat="1" x14ac:dyDescent="0.25"/>
    <row r="14043" customFormat="1" x14ac:dyDescent="0.25"/>
    <row r="14044" customFormat="1" x14ac:dyDescent="0.25"/>
    <row r="14045" customFormat="1" x14ac:dyDescent="0.25"/>
    <row r="14046" customFormat="1" x14ac:dyDescent="0.25"/>
    <row r="14047" customFormat="1" x14ac:dyDescent="0.25"/>
    <row r="14048" customFormat="1" x14ac:dyDescent="0.25"/>
    <row r="14049" customFormat="1" x14ac:dyDescent="0.25"/>
    <row r="14050" customFormat="1" x14ac:dyDescent="0.25"/>
    <row r="14051" customFormat="1" x14ac:dyDescent="0.25"/>
    <row r="14052" customFormat="1" x14ac:dyDescent="0.25"/>
    <row r="14053" customFormat="1" x14ac:dyDescent="0.25"/>
    <row r="14054" customFormat="1" x14ac:dyDescent="0.25"/>
    <row r="14055" customFormat="1" x14ac:dyDescent="0.25"/>
    <row r="14056" customFormat="1" x14ac:dyDescent="0.25"/>
    <row r="14057" customFormat="1" x14ac:dyDescent="0.25"/>
    <row r="14058" customFormat="1" x14ac:dyDescent="0.25"/>
    <row r="14059" customFormat="1" x14ac:dyDescent="0.25"/>
    <row r="14060" customFormat="1" x14ac:dyDescent="0.25"/>
    <row r="14061" customFormat="1" x14ac:dyDescent="0.25"/>
    <row r="14062" customFormat="1" x14ac:dyDescent="0.25"/>
    <row r="14063" customFormat="1" x14ac:dyDescent="0.25"/>
    <row r="14064" customFormat="1" x14ac:dyDescent="0.25"/>
    <row r="14065" customFormat="1" x14ac:dyDescent="0.25"/>
    <row r="14066" customFormat="1" x14ac:dyDescent="0.25"/>
    <row r="14067" customFormat="1" x14ac:dyDescent="0.25"/>
    <row r="14068" customFormat="1" x14ac:dyDescent="0.25"/>
    <row r="14069" customFormat="1" x14ac:dyDescent="0.25"/>
    <row r="14070" customFormat="1" x14ac:dyDescent="0.25"/>
    <row r="14071" customFormat="1" x14ac:dyDescent="0.25"/>
    <row r="14072" customFormat="1" x14ac:dyDescent="0.25"/>
    <row r="14073" customFormat="1" x14ac:dyDescent="0.25"/>
    <row r="14074" customFormat="1" x14ac:dyDescent="0.25"/>
    <row r="14075" customFormat="1" x14ac:dyDescent="0.25"/>
    <row r="14076" customFormat="1" x14ac:dyDescent="0.25"/>
    <row r="14077" customFormat="1" x14ac:dyDescent="0.25"/>
    <row r="14078" customFormat="1" x14ac:dyDescent="0.25"/>
    <row r="14079" customFormat="1" x14ac:dyDescent="0.25"/>
    <row r="14080" customFormat="1" x14ac:dyDescent="0.25"/>
    <row r="14081" customFormat="1" x14ac:dyDescent="0.25"/>
    <row r="14082" customFormat="1" x14ac:dyDescent="0.25"/>
    <row r="14083" customFormat="1" x14ac:dyDescent="0.25"/>
    <row r="14084" customFormat="1" x14ac:dyDescent="0.25"/>
    <row r="14085" customFormat="1" x14ac:dyDescent="0.25"/>
    <row r="14086" customFormat="1" x14ac:dyDescent="0.25"/>
    <row r="14087" customFormat="1" x14ac:dyDescent="0.25"/>
    <row r="14088" customFormat="1" x14ac:dyDescent="0.25"/>
    <row r="14089" customFormat="1" x14ac:dyDescent="0.25"/>
    <row r="14090" customFormat="1" x14ac:dyDescent="0.25"/>
    <row r="14091" customFormat="1" x14ac:dyDescent="0.25"/>
    <row r="14092" customFormat="1" x14ac:dyDescent="0.25"/>
    <row r="14093" customFormat="1" x14ac:dyDescent="0.25"/>
    <row r="14094" customFormat="1" x14ac:dyDescent="0.25"/>
    <row r="14095" customFormat="1" x14ac:dyDescent="0.25"/>
    <row r="14096" customFormat="1" x14ac:dyDescent="0.25"/>
    <row r="14097" customFormat="1" x14ac:dyDescent="0.25"/>
    <row r="14098" customFormat="1" x14ac:dyDescent="0.25"/>
    <row r="14099" customFormat="1" x14ac:dyDescent="0.25"/>
    <row r="14100" customFormat="1" x14ac:dyDescent="0.25"/>
    <row r="14101" customFormat="1" x14ac:dyDescent="0.25"/>
    <row r="14102" customFormat="1" x14ac:dyDescent="0.25"/>
    <row r="14103" customFormat="1" x14ac:dyDescent="0.25"/>
    <row r="14104" customFormat="1" x14ac:dyDescent="0.25"/>
    <row r="14105" customFormat="1" x14ac:dyDescent="0.25"/>
    <row r="14106" customFormat="1" x14ac:dyDescent="0.25"/>
    <row r="14107" customFormat="1" x14ac:dyDescent="0.25"/>
    <row r="14108" customFormat="1" x14ac:dyDescent="0.25"/>
    <row r="14109" customFormat="1" x14ac:dyDescent="0.25"/>
    <row r="14110" customFormat="1" x14ac:dyDescent="0.25"/>
    <row r="14111" customFormat="1" x14ac:dyDescent="0.25"/>
    <row r="14112" customFormat="1" x14ac:dyDescent="0.25"/>
    <row r="14113" customFormat="1" x14ac:dyDescent="0.25"/>
    <row r="14114" customFormat="1" x14ac:dyDescent="0.25"/>
    <row r="14115" customFormat="1" x14ac:dyDescent="0.25"/>
    <row r="14116" customFormat="1" x14ac:dyDescent="0.25"/>
    <row r="14117" customFormat="1" x14ac:dyDescent="0.25"/>
    <row r="14118" customFormat="1" x14ac:dyDescent="0.25"/>
    <row r="14119" customFormat="1" x14ac:dyDescent="0.25"/>
    <row r="14120" customFormat="1" x14ac:dyDescent="0.25"/>
    <row r="14121" customFormat="1" x14ac:dyDescent="0.25"/>
    <row r="14122" customFormat="1" x14ac:dyDescent="0.25"/>
    <row r="14123" customFormat="1" x14ac:dyDescent="0.25"/>
    <row r="14124" customFormat="1" x14ac:dyDescent="0.25"/>
    <row r="14125" customFormat="1" x14ac:dyDescent="0.25"/>
    <row r="14126" customFormat="1" x14ac:dyDescent="0.25"/>
    <row r="14127" customFormat="1" x14ac:dyDescent="0.25"/>
    <row r="14128" customFormat="1" x14ac:dyDescent="0.25"/>
    <row r="14129" customFormat="1" x14ac:dyDescent="0.25"/>
    <row r="14130" customFormat="1" x14ac:dyDescent="0.25"/>
    <row r="14131" customFormat="1" x14ac:dyDescent="0.25"/>
    <row r="14132" customFormat="1" x14ac:dyDescent="0.25"/>
    <row r="14133" customFormat="1" x14ac:dyDescent="0.25"/>
    <row r="14134" customFormat="1" x14ac:dyDescent="0.25"/>
    <row r="14135" customFormat="1" x14ac:dyDescent="0.25"/>
    <row r="14136" customFormat="1" x14ac:dyDescent="0.25"/>
    <row r="14137" customFormat="1" x14ac:dyDescent="0.25"/>
    <row r="14138" customFormat="1" x14ac:dyDescent="0.25"/>
    <row r="14139" customFormat="1" x14ac:dyDescent="0.25"/>
    <row r="14140" customFormat="1" x14ac:dyDescent="0.25"/>
    <row r="14141" customFormat="1" x14ac:dyDescent="0.25"/>
    <row r="14142" customFormat="1" x14ac:dyDescent="0.25"/>
    <row r="14143" customFormat="1" x14ac:dyDescent="0.25"/>
    <row r="14144" customFormat="1" x14ac:dyDescent="0.25"/>
    <row r="14145" customFormat="1" x14ac:dyDescent="0.25"/>
    <row r="14146" customFormat="1" x14ac:dyDescent="0.25"/>
    <row r="14147" customFormat="1" x14ac:dyDescent="0.25"/>
    <row r="14148" customFormat="1" x14ac:dyDescent="0.25"/>
    <row r="14149" customFormat="1" x14ac:dyDescent="0.25"/>
    <row r="14150" customFormat="1" x14ac:dyDescent="0.25"/>
    <row r="14151" customFormat="1" x14ac:dyDescent="0.25"/>
    <row r="14152" customFormat="1" x14ac:dyDescent="0.25"/>
    <row r="14153" customFormat="1" x14ac:dyDescent="0.25"/>
    <row r="14154" customFormat="1" x14ac:dyDescent="0.25"/>
    <row r="14155" customFormat="1" x14ac:dyDescent="0.25"/>
    <row r="14156" customFormat="1" x14ac:dyDescent="0.25"/>
    <row r="14157" customFormat="1" x14ac:dyDescent="0.25"/>
    <row r="14158" customFormat="1" x14ac:dyDescent="0.25"/>
    <row r="14159" customFormat="1" x14ac:dyDescent="0.25"/>
    <row r="14160" customFormat="1" x14ac:dyDescent="0.25"/>
    <row r="14161" customFormat="1" x14ac:dyDescent="0.25"/>
    <row r="14162" customFormat="1" x14ac:dyDescent="0.25"/>
    <row r="14163" customFormat="1" x14ac:dyDescent="0.25"/>
    <row r="14164" customFormat="1" x14ac:dyDescent="0.25"/>
    <row r="14165" customFormat="1" x14ac:dyDescent="0.25"/>
    <row r="14166" customFormat="1" x14ac:dyDescent="0.25"/>
    <row r="14167" customFormat="1" x14ac:dyDescent="0.25"/>
    <row r="14168" customFormat="1" x14ac:dyDescent="0.25"/>
    <row r="14169" customFormat="1" x14ac:dyDescent="0.25"/>
    <row r="14170" customFormat="1" x14ac:dyDescent="0.25"/>
    <row r="14171" customFormat="1" x14ac:dyDescent="0.25"/>
    <row r="14172" customFormat="1" x14ac:dyDescent="0.25"/>
    <row r="14173" customFormat="1" x14ac:dyDescent="0.25"/>
    <row r="14174" customFormat="1" x14ac:dyDescent="0.25"/>
    <row r="14175" customFormat="1" x14ac:dyDescent="0.25"/>
    <row r="14176" customFormat="1" x14ac:dyDescent="0.25"/>
    <row r="14177" customFormat="1" x14ac:dyDescent="0.25"/>
    <row r="14178" customFormat="1" x14ac:dyDescent="0.25"/>
    <row r="14179" customFormat="1" x14ac:dyDescent="0.25"/>
    <row r="14180" customFormat="1" x14ac:dyDescent="0.25"/>
    <row r="14181" customFormat="1" x14ac:dyDescent="0.25"/>
    <row r="14182" customFormat="1" x14ac:dyDescent="0.25"/>
    <row r="14183" customFormat="1" x14ac:dyDescent="0.25"/>
    <row r="14184" customFormat="1" x14ac:dyDescent="0.25"/>
    <row r="14185" customFormat="1" x14ac:dyDescent="0.25"/>
    <row r="14186" customFormat="1" x14ac:dyDescent="0.25"/>
    <row r="14187" customFormat="1" x14ac:dyDescent="0.25"/>
    <row r="14188" customFormat="1" x14ac:dyDescent="0.25"/>
    <row r="14189" customFormat="1" x14ac:dyDescent="0.25"/>
    <row r="14190" customFormat="1" x14ac:dyDescent="0.25"/>
    <row r="14191" customFormat="1" x14ac:dyDescent="0.25"/>
    <row r="14192" customFormat="1" x14ac:dyDescent="0.25"/>
    <row r="14193" customFormat="1" x14ac:dyDescent="0.25"/>
    <row r="14194" customFormat="1" x14ac:dyDescent="0.25"/>
    <row r="14195" customFormat="1" x14ac:dyDescent="0.25"/>
    <row r="14196" customFormat="1" x14ac:dyDescent="0.25"/>
    <row r="14197" customFormat="1" x14ac:dyDescent="0.25"/>
    <row r="14198" customFormat="1" x14ac:dyDescent="0.25"/>
    <row r="14199" customFormat="1" x14ac:dyDescent="0.25"/>
    <row r="14200" customFormat="1" x14ac:dyDescent="0.25"/>
    <row r="14201" customFormat="1" x14ac:dyDescent="0.25"/>
    <row r="14202" customFormat="1" x14ac:dyDescent="0.25"/>
    <row r="14203" customFormat="1" x14ac:dyDescent="0.25"/>
    <row r="14204" customFormat="1" x14ac:dyDescent="0.25"/>
    <row r="14205" customFormat="1" x14ac:dyDescent="0.25"/>
    <row r="14206" customFormat="1" x14ac:dyDescent="0.25"/>
    <row r="14207" customFormat="1" x14ac:dyDescent="0.25"/>
    <row r="14208" customFormat="1" x14ac:dyDescent="0.25"/>
    <row r="14209" customFormat="1" x14ac:dyDescent="0.25"/>
    <row r="14210" customFormat="1" x14ac:dyDescent="0.25"/>
    <row r="14211" customFormat="1" x14ac:dyDescent="0.25"/>
    <row r="14212" customFormat="1" x14ac:dyDescent="0.25"/>
    <row r="14213" customFormat="1" x14ac:dyDescent="0.25"/>
    <row r="14214" customFormat="1" x14ac:dyDescent="0.25"/>
    <row r="14215" customFormat="1" x14ac:dyDescent="0.25"/>
    <row r="14216" customFormat="1" x14ac:dyDescent="0.25"/>
    <row r="14217" customFormat="1" x14ac:dyDescent="0.25"/>
    <row r="14218" customFormat="1" x14ac:dyDescent="0.25"/>
    <row r="14219" customFormat="1" x14ac:dyDescent="0.25"/>
    <row r="14220" customFormat="1" x14ac:dyDescent="0.25"/>
    <row r="14221" customFormat="1" x14ac:dyDescent="0.25"/>
    <row r="14222" customFormat="1" x14ac:dyDescent="0.25"/>
    <row r="14223" customFormat="1" x14ac:dyDescent="0.25"/>
    <row r="14224" customFormat="1" x14ac:dyDescent="0.25"/>
    <row r="14225" customFormat="1" x14ac:dyDescent="0.25"/>
    <row r="14226" customFormat="1" x14ac:dyDescent="0.25"/>
    <row r="14227" customFormat="1" x14ac:dyDescent="0.25"/>
    <row r="14228" customFormat="1" x14ac:dyDescent="0.25"/>
    <row r="14229" customFormat="1" x14ac:dyDescent="0.25"/>
    <row r="14230" customFormat="1" x14ac:dyDescent="0.25"/>
    <row r="14231" customFormat="1" x14ac:dyDescent="0.25"/>
    <row r="14232" customFormat="1" x14ac:dyDescent="0.25"/>
    <row r="14233" customFormat="1" x14ac:dyDescent="0.25"/>
    <row r="14234" customFormat="1" x14ac:dyDescent="0.25"/>
    <row r="14235" customFormat="1" x14ac:dyDescent="0.25"/>
    <row r="14236" customFormat="1" x14ac:dyDescent="0.25"/>
    <row r="14237" customFormat="1" x14ac:dyDescent="0.25"/>
    <row r="14238" customFormat="1" x14ac:dyDescent="0.25"/>
    <row r="14239" customFormat="1" x14ac:dyDescent="0.25"/>
    <row r="14240" customFormat="1" x14ac:dyDescent="0.25"/>
    <row r="14241" customFormat="1" x14ac:dyDescent="0.25"/>
    <row r="14242" customFormat="1" x14ac:dyDescent="0.25"/>
    <row r="14243" customFormat="1" x14ac:dyDescent="0.25"/>
    <row r="14244" customFormat="1" x14ac:dyDescent="0.25"/>
    <row r="14245" customFormat="1" x14ac:dyDescent="0.25"/>
    <row r="14246" customFormat="1" x14ac:dyDescent="0.25"/>
    <row r="14247" customFormat="1" x14ac:dyDescent="0.25"/>
    <row r="14248" customFormat="1" x14ac:dyDescent="0.25"/>
    <row r="14249" customFormat="1" x14ac:dyDescent="0.25"/>
    <row r="14250" customFormat="1" x14ac:dyDescent="0.25"/>
    <row r="14251" customFormat="1" x14ac:dyDescent="0.25"/>
    <row r="14252" customFormat="1" x14ac:dyDescent="0.25"/>
    <row r="14253" customFormat="1" x14ac:dyDescent="0.25"/>
    <row r="14254" customFormat="1" x14ac:dyDescent="0.25"/>
    <row r="14255" customFormat="1" x14ac:dyDescent="0.25"/>
    <row r="14256" customFormat="1" x14ac:dyDescent="0.25"/>
    <row r="14257" customFormat="1" x14ac:dyDescent="0.25"/>
    <row r="14258" customFormat="1" x14ac:dyDescent="0.25"/>
    <row r="14259" customFormat="1" x14ac:dyDescent="0.25"/>
    <row r="14260" customFormat="1" x14ac:dyDescent="0.25"/>
    <row r="14261" customFormat="1" x14ac:dyDescent="0.25"/>
    <row r="14262" customFormat="1" x14ac:dyDescent="0.25"/>
    <row r="14263" customFormat="1" x14ac:dyDescent="0.25"/>
    <row r="14264" customFormat="1" x14ac:dyDescent="0.25"/>
    <row r="14265" customFormat="1" x14ac:dyDescent="0.25"/>
    <row r="14266" customFormat="1" x14ac:dyDescent="0.25"/>
    <row r="14267" customFormat="1" x14ac:dyDescent="0.25"/>
    <row r="14268" customFormat="1" x14ac:dyDescent="0.25"/>
    <row r="14269" customFormat="1" x14ac:dyDescent="0.25"/>
    <row r="14270" customFormat="1" x14ac:dyDescent="0.25"/>
    <row r="14271" customFormat="1" x14ac:dyDescent="0.25"/>
    <row r="14272" customFormat="1" x14ac:dyDescent="0.25"/>
    <row r="14273" customFormat="1" x14ac:dyDescent="0.25"/>
    <row r="14274" customFormat="1" x14ac:dyDescent="0.25"/>
    <row r="14275" customFormat="1" x14ac:dyDescent="0.25"/>
    <row r="14276" customFormat="1" x14ac:dyDescent="0.25"/>
    <row r="14277" customFormat="1" x14ac:dyDescent="0.25"/>
    <row r="14278" customFormat="1" x14ac:dyDescent="0.25"/>
    <row r="14279" customFormat="1" x14ac:dyDescent="0.25"/>
    <row r="14280" customFormat="1" x14ac:dyDescent="0.25"/>
    <row r="14281" customFormat="1" x14ac:dyDescent="0.25"/>
    <row r="14282" customFormat="1" x14ac:dyDescent="0.25"/>
    <row r="14283" customFormat="1" x14ac:dyDescent="0.25"/>
    <row r="14284" customFormat="1" x14ac:dyDescent="0.25"/>
    <row r="14285" customFormat="1" x14ac:dyDescent="0.25"/>
    <row r="14286" customFormat="1" x14ac:dyDescent="0.25"/>
    <row r="14287" customFormat="1" x14ac:dyDescent="0.25"/>
    <row r="14288" customFormat="1" x14ac:dyDescent="0.25"/>
    <row r="14289" customFormat="1" x14ac:dyDescent="0.25"/>
    <row r="14290" customFormat="1" x14ac:dyDescent="0.25"/>
    <row r="14291" customFormat="1" x14ac:dyDescent="0.25"/>
    <row r="14292" customFormat="1" x14ac:dyDescent="0.25"/>
    <row r="14293" customFormat="1" x14ac:dyDescent="0.25"/>
    <row r="14294" customFormat="1" x14ac:dyDescent="0.25"/>
    <row r="14295" customFormat="1" x14ac:dyDescent="0.25"/>
    <row r="14296" customFormat="1" x14ac:dyDescent="0.25"/>
    <row r="14297" customFormat="1" x14ac:dyDescent="0.25"/>
    <row r="14298" customFormat="1" x14ac:dyDescent="0.25"/>
    <row r="14299" customFormat="1" x14ac:dyDescent="0.25"/>
    <row r="14300" customFormat="1" x14ac:dyDescent="0.25"/>
    <row r="14301" customFormat="1" x14ac:dyDescent="0.25"/>
    <row r="14302" customFormat="1" x14ac:dyDescent="0.25"/>
    <row r="14303" customFormat="1" x14ac:dyDescent="0.25"/>
    <row r="14304" customFormat="1" x14ac:dyDescent="0.25"/>
    <row r="14305" customFormat="1" x14ac:dyDescent="0.25"/>
    <row r="14306" customFormat="1" x14ac:dyDescent="0.25"/>
    <row r="14307" customFormat="1" x14ac:dyDescent="0.25"/>
    <row r="14308" customFormat="1" x14ac:dyDescent="0.25"/>
    <row r="14309" customFormat="1" x14ac:dyDescent="0.25"/>
    <row r="14310" customFormat="1" x14ac:dyDescent="0.25"/>
    <row r="14311" customFormat="1" x14ac:dyDescent="0.25"/>
    <row r="14312" customFormat="1" x14ac:dyDescent="0.25"/>
    <row r="14313" customFormat="1" x14ac:dyDescent="0.25"/>
    <row r="14314" customFormat="1" x14ac:dyDescent="0.25"/>
    <row r="14315" customFormat="1" x14ac:dyDescent="0.25"/>
    <row r="14316" customFormat="1" x14ac:dyDescent="0.25"/>
    <row r="14317" customFormat="1" x14ac:dyDescent="0.25"/>
    <row r="14318" customFormat="1" x14ac:dyDescent="0.25"/>
    <row r="14319" customFormat="1" x14ac:dyDescent="0.25"/>
    <row r="14320" customFormat="1" x14ac:dyDescent="0.25"/>
    <row r="14321" customFormat="1" x14ac:dyDescent="0.25"/>
    <row r="14322" customFormat="1" x14ac:dyDescent="0.25"/>
    <row r="14323" customFormat="1" x14ac:dyDescent="0.25"/>
    <row r="14324" customFormat="1" x14ac:dyDescent="0.25"/>
    <row r="14325" customFormat="1" x14ac:dyDescent="0.25"/>
    <row r="14326" customFormat="1" x14ac:dyDescent="0.25"/>
    <row r="14327" customFormat="1" x14ac:dyDescent="0.25"/>
    <row r="14328" customFormat="1" x14ac:dyDescent="0.25"/>
    <row r="14329" customFormat="1" x14ac:dyDescent="0.25"/>
    <row r="14330" customFormat="1" x14ac:dyDescent="0.25"/>
    <row r="14331" customFormat="1" x14ac:dyDescent="0.25"/>
    <row r="14332" customFormat="1" x14ac:dyDescent="0.25"/>
    <row r="14333" customFormat="1" x14ac:dyDescent="0.25"/>
    <row r="14334" customFormat="1" x14ac:dyDescent="0.25"/>
    <row r="14335" customFormat="1" x14ac:dyDescent="0.25"/>
    <row r="14336" customFormat="1" x14ac:dyDescent="0.25"/>
    <row r="14337" customFormat="1" x14ac:dyDescent="0.25"/>
    <row r="14338" customFormat="1" x14ac:dyDescent="0.25"/>
    <row r="14339" customFormat="1" x14ac:dyDescent="0.25"/>
    <row r="14340" customFormat="1" x14ac:dyDescent="0.25"/>
    <row r="14341" customFormat="1" x14ac:dyDescent="0.25"/>
    <row r="14342" customFormat="1" x14ac:dyDescent="0.25"/>
    <row r="14343" customFormat="1" x14ac:dyDescent="0.25"/>
    <row r="14344" customFormat="1" x14ac:dyDescent="0.25"/>
    <row r="14345" customFormat="1" x14ac:dyDescent="0.25"/>
    <row r="14346" customFormat="1" x14ac:dyDescent="0.25"/>
    <row r="14347" customFormat="1" x14ac:dyDescent="0.25"/>
    <row r="14348" customFormat="1" x14ac:dyDescent="0.25"/>
    <row r="14349" customFormat="1" x14ac:dyDescent="0.25"/>
    <row r="14350" customFormat="1" x14ac:dyDescent="0.25"/>
    <row r="14351" customFormat="1" x14ac:dyDescent="0.25"/>
    <row r="14352" customFormat="1" x14ac:dyDescent="0.25"/>
    <row r="14353" customFormat="1" x14ac:dyDescent="0.25"/>
    <row r="14354" customFormat="1" x14ac:dyDescent="0.25"/>
    <row r="14355" customFormat="1" x14ac:dyDescent="0.25"/>
    <row r="14356" customFormat="1" x14ac:dyDescent="0.25"/>
    <row r="14357" customFormat="1" x14ac:dyDescent="0.25"/>
    <row r="14358" customFormat="1" x14ac:dyDescent="0.25"/>
    <row r="14359" customFormat="1" x14ac:dyDescent="0.25"/>
    <row r="14360" customFormat="1" x14ac:dyDescent="0.25"/>
    <row r="14361" customFormat="1" x14ac:dyDescent="0.25"/>
    <row r="14362" customFormat="1" x14ac:dyDescent="0.25"/>
    <row r="14363" customFormat="1" x14ac:dyDescent="0.25"/>
    <row r="14364" customFormat="1" x14ac:dyDescent="0.25"/>
    <row r="14365" customFormat="1" x14ac:dyDescent="0.25"/>
    <row r="14366" customFormat="1" x14ac:dyDescent="0.25"/>
    <row r="14367" customFormat="1" x14ac:dyDescent="0.25"/>
    <row r="14368" customFormat="1" x14ac:dyDescent="0.25"/>
    <row r="14369" customFormat="1" x14ac:dyDescent="0.25"/>
    <row r="14370" customFormat="1" x14ac:dyDescent="0.25"/>
    <row r="14371" customFormat="1" x14ac:dyDescent="0.25"/>
    <row r="14372" customFormat="1" x14ac:dyDescent="0.25"/>
    <row r="14373" customFormat="1" x14ac:dyDescent="0.25"/>
    <row r="14374" customFormat="1" x14ac:dyDescent="0.25"/>
    <row r="14375" customFormat="1" x14ac:dyDescent="0.25"/>
    <row r="14376" customFormat="1" x14ac:dyDescent="0.25"/>
    <row r="14377" customFormat="1" x14ac:dyDescent="0.25"/>
    <row r="14378" customFormat="1" x14ac:dyDescent="0.25"/>
    <row r="14379" customFormat="1" x14ac:dyDescent="0.25"/>
    <row r="14380" customFormat="1" x14ac:dyDescent="0.25"/>
    <row r="14381" customFormat="1" x14ac:dyDescent="0.25"/>
    <row r="14382" customFormat="1" x14ac:dyDescent="0.25"/>
    <row r="14383" customFormat="1" x14ac:dyDescent="0.25"/>
    <row r="14384" customFormat="1" x14ac:dyDescent="0.25"/>
    <row r="14385" customFormat="1" x14ac:dyDescent="0.25"/>
    <row r="14386" customFormat="1" x14ac:dyDescent="0.25"/>
    <row r="14387" customFormat="1" x14ac:dyDescent="0.25"/>
    <row r="14388" customFormat="1" x14ac:dyDescent="0.25"/>
    <row r="14389" customFormat="1" x14ac:dyDescent="0.25"/>
    <row r="14390" customFormat="1" x14ac:dyDescent="0.25"/>
    <row r="14391" customFormat="1" x14ac:dyDescent="0.25"/>
    <row r="14392" customFormat="1" x14ac:dyDescent="0.25"/>
    <row r="14393" customFormat="1" x14ac:dyDescent="0.25"/>
    <row r="14394" customFormat="1" x14ac:dyDescent="0.25"/>
    <row r="14395" customFormat="1" x14ac:dyDescent="0.25"/>
    <row r="14396" customFormat="1" x14ac:dyDescent="0.25"/>
    <row r="14397" customFormat="1" x14ac:dyDescent="0.25"/>
    <row r="14398" customFormat="1" x14ac:dyDescent="0.25"/>
    <row r="14399" customFormat="1" x14ac:dyDescent="0.25"/>
    <row r="14400" customFormat="1" x14ac:dyDescent="0.25"/>
    <row r="14401" customFormat="1" x14ac:dyDescent="0.25"/>
    <row r="14402" customFormat="1" x14ac:dyDescent="0.25"/>
    <row r="14403" customFormat="1" x14ac:dyDescent="0.25"/>
    <row r="14404" customFormat="1" x14ac:dyDescent="0.25"/>
    <row r="14405" customFormat="1" x14ac:dyDescent="0.25"/>
    <row r="14406" customFormat="1" x14ac:dyDescent="0.25"/>
    <row r="14407" customFormat="1" x14ac:dyDescent="0.25"/>
    <row r="14408" customFormat="1" x14ac:dyDescent="0.25"/>
    <row r="14409" customFormat="1" x14ac:dyDescent="0.25"/>
    <row r="14410" customFormat="1" x14ac:dyDescent="0.25"/>
    <row r="14411" customFormat="1" x14ac:dyDescent="0.25"/>
    <row r="14412" customFormat="1" x14ac:dyDescent="0.25"/>
    <row r="14413" customFormat="1" x14ac:dyDescent="0.25"/>
    <row r="14414" customFormat="1" x14ac:dyDescent="0.25"/>
    <row r="14415" customFormat="1" x14ac:dyDescent="0.25"/>
    <row r="14416" customFormat="1" x14ac:dyDescent="0.25"/>
    <row r="14417" customFormat="1" x14ac:dyDescent="0.25"/>
    <row r="14418" customFormat="1" x14ac:dyDescent="0.25"/>
    <row r="14419" customFormat="1" x14ac:dyDescent="0.25"/>
    <row r="14420" customFormat="1" x14ac:dyDescent="0.25"/>
    <row r="14421" customFormat="1" x14ac:dyDescent="0.25"/>
    <row r="14422" customFormat="1" x14ac:dyDescent="0.25"/>
    <row r="14423" customFormat="1" x14ac:dyDescent="0.25"/>
    <row r="14424" customFormat="1" x14ac:dyDescent="0.25"/>
    <row r="14425" customFormat="1" x14ac:dyDescent="0.25"/>
    <row r="14426" customFormat="1" x14ac:dyDescent="0.25"/>
    <row r="14427" customFormat="1" x14ac:dyDescent="0.25"/>
    <row r="14428" customFormat="1" x14ac:dyDescent="0.25"/>
    <row r="14429" customFormat="1" x14ac:dyDescent="0.25"/>
    <row r="14430" customFormat="1" x14ac:dyDescent="0.25"/>
    <row r="14431" customFormat="1" x14ac:dyDescent="0.25"/>
    <row r="14432" customFormat="1" x14ac:dyDescent="0.25"/>
    <row r="14433" customFormat="1" x14ac:dyDescent="0.25"/>
    <row r="14434" customFormat="1" x14ac:dyDescent="0.25"/>
    <row r="14435" customFormat="1" x14ac:dyDescent="0.25"/>
    <row r="14436" customFormat="1" x14ac:dyDescent="0.25"/>
    <row r="14437" customFormat="1" x14ac:dyDescent="0.25"/>
    <row r="14438" customFormat="1" x14ac:dyDescent="0.25"/>
    <row r="14439" customFormat="1" x14ac:dyDescent="0.25"/>
    <row r="14440" customFormat="1" x14ac:dyDescent="0.25"/>
    <row r="14441" customFormat="1" x14ac:dyDescent="0.25"/>
    <row r="14442" customFormat="1" x14ac:dyDescent="0.25"/>
    <row r="14443" customFormat="1" x14ac:dyDescent="0.25"/>
    <row r="14444" customFormat="1" x14ac:dyDescent="0.25"/>
    <row r="14445" customFormat="1" x14ac:dyDescent="0.25"/>
    <row r="14446" customFormat="1" x14ac:dyDescent="0.25"/>
    <row r="14447" customFormat="1" x14ac:dyDescent="0.25"/>
    <row r="14448" customFormat="1" x14ac:dyDescent="0.25"/>
    <row r="14449" customFormat="1" x14ac:dyDescent="0.25"/>
    <row r="14450" customFormat="1" x14ac:dyDescent="0.25"/>
    <row r="14451" customFormat="1" x14ac:dyDescent="0.25"/>
    <row r="14452" customFormat="1" x14ac:dyDescent="0.25"/>
    <row r="14453" customFormat="1" x14ac:dyDescent="0.25"/>
    <row r="14454" customFormat="1" x14ac:dyDescent="0.25"/>
    <row r="14455" customFormat="1" x14ac:dyDescent="0.25"/>
    <row r="14456" customFormat="1" x14ac:dyDescent="0.25"/>
    <row r="14457" customFormat="1" x14ac:dyDescent="0.25"/>
    <row r="14458" customFormat="1" x14ac:dyDescent="0.25"/>
    <row r="14459" customFormat="1" x14ac:dyDescent="0.25"/>
    <row r="14460" customFormat="1" x14ac:dyDescent="0.25"/>
    <row r="14461" customFormat="1" x14ac:dyDescent="0.25"/>
    <row r="14462" customFormat="1" x14ac:dyDescent="0.25"/>
    <row r="14463" customFormat="1" x14ac:dyDescent="0.25"/>
    <row r="14464" customFormat="1" x14ac:dyDescent="0.25"/>
    <row r="14465" customFormat="1" x14ac:dyDescent="0.25"/>
    <row r="14466" customFormat="1" x14ac:dyDescent="0.25"/>
    <row r="14467" customFormat="1" x14ac:dyDescent="0.25"/>
    <row r="14468" customFormat="1" x14ac:dyDescent="0.25"/>
    <row r="14469" customFormat="1" x14ac:dyDescent="0.25"/>
    <row r="14470" customFormat="1" x14ac:dyDescent="0.25"/>
    <row r="14471" customFormat="1" x14ac:dyDescent="0.25"/>
    <row r="14472" customFormat="1" x14ac:dyDescent="0.25"/>
    <row r="14473" customFormat="1" x14ac:dyDescent="0.25"/>
    <row r="14474" customFormat="1" x14ac:dyDescent="0.25"/>
    <row r="14475" customFormat="1" x14ac:dyDescent="0.25"/>
    <row r="14476" customFormat="1" x14ac:dyDescent="0.25"/>
    <row r="14477" customFormat="1" x14ac:dyDescent="0.25"/>
    <row r="14478" customFormat="1" x14ac:dyDescent="0.25"/>
    <row r="14479" customFormat="1" x14ac:dyDescent="0.25"/>
    <row r="14480" customFormat="1" x14ac:dyDescent="0.25"/>
    <row r="14481" customFormat="1" x14ac:dyDescent="0.25"/>
    <row r="14482" customFormat="1" x14ac:dyDescent="0.25"/>
    <row r="14483" customFormat="1" x14ac:dyDescent="0.25"/>
    <row r="14484" customFormat="1" x14ac:dyDescent="0.25"/>
    <row r="14485" customFormat="1" x14ac:dyDescent="0.25"/>
    <row r="14486" customFormat="1" x14ac:dyDescent="0.25"/>
    <row r="14487" customFormat="1" x14ac:dyDescent="0.25"/>
    <row r="14488" customFormat="1" x14ac:dyDescent="0.25"/>
    <row r="14489" customFormat="1" x14ac:dyDescent="0.25"/>
    <row r="14490" customFormat="1" x14ac:dyDescent="0.25"/>
    <row r="14491" customFormat="1" x14ac:dyDescent="0.25"/>
    <row r="14492" customFormat="1" x14ac:dyDescent="0.25"/>
    <row r="14493" customFormat="1" x14ac:dyDescent="0.25"/>
    <row r="14494" customFormat="1" x14ac:dyDescent="0.25"/>
    <row r="14495" customFormat="1" x14ac:dyDescent="0.25"/>
    <row r="14496" customFormat="1" x14ac:dyDescent="0.25"/>
    <row r="14497" customFormat="1" x14ac:dyDescent="0.25"/>
    <row r="14498" customFormat="1" x14ac:dyDescent="0.25"/>
    <row r="14499" customFormat="1" x14ac:dyDescent="0.25"/>
    <row r="14500" customFormat="1" x14ac:dyDescent="0.25"/>
    <row r="14501" customFormat="1" x14ac:dyDescent="0.25"/>
    <row r="14502" customFormat="1" x14ac:dyDescent="0.25"/>
    <row r="14503" customFormat="1" x14ac:dyDescent="0.25"/>
    <row r="14504" customFormat="1" x14ac:dyDescent="0.25"/>
    <row r="14505" customFormat="1" x14ac:dyDescent="0.25"/>
    <row r="14506" customFormat="1" x14ac:dyDescent="0.25"/>
    <row r="14507" customFormat="1" x14ac:dyDescent="0.25"/>
    <row r="14508" customFormat="1" x14ac:dyDescent="0.25"/>
    <row r="14509" customFormat="1" x14ac:dyDescent="0.25"/>
    <row r="14510" customFormat="1" x14ac:dyDescent="0.25"/>
    <row r="14511" customFormat="1" x14ac:dyDescent="0.25"/>
    <row r="14512" customFormat="1" x14ac:dyDescent="0.25"/>
    <row r="14513" customFormat="1" x14ac:dyDescent="0.25"/>
    <row r="14514" customFormat="1" x14ac:dyDescent="0.25"/>
    <row r="14515" customFormat="1" x14ac:dyDescent="0.25"/>
    <row r="14516" customFormat="1" x14ac:dyDescent="0.25"/>
    <row r="14517" customFormat="1" x14ac:dyDescent="0.25"/>
    <row r="14518" customFormat="1" x14ac:dyDescent="0.25"/>
    <row r="14519" customFormat="1" x14ac:dyDescent="0.25"/>
    <row r="14520" customFormat="1" x14ac:dyDescent="0.25"/>
    <row r="14521" customFormat="1" x14ac:dyDescent="0.25"/>
    <row r="14522" customFormat="1" x14ac:dyDescent="0.25"/>
    <row r="14523" customFormat="1" x14ac:dyDescent="0.25"/>
    <row r="14524" customFormat="1" x14ac:dyDescent="0.25"/>
    <row r="14525" customFormat="1" x14ac:dyDescent="0.25"/>
    <row r="14526" customFormat="1" x14ac:dyDescent="0.25"/>
    <row r="14527" customFormat="1" x14ac:dyDescent="0.25"/>
    <row r="14528" customFormat="1" x14ac:dyDescent="0.25"/>
    <row r="14529" customFormat="1" x14ac:dyDescent="0.25"/>
    <row r="14530" customFormat="1" x14ac:dyDescent="0.25"/>
    <row r="14531" customFormat="1" x14ac:dyDescent="0.25"/>
    <row r="14532" customFormat="1" x14ac:dyDescent="0.25"/>
    <row r="14533" customFormat="1" x14ac:dyDescent="0.25"/>
    <row r="14534" customFormat="1" x14ac:dyDescent="0.25"/>
    <row r="14535" customFormat="1" x14ac:dyDescent="0.25"/>
    <row r="14536" customFormat="1" x14ac:dyDescent="0.25"/>
    <row r="14537" customFormat="1" x14ac:dyDescent="0.25"/>
    <row r="14538" customFormat="1" x14ac:dyDescent="0.25"/>
    <row r="14539" customFormat="1" x14ac:dyDescent="0.25"/>
    <row r="14540" customFormat="1" x14ac:dyDescent="0.25"/>
    <row r="14541" customFormat="1" x14ac:dyDescent="0.25"/>
    <row r="14542" customFormat="1" x14ac:dyDescent="0.25"/>
    <row r="14543" customFormat="1" x14ac:dyDescent="0.25"/>
    <row r="14544" customFormat="1" x14ac:dyDescent="0.25"/>
    <row r="14545" customFormat="1" x14ac:dyDescent="0.25"/>
    <row r="14546" customFormat="1" x14ac:dyDescent="0.25"/>
    <row r="14547" customFormat="1" x14ac:dyDescent="0.25"/>
    <row r="14548" customFormat="1" x14ac:dyDescent="0.25"/>
    <row r="14549" customFormat="1" x14ac:dyDescent="0.25"/>
    <row r="14550" customFormat="1" x14ac:dyDescent="0.25"/>
    <row r="14551" customFormat="1" x14ac:dyDescent="0.25"/>
    <row r="14552" customFormat="1" x14ac:dyDescent="0.25"/>
    <row r="14553" customFormat="1" x14ac:dyDescent="0.25"/>
    <row r="14554" customFormat="1" x14ac:dyDescent="0.25"/>
    <row r="14555" customFormat="1" x14ac:dyDescent="0.25"/>
    <row r="14556" customFormat="1" x14ac:dyDescent="0.25"/>
    <row r="14557" customFormat="1" x14ac:dyDescent="0.25"/>
    <row r="14558" customFormat="1" x14ac:dyDescent="0.25"/>
    <row r="14559" customFormat="1" x14ac:dyDescent="0.25"/>
    <row r="14560" customFormat="1" x14ac:dyDescent="0.25"/>
    <row r="14561" customFormat="1" x14ac:dyDescent="0.25"/>
    <row r="14562" customFormat="1" x14ac:dyDescent="0.25"/>
    <row r="14563" customFormat="1" x14ac:dyDescent="0.25"/>
    <row r="14564" customFormat="1" x14ac:dyDescent="0.25"/>
    <row r="14565" customFormat="1" x14ac:dyDescent="0.25"/>
    <row r="14566" customFormat="1" x14ac:dyDescent="0.25"/>
    <row r="14567" customFormat="1" x14ac:dyDescent="0.25"/>
    <row r="14568" customFormat="1" x14ac:dyDescent="0.25"/>
    <row r="14569" customFormat="1" x14ac:dyDescent="0.25"/>
    <row r="14570" customFormat="1" x14ac:dyDescent="0.25"/>
    <row r="14571" customFormat="1" x14ac:dyDescent="0.25"/>
    <row r="14572" customFormat="1" x14ac:dyDescent="0.25"/>
    <row r="14573" customFormat="1" x14ac:dyDescent="0.25"/>
    <row r="14574" customFormat="1" x14ac:dyDescent="0.25"/>
    <row r="14575" customFormat="1" x14ac:dyDescent="0.25"/>
    <row r="14576" customFormat="1" x14ac:dyDescent="0.25"/>
    <row r="14577" customFormat="1" x14ac:dyDescent="0.25"/>
    <row r="14578" customFormat="1" x14ac:dyDescent="0.25"/>
    <row r="14579" customFormat="1" x14ac:dyDescent="0.25"/>
    <row r="14580" customFormat="1" x14ac:dyDescent="0.25"/>
    <row r="14581" customFormat="1" x14ac:dyDescent="0.25"/>
    <row r="14582" customFormat="1" x14ac:dyDescent="0.25"/>
    <row r="14583" customFormat="1" x14ac:dyDescent="0.25"/>
    <row r="14584" customFormat="1" x14ac:dyDescent="0.25"/>
    <row r="14585" customFormat="1" x14ac:dyDescent="0.25"/>
    <row r="14586" customFormat="1" x14ac:dyDescent="0.25"/>
    <row r="14587" customFormat="1" x14ac:dyDescent="0.25"/>
    <row r="14588" customFormat="1" x14ac:dyDescent="0.25"/>
    <row r="14589" customFormat="1" x14ac:dyDescent="0.25"/>
    <row r="14590" customFormat="1" x14ac:dyDescent="0.25"/>
    <row r="14591" customFormat="1" x14ac:dyDescent="0.25"/>
    <row r="14592" customFormat="1" x14ac:dyDescent="0.25"/>
    <row r="14593" customFormat="1" x14ac:dyDescent="0.25"/>
    <row r="14594" customFormat="1" x14ac:dyDescent="0.25"/>
    <row r="14595" customFormat="1" x14ac:dyDescent="0.25"/>
    <row r="14596" customFormat="1" x14ac:dyDescent="0.25"/>
    <row r="14597" customFormat="1" x14ac:dyDescent="0.25"/>
    <row r="14598" customFormat="1" x14ac:dyDescent="0.25"/>
    <row r="14599" customFormat="1" x14ac:dyDescent="0.25"/>
    <row r="14600" customFormat="1" x14ac:dyDescent="0.25"/>
    <row r="14601" customFormat="1" x14ac:dyDescent="0.25"/>
    <row r="14602" customFormat="1" x14ac:dyDescent="0.25"/>
    <row r="14603" customFormat="1" x14ac:dyDescent="0.25"/>
    <row r="14604" customFormat="1" x14ac:dyDescent="0.25"/>
    <row r="14605" customFormat="1" x14ac:dyDescent="0.25"/>
    <row r="14606" customFormat="1" x14ac:dyDescent="0.25"/>
    <row r="14607" customFormat="1" x14ac:dyDescent="0.25"/>
    <row r="14608" customFormat="1" x14ac:dyDescent="0.25"/>
    <row r="14609" customFormat="1" x14ac:dyDescent="0.25"/>
    <row r="14610" customFormat="1" x14ac:dyDescent="0.25"/>
    <row r="14611" customFormat="1" x14ac:dyDescent="0.25"/>
    <row r="14612" customFormat="1" x14ac:dyDescent="0.25"/>
    <row r="14613" customFormat="1" x14ac:dyDescent="0.25"/>
    <row r="14614" customFormat="1" x14ac:dyDescent="0.25"/>
    <row r="14615" customFormat="1" x14ac:dyDescent="0.25"/>
    <row r="14616" customFormat="1" x14ac:dyDescent="0.25"/>
    <row r="14617" customFormat="1" x14ac:dyDescent="0.25"/>
    <row r="14618" customFormat="1" x14ac:dyDescent="0.25"/>
    <row r="14619" customFormat="1" x14ac:dyDescent="0.25"/>
    <row r="14620" customFormat="1" x14ac:dyDescent="0.25"/>
    <row r="14621" customFormat="1" x14ac:dyDescent="0.25"/>
    <row r="14622" customFormat="1" x14ac:dyDescent="0.25"/>
    <row r="14623" customFormat="1" x14ac:dyDescent="0.25"/>
    <row r="14624" customFormat="1" x14ac:dyDescent="0.25"/>
    <row r="14625" customFormat="1" x14ac:dyDescent="0.25"/>
    <row r="14626" customFormat="1" x14ac:dyDescent="0.25"/>
    <row r="14627" customFormat="1" x14ac:dyDescent="0.25"/>
    <row r="14628" customFormat="1" x14ac:dyDescent="0.25"/>
    <row r="14629" customFormat="1" x14ac:dyDescent="0.25"/>
    <row r="14630" customFormat="1" x14ac:dyDescent="0.25"/>
    <row r="14631" customFormat="1" x14ac:dyDescent="0.25"/>
    <row r="14632" customFormat="1" x14ac:dyDescent="0.25"/>
    <row r="14633" customFormat="1" x14ac:dyDescent="0.25"/>
    <row r="14634" customFormat="1" x14ac:dyDescent="0.25"/>
    <row r="14635" customFormat="1" x14ac:dyDescent="0.25"/>
    <row r="14636" customFormat="1" x14ac:dyDescent="0.25"/>
    <row r="14637" customFormat="1" x14ac:dyDescent="0.25"/>
    <row r="14638" customFormat="1" x14ac:dyDescent="0.25"/>
    <row r="14639" customFormat="1" x14ac:dyDescent="0.25"/>
    <row r="14640" customFormat="1" x14ac:dyDescent="0.25"/>
    <row r="14641" customFormat="1" x14ac:dyDescent="0.25"/>
    <row r="14642" customFormat="1" x14ac:dyDescent="0.25"/>
    <row r="14643" customFormat="1" x14ac:dyDescent="0.25"/>
    <row r="14644" customFormat="1" x14ac:dyDescent="0.25"/>
    <row r="14645" customFormat="1" x14ac:dyDescent="0.25"/>
    <row r="14646" customFormat="1" x14ac:dyDescent="0.25"/>
    <row r="14647" customFormat="1" x14ac:dyDescent="0.25"/>
    <row r="14648" customFormat="1" x14ac:dyDescent="0.25"/>
    <row r="14649" customFormat="1" x14ac:dyDescent="0.25"/>
    <row r="14650" customFormat="1" x14ac:dyDescent="0.25"/>
    <row r="14651" customFormat="1" x14ac:dyDescent="0.25"/>
    <row r="14652" customFormat="1" x14ac:dyDescent="0.25"/>
    <row r="14653" customFormat="1" x14ac:dyDescent="0.25"/>
    <row r="14654" customFormat="1" x14ac:dyDescent="0.25"/>
    <row r="14655" customFormat="1" x14ac:dyDescent="0.25"/>
    <row r="14656" customFormat="1" x14ac:dyDescent="0.25"/>
    <row r="14657" customFormat="1" x14ac:dyDescent="0.25"/>
    <row r="14658" customFormat="1" x14ac:dyDescent="0.25"/>
    <row r="14659" customFormat="1" x14ac:dyDescent="0.25"/>
    <row r="14660" customFormat="1" x14ac:dyDescent="0.25"/>
    <row r="14661" customFormat="1" x14ac:dyDescent="0.25"/>
    <row r="14662" customFormat="1" x14ac:dyDescent="0.25"/>
    <row r="14663" customFormat="1" x14ac:dyDescent="0.25"/>
    <row r="14664" customFormat="1" x14ac:dyDescent="0.25"/>
    <row r="14665" customFormat="1" x14ac:dyDescent="0.25"/>
    <row r="14666" customFormat="1" x14ac:dyDescent="0.25"/>
    <row r="14667" customFormat="1" x14ac:dyDescent="0.25"/>
    <row r="14668" customFormat="1" x14ac:dyDescent="0.25"/>
    <row r="14669" customFormat="1" x14ac:dyDescent="0.25"/>
    <row r="14670" customFormat="1" x14ac:dyDescent="0.25"/>
    <row r="14671" customFormat="1" x14ac:dyDescent="0.25"/>
    <row r="14672" customFormat="1" x14ac:dyDescent="0.25"/>
    <row r="14673" customFormat="1" x14ac:dyDescent="0.25"/>
    <row r="14674" customFormat="1" x14ac:dyDescent="0.25"/>
    <row r="14675" customFormat="1" x14ac:dyDescent="0.25"/>
    <row r="14676" customFormat="1" x14ac:dyDescent="0.25"/>
    <row r="14677" customFormat="1" x14ac:dyDescent="0.25"/>
    <row r="14678" customFormat="1" x14ac:dyDescent="0.25"/>
    <row r="14679" customFormat="1" x14ac:dyDescent="0.25"/>
    <row r="14680" customFormat="1" x14ac:dyDescent="0.25"/>
    <row r="14681" customFormat="1" x14ac:dyDescent="0.25"/>
    <row r="14682" customFormat="1" x14ac:dyDescent="0.25"/>
    <row r="14683" customFormat="1" x14ac:dyDescent="0.25"/>
    <row r="14684" customFormat="1" x14ac:dyDescent="0.25"/>
    <row r="14685" customFormat="1" x14ac:dyDescent="0.25"/>
    <row r="14686" customFormat="1" x14ac:dyDescent="0.25"/>
    <row r="14687" customFormat="1" x14ac:dyDescent="0.25"/>
    <row r="14688" customFormat="1" x14ac:dyDescent="0.25"/>
    <row r="14689" customFormat="1" x14ac:dyDescent="0.25"/>
    <row r="14690" customFormat="1" x14ac:dyDescent="0.25"/>
    <row r="14691" customFormat="1" x14ac:dyDescent="0.25"/>
    <row r="14692" customFormat="1" x14ac:dyDescent="0.25"/>
    <row r="14693" customFormat="1" x14ac:dyDescent="0.25"/>
    <row r="14694" customFormat="1" x14ac:dyDescent="0.25"/>
    <row r="14695" customFormat="1" x14ac:dyDescent="0.25"/>
    <row r="14696" customFormat="1" x14ac:dyDescent="0.25"/>
    <row r="14697" customFormat="1" x14ac:dyDescent="0.25"/>
    <row r="14698" customFormat="1" x14ac:dyDescent="0.25"/>
    <row r="14699" customFormat="1" x14ac:dyDescent="0.25"/>
    <row r="14700" customFormat="1" x14ac:dyDescent="0.25"/>
    <row r="14701" customFormat="1" x14ac:dyDescent="0.25"/>
    <row r="14702" customFormat="1" x14ac:dyDescent="0.25"/>
    <row r="14703" customFormat="1" x14ac:dyDescent="0.25"/>
    <row r="14704" customFormat="1" x14ac:dyDescent="0.25"/>
    <row r="14705" customFormat="1" x14ac:dyDescent="0.25"/>
    <row r="14706" customFormat="1" x14ac:dyDescent="0.25"/>
    <row r="14707" customFormat="1" x14ac:dyDescent="0.25"/>
    <row r="14708" customFormat="1" x14ac:dyDescent="0.25"/>
    <row r="14709" customFormat="1" x14ac:dyDescent="0.25"/>
    <row r="14710" customFormat="1" x14ac:dyDescent="0.25"/>
    <row r="14711" customFormat="1" x14ac:dyDescent="0.25"/>
    <row r="14712" customFormat="1" x14ac:dyDescent="0.25"/>
    <row r="14713" customFormat="1" x14ac:dyDescent="0.25"/>
    <row r="14714" customFormat="1" x14ac:dyDescent="0.25"/>
    <row r="14715" customFormat="1" x14ac:dyDescent="0.25"/>
    <row r="14716" customFormat="1" x14ac:dyDescent="0.25"/>
    <row r="14717" customFormat="1" x14ac:dyDescent="0.25"/>
    <row r="14718" customFormat="1" x14ac:dyDescent="0.25"/>
    <row r="14719" customFormat="1" x14ac:dyDescent="0.25"/>
    <row r="14720" customFormat="1" x14ac:dyDescent="0.25"/>
    <row r="14721" customFormat="1" x14ac:dyDescent="0.25"/>
    <row r="14722" customFormat="1" x14ac:dyDescent="0.25"/>
    <row r="14723" customFormat="1" x14ac:dyDescent="0.25"/>
    <row r="14724" customFormat="1" x14ac:dyDescent="0.25"/>
    <row r="14725" customFormat="1" x14ac:dyDescent="0.25"/>
    <row r="14726" customFormat="1" x14ac:dyDescent="0.25"/>
    <row r="14727" customFormat="1" x14ac:dyDescent="0.25"/>
    <row r="14728" customFormat="1" x14ac:dyDescent="0.25"/>
    <row r="14729" customFormat="1" x14ac:dyDescent="0.25"/>
    <row r="14730" customFormat="1" x14ac:dyDescent="0.25"/>
    <row r="14731" customFormat="1" x14ac:dyDescent="0.25"/>
    <row r="14732" customFormat="1" x14ac:dyDescent="0.25"/>
    <row r="14733" customFormat="1" x14ac:dyDescent="0.25"/>
    <row r="14734" customFormat="1" x14ac:dyDescent="0.25"/>
    <row r="14735" customFormat="1" x14ac:dyDescent="0.25"/>
    <row r="14736" customFormat="1" x14ac:dyDescent="0.25"/>
    <row r="14737" customFormat="1" x14ac:dyDescent="0.25"/>
    <row r="14738" customFormat="1" x14ac:dyDescent="0.25"/>
    <row r="14739" customFormat="1" x14ac:dyDescent="0.25"/>
    <row r="14740" customFormat="1" x14ac:dyDescent="0.25"/>
    <row r="14741" customFormat="1" x14ac:dyDescent="0.25"/>
    <row r="14742" customFormat="1" x14ac:dyDescent="0.25"/>
    <row r="14743" customFormat="1" x14ac:dyDescent="0.25"/>
    <row r="14744" customFormat="1" x14ac:dyDescent="0.25"/>
    <row r="14745" customFormat="1" x14ac:dyDescent="0.25"/>
    <row r="14746" customFormat="1" x14ac:dyDescent="0.25"/>
    <row r="14747" customFormat="1" x14ac:dyDescent="0.25"/>
    <row r="14748" customFormat="1" x14ac:dyDescent="0.25"/>
    <row r="14749" customFormat="1" x14ac:dyDescent="0.25"/>
    <row r="14750" customFormat="1" x14ac:dyDescent="0.25"/>
    <row r="14751" customFormat="1" x14ac:dyDescent="0.25"/>
    <row r="14752" customFormat="1" x14ac:dyDescent="0.25"/>
    <row r="14753" customFormat="1" x14ac:dyDescent="0.25"/>
    <row r="14754" customFormat="1" x14ac:dyDescent="0.25"/>
    <row r="14755" customFormat="1" x14ac:dyDescent="0.25"/>
    <row r="14756" customFormat="1" x14ac:dyDescent="0.25"/>
    <row r="14757" customFormat="1" x14ac:dyDescent="0.25"/>
    <row r="14758" customFormat="1" x14ac:dyDescent="0.25"/>
    <row r="14759" customFormat="1" x14ac:dyDescent="0.25"/>
    <row r="14760" customFormat="1" x14ac:dyDescent="0.25"/>
    <row r="14761" customFormat="1" x14ac:dyDescent="0.25"/>
    <row r="14762" customFormat="1" x14ac:dyDescent="0.25"/>
    <row r="14763" customFormat="1" x14ac:dyDescent="0.25"/>
    <row r="14764" customFormat="1" x14ac:dyDescent="0.25"/>
    <row r="14765" customFormat="1" x14ac:dyDescent="0.25"/>
    <row r="14766" customFormat="1" x14ac:dyDescent="0.25"/>
    <row r="14767" customFormat="1" x14ac:dyDescent="0.25"/>
    <row r="14768" customFormat="1" x14ac:dyDescent="0.25"/>
    <row r="14769" customFormat="1" x14ac:dyDescent="0.25"/>
    <row r="14770" customFormat="1" x14ac:dyDescent="0.25"/>
    <row r="14771" customFormat="1" x14ac:dyDescent="0.25"/>
    <row r="14772" customFormat="1" x14ac:dyDescent="0.25"/>
    <row r="14773" customFormat="1" x14ac:dyDescent="0.25"/>
    <row r="14774" customFormat="1" x14ac:dyDescent="0.25"/>
    <row r="14775" customFormat="1" x14ac:dyDescent="0.25"/>
    <row r="14776" customFormat="1" x14ac:dyDescent="0.25"/>
    <row r="14777" customFormat="1" x14ac:dyDescent="0.25"/>
    <row r="14778" customFormat="1" x14ac:dyDescent="0.25"/>
    <row r="14779" customFormat="1" x14ac:dyDescent="0.25"/>
    <row r="14780" customFormat="1" x14ac:dyDescent="0.25"/>
    <row r="14781" customFormat="1" x14ac:dyDescent="0.25"/>
    <row r="14782" customFormat="1" x14ac:dyDescent="0.25"/>
    <row r="14783" customFormat="1" x14ac:dyDescent="0.25"/>
    <row r="14784" customFormat="1" x14ac:dyDescent="0.25"/>
    <row r="14785" customFormat="1" x14ac:dyDescent="0.25"/>
    <row r="14786" customFormat="1" x14ac:dyDescent="0.25"/>
    <row r="14787" customFormat="1" x14ac:dyDescent="0.25"/>
    <row r="14788" customFormat="1" x14ac:dyDescent="0.25"/>
    <row r="14789" customFormat="1" x14ac:dyDescent="0.25"/>
    <row r="14790" customFormat="1" x14ac:dyDescent="0.25"/>
    <row r="14791" customFormat="1" x14ac:dyDescent="0.25"/>
    <row r="14792" customFormat="1" x14ac:dyDescent="0.25"/>
    <row r="14793" customFormat="1" x14ac:dyDescent="0.25"/>
    <row r="14794" customFormat="1" x14ac:dyDescent="0.25"/>
    <row r="14795" customFormat="1" x14ac:dyDescent="0.25"/>
    <row r="14796" customFormat="1" x14ac:dyDescent="0.25"/>
    <row r="14797" customFormat="1" x14ac:dyDescent="0.25"/>
    <row r="14798" customFormat="1" x14ac:dyDescent="0.25"/>
    <row r="14799" customFormat="1" x14ac:dyDescent="0.25"/>
    <row r="14800" customFormat="1" x14ac:dyDescent="0.25"/>
    <row r="14801" customFormat="1" x14ac:dyDescent="0.25"/>
    <row r="14802" customFormat="1" x14ac:dyDescent="0.25"/>
    <row r="14803" customFormat="1" x14ac:dyDescent="0.25"/>
    <row r="14804" customFormat="1" x14ac:dyDescent="0.25"/>
    <row r="14805" customFormat="1" x14ac:dyDescent="0.25"/>
    <row r="14806" customFormat="1" x14ac:dyDescent="0.25"/>
    <row r="14807" customFormat="1" x14ac:dyDescent="0.25"/>
    <row r="14808" customFormat="1" x14ac:dyDescent="0.25"/>
    <row r="14809" customFormat="1" x14ac:dyDescent="0.25"/>
    <row r="14810" customFormat="1" x14ac:dyDescent="0.25"/>
    <row r="14811" customFormat="1" x14ac:dyDescent="0.25"/>
    <row r="14812" customFormat="1" x14ac:dyDescent="0.25"/>
    <row r="14813" customFormat="1" x14ac:dyDescent="0.25"/>
    <row r="14814" customFormat="1" x14ac:dyDescent="0.25"/>
    <row r="14815" customFormat="1" x14ac:dyDescent="0.25"/>
    <row r="14816" customFormat="1" x14ac:dyDescent="0.25"/>
    <row r="14817" customFormat="1" x14ac:dyDescent="0.25"/>
    <row r="14818" customFormat="1" x14ac:dyDescent="0.25"/>
    <row r="14819" customFormat="1" x14ac:dyDescent="0.25"/>
    <row r="14820" customFormat="1" x14ac:dyDescent="0.25"/>
    <row r="14821" customFormat="1" x14ac:dyDescent="0.25"/>
    <row r="14822" customFormat="1" x14ac:dyDescent="0.25"/>
    <row r="14823" customFormat="1" x14ac:dyDescent="0.25"/>
    <row r="14824" customFormat="1" x14ac:dyDescent="0.25"/>
    <row r="14825" customFormat="1" x14ac:dyDescent="0.25"/>
    <row r="14826" customFormat="1" x14ac:dyDescent="0.25"/>
    <row r="14827" customFormat="1" x14ac:dyDescent="0.25"/>
    <row r="14828" customFormat="1" x14ac:dyDescent="0.25"/>
    <row r="14829" customFormat="1" x14ac:dyDescent="0.25"/>
    <row r="14830" customFormat="1" x14ac:dyDescent="0.25"/>
    <row r="14831" customFormat="1" x14ac:dyDescent="0.25"/>
    <row r="14832" customFormat="1" x14ac:dyDescent="0.25"/>
    <row r="14833" customFormat="1" x14ac:dyDescent="0.25"/>
    <row r="14834" customFormat="1" x14ac:dyDescent="0.25"/>
    <row r="14835" customFormat="1" x14ac:dyDescent="0.25"/>
    <row r="14836" customFormat="1" x14ac:dyDescent="0.25"/>
    <row r="14837" customFormat="1" x14ac:dyDescent="0.25"/>
    <row r="14838" customFormat="1" x14ac:dyDescent="0.25"/>
    <row r="14839" customFormat="1" x14ac:dyDescent="0.25"/>
    <row r="14840" customFormat="1" x14ac:dyDescent="0.25"/>
    <row r="14841" customFormat="1" x14ac:dyDescent="0.25"/>
    <row r="14842" customFormat="1" x14ac:dyDescent="0.25"/>
    <row r="14843" customFormat="1" x14ac:dyDescent="0.25"/>
    <row r="14844" customFormat="1" x14ac:dyDescent="0.25"/>
    <row r="14845" customFormat="1" x14ac:dyDescent="0.25"/>
    <row r="14846" customFormat="1" x14ac:dyDescent="0.25"/>
    <row r="14847" customFormat="1" x14ac:dyDescent="0.25"/>
    <row r="14848" customFormat="1" x14ac:dyDescent="0.25"/>
    <row r="14849" customFormat="1" x14ac:dyDescent="0.25"/>
    <row r="14850" customFormat="1" x14ac:dyDescent="0.25"/>
    <row r="14851" customFormat="1" x14ac:dyDescent="0.25"/>
    <row r="14852" customFormat="1" x14ac:dyDescent="0.25"/>
    <row r="14853" customFormat="1" x14ac:dyDescent="0.25"/>
    <row r="14854" customFormat="1" x14ac:dyDescent="0.25"/>
    <row r="14855" customFormat="1" x14ac:dyDescent="0.25"/>
    <row r="14856" customFormat="1" x14ac:dyDescent="0.25"/>
    <row r="14857" customFormat="1" x14ac:dyDescent="0.25"/>
    <row r="14858" customFormat="1" x14ac:dyDescent="0.25"/>
    <row r="14859" customFormat="1" x14ac:dyDescent="0.25"/>
    <row r="14860" customFormat="1" x14ac:dyDescent="0.25"/>
    <row r="14861" customFormat="1" x14ac:dyDescent="0.25"/>
    <row r="14862" customFormat="1" x14ac:dyDescent="0.25"/>
    <row r="14863" customFormat="1" x14ac:dyDescent="0.25"/>
    <row r="14864" customFormat="1" x14ac:dyDescent="0.25"/>
    <row r="14865" customFormat="1" x14ac:dyDescent="0.25"/>
    <row r="14866" customFormat="1" x14ac:dyDescent="0.25"/>
    <row r="14867" customFormat="1" x14ac:dyDescent="0.25"/>
    <row r="14868" customFormat="1" x14ac:dyDescent="0.25"/>
    <row r="14869" customFormat="1" x14ac:dyDescent="0.25"/>
    <row r="14870" customFormat="1" x14ac:dyDescent="0.25"/>
    <row r="14871" customFormat="1" x14ac:dyDescent="0.25"/>
    <row r="14872" customFormat="1" x14ac:dyDescent="0.25"/>
    <row r="14873" customFormat="1" x14ac:dyDescent="0.25"/>
    <row r="14874" customFormat="1" x14ac:dyDescent="0.25"/>
    <row r="14875" customFormat="1" x14ac:dyDescent="0.25"/>
    <row r="14876" customFormat="1" x14ac:dyDescent="0.25"/>
    <row r="14877" customFormat="1" x14ac:dyDescent="0.25"/>
    <row r="14878" customFormat="1" x14ac:dyDescent="0.25"/>
    <row r="14879" customFormat="1" x14ac:dyDescent="0.25"/>
    <row r="14880" customFormat="1" x14ac:dyDescent="0.25"/>
    <row r="14881" customFormat="1" x14ac:dyDescent="0.25"/>
    <row r="14882" customFormat="1" x14ac:dyDescent="0.25"/>
    <row r="14883" customFormat="1" x14ac:dyDescent="0.25"/>
    <row r="14884" customFormat="1" x14ac:dyDescent="0.25"/>
    <row r="14885" customFormat="1" x14ac:dyDescent="0.25"/>
    <row r="14886" customFormat="1" x14ac:dyDescent="0.25"/>
    <row r="14887" customFormat="1" x14ac:dyDescent="0.25"/>
    <row r="14888" customFormat="1" x14ac:dyDescent="0.25"/>
    <row r="14889" customFormat="1" x14ac:dyDescent="0.25"/>
    <row r="14890" customFormat="1" x14ac:dyDescent="0.25"/>
    <row r="14891" customFormat="1" x14ac:dyDescent="0.25"/>
    <row r="14892" customFormat="1" x14ac:dyDescent="0.25"/>
    <row r="14893" customFormat="1" x14ac:dyDescent="0.25"/>
    <row r="14894" customFormat="1" x14ac:dyDescent="0.25"/>
    <row r="14895" customFormat="1" x14ac:dyDescent="0.25"/>
    <row r="14896" customFormat="1" x14ac:dyDescent="0.25"/>
    <row r="14897" customFormat="1" x14ac:dyDescent="0.25"/>
    <row r="14898" customFormat="1" x14ac:dyDescent="0.25"/>
    <row r="14899" customFormat="1" x14ac:dyDescent="0.25"/>
    <row r="14900" customFormat="1" x14ac:dyDescent="0.25"/>
    <row r="14901" customFormat="1" x14ac:dyDescent="0.25"/>
    <row r="14902" customFormat="1" x14ac:dyDescent="0.25"/>
    <row r="14903" customFormat="1" x14ac:dyDescent="0.25"/>
    <row r="14904" customFormat="1" x14ac:dyDescent="0.25"/>
    <row r="14905" customFormat="1" x14ac:dyDescent="0.25"/>
    <row r="14906" customFormat="1" x14ac:dyDescent="0.25"/>
    <row r="14907" customFormat="1" x14ac:dyDescent="0.25"/>
    <row r="14908" customFormat="1" x14ac:dyDescent="0.25"/>
    <row r="14909" customFormat="1" x14ac:dyDescent="0.25"/>
    <row r="14910" customFormat="1" x14ac:dyDescent="0.25"/>
    <row r="14911" customFormat="1" x14ac:dyDescent="0.25"/>
    <row r="14912" customFormat="1" x14ac:dyDescent="0.25"/>
    <row r="14913" customFormat="1" x14ac:dyDescent="0.25"/>
    <row r="14914" customFormat="1" x14ac:dyDescent="0.25"/>
    <row r="14915" customFormat="1" x14ac:dyDescent="0.25"/>
    <row r="14916" customFormat="1" x14ac:dyDescent="0.25"/>
    <row r="14917" customFormat="1" x14ac:dyDescent="0.25"/>
    <row r="14918" customFormat="1" x14ac:dyDescent="0.25"/>
    <row r="14919" customFormat="1" x14ac:dyDescent="0.25"/>
    <row r="14920" customFormat="1" x14ac:dyDescent="0.25"/>
    <row r="14921" customFormat="1" x14ac:dyDescent="0.25"/>
    <row r="14922" customFormat="1" x14ac:dyDescent="0.25"/>
    <row r="14923" customFormat="1" x14ac:dyDescent="0.25"/>
    <row r="14924" customFormat="1" x14ac:dyDescent="0.25"/>
    <row r="14925" customFormat="1" x14ac:dyDescent="0.25"/>
    <row r="14926" customFormat="1" x14ac:dyDescent="0.25"/>
    <row r="14927" customFormat="1" x14ac:dyDescent="0.25"/>
    <row r="14928" customFormat="1" x14ac:dyDescent="0.25"/>
    <row r="14929" customFormat="1" x14ac:dyDescent="0.25"/>
    <row r="14930" customFormat="1" x14ac:dyDescent="0.25"/>
    <row r="14931" customFormat="1" x14ac:dyDescent="0.25"/>
    <row r="14932" customFormat="1" x14ac:dyDescent="0.25"/>
    <row r="14933" customFormat="1" x14ac:dyDescent="0.25"/>
    <row r="14934" customFormat="1" x14ac:dyDescent="0.25"/>
    <row r="14935" customFormat="1" x14ac:dyDescent="0.25"/>
    <row r="14936" customFormat="1" x14ac:dyDescent="0.25"/>
    <row r="14937" customFormat="1" x14ac:dyDescent="0.25"/>
    <row r="14938" customFormat="1" x14ac:dyDescent="0.25"/>
    <row r="14939" customFormat="1" x14ac:dyDescent="0.25"/>
    <row r="14940" customFormat="1" x14ac:dyDescent="0.25"/>
    <row r="14941" customFormat="1" x14ac:dyDescent="0.25"/>
    <row r="14942" customFormat="1" x14ac:dyDescent="0.25"/>
    <row r="14943" customFormat="1" x14ac:dyDescent="0.25"/>
    <row r="14944" customFormat="1" x14ac:dyDescent="0.25"/>
    <row r="14945" customFormat="1" x14ac:dyDescent="0.25"/>
    <row r="14946" customFormat="1" x14ac:dyDescent="0.25"/>
    <row r="14947" customFormat="1" x14ac:dyDescent="0.25"/>
    <row r="14948" customFormat="1" x14ac:dyDescent="0.25"/>
    <row r="14949" customFormat="1" x14ac:dyDescent="0.25"/>
    <row r="14950" customFormat="1" x14ac:dyDescent="0.25"/>
    <row r="14951" customFormat="1" x14ac:dyDescent="0.25"/>
    <row r="14952" customFormat="1" x14ac:dyDescent="0.25"/>
    <row r="14953" customFormat="1" x14ac:dyDescent="0.25"/>
    <row r="14954" customFormat="1" x14ac:dyDescent="0.25"/>
    <row r="14955" customFormat="1" x14ac:dyDescent="0.25"/>
    <row r="14956" customFormat="1" x14ac:dyDescent="0.25"/>
    <row r="14957" customFormat="1" x14ac:dyDescent="0.25"/>
    <row r="14958" customFormat="1" x14ac:dyDescent="0.25"/>
    <row r="14959" customFormat="1" x14ac:dyDescent="0.25"/>
    <row r="14960" customFormat="1" x14ac:dyDescent="0.25"/>
    <row r="14961" customFormat="1" x14ac:dyDescent="0.25"/>
    <row r="14962" customFormat="1" x14ac:dyDescent="0.25"/>
    <row r="14963" customFormat="1" x14ac:dyDescent="0.25"/>
    <row r="14964" customFormat="1" x14ac:dyDescent="0.25"/>
    <row r="14965" customFormat="1" x14ac:dyDescent="0.25"/>
    <row r="14966" customFormat="1" x14ac:dyDescent="0.25"/>
    <row r="14967" customFormat="1" x14ac:dyDescent="0.25"/>
    <row r="14968" customFormat="1" x14ac:dyDescent="0.25"/>
    <row r="14969" customFormat="1" x14ac:dyDescent="0.25"/>
    <row r="14970" customFormat="1" x14ac:dyDescent="0.25"/>
    <row r="14971" customFormat="1" x14ac:dyDescent="0.25"/>
    <row r="14972" customFormat="1" x14ac:dyDescent="0.25"/>
    <row r="14973" customFormat="1" x14ac:dyDescent="0.25"/>
    <row r="14974" customFormat="1" x14ac:dyDescent="0.25"/>
    <row r="14975" customFormat="1" x14ac:dyDescent="0.25"/>
    <row r="14976" customFormat="1" x14ac:dyDescent="0.25"/>
    <row r="14977" customFormat="1" x14ac:dyDescent="0.25"/>
    <row r="14978" customFormat="1" x14ac:dyDescent="0.25"/>
    <row r="14979" customFormat="1" x14ac:dyDescent="0.25"/>
    <row r="14980" customFormat="1" x14ac:dyDescent="0.25"/>
    <row r="14981" customFormat="1" x14ac:dyDescent="0.25"/>
    <row r="14982" customFormat="1" x14ac:dyDescent="0.25"/>
    <row r="14983" customFormat="1" x14ac:dyDescent="0.25"/>
    <row r="14984" customFormat="1" x14ac:dyDescent="0.25"/>
    <row r="14985" customFormat="1" x14ac:dyDescent="0.25"/>
    <row r="14986" customFormat="1" x14ac:dyDescent="0.25"/>
    <row r="14987" customFormat="1" x14ac:dyDescent="0.25"/>
    <row r="14988" customFormat="1" x14ac:dyDescent="0.25"/>
    <row r="14989" customFormat="1" x14ac:dyDescent="0.25"/>
    <row r="14990" customFormat="1" x14ac:dyDescent="0.25"/>
    <row r="14991" customFormat="1" x14ac:dyDescent="0.25"/>
    <row r="14992" customFormat="1" x14ac:dyDescent="0.25"/>
    <row r="14993" customFormat="1" x14ac:dyDescent="0.25"/>
    <row r="14994" customFormat="1" x14ac:dyDescent="0.25"/>
    <row r="14995" customFormat="1" x14ac:dyDescent="0.25"/>
    <row r="14996" customFormat="1" x14ac:dyDescent="0.25"/>
    <row r="14997" customFormat="1" x14ac:dyDescent="0.25"/>
    <row r="14998" customFormat="1" x14ac:dyDescent="0.25"/>
    <row r="14999" customFormat="1" x14ac:dyDescent="0.25"/>
    <row r="15000" customFormat="1" x14ac:dyDescent="0.25"/>
    <row r="15001" customFormat="1" x14ac:dyDescent="0.25"/>
    <row r="15002" customFormat="1" x14ac:dyDescent="0.25"/>
    <row r="15003" customFormat="1" x14ac:dyDescent="0.25"/>
    <row r="15004" customFormat="1" x14ac:dyDescent="0.25"/>
    <row r="15005" customFormat="1" x14ac:dyDescent="0.25"/>
    <row r="15006" customFormat="1" x14ac:dyDescent="0.25"/>
    <row r="15007" customFormat="1" x14ac:dyDescent="0.25"/>
    <row r="15008" customFormat="1" x14ac:dyDescent="0.25"/>
    <row r="15009" customFormat="1" x14ac:dyDescent="0.25"/>
    <row r="15010" customFormat="1" x14ac:dyDescent="0.25"/>
    <row r="15011" customFormat="1" x14ac:dyDescent="0.25"/>
    <row r="15012" customFormat="1" x14ac:dyDescent="0.25"/>
    <row r="15013" customFormat="1" x14ac:dyDescent="0.25"/>
    <row r="15014" customFormat="1" x14ac:dyDescent="0.25"/>
    <row r="15015" customFormat="1" x14ac:dyDescent="0.25"/>
    <row r="15016" customFormat="1" x14ac:dyDescent="0.25"/>
    <row r="15017" customFormat="1" x14ac:dyDescent="0.25"/>
    <row r="15018" customFormat="1" x14ac:dyDescent="0.25"/>
    <row r="15019" customFormat="1" x14ac:dyDescent="0.25"/>
    <row r="15020" customFormat="1" x14ac:dyDescent="0.25"/>
    <row r="15021" customFormat="1" x14ac:dyDescent="0.25"/>
    <row r="15022" customFormat="1" x14ac:dyDescent="0.25"/>
    <row r="15023" customFormat="1" x14ac:dyDescent="0.25"/>
    <row r="15024" customFormat="1" x14ac:dyDescent="0.25"/>
    <row r="15025" customFormat="1" x14ac:dyDescent="0.25"/>
    <row r="15026" customFormat="1" x14ac:dyDescent="0.25"/>
    <row r="15027" customFormat="1" x14ac:dyDescent="0.25"/>
    <row r="15028" customFormat="1" x14ac:dyDescent="0.25"/>
    <row r="15029" customFormat="1" x14ac:dyDescent="0.25"/>
    <row r="15030" customFormat="1" x14ac:dyDescent="0.25"/>
    <row r="15031" customFormat="1" x14ac:dyDescent="0.25"/>
    <row r="15032" customFormat="1" x14ac:dyDescent="0.25"/>
    <row r="15033" customFormat="1" x14ac:dyDescent="0.25"/>
    <row r="15034" customFormat="1" x14ac:dyDescent="0.25"/>
    <row r="15035" customFormat="1" x14ac:dyDescent="0.25"/>
    <row r="15036" customFormat="1" x14ac:dyDescent="0.25"/>
    <row r="15037" customFormat="1" x14ac:dyDescent="0.25"/>
    <row r="15038" customFormat="1" x14ac:dyDescent="0.25"/>
    <row r="15039" customFormat="1" x14ac:dyDescent="0.25"/>
    <row r="15040" customFormat="1" x14ac:dyDescent="0.25"/>
    <row r="15041" customFormat="1" x14ac:dyDescent="0.25"/>
    <row r="15042" customFormat="1" x14ac:dyDescent="0.25"/>
    <row r="15043" customFormat="1" x14ac:dyDescent="0.25"/>
    <row r="15044" customFormat="1" x14ac:dyDescent="0.25"/>
    <row r="15045" customFormat="1" x14ac:dyDescent="0.25"/>
    <row r="15046" customFormat="1" x14ac:dyDescent="0.25"/>
    <row r="15047" customFormat="1" x14ac:dyDescent="0.25"/>
    <row r="15048" customFormat="1" x14ac:dyDescent="0.25"/>
    <row r="15049" customFormat="1" x14ac:dyDescent="0.25"/>
    <row r="15050" customFormat="1" x14ac:dyDescent="0.25"/>
    <row r="15051" customFormat="1" x14ac:dyDescent="0.25"/>
    <row r="15052" customFormat="1" x14ac:dyDescent="0.25"/>
    <row r="15053" customFormat="1" x14ac:dyDescent="0.25"/>
    <row r="15054" customFormat="1" x14ac:dyDescent="0.25"/>
    <row r="15055" customFormat="1" x14ac:dyDescent="0.25"/>
    <row r="15056" customFormat="1" x14ac:dyDescent="0.25"/>
    <row r="15057" customFormat="1" x14ac:dyDescent="0.25"/>
    <row r="15058" customFormat="1" x14ac:dyDescent="0.25"/>
    <row r="15059" customFormat="1" x14ac:dyDescent="0.25"/>
    <row r="15060" customFormat="1" x14ac:dyDescent="0.25"/>
    <row r="15061" customFormat="1" x14ac:dyDescent="0.25"/>
    <row r="15062" customFormat="1" x14ac:dyDescent="0.25"/>
    <row r="15063" customFormat="1" x14ac:dyDescent="0.25"/>
    <row r="15064" customFormat="1" x14ac:dyDescent="0.25"/>
    <row r="15065" customFormat="1" x14ac:dyDescent="0.25"/>
    <row r="15066" customFormat="1" x14ac:dyDescent="0.25"/>
    <row r="15067" customFormat="1" x14ac:dyDescent="0.25"/>
    <row r="15068" customFormat="1" x14ac:dyDescent="0.25"/>
    <row r="15069" customFormat="1" x14ac:dyDescent="0.25"/>
    <row r="15070" customFormat="1" x14ac:dyDescent="0.25"/>
    <row r="15071" customFormat="1" x14ac:dyDescent="0.25"/>
    <row r="15072" customFormat="1" x14ac:dyDescent="0.25"/>
    <row r="15073" customFormat="1" x14ac:dyDescent="0.25"/>
    <row r="15074" customFormat="1" x14ac:dyDescent="0.25"/>
    <row r="15075" customFormat="1" x14ac:dyDescent="0.25"/>
    <row r="15076" customFormat="1" x14ac:dyDescent="0.25"/>
    <row r="15077" customFormat="1" x14ac:dyDescent="0.25"/>
    <row r="15078" customFormat="1" x14ac:dyDescent="0.25"/>
    <row r="15079" customFormat="1" x14ac:dyDescent="0.25"/>
    <row r="15080" customFormat="1" x14ac:dyDescent="0.25"/>
    <row r="15081" customFormat="1" x14ac:dyDescent="0.25"/>
    <row r="15082" customFormat="1" x14ac:dyDescent="0.25"/>
    <row r="15083" customFormat="1" x14ac:dyDescent="0.25"/>
    <row r="15084" customFormat="1" x14ac:dyDescent="0.25"/>
    <row r="15085" customFormat="1" x14ac:dyDescent="0.25"/>
    <row r="15086" customFormat="1" x14ac:dyDescent="0.25"/>
    <row r="15087" customFormat="1" x14ac:dyDescent="0.25"/>
    <row r="15088" customFormat="1" x14ac:dyDescent="0.25"/>
    <row r="15089" customFormat="1" x14ac:dyDescent="0.25"/>
    <row r="15090" customFormat="1" x14ac:dyDescent="0.25"/>
    <row r="15091" customFormat="1" x14ac:dyDescent="0.25"/>
    <row r="15092" customFormat="1" x14ac:dyDescent="0.25"/>
    <row r="15093" customFormat="1" x14ac:dyDescent="0.25"/>
    <row r="15094" customFormat="1" x14ac:dyDescent="0.25"/>
    <row r="15095" customFormat="1" x14ac:dyDescent="0.25"/>
    <row r="15096" customFormat="1" x14ac:dyDescent="0.25"/>
    <row r="15097" customFormat="1" x14ac:dyDescent="0.25"/>
    <row r="15098" customFormat="1" x14ac:dyDescent="0.25"/>
    <row r="15099" customFormat="1" x14ac:dyDescent="0.25"/>
    <row r="15100" customFormat="1" x14ac:dyDescent="0.25"/>
    <row r="15101" customFormat="1" x14ac:dyDescent="0.25"/>
    <row r="15102" customFormat="1" x14ac:dyDescent="0.25"/>
    <row r="15103" customFormat="1" x14ac:dyDescent="0.25"/>
    <row r="15104" customFormat="1" x14ac:dyDescent="0.25"/>
    <row r="15105" customFormat="1" x14ac:dyDescent="0.25"/>
    <row r="15106" customFormat="1" x14ac:dyDescent="0.25"/>
    <row r="15107" customFormat="1" x14ac:dyDescent="0.25"/>
    <row r="15108" customFormat="1" x14ac:dyDescent="0.25"/>
    <row r="15109" customFormat="1" x14ac:dyDescent="0.25"/>
    <row r="15110" customFormat="1" x14ac:dyDescent="0.25"/>
    <row r="15111" customFormat="1" x14ac:dyDescent="0.25"/>
    <row r="15112" customFormat="1" x14ac:dyDescent="0.25"/>
    <row r="15113" customFormat="1" x14ac:dyDescent="0.25"/>
    <row r="15114" customFormat="1" x14ac:dyDescent="0.25"/>
    <row r="15115" customFormat="1" x14ac:dyDescent="0.25"/>
    <row r="15116" customFormat="1" x14ac:dyDescent="0.25"/>
    <row r="15117" customFormat="1" x14ac:dyDescent="0.25"/>
    <row r="15118" customFormat="1" x14ac:dyDescent="0.25"/>
    <row r="15119" customFormat="1" x14ac:dyDescent="0.25"/>
    <row r="15120" customFormat="1" x14ac:dyDescent="0.25"/>
    <row r="15121" customFormat="1" x14ac:dyDescent="0.25"/>
    <row r="15122" customFormat="1" x14ac:dyDescent="0.25"/>
    <row r="15123" customFormat="1" x14ac:dyDescent="0.25"/>
    <row r="15124" customFormat="1" x14ac:dyDescent="0.25"/>
    <row r="15125" customFormat="1" x14ac:dyDescent="0.25"/>
    <row r="15126" customFormat="1" x14ac:dyDescent="0.25"/>
    <row r="15127" customFormat="1" x14ac:dyDescent="0.25"/>
    <row r="15128" customFormat="1" x14ac:dyDescent="0.25"/>
    <row r="15129" customFormat="1" x14ac:dyDescent="0.25"/>
    <row r="15130" customFormat="1" x14ac:dyDescent="0.25"/>
    <row r="15131" customFormat="1" x14ac:dyDescent="0.25"/>
    <row r="15132" customFormat="1" x14ac:dyDescent="0.25"/>
    <row r="15133" customFormat="1" x14ac:dyDescent="0.25"/>
    <row r="15134" customFormat="1" x14ac:dyDescent="0.25"/>
    <row r="15135" customFormat="1" x14ac:dyDescent="0.25"/>
    <row r="15136" customFormat="1" x14ac:dyDescent="0.25"/>
    <row r="15137" customFormat="1" x14ac:dyDescent="0.25"/>
    <row r="15138" customFormat="1" x14ac:dyDescent="0.25"/>
    <row r="15139" customFormat="1" x14ac:dyDescent="0.25"/>
    <row r="15140" customFormat="1" x14ac:dyDescent="0.25"/>
    <row r="15141" customFormat="1" x14ac:dyDescent="0.25"/>
    <row r="15142" customFormat="1" x14ac:dyDescent="0.25"/>
    <row r="15143" customFormat="1" x14ac:dyDescent="0.25"/>
    <row r="15144" customFormat="1" x14ac:dyDescent="0.25"/>
    <row r="15145" customFormat="1" x14ac:dyDescent="0.25"/>
    <row r="15146" customFormat="1" x14ac:dyDescent="0.25"/>
    <row r="15147" customFormat="1" x14ac:dyDescent="0.25"/>
    <row r="15148" customFormat="1" x14ac:dyDescent="0.25"/>
    <row r="15149" customFormat="1" x14ac:dyDescent="0.25"/>
    <row r="15150" customFormat="1" x14ac:dyDescent="0.25"/>
    <row r="15151" customFormat="1" x14ac:dyDescent="0.25"/>
    <row r="15152" customFormat="1" x14ac:dyDescent="0.25"/>
    <row r="15153" customFormat="1" x14ac:dyDescent="0.25"/>
    <row r="15154" customFormat="1" x14ac:dyDescent="0.25"/>
    <row r="15155" customFormat="1" x14ac:dyDescent="0.25"/>
    <row r="15156" customFormat="1" x14ac:dyDescent="0.25"/>
    <row r="15157" customFormat="1" x14ac:dyDescent="0.25"/>
    <row r="15158" customFormat="1" x14ac:dyDescent="0.25"/>
    <row r="15159" customFormat="1" x14ac:dyDescent="0.25"/>
    <row r="15160" customFormat="1" x14ac:dyDescent="0.25"/>
    <row r="15161" customFormat="1" x14ac:dyDescent="0.25"/>
    <row r="15162" customFormat="1" x14ac:dyDescent="0.25"/>
    <row r="15163" customFormat="1" x14ac:dyDescent="0.25"/>
    <row r="15164" customFormat="1" x14ac:dyDescent="0.25"/>
    <row r="15165" customFormat="1" x14ac:dyDescent="0.25"/>
    <row r="15166" customFormat="1" x14ac:dyDescent="0.25"/>
    <row r="15167" customFormat="1" x14ac:dyDescent="0.25"/>
    <row r="15168" customFormat="1" x14ac:dyDescent="0.25"/>
    <row r="15169" customFormat="1" x14ac:dyDescent="0.25"/>
    <row r="15170" customFormat="1" x14ac:dyDescent="0.25"/>
    <row r="15171" customFormat="1" x14ac:dyDescent="0.25"/>
    <row r="15172" customFormat="1" x14ac:dyDescent="0.25"/>
    <row r="15173" customFormat="1" x14ac:dyDescent="0.25"/>
    <row r="15174" customFormat="1" x14ac:dyDescent="0.25"/>
    <row r="15175" customFormat="1" x14ac:dyDescent="0.25"/>
    <row r="15176" customFormat="1" x14ac:dyDescent="0.25"/>
    <row r="15177" customFormat="1" x14ac:dyDescent="0.25"/>
    <row r="15178" customFormat="1" x14ac:dyDescent="0.25"/>
    <row r="15179" customFormat="1" x14ac:dyDescent="0.25"/>
    <row r="15180" customFormat="1" x14ac:dyDescent="0.25"/>
    <row r="15181" customFormat="1" x14ac:dyDescent="0.25"/>
    <row r="15182" customFormat="1" x14ac:dyDescent="0.25"/>
    <row r="15183" customFormat="1" x14ac:dyDescent="0.25"/>
    <row r="15184" customFormat="1" x14ac:dyDescent="0.25"/>
    <row r="15185" customFormat="1" x14ac:dyDescent="0.25"/>
    <row r="15186" customFormat="1" x14ac:dyDescent="0.25"/>
    <row r="15187" customFormat="1" x14ac:dyDescent="0.25"/>
    <row r="15188" customFormat="1" x14ac:dyDescent="0.25"/>
    <row r="15189" customFormat="1" x14ac:dyDescent="0.25"/>
    <row r="15190" customFormat="1" x14ac:dyDescent="0.25"/>
    <row r="15191" customFormat="1" x14ac:dyDescent="0.25"/>
    <row r="15192" customFormat="1" x14ac:dyDescent="0.25"/>
    <row r="15193" customFormat="1" x14ac:dyDescent="0.25"/>
    <row r="15194" customFormat="1" x14ac:dyDescent="0.25"/>
    <row r="15195" customFormat="1" x14ac:dyDescent="0.25"/>
    <row r="15196" customFormat="1" x14ac:dyDescent="0.25"/>
    <row r="15197" customFormat="1" x14ac:dyDescent="0.25"/>
    <row r="15198" customFormat="1" x14ac:dyDescent="0.25"/>
    <row r="15199" customFormat="1" x14ac:dyDescent="0.25"/>
    <row r="15200" customFormat="1" x14ac:dyDescent="0.25"/>
    <row r="15201" customFormat="1" x14ac:dyDescent="0.25"/>
    <row r="15202" customFormat="1" x14ac:dyDescent="0.25"/>
    <row r="15203" customFormat="1" x14ac:dyDescent="0.25"/>
    <row r="15204" customFormat="1" x14ac:dyDescent="0.25"/>
    <row r="15205" customFormat="1" x14ac:dyDescent="0.25"/>
    <row r="15206" customFormat="1" x14ac:dyDescent="0.25"/>
    <row r="15207" customFormat="1" x14ac:dyDescent="0.25"/>
    <row r="15208" customFormat="1" x14ac:dyDescent="0.25"/>
    <row r="15209" customFormat="1" x14ac:dyDescent="0.25"/>
    <row r="15210" customFormat="1" x14ac:dyDescent="0.25"/>
    <row r="15211" customFormat="1" x14ac:dyDescent="0.25"/>
    <row r="15212" customFormat="1" x14ac:dyDescent="0.25"/>
    <row r="15213" customFormat="1" x14ac:dyDescent="0.25"/>
    <row r="15214" customFormat="1" x14ac:dyDescent="0.25"/>
    <row r="15215" customFormat="1" x14ac:dyDescent="0.25"/>
    <row r="15216" customFormat="1" x14ac:dyDescent="0.25"/>
    <row r="15217" customFormat="1" x14ac:dyDescent="0.25"/>
    <row r="15218" customFormat="1" x14ac:dyDescent="0.25"/>
    <row r="15219" customFormat="1" x14ac:dyDescent="0.25"/>
    <row r="15220" customFormat="1" x14ac:dyDescent="0.25"/>
    <row r="15221" customFormat="1" x14ac:dyDescent="0.25"/>
    <row r="15222" customFormat="1" x14ac:dyDescent="0.25"/>
    <row r="15223" customFormat="1" x14ac:dyDescent="0.25"/>
    <row r="15224" customFormat="1" x14ac:dyDescent="0.25"/>
    <row r="15225" customFormat="1" x14ac:dyDescent="0.25"/>
    <row r="15226" customFormat="1" x14ac:dyDescent="0.25"/>
    <row r="15227" customFormat="1" x14ac:dyDescent="0.25"/>
    <row r="15228" customFormat="1" x14ac:dyDescent="0.25"/>
    <row r="15229" customFormat="1" x14ac:dyDescent="0.25"/>
    <row r="15230" customFormat="1" x14ac:dyDescent="0.25"/>
    <row r="15231" customFormat="1" x14ac:dyDescent="0.25"/>
    <row r="15232" customFormat="1" x14ac:dyDescent="0.25"/>
    <row r="15233" customFormat="1" x14ac:dyDescent="0.25"/>
    <row r="15234" customFormat="1" x14ac:dyDescent="0.25"/>
    <row r="15235" customFormat="1" x14ac:dyDescent="0.25"/>
    <row r="15236" customFormat="1" x14ac:dyDescent="0.25"/>
    <row r="15237" customFormat="1" x14ac:dyDescent="0.25"/>
    <row r="15238" customFormat="1" x14ac:dyDescent="0.25"/>
    <row r="15239" customFormat="1" x14ac:dyDescent="0.25"/>
    <row r="15240" customFormat="1" x14ac:dyDescent="0.25"/>
    <row r="15241" customFormat="1" x14ac:dyDescent="0.25"/>
    <row r="15242" customFormat="1" x14ac:dyDescent="0.25"/>
    <row r="15243" customFormat="1" x14ac:dyDescent="0.25"/>
    <row r="15244" customFormat="1" x14ac:dyDescent="0.25"/>
    <row r="15245" customFormat="1" x14ac:dyDescent="0.25"/>
    <row r="15246" customFormat="1" x14ac:dyDescent="0.25"/>
    <row r="15247" customFormat="1" x14ac:dyDescent="0.25"/>
    <row r="15248" customFormat="1" x14ac:dyDescent="0.25"/>
    <row r="15249" customFormat="1" x14ac:dyDescent="0.25"/>
    <row r="15250" customFormat="1" x14ac:dyDescent="0.25"/>
    <row r="15251" customFormat="1" x14ac:dyDescent="0.25"/>
    <row r="15252" customFormat="1" x14ac:dyDescent="0.25"/>
    <row r="15253" customFormat="1" x14ac:dyDescent="0.25"/>
    <row r="15254" customFormat="1" x14ac:dyDescent="0.25"/>
    <row r="15255" customFormat="1" x14ac:dyDescent="0.25"/>
    <row r="15256" customFormat="1" x14ac:dyDescent="0.25"/>
    <row r="15257" customFormat="1" x14ac:dyDescent="0.25"/>
    <row r="15258" customFormat="1" x14ac:dyDescent="0.25"/>
    <row r="15259" customFormat="1" x14ac:dyDescent="0.25"/>
    <row r="15260" customFormat="1" x14ac:dyDescent="0.25"/>
    <row r="15261" customFormat="1" x14ac:dyDescent="0.25"/>
    <row r="15262" customFormat="1" x14ac:dyDescent="0.25"/>
    <row r="15263" customFormat="1" x14ac:dyDescent="0.25"/>
    <row r="15264" customFormat="1" x14ac:dyDescent="0.25"/>
    <row r="15265" customFormat="1" x14ac:dyDescent="0.25"/>
    <row r="15266" customFormat="1" x14ac:dyDescent="0.25"/>
    <row r="15267" customFormat="1" x14ac:dyDescent="0.25"/>
    <row r="15268" customFormat="1" x14ac:dyDescent="0.25"/>
    <row r="15269" customFormat="1" x14ac:dyDescent="0.25"/>
    <row r="15270" customFormat="1" x14ac:dyDescent="0.25"/>
    <row r="15271" customFormat="1" x14ac:dyDescent="0.25"/>
    <row r="15272" customFormat="1" x14ac:dyDescent="0.25"/>
    <row r="15273" customFormat="1" x14ac:dyDescent="0.25"/>
    <row r="15274" customFormat="1" x14ac:dyDescent="0.25"/>
    <row r="15275" customFormat="1" x14ac:dyDescent="0.25"/>
    <row r="15276" customFormat="1" x14ac:dyDescent="0.25"/>
    <row r="15277" customFormat="1" x14ac:dyDescent="0.25"/>
    <row r="15278" customFormat="1" x14ac:dyDescent="0.25"/>
    <row r="15279" customFormat="1" x14ac:dyDescent="0.25"/>
    <row r="15280" customFormat="1" x14ac:dyDescent="0.25"/>
    <row r="15281" customFormat="1" x14ac:dyDescent="0.25"/>
    <row r="15282" customFormat="1" x14ac:dyDescent="0.25"/>
    <row r="15283" customFormat="1" x14ac:dyDescent="0.25"/>
    <row r="15284" customFormat="1" x14ac:dyDescent="0.25"/>
    <row r="15285" customFormat="1" x14ac:dyDescent="0.25"/>
    <row r="15286" customFormat="1" x14ac:dyDescent="0.25"/>
    <row r="15287" customFormat="1" x14ac:dyDescent="0.25"/>
    <row r="15288" customFormat="1" x14ac:dyDescent="0.25"/>
    <row r="15289" customFormat="1" x14ac:dyDescent="0.25"/>
    <row r="15290" customFormat="1" x14ac:dyDescent="0.25"/>
    <row r="15291" customFormat="1" x14ac:dyDescent="0.25"/>
    <row r="15292" customFormat="1" x14ac:dyDescent="0.25"/>
    <row r="15293" customFormat="1" x14ac:dyDescent="0.25"/>
    <row r="15294" customFormat="1" x14ac:dyDescent="0.25"/>
    <row r="15295" customFormat="1" x14ac:dyDescent="0.25"/>
    <row r="15296" customFormat="1" x14ac:dyDescent="0.25"/>
    <row r="15297" customFormat="1" x14ac:dyDescent="0.25"/>
    <row r="15298" customFormat="1" x14ac:dyDescent="0.25"/>
    <row r="15299" customFormat="1" x14ac:dyDescent="0.25"/>
    <row r="15300" customFormat="1" x14ac:dyDescent="0.25"/>
    <row r="15301" customFormat="1" x14ac:dyDescent="0.25"/>
    <row r="15302" customFormat="1" x14ac:dyDescent="0.25"/>
    <row r="15303" customFormat="1" x14ac:dyDescent="0.25"/>
    <row r="15304" customFormat="1" x14ac:dyDescent="0.25"/>
    <row r="15305" customFormat="1" x14ac:dyDescent="0.25"/>
    <row r="15306" customFormat="1" x14ac:dyDescent="0.25"/>
    <row r="15307" customFormat="1" x14ac:dyDescent="0.25"/>
    <row r="15308" customFormat="1" x14ac:dyDescent="0.25"/>
    <row r="15309" customFormat="1" x14ac:dyDescent="0.25"/>
    <row r="15310" customFormat="1" x14ac:dyDescent="0.25"/>
    <row r="15311" customFormat="1" x14ac:dyDescent="0.25"/>
    <row r="15312" customFormat="1" x14ac:dyDescent="0.25"/>
    <row r="15313" customFormat="1" x14ac:dyDescent="0.25"/>
    <row r="15314" customFormat="1" x14ac:dyDescent="0.25"/>
    <row r="15315" customFormat="1" x14ac:dyDescent="0.25"/>
    <row r="15316" customFormat="1" x14ac:dyDescent="0.25"/>
    <row r="15317" customFormat="1" x14ac:dyDescent="0.25"/>
    <row r="15318" customFormat="1" x14ac:dyDescent="0.25"/>
    <row r="15319" customFormat="1" x14ac:dyDescent="0.25"/>
    <row r="15320" customFormat="1" x14ac:dyDescent="0.25"/>
    <row r="15321" customFormat="1" x14ac:dyDescent="0.25"/>
    <row r="15322" customFormat="1" x14ac:dyDescent="0.25"/>
    <row r="15323" customFormat="1" x14ac:dyDescent="0.25"/>
    <row r="15324" customFormat="1" x14ac:dyDescent="0.25"/>
    <row r="15325" customFormat="1" x14ac:dyDescent="0.25"/>
    <row r="15326" customFormat="1" x14ac:dyDescent="0.25"/>
    <row r="15327" customFormat="1" x14ac:dyDescent="0.25"/>
    <row r="15328" customFormat="1" x14ac:dyDescent="0.25"/>
    <row r="15329" customFormat="1" x14ac:dyDescent="0.25"/>
    <row r="15330" customFormat="1" x14ac:dyDescent="0.25"/>
    <row r="15331" customFormat="1" x14ac:dyDescent="0.25"/>
    <row r="15332" customFormat="1" x14ac:dyDescent="0.25"/>
    <row r="15333" customFormat="1" x14ac:dyDescent="0.25"/>
    <row r="15334" customFormat="1" x14ac:dyDescent="0.25"/>
    <row r="15335" customFormat="1" x14ac:dyDescent="0.25"/>
    <row r="15336" customFormat="1" x14ac:dyDescent="0.25"/>
    <row r="15337" customFormat="1" x14ac:dyDescent="0.25"/>
    <row r="15338" customFormat="1" x14ac:dyDescent="0.25"/>
    <row r="15339" customFormat="1" x14ac:dyDescent="0.25"/>
    <row r="15340" customFormat="1" x14ac:dyDescent="0.25"/>
    <row r="15341" customFormat="1" x14ac:dyDescent="0.25"/>
    <row r="15342" customFormat="1" x14ac:dyDescent="0.25"/>
    <row r="15343" customFormat="1" x14ac:dyDescent="0.25"/>
    <row r="15344" customFormat="1" x14ac:dyDescent="0.25"/>
    <row r="15345" customFormat="1" x14ac:dyDescent="0.25"/>
    <row r="15346" customFormat="1" x14ac:dyDescent="0.25"/>
    <row r="15347" customFormat="1" x14ac:dyDescent="0.25"/>
    <row r="15348" customFormat="1" x14ac:dyDescent="0.25"/>
    <row r="15349" customFormat="1" x14ac:dyDescent="0.25"/>
    <row r="15350" customFormat="1" x14ac:dyDescent="0.25"/>
    <row r="15351" customFormat="1" x14ac:dyDescent="0.25"/>
    <row r="15352" customFormat="1" x14ac:dyDescent="0.25"/>
    <row r="15353" customFormat="1" x14ac:dyDescent="0.25"/>
    <row r="15354" customFormat="1" x14ac:dyDescent="0.25"/>
    <row r="15355" customFormat="1" x14ac:dyDescent="0.25"/>
    <row r="15356" customFormat="1" x14ac:dyDescent="0.25"/>
    <row r="15357" customFormat="1" x14ac:dyDescent="0.25"/>
    <row r="15358" customFormat="1" x14ac:dyDescent="0.25"/>
    <row r="15359" customFormat="1" x14ac:dyDescent="0.25"/>
    <row r="15360" customFormat="1" x14ac:dyDescent="0.25"/>
    <row r="15361" customFormat="1" x14ac:dyDescent="0.25"/>
    <row r="15362" customFormat="1" x14ac:dyDescent="0.25"/>
    <row r="15363" customFormat="1" x14ac:dyDescent="0.25"/>
    <row r="15364" customFormat="1" x14ac:dyDescent="0.25"/>
    <row r="15365" customFormat="1" x14ac:dyDescent="0.25"/>
    <row r="15366" customFormat="1" x14ac:dyDescent="0.25"/>
    <row r="15367" customFormat="1" x14ac:dyDescent="0.25"/>
    <row r="15368" customFormat="1" x14ac:dyDescent="0.25"/>
    <row r="15369" customFormat="1" x14ac:dyDescent="0.25"/>
    <row r="15370" customFormat="1" x14ac:dyDescent="0.25"/>
    <row r="15371" customFormat="1" x14ac:dyDescent="0.25"/>
    <row r="15372" customFormat="1" x14ac:dyDescent="0.25"/>
    <row r="15373" customFormat="1" x14ac:dyDescent="0.25"/>
    <row r="15374" customFormat="1" x14ac:dyDescent="0.25"/>
    <row r="15375" customFormat="1" x14ac:dyDescent="0.25"/>
    <row r="15376" customFormat="1" x14ac:dyDescent="0.25"/>
    <row r="15377" customFormat="1" x14ac:dyDescent="0.25"/>
    <row r="15378" customFormat="1" x14ac:dyDescent="0.25"/>
    <row r="15379" customFormat="1" x14ac:dyDescent="0.25"/>
    <row r="15380" customFormat="1" x14ac:dyDescent="0.25"/>
    <row r="15381" customFormat="1" x14ac:dyDescent="0.25"/>
    <row r="15382" customFormat="1" x14ac:dyDescent="0.25"/>
    <row r="15383" customFormat="1" x14ac:dyDescent="0.25"/>
    <row r="15384" customFormat="1" x14ac:dyDescent="0.25"/>
    <row r="15385" customFormat="1" x14ac:dyDescent="0.25"/>
    <row r="15386" customFormat="1" x14ac:dyDescent="0.25"/>
    <row r="15387" customFormat="1" x14ac:dyDescent="0.25"/>
    <row r="15388" customFormat="1" x14ac:dyDescent="0.25"/>
    <row r="15389" customFormat="1" x14ac:dyDescent="0.25"/>
    <row r="15390" customFormat="1" x14ac:dyDescent="0.25"/>
    <row r="15391" customFormat="1" x14ac:dyDescent="0.25"/>
    <row r="15392" customFormat="1" x14ac:dyDescent="0.25"/>
    <row r="15393" customFormat="1" x14ac:dyDescent="0.25"/>
    <row r="15394" customFormat="1" x14ac:dyDescent="0.25"/>
    <row r="15395" customFormat="1" x14ac:dyDescent="0.25"/>
    <row r="15396" customFormat="1" x14ac:dyDescent="0.25"/>
    <row r="15397" customFormat="1" x14ac:dyDescent="0.25"/>
    <row r="15398" customFormat="1" x14ac:dyDescent="0.25"/>
    <row r="15399" customFormat="1" x14ac:dyDescent="0.25"/>
    <row r="15400" customFormat="1" x14ac:dyDescent="0.25"/>
    <row r="15401" customFormat="1" x14ac:dyDescent="0.25"/>
    <row r="15402" customFormat="1" x14ac:dyDescent="0.25"/>
    <row r="15403" customFormat="1" x14ac:dyDescent="0.25"/>
    <row r="15404" customFormat="1" x14ac:dyDescent="0.25"/>
    <row r="15405" customFormat="1" x14ac:dyDescent="0.25"/>
    <row r="15406" customFormat="1" x14ac:dyDescent="0.25"/>
    <row r="15407" customFormat="1" x14ac:dyDescent="0.25"/>
    <row r="15408" customFormat="1" x14ac:dyDescent="0.25"/>
    <row r="15409" customFormat="1" x14ac:dyDescent="0.25"/>
    <row r="15410" customFormat="1" x14ac:dyDescent="0.25"/>
    <row r="15411" customFormat="1" x14ac:dyDescent="0.25"/>
    <row r="15412" customFormat="1" x14ac:dyDescent="0.25"/>
    <row r="15413" customFormat="1" x14ac:dyDescent="0.25"/>
    <row r="15414" customFormat="1" x14ac:dyDescent="0.25"/>
    <row r="15415" customFormat="1" x14ac:dyDescent="0.25"/>
    <row r="15416" customFormat="1" x14ac:dyDescent="0.25"/>
    <row r="15417" customFormat="1" x14ac:dyDescent="0.25"/>
    <row r="15418" customFormat="1" x14ac:dyDescent="0.25"/>
    <row r="15419" customFormat="1" x14ac:dyDescent="0.25"/>
    <row r="15420" customFormat="1" x14ac:dyDescent="0.25"/>
    <row r="15421" customFormat="1" x14ac:dyDescent="0.25"/>
    <row r="15422" customFormat="1" x14ac:dyDescent="0.25"/>
    <row r="15423" customFormat="1" x14ac:dyDescent="0.25"/>
    <row r="15424" customFormat="1" x14ac:dyDescent="0.25"/>
    <row r="15425" customFormat="1" x14ac:dyDescent="0.25"/>
    <row r="15426" customFormat="1" x14ac:dyDescent="0.25"/>
    <row r="15427" customFormat="1" x14ac:dyDescent="0.25"/>
    <row r="15428" customFormat="1" x14ac:dyDescent="0.25"/>
    <row r="15429" customFormat="1" x14ac:dyDescent="0.25"/>
    <row r="15430" customFormat="1" x14ac:dyDescent="0.25"/>
    <row r="15431" customFormat="1" x14ac:dyDescent="0.25"/>
    <row r="15432" customFormat="1" x14ac:dyDescent="0.25"/>
    <row r="15433" customFormat="1" x14ac:dyDescent="0.25"/>
    <row r="15434" customFormat="1" x14ac:dyDescent="0.25"/>
    <row r="15435" customFormat="1" x14ac:dyDescent="0.25"/>
    <row r="15436" customFormat="1" x14ac:dyDescent="0.25"/>
    <row r="15437" customFormat="1" x14ac:dyDescent="0.25"/>
    <row r="15438" customFormat="1" x14ac:dyDescent="0.25"/>
    <row r="15439" customFormat="1" x14ac:dyDescent="0.25"/>
    <row r="15440" customFormat="1" x14ac:dyDescent="0.25"/>
    <row r="15441" customFormat="1" x14ac:dyDescent="0.25"/>
    <row r="15442" customFormat="1" x14ac:dyDescent="0.25"/>
    <row r="15443" customFormat="1" x14ac:dyDescent="0.25"/>
    <row r="15444" customFormat="1" x14ac:dyDescent="0.25"/>
    <row r="15445" customFormat="1" x14ac:dyDescent="0.25"/>
    <row r="15446" customFormat="1" x14ac:dyDescent="0.25"/>
    <row r="15447" customFormat="1" x14ac:dyDescent="0.25"/>
    <row r="15448" customFormat="1" x14ac:dyDescent="0.25"/>
    <row r="15449" customFormat="1" x14ac:dyDescent="0.25"/>
    <row r="15450" customFormat="1" x14ac:dyDescent="0.25"/>
    <row r="15451" customFormat="1" x14ac:dyDescent="0.25"/>
    <row r="15452" customFormat="1" x14ac:dyDescent="0.25"/>
    <row r="15453" customFormat="1" x14ac:dyDescent="0.25"/>
    <row r="15454" customFormat="1" x14ac:dyDescent="0.25"/>
    <row r="15455" customFormat="1" x14ac:dyDescent="0.25"/>
    <row r="15456" customFormat="1" x14ac:dyDescent="0.25"/>
    <row r="15457" customFormat="1" x14ac:dyDescent="0.25"/>
    <row r="15458" customFormat="1" x14ac:dyDescent="0.25"/>
    <row r="15459" customFormat="1" x14ac:dyDescent="0.25"/>
    <row r="15460" customFormat="1" x14ac:dyDescent="0.25"/>
    <row r="15461" customFormat="1" x14ac:dyDescent="0.25"/>
    <row r="15462" customFormat="1" x14ac:dyDescent="0.25"/>
    <row r="15463" customFormat="1" x14ac:dyDescent="0.25"/>
    <row r="15464" customFormat="1" x14ac:dyDescent="0.25"/>
    <row r="15465" customFormat="1" x14ac:dyDescent="0.25"/>
    <row r="15466" customFormat="1" x14ac:dyDescent="0.25"/>
    <row r="15467" customFormat="1" x14ac:dyDescent="0.25"/>
    <row r="15468" customFormat="1" x14ac:dyDescent="0.25"/>
    <row r="15469" customFormat="1" x14ac:dyDescent="0.25"/>
    <row r="15470" customFormat="1" x14ac:dyDescent="0.25"/>
    <row r="15471" customFormat="1" x14ac:dyDescent="0.25"/>
    <row r="15472" customFormat="1" x14ac:dyDescent="0.25"/>
    <row r="15473" customFormat="1" x14ac:dyDescent="0.25"/>
    <row r="15474" customFormat="1" x14ac:dyDescent="0.25"/>
    <row r="15475" customFormat="1" x14ac:dyDescent="0.25"/>
    <row r="15476" customFormat="1" x14ac:dyDescent="0.25"/>
    <row r="15477" customFormat="1" x14ac:dyDescent="0.25"/>
    <row r="15478" customFormat="1" x14ac:dyDescent="0.25"/>
    <row r="15479" customFormat="1" x14ac:dyDescent="0.25"/>
    <row r="15480" customFormat="1" x14ac:dyDescent="0.25"/>
    <row r="15481" customFormat="1" x14ac:dyDescent="0.25"/>
    <row r="15482" customFormat="1" x14ac:dyDescent="0.25"/>
    <row r="15483" customFormat="1" x14ac:dyDescent="0.25"/>
    <row r="15484" customFormat="1" x14ac:dyDescent="0.25"/>
    <row r="15485" customFormat="1" x14ac:dyDescent="0.25"/>
    <row r="15486" customFormat="1" x14ac:dyDescent="0.25"/>
    <row r="15487" customFormat="1" x14ac:dyDescent="0.25"/>
    <row r="15488" customFormat="1" x14ac:dyDescent="0.25"/>
    <row r="15489" customFormat="1" x14ac:dyDescent="0.25"/>
    <row r="15490" customFormat="1" x14ac:dyDescent="0.25"/>
    <row r="15491" customFormat="1" x14ac:dyDescent="0.25"/>
    <row r="15492" customFormat="1" x14ac:dyDescent="0.25"/>
    <row r="15493" customFormat="1" x14ac:dyDescent="0.25"/>
    <row r="15494" customFormat="1" x14ac:dyDescent="0.25"/>
    <row r="15495" customFormat="1" x14ac:dyDescent="0.25"/>
    <row r="15496" customFormat="1" x14ac:dyDescent="0.25"/>
    <row r="15497" customFormat="1" x14ac:dyDescent="0.25"/>
    <row r="15498" customFormat="1" x14ac:dyDescent="0.25"/>
    <row r="15499" customFormat="1" x14ac:dyDescent="0.25"/>
    <row r="15500" customFormat="1" x14ac:dyDescent="0.25"/>
    <row r="15501" customFormat="1" x14ac:dyDescent="0.25"/>
    <row r="15502" customFormat="1" x14ac:dyDescent="0.25"/>
    <row r="15503" customFormat="1" x14ac:dyDescent="0.25"/>
    <row r="15504" customFormat="1" x14ac:dyDescent="0.25"/>
    <row r="15505" customFormat="1" x14ac:dyDescent="0.25"/>
    <row r="15506" customFormat="1" x14ac:dyDescent="0.25"/>
    <row r="15507" customFormat="1" x14ac:dyDescent="0.25"/>
    <row r="15508" customFormat="1" x14ac:dyDescent="0.25"/>
    <row r="15509" customFormat="1" x14ac:dyDescent="0.25"/>
    <row r="15510" customFormat="1" x14ac:dyDescent="0.25"/>
    <row r="15511" customFormat="1" x14ac:dyDescent="0.25"/>
    <row r="15512" customFormat="1" x14ac:dyDescent="0.25"/>
    <row r="15513" customFormat="1" x14ac:dyDescent="0.25"/>
    <row r="15514" customFormat="1" x14ac:dyDescent="0.25"/>
    <row r="15515" customFormat="1" x14ac:dyDescent="0.25"/>
    <row r="15516" customFormat="1" x14ac:dyDescent="0.25"/>
    <row r="15517" customFormat="1" x14ac:dyDescent="0.25"/>
    <row r="15518" customFormat="1" x14ac:dyDescent="0.25"/>
    <row r="15519" customFormat="1" x14ac:dyDescent="0.25"/>
    <row r="15520" customFormat="1" x14ac:dyDescent="0.25"/>
    <row r="15521" customFormat="1" x14ac:dyDescent="0.25"/>
    <row r="15522" customFormat="1" x14ac:dyDescent="0.25"/>
    <row r="15523" customFormat="1" x14ac:dyDescent="0.25"/>
    <row r="15524" customFormat="1" x14ac:dyDescent="0.25"/>
    <row r="15525" customFormat="1" x14ac:dyDescent="0.25"/>
    <row r="15526" customFormat="1" x14ac:dyDescent="0.25"/>
    <row r="15527" customFormat="1" x14ac:dyDescent="0.25"/>
    <row r="15528" customFormat="1" x14ac:dyDescent="0.25"/>
    <row r="15529" customFormat="1" x14ac:dyDescent="0.25"/>
    <row r="15530" customFormat="1" x14ac:dyDescent="0.25"/>
    <row r="15531" customFormat="1" x14ac:dyDescent="0.25"/>
    <row r="15532" customFormat="1" x14ac:dyDescent="0.25"/>
    <row r="15533" customFormat="1" x14ac:dyDescent="0.25"/>
    <row r="15534" customFormat="1" x14ac:dyDescent="0.25"/>
    <row r="15535" customFormat="1" x14ac:dyDescent="0.25"/>
    <row r="15536" customFormat="1" x14ac:dyDescent="0.25"/>
    <row r="15537" customFormat="1" x14ac:dyDescent="0.25"/>
    <row r="15538" customFormat="1" x14ac:dyDescent="0.25"/>
    <row r="15539" customFormat="1" x14ac:dyDescent="0.25"/>
    <row r="15540" customFormat="1" x14ac:dyDescent="0.25"/>
    <row r="15541" customFormat="1" x14ac:dyDescent="0.25"/>
    <row r="15542" customFormat="1" x14ac:dyDescent="0.25"/>
    <row r="15543" customFormat="1" x14ac:dyDescent="0.25"/>
    <row r="15544" customFormat="1" x14ac:dyDescent="0.25"/>
    <row r="15545" customFormat="1" x14ac:dyDescent="0.25"/>
    <row r="15546" customFormat="1" x14ac:dyDescent="0.25"/>
    <row r="15547" customFormat="1" x14ac:dyDescent="0.25"/>
    <row r="15548" customFormat="1" x14ac:dyDescent="0.25"/>
    <row r="15549" customFormat="1" x14ac:dyDescent="0.25"/>
    <row r="15550" customFormat="1" x14ac:dyDescent="0.25"/>
    <row r="15551" customFormat="1" x14ac:dyDescent="0.25"/>
    <row r="15552" customFormat="1" x14ac:dyDescent="0.25"/>
    <row r="15553" customFormat="1" x14ac:dyDescent="0.25"/>
    <row r="15554" customFormat="1" x14ac:dyDescent="0.25"/>
    <row r="15555" customFormat="1" x14ac:dyDescent="0.25"/>
    <row r="15556" customFormat="1" x14ac:dyDescent="0.25"/>
    <row r="15557" customFormat="1" x14ac:dyDescent="0.25"/>
    <row r="15558" customFormat="1" x14ac:dyDescent="0.25"/>
    <row r="15559" customFormat="1" x14ac:dyDescent="0.25"/>
    <row r="15560" customFormat="1" x14ac:dyDescent="0.25"/>
    <row r="15561" customFormat="1" x14ac:dyDescent="0.25"/>
    <row r="15562" customFormat="1" x14ac:dyDescent="0.25"/>
    <row r="15563" customFormat="1" x14ac:dyDescent="0.25"/>
    <row r="15564" customFormat="1" x14ac:dyDescent="0.25"/>
    <row r="15565" customFormat="1" x14ac:dyDescent="0.25"/>
    <row r="15566" customFormat="1" x14ac:dyDescent="0.25"/>
    <row r="15567" customFormat="1" x14ac:dyDescent="0.25"/>
    <row r="15568" customFormat="1" x14ac:dyDescent="0.25"/>
    <row r="15569" customFormat="1" x14ac:dyDescent="0.25"/>
    <row r="15570" customFormat="1" x14ac:dyDescent="0.25"/>
    <row r="15571" customFormat="1" x14ac:dyDescent="0.25"/>
    <row r="15572" customFormat="1" x14ac:dyDescent="0.25"/>
    <row r="15573" customFormat="1" x14ac:dyDescent="0.25"/>
    <row r="15574" customFormat="1" x14ac:dyDescent="0.25"/>
    <row r="15575" customFormat="1" x14ac:dyDescent="0.25"/>
    <row r="15576" customFormat="1" x14ac:dyDescent="0.25"/>
    <row r="15577" customFormat="1" x14ac:dyDescent="0.25"/>
    <row r="15578" customFormat="1" x14ac:dyDescent="0.25"/>
    <row r="15579" customFormat="1" x14ac:dyDescent="0.25"/>
    <row r="15580" customFormat="1" x14ac:dyDescent="0.25"/>
    <row r="15581" customFormat="1" x14ac:dyDescent="0.25"/>
    <row r="15582" customFormat="1" x14ac:dyDescent="0.25"/>
    <row r="15583" customFormat="1" x14ac:dyDescent="0.25"/>
    <row r="15584" customFormat="1" x14ac:dyDescent="0.25"/>
    <row r="15585" customFormat="1" x14ac:dyDescent="0.25"/>
    <row r="15586" customFormat="1" x14ac:dyDescent="0.25"/>
    <row r="15587" customFormat="1" x14ac:dyDescent="0.25"/>
    <row r="15588" customFormat="1" x14ac:dyDescent="0.25"/>
    <row r="15589" customFormat="1" x14ac:dyDescent="0.25"/>
    <row r="15590" customFormat="1" x14ac:dyDescent="0.25"/>
    <row r="15591" customFormat="1" x14ac:dyDescent="0.25"/>
    <row r="15592" customFormat="1" x14ac:dyDescent="0.25"/>
    <row r="15593" customFormat="1" x14ac:dyDescent="0.25"/>
    <row r="15594" customFormat="1" x14ac:dyDescent="0.25"/>
    <row r="15595" customFormat="1" x14ac:dyDescent="0.25"/>
    <row r="15596" customFormat="1" x14ac:dyDescent="0.25"/>
    <row r="15597" customFormat="1" x14ac:dyDescent="0.25"/>
    <row r="15598" customFormat="1" x14ac:dyDescent="0.25"/>
    <row r="15599" customFormat="1" x14ac:dyDescent="0.25"/>
    <row r="15600" customFormat="1" x14ac:dyDescent="0.25"/>
    <row r="15601" customFormat="1" x14ac:dyDescent="0.25"/>
    <row r="15602" customFormat="1" x14ac:dyDescent="0.25"/>
    <row r="15603" customFormat="1" x14ac:dyDescent="0.25"/>
    <row r="15604" customFormat="1" x14ac:dyDescent="0.25"/>
    <row r="15605" customFormat="1" x14ac:dyDescent="0.25"/>
    <row r="15606" customFormat="1" x14ac:dyDescent="0.25"/>
    <row r="15607" customFormat="1" x14ac:dyDescent="0.25"/>
    <row r="15608" customFormat="1" x14ac:dyDescent="0.25"/>
    <row r="15609" customFormat="1" x14ac:dyDescent="0.25"/>
    <row r="15610" customFormat="1" x14ac:dyDescent="0.25"/>
    <row r="15611" customFormat="1" x14ac:dyDescent="0.25"/>
    <row r="15612" customFormat="1" x14ac:dyDescent="0.25"/>
    <row r="15613" customFormat="1" x14ac:dyDescent="0.25"/>
    <row r="15614" customFormat="1" x14ac:dyDescent="0.25"/>
    <row r="15615" customFormat="1" x14ac:dyDescent="0.25"/>
    <row r="15616" customFormat="1" x14ac:dyDescent="0.25"/>
    <row r="15617" customFormat="1" x14ac:dyDescent="0.25"/>
    <row r="15618" customFormat="1" x14ac:dyDescent="0.25"/>
    <row r="15619" customFormat="1" x14ac:dyDescent="0.25"/>
    <row r="15620" customFormat="1" x14ac:dyDescent="0.25"/>
    <row r="15621" customFormat="1" x14ac:dyDescent="0.25"/>
    <row r="15622" customFormat="1" x14ac:dyDescent="0.25"/>
    <row r="15623" customFormat="1" x14ac:dyDescent="0.25"/>
    <row r="15624" customFormat="1" x14ac:dyDescent="0.25"/>
    <row r="15625" customFormat="1" x14ac:dyDescent="0.25"/>
    <row r="15626" customFormat="1" x14ac:dyDescent="0.25"/>
    <row r="15627" customFormat="1" x14ac:dyDescent="0.25"/>
    <row r="15628" customFormat="1" x14ac:dyDescent="0.25"/>
    <row r="15629" customFormat="1" x14ac:dyDescent="0.25"/>
    <row r="15630" customFormat="1" x14ac:dyDescent="0.25"/>
    <row r="15631" customFormat="1" x14ac:dyDescent="0.25"/>
    <row r="15632" customFormat="1" x14ac:dyDescent="0.25"/>
    <row r="15633" customFormat="1" x14ac:dyDescent="0.25"/>
    <row r="15634" customFormat="1" x14ac:dyDescent="0.25"/>
    <row r="15635" customFormat="1" x14ac:dyDescent="0.25"/>
    <row r="15636" customFormat="1" x14ac:dyDescent="0.25"/>
    <row r="15637" customFormat="1" x14ac:dyDescent="0.25"/>
    <row r="15638" customFormat="1" x14ac:dyDescent="0.25"/>
    <row r="15639" customFormat="1" x14ac:dyDescent="0.25"/>
    <row r="15640" customFormat="1" x14ac:dyDescent="0.25"/>
    <row r="15641" customFormat="1" x14ac:dyDescent="0.25"/>
    <row r="15642" customFormat="1" x14ac:dyDescent="0.25"/>
    <row r="15643" customFormat="1" x14ac:dyDescent="0.25"/>
    <row r="15644" customFormat="1" x14ac:dyDescent="0.25"/>
    <row r="15645" customFormat="1" x14ac:dyDescent="0.25"/>
    <row r="15646" customFormat="1" x14ac:dyDescent="0.25"/>
    <row r="15647" customFormat="1" x14ac:dyDescent="0.25"/>
    <row r="15648" customFormat="1" x14ac:dyDescent="0.25"/>
    <row r="15649" customFormat="1" x14ac:dyDescent="0.25"/>
    <row r="15650" customFormat="1" x14ac:dyDescent="0.25"/>
    <row r="15651" customFormat="1" x14ac:dyDescent="0.25"/>
    <row r="15652" customFormat="1" x14ac:dyDescent="0.25"/>
    <row r="15653" customFormat="1" x14ac:dyDescent="0.25"/>
    <row r="15654" customFormat="1" x14ac:dyDescent="0.25"/>
    <row r="15655" customFormat="1" x14ac:dyDescent="0.25"/>
    <row r="15656" customFormat="1" x14ac:dyDescent="0.25"/>
    <row r="15657" customFormat="1" x14ac:dyDescent="0.25"/>
    <row r="15658" customFormat="1" x14ac:dyDescent="0.25"/>
    <row r="15659" customFormat="1" x14ac:dyDescent="0.25"/>
    <row r="15660" customFormat="1" x14ac:dyDescent="0.25"/>
    <row r="15661" customFormat="1" x14ac:dyDescent="0.25"/>
    <row r="15662" customFormat="1" x14ac:dyDescent="0.25"/>
    <row r="15663" customFormat="1" x14ac:dyDescent="0.25"/>
    <row r="15664" customFormat="1" x14ac:dyDescent="0.25"/>
    <row r="15665" customFormat="1" x14ac:dyDescent="0.25"/>
    <row r="15666" customFormat="1" x14ac:dyDescent="0.25"/>
    <row r="15667" customFormat="1" x14ac:dyDescent="0.25"/>
    <row r="15668" customFormat="1" x14ac:dyDescent="0.25"/>
    <row r="15669" customFormat="1" x14ac:dyDescent="0.25"/>
    <row r="15670" customFormat="1" x14ac:dyDescent="0.25"/>
    <row r="15671" customFormat="1" x14ac:dyDescent="0.25"/>
    <row r="15672" customFormat="1" x14ac:dyDescent="0.25"/>
    <row r="15673" customFormat="1" x14ac:dyDescent="0.25"/>
    <row r="15674" customFormat="1" x14ac:dyDescent="0.25"/>
    <row r="15675" customFormat="1" x14ac:dyDescent="0.25"/>
    <row r="15676" customFormat="1" x14ac:dyDescent="0.25"/>
    <row r="15677" customFormat="1" x14ac:dyDescent="0.25"/>
    <row r="15678" customFormat="1" x14ac:dyDescent="0.25"/>
    <row r="15679" customFormat="1" x14ac:dyDescent="0.25"/>
    <row r="15680" customFormat="1" x14ac:dyDescent="0.25"/>
    <row r="15681" customFormat="1" x14ac:dyDescent="0.25"/>
    <row r="15682" customFormat="1" x14ac:dyDescent="0.25"/>
    <row r="15683" customFormat="1" x14ac:dyDescent="0.25"/>
    <row r="15684" customFormat="1" x14ac:dyDescent="0.25"/>
    <row r="15685" customFormat="1" x14ac:dyDescent="0.25"/>
    <row r="15686" customFormat="1" x14ac:dyDescent="0.25"/>
    <row r="15687" customFormat="1" x14ac:dyDescent="0.25"/>
    <row r="15688" customFormat="1" x14ac:dyDescent="0.25"/>
    <row r="15689" customFormat="1" x14ac:dyDescent="0.25"/>
    <row r="15690" customFormat="1" x14ac:dyDescent="0.25"/>
    <row r="15691" customFormat="1" x14ac:dyDescent="0.25"/>
    <row r="15692" customFormat="1" x14ac:dyDescent="0.25"/>
    <row r="15693" customFormat="1" x14ac:dyDescent="0.25"/>
    <row r="15694" customFormat="1" x14ac:dyDescent="0.25"/>
    <row r="15695" customFormat="1" x14ac:dyDescent="0.25"/>
    <row r="15696" customFormat="1" x14ac:dyDescent="0.25"/>
    <row r="15697" customFormat="1" x14ac:dyDescent="0.25"/>
    <row r="15698" customFormat="1" x14ac:dyDescent="0.25"/>
    <row r="15699" customFormat="1" x14ac:dyDescent="0.25"/>
    <row r="15700" customFormat="1" x14ac:dyDescent="0.25"/>
    <row r="15701" customFormat="1" x14ac:dyDescent="0.25"/>
    <row r="15702" customFormat="1" x14ac:dyDescent="0.25"/>
    <row r="15703" customFormat="1" x14ac:dyDescent="0.25"/>
    <row r="15704" customFormat="1" x14ac:dyDescent="0.25"/>
    <row r="15705" customFormat="1" x14ac:dyDescent="0.25"/>
    <row r="15706" customFormat="1" x14ac:dyDescent="0.25"/>
    <row r="15707" customFormat="1" x14ac:dyDescent="0.25"/>
    <row r="15708" customFormat="1" x14ac:dyDescent="0.25"/>
    <row r="15709" customFormat="1" x14ac:dyDescent="0.25"/>
    <row r="15710" customFormat="1" x14ac:dyDescent="0.25"/>
    <row r="15711" customFormat="1" x14ac:dyDescent="0.25"/>
    <row r="15712" customFormat="1" x14ac:dyDescent="0.25"/>
    <row r="15713" customFormat="1" x14ac:dyDescent="0.25"/>
    <row r="15714" customFormat="1" x14ac:dyDescent="0.25"/>
    <row r="15715" customFormat="1" x14ac:dyDescent="0.25"/>
    <row r="15716" customFormat="1" x14ac:dyDescent="0.25"/>
    <row r="15717" customFormat="1" x14ac:dyDescent="0.25"/>
    <row r="15718" customFormat="1" x14ac:dyDescent="0.25"/>
    <row r="15719" customFormat="1" x14ac:dyDescent="0.25"/>
    <row r="15720" customFormat="1" x14ac:dyDescent="0.25"/>
    <row r="15721" customFormat="1" x14ac:dyDescent="0.25"/>
    <row r="15722" customFormat="1" x14ac:dyDescent="0.25"/>
    <row r="15723" customFormat="1" x14ac:dyDescent="0.25"/>
    <row r="15724" customFormat="1" x14ac:dyDescent="0.25"/>
    <row r="15725" customFormat="1" x14ac:dyDescent="0.25"/>
    <row r="15726" customFormat="1" x14ac:dyDescent="0.25"/>
    <row r="15727" customFormat="1" x14ac:dyDescent="0.25"/>
    <row r="15728" customFormat="1" x14ac:dyDescent="0.25"/>
    <row r="15729" customFormat="1" x14ac:dyDescent="0.25"/>
    <row r="15730" customFormat="1" x14ac:dyDescent="0.25"/>
    <row r="15731" customFormat="1" x14ac:dyDescent="0.25"/>
    <row r="15732" customFormat="1" x14ac:dyDescent="0.25"/>
    <row r="15733" customFormat="1" x14ac:dyDescent="0.25"/>
    <row r="15734" customFormat="1" x14ac:dyDescent="0.25"/>
    <row r="15735" customFormat="1" x14ac:dyDescent="0.25"/>
    <row r="15736" customFormat="1" x14ac:dyDescent="0.25"/>
    <row r="15737" customFormat="1" x14ac:dyDescent="0.25"/>
    <row r="15738" customFormat="1" x14ac:dyDescent="0.25"/>
    <row r="15739" customFormat="1" x14ac:dyDescent="0.25"/>
    <row r="15740" customFormat="1" x14ac:dyDescent="0.25"/>
    <row r="15741" customFormat="1" x14ac:dyDescent="0.25"/>
    <row r="15742" customFormat="1" x14ac:dyDescent="0.25"/>
    <row r="15743" customFormat="1" x14ac:dyDescent="0.25"/>
    <row r="15744" customFormat="1" x14ac:dyDescent="0.25"/>
    <row r="15745" customFormat="1" x14ac:dyDescent="0.25"/>
    <row r="15746" customFormat="1" x14ac:dyDescent="0.25"/>
    <row r="15747" customFormat="1" x14ac:dyDescent="0.25"/>
    <row r="15748" customFormat="1" x14ac:dyDescent="0.25"/>
    <row r="15749" customFormat="1" x14ac:dyDescent="0.25"/>
    <row r="15750" customFormat="1" x14ac:dyDescent="0.25"/>
    <row r="15751" customFormat="1" x14ac:dyDescent="0.25"/>
    <row r="15752" customFormat="1" x14ac:dyDescent="0.25"/>
    <row r="15753" customFormat="1" x14ac:dyDescent="0.25"/>
    <row r="15754" customFormat="1" x14ac:dyDescent="0.25"/>
    <row r="15755" customFormat="1" x14ac:dyDescent="0.25"/>
    <row r="15756" customFormat="1" x14ac:dyDescent="0.25"/>
    <row r="15757" customFormat="1" x14ac:dyDescent="0.25"/>
    <row r="15758" customFormat="1" x14ac:dyDescent="0.25"/>
    <row r="15759" customFormat="1" x14ac:dyDescent="0.25"/>
    <row r="15760" customFormat="1" x14ac:dyDescent="0.25"/>
    <row r="15761" customFormat="1" x14ac:dyDescent="0.25"/>
    <row r="15762" customFormat="1" x14ac:dyDescent="0.25"/>
    <row r="15763" customFormat="1" x14ac:dyDescent="0.25"/>
    <row r="15764" customFormat="1" x14ac:dyDescent="0.25"/>
    <row r="15765" customFormat="1" x14ac:dyDescent="0.25"/>
    <row r="15766" customFormat="1" x14ac:dyDescent="0.25"/>
    <row r="15767" customFormat="1" x14ac:dyDescent="0.25"/>
    <row r="15768" customFormat="1" x14ac:dyDescent="0.25"/>
    <row r="15769" customFormat="1" x14ac:dyDescent="0.25"/>
    <row r="15770" customFormat="1" x14ac:dyDescent="0.25"/>
    <row r="15771" customFormat="1" x14ac:dyDescent="0.25"/>
    <row r="15772" customFormat="1" x14ac:dyDescent="0.25"/>
    <row r="15773" customFormat="1" x14ac:dyDescent="0.25"/>
    <row r="15774" customFormat="1" x14ac:dyDescent="0.25"/>
    <row r="15775" customFormat="1" x14ac:dyDescent="0.25"/>
    <row r="15776" customFormat="1" x14ac:dyDescent="0.25"/>
    <row r="15777" customFormat="1" x14ac:dyDescent="0.25"/>
    <row r="15778" customFormat="1" x14ac:dyDescent="0.25"/>
    <row r="15779" customFormat="1" x14ac:dyDescent="0.25"/>
    <row r="15780" customFormat="1" x14ac:dyDescent="0.25"/>
    <row r="15781" customFormat="1" x14ac:dyDescent="0.25"/>
    <row r="15782" customFormat="1" x14ac:dyDescent="0.25"/>
    <row r="15783" customFormat="1" x14ac:dyDescent="0.25"/>
    <row r="15784" customFormat="1" x14ac:dyDescent="0.25"/>
    <row r="15785" customFormat="1" x14ac:dyDescent="0.25"/>
    <row r="15786" customFormat="1" x14ac:dyDescent="0.25"/>
    <row r="15787" customFormat="1" x14ac:dyDescent="0.25"/>
    <row r="15788" customFormat="1" x14ac:dyDescent="0.25"/>
    <row r="15789" customFormat="1" x14ac:dyDescent="0.25"/>
    <row r="15790" customFormat="1" x14ac:dyDescent="0.25"/>
    <row r="15791" customFormat="1" x14ac:dyDescent="0.25"/>
    <row r="15792" customFormat="1" x14ac:dyDescent="0.25"/>
    <row r="15793" customFormat="1" x14ac:dyDescent="0.25"/>
    <row r="15794" customFormat="1" x14ac:dyDescent="0.25"/>
    <row r="15795" customFormat="1" x14ac:dyDescent="0.25"/>
    <row r="15796" customFormat="1" x14ac:dyDescent="0.25"/>
    <row r="15797" customFormat="1" x14ac:dyDescent="0.25"/>
    <row r="15798" customFormat="1" x14ac:dyDescent="0.25"/>
    <row r="15799" customFormat="1" x14ac:dyDescent="0.25"/>
    <row r="15800" customFormat="1" x14ac:dyDescent="0.25"/>
    <row r="15801" customFormat="1" x14ac:dyDescent="0.25"/>
    <row r="15802" customFormat="1" x14ac:dyDescent="0.25"/>
    <row r="15803" customFormat="1" x14ac:dyDescent="0.25"/>
    <row r="15804" customFormat="1" x14ac:dyDescent="0.25"/>
    <row r="15805" customFormat="1" x14ac:dyDescent="0.25"/>
    <row r="15806" customFormat="1" x14ac:dyDescent="0.25"/>
    <row r="15807" customFormat="1" x14ac:dyDescent="0.25"/>
    <row r="15808" customFormat="1" x14ac:dyDescent="0.25"/>
    <row r="15809" customFormat="1" x14ac:dyDescent="0.25"/>
    <row r="15810" customFormat="1" x14ac:dyDescent="0.25"/>
    <row r="15811" customFormat="1" x14ac:dyDescent="0.25"/>
    <row r="15812" customFormat="1" x14ac:dyDescent="0.25"/>
    <row r="15813" customFormat="1" x14ac:dyDescent="0.25"/>
    <row r="15814" customFormat="1" x14ac:dyDescent="0.25"/>
    <row r="15815" customFormat="1" x14ac:dyDescent="0.25"/>
    <row r="15816" customFormat="1" x14ac:dyDescent="0.25"/>
    <row r="15817" customFormat="1" x14ac:dyDescent="0.25"/>
    <row r="15818" customFormat="1" x14ac:dyDescent="0.25"/>
    <row r="15819" customFormat="1" x14ac:dyDescent="0.25"/>
    <row r="15820" customFormat="1" x14ac:dyDescent="0.25"/>
    <row r="15821" customFormat="1" x14ac:dyDescent="0.25"/>
    <row r="15822" customFormat="1" x14ac:dyDescent="0.25"/>
    <row r="15823" customFormat="1" x14ac:dyDescent="0.25"/>
    <row r="15824" customFormat="1" x14ac:dyDescent="0.25"/>
    <row r="15825" customFormat="1" x14ac:dyDescent="0.25"/>
    <row r="15826" customFormat="1" x14ac:dyDescent="0.25"/>
    <row r="15827" customFormat="1" x14ac:dyDescent="0.25"/>
    <row r="15828" customFormat="1" x14ac:dyDescent="0.25"/>
    <row r="15829" customFormat="1" x14ac:dyDescent="0.25"/>
    <row r="15830" customFormat="1" x14ac:dyDescent="0.25"/>
    <row r="15831" customFormat="1" x14ac:dyDescent="0.25"/>
    <row r="15832" customFormat="1" x14ac:dyDescent="0.25"/>
    <row r="15833" customFormat="1" x14ac:dyDescent="0.25"/>
    <row r="15834" customFormat="1" x14ac:dyDescent="0.25"/>
    <row r="15835" customFormat="1" x14ac:dyDescent="0.25"/>
    <row r="15836" customFormat="1" x14ac:dyDescent="0.25"/>
    <row r="15837" customFormat="1" x14ac:dyDescent="0.25"/>
    <row r="15838" customFormat="1" x14ac:dyDescent="0.25"/>
    <row r="15839" customFormat="1" x14ac:dyDescent="0.25"/>
    <row r="15840" customFormat="1" x14ac:dyDescent="0.25"/>
    <row r="15841" customFormat="1" x14ac:dyDescent="0.25"/>
    <row r="15842" customFormat="1" x14ac:dyDescent="0.25"/>
    <row r="15843" customFormat="1" x14ac:dyDescent="0.25"/>
    <row r="15844" customFormat="1" x14ac:dyDescent="0.25"/>
    <row r="15845" customFormat="1" x14ac:dyDescent="0.25"/>
    <row r="15846" customFormat="1" x14ac:dyDescent="0.25"/>
    <row r="15847" customFormat="1" x14ac:dyDescent="0.25"/>
    <row r="15848" customFormat="1" x14ac:dyDescent="0.25"/>
    <row r="15849" customFormat="1" x14ac:dyDescent="0.25"/>
    <row r="15850" customFormat="1" x14ac:dyDescent="0.25"/>
    <row r="15851" customFormat="1" x14ac:dyDescent="0.25"/>
    <row r="15852" customFormat="1" x14ac:dyDescent="0.25"/>
    <row r="15853" customFormat="1" x14ac:dyDescent="0.25"/>
    <row r="15854" customFormat="1" x14ac:dyDescent="0.25"/>
    <row r="15855" customFormat="1" x14ac:dyDescent="0.25"/>
    <row r="15856" customFormat="1" x14ac:dyDescent="0.25"/>
    <row r="15857" customFormat="1" x14ac:dyDescent="0.25"/>
    <row r="15858" customFormat="1" x14ac:dyDescent="0.25"/>
    <row r="15859" customFormat="1" x14ac:dyDescent="0.25"/>
    <row r="15860" customFormat="1" x14ac:dyDescent="0.25"/>
    <row r="15861" customFormat="1" x14ac:dyDescent="0.25"/>
    <row r="15862" customFormat="1" x14ac:dyDescent="0.25"/>
    <row r="15863" customFormat="1" x14ac:dyDescent="0.25"/>
    <row r="15864" customFormat="1" x14ac:dyDescent="0.25"/>
    <row r="15865" customFormat="1" x14ac:dyDescent="0.25"/>
    <row r="15866" customFormat="1" x14ac:dyDescent="0.25"/>
    <row r="15867" customFormat="1" x14ac:dyDescent="0.25"/>
    <row r="15868" customFormat="1" x14ac:dyDescent="0.25"/>
    <row r="15869" customFormat="1" x14ac:dyDescent="0.25"/>
    <row r="15870" customFormat="1" x14ac:dyDescent="0.25"/>
    <row r="15871" customFormat="1" x14ac:dyDescent="0.25"/>
    <row r="15872" customFormat="1" x14ac:dyDescent="0.25"/>
    <row r="15873" customFormat="1" x14ac:dyDescent="0.25"/>
    <row r="15874" customFormat="1" x14ac:dyDescent="0.25"/>
    <row r="15875" customFormat="1" x14ac:dyDescent="0.25"/>
    <row r="15876" customFormat="1" x14ac:dyDescent="0.25"/>
    <row r="15877" customFormat="1" x14ac:dyDescent="0.25"/>
    <row r="15878" customFormat="1" x14ac:dyDescent="0.25"/>
    <row r="15879" customFormat="1" x14ac:dyDescent="0.25"/>
    <row r="15880" customFormat="1" x14ac:dyDescent="0.25"/>
    <row r="15881" customFormat="1" x14ac:dyDescent="0.25"/>
    <row r="15882" customFormat="1" x14ac:dyDescent="0.25"/>
    <row r="15883" customFormat="1" x14ac:dyDescent="0.25"/>
    <row r="15884" customFormat="1" x14ac:dyDescent="0.25"/>
    <row r="15885" customFormat="1" x14ac:dyDescent="0.25"/>
    <row r="15886" customFormat="1" x14ac:dyDescent="0.25"/>
    <row r="15887" customFormat="1" x14ac:dyDescent="0.25"/>
    <row r="15888" customFormat="1" x14ac:dyDescent="0.25"/>
    <row r="15889" customFormat="1" x14ac:dyDescent="0.25"/>
    <row r="15890" customFormat="1" x14ac:dyDescent="0.25"/>
    <row r="15891" customFormat="1" x14ac:dyDescent="0.25"/>
    <row r="15892" customFormat="1" x14ac:dyDescent="0.25"/>
    <row r="15893" customFormat="1" x14ac:dyDescent="0.25"/>
    <row r="15894" customFormat="1" x14ac:dyDescent="0.25"/>
    <row r="15895" customFormat="1" x14ac:dyDescent="0.25"/>
    <row r="15896" customFormat="1" x14ac:dyDescent="0.25"/>
    <row r="15897" customFormat="1" x14ac:dyDescent="0.25"/>
    <row r="15898" customFormat="1" x14ac:dyDescent="0.25"/>
    <row r="15899" customFormat="1" x14ac:dyDescent="0.25"/>
    <row r="15900" customFormat="1" x14ac:dyDescent="0.25"/>
    <row r="15901" customFormat="1" x14ac:dyDescent="0.25"/>
    <row r="15902" customFormat="1" x14ac:dyDescent="0.25"/>
    <row r="15903" customFormat="1" x14ac:dyDescent="0.25"/>
    <row r="15904" customFormat="1" x14ac:dyDescent="0.25"/>
    <row r="15905" customFormat="1" x14ac:dyDescent="0.25"/>
    <row r="15906" customFormat="1" x14ac:dyDescent="0.25"/>
    <row r="15907" customFormat="1" x14ac:dyDescent="0.25"/>
    <row r="15908" customFormat="1" x14ac:dyDescent="0.25"/>
    <row r="15909" customFormat="1" x14ac:dyDescent="0.25"/>
    <row r="15910" customFormat="1" x14ac:dyDescent="0.25"/>
    <row r="15911" customFormat="1" x14ac:dyDescent="0.25"/>
    <row r="15912" customFormat="1" x14ac:dyDescent="0.25"/>
    <row r="15913" customFormat="1" x14ac:dyDescent="0.25"/>
    <row r="15914" customFormat="1" x14ac:dyDescent="0.25"/>
    <row r="15915" customFormat="1" x14ac:dyDescent="0.25"/>
    <row r="15916" customFormat="1" x14ac:dyDescent="0.25"/>
    <row r="15917" customFormat="1" x14ac:dyDescent="0.25"/>
    <row r="15918" customFormat="1" x14ac:dyDescent="0.25"/>
    <row r="15919" customFormat="1" x14ac:dyDescent="0.25"/>
    <row r="15920" customFormat="1" x14ac:dyDescent="0.25"/>
    <row r="15921" customFormat="1" x14ac:dyDescent="0.25"/>
    <row r="15922" customFormat="1" x14ac:dyDescent="0.25"/>
    <row r="15923" customFormat="1" x14ac:dyDescent="0.25"/>
    <row r="15924" customFormat="1" x14ac:dyDescent="0.25"/>
    <row r="15925" customFormat="1" x14ac:dyDescent="0.25"/>
    <row r="15926" customFormat="1" x14ac:dyDescent="0.25"/>
    <row r="15927" customFormat="1" x14ac:dyDescent="0.25"/>
    <row r="15928" customFormat="1" x14ac:dyDescent="0.25"/>
    <row r="15929" customFormat="1" x14ac:dyDescent="0.25"/>
    <row r="15930" customFormat="1" x14ac:dyDescent="0.25"/>
    <row r="15931" customFormat="1" x14ac:dyDescent="0.25"/>
    <row r="15932" customFormat="1" x14ac:dyDescent="0.25"/>
    <row r="15933" customFormat="1" x14ac:dyDescent="0.25"/>
    <row r="15934" customFormat="1" x14ac:dyDescent="0.25"/>
    <row r="15935" customFormat="1" x14ac:dyDescent="0.25"/>
    <row r="15936" customFormat="1" x14ac:dyDescent="0.25"/>
    <row r="15937" customFormat="1" x14ac:dyDescent="0.25"/>
    <row r="15938" customFormat="1" x14ac:dyDescent="0.25"/>
    <row r="15939" customFormat="1" x14ac:dyDescent="0.25"/>
    <row r="15940" customFormat="1" x14ac:dyDescent="0.25"/>
    <row r="15941" customFormat="1" x14ac:dyDescent="0.25"/>
    <row r="15942" customFormat="1" x14ac:dyDescent="0.25"/>
    <row r="15943" customFormat="1" x14ac:dyDescent="0.25"/>
    <row r="15944" customFormat="1" x14ac:dyDescent="0.25"/>
    <row r="15945" customFormat="1" x14ac:dyDescent="0.25"/>
    <row r="15946" customFormat="1" x14ac:dyDescent="0.25"/>
    <row r="15947" customFormat="1" x14ac:dyDescent="0.25"/>
    <row r="15948" customFormat="1" x14ac:dyDescent="0.25"/>
    <row r="15949" customFormat="1" x14ac:dyDescent="0.25"/>
    <row r="15950" customFormat="1" x14ac:dyDescent="0.25"/>
    <row r="15951" customFormat="1" x14ac:dyDescent="0.25"/>
    <row r="15952" customFormat="1" x14ac:dyDescent="0.25"/>
    <row r="15953" customFormat="1" x14ac:dyDescent="0.25"/>
    <row r="15954" customFormat="1" x14ac:dyDescent="0.25"/>
    <row r="15955" customFormat="1" x14ac:dyDescent="0.25"/>
    <row r="15956" customFormat="1" x14ac:dyDescent="0.25"/>
    <row r="15957" customFormat="1" x14ac:dyDescent="0.25"/>
    <row r="15958" customFormat="1" x14ac:dyDescent="0.25"/>
    <row r="15959" customFormat="1" x14ac:dyDescent="0.25"/>
    <row r="15960" customFormat="1" x14ac:dyDescent="0.25"/>
    <row r="15961" customFormat="1" x14ac:dyDescent="0.25"/>
    <row r="15962" customFormat="1" x14ac:dyDescent="0.25"/>
    <row r="15963" customFormat="1" x14ac:dyDescent="0.25"/>
    <row r="15964" customFormat="1" x14ac:dyDescent="0.25"/>
    <row r="15965" customFormat="1" x14ac:dyDescent="0.25"/>
    <row r="15966" customFormat="1" x14ac:dyDescent="0.25"/>
    <row r="15967" customFormat="1" x14ac:dyDescent="0.25"/>
    <row r="15968" customFormat="1" x14ac:dyDescent="0.25"/>
    <row r="15969" customFormat="1" x14ac:dyDescent="0.25"/>
    <row r="15970" customFormat="1" x14ac:dyDescent="0.25"/>
    <row r="15971" customFormat="1" x14ac:dyDescent="0.25"/>
    <row r="15972" customFormat="1" x14ac:dyDescent="0.25"/>
    <row r="15973" customFormat="1" x14ac:dyDescent="0.25"/>
    <row r="15974" customFormat="1" x14ac:dyDescent="0.25"/>
    <row r="15975" customFormat="1" x14ac:dyDescent="0.25"/>
    <row r="15976" customFormat="1" x14ac:dyDescent="0.25"/>
    <row r="15977" customFormat="1" x14ac:dyDescent="0.25"/>
    <row r="15978" customFormat="1" x14ac:dyDescent="0.25"/>
    <row r="15979" customFormat="1" x14ac:dyDescent="0.25"/>
    <row r="15980" customFormat="1" x14ac:dyDescent="0.25"/>
    <row r="15981" customFormat="1" x14ac:dyDescent="0.25"/>
    <row r="15982" customFormat="1" x14ac:dyDescent="0.25"/>
    <row r="15983" customFormat="1" x14ac:dyDescent="0.25"/>
    <row r="15984" customFormat="1" x14ac:dyDescent="0.25"/>
    <row r="15985" customFormat="1" x14ac:dyDescent="0.25"/>
    <row r="15986" customFormat="1" x14ac:dyDescent="0.25"/>
    <row r="15987" customFormat="1" x14ac:dyDescent="0.25"/>
    <row r="15988" customFormat="1" x14ac:dyDescent="0.25"/>
    <row r="15989" customFormat="1" x14ac:dyDescent="0.25"/>
    <row r="15990" customFormat="1" x14ac:dyDescent="0.25"/>
    <row r="15991" customFormat="1" x14ac:dyDescent="0.25"/>
    <row r="15992" customFormat="1" x14ac:dyDescent="0.25"/>
    <row r="15993" customFormat="1" x14ac:dyDescent="0.25"/>
    <row r="15994" customFormat="1" x14ac:dyDescent="0.25"/>
    <row r="15995" customFormat="1" x14ac:dyDescent="0.25"/>
    <row r="15996" customFormat="1" x14ac:dyDescent="0.25"/>
    <row r="15997" customFormat="1" x14ac:dyDescent="0.25"/>
    <row r="15998" customFormat="1" x14ac:dyDescent="0.25"/>
    <row r="15999" customFormat="1" x14ac:dyDescent="0.25"/>
    <row r="16000" customFormat="1" x14ac:dyDescent="0.25"/>
    <row r="16001" customFormat="1" x14ac:dyDescent="0.25"/>
    <row r="16002" customFormat="1" x14ac:dyDescent="0.25"/>
    <row r="16003" customFormat="1" x14ac:dyDescent="0.25"/>
    <row r="16004" customFormat="1" x14ac:dyDescent="0.25"/>
    <row r="16005" customFormat="1" x14ac:dyDescent="0.25"/>
    <row r="16006" customFormat="1" x14ac:dyDescent="0.25"/>
    <row r="16007" customFormat="1" x14ac:dyDescent="0.25"/>
    <row r="16008" customFormat="1" x14ac:dyDescent="0.25"/>
    <row r="16009" customFormat="1" x14ac:dyDescent="0.25"/>
    <row r="16010" customFormat="1" x14ac:dyDescent="0.25"/>
    <row r="16011" customFormat="1" x14ac:dyDescent="0.25"/>
    <row r="16012" customFormat="1" x14ac:dyDescent="0.25"/>
    <row r="16013" customFormat="1" x14ac:dyDescent="0.25"/>
    <row r="16014" customFormat="1" x14ac:dyDescent="0.25"/>
    <row r="16015" customFormat="1" x14ac:dyDescent="0.25"/>
    <row r="16016" customFormat="1" x14ac:dyDescent="0.25"/>
    <row r="16017" customFormat="1" x14ac:dyDescent="0.25"/>
    <row r="16018" customFormat="1" x14ac:dyDescent="0.25"/>
    <row r="16019" customFormat="1" x14ac:dyDescent="0.25"/>
    <row r="16020" customFormat="1" x14ac:dyDescent="0.25"/>
    <row r="16021" customFormat="1" x14ac:dyDescent="0.25"/>
    <row r="16022" customFormat="1" x14ac:dyDescent="0.25"/>
    <row r="16023" customFormat="1" x14ac:dyDescent="0.25"/>
    <row r="16024" customFormat="1" x14ac:dyDescent="0.25"/>
    <row r="16025" customFormat="1" x14ac:dyDescent="0.25"/>
    <row r="16026" customFormat="1" x14ac:dyDescent="0.25"/>
    <row r="16027" customFormat="1" x14ac:dyDescent="0.25"/>
    <row r="16028" customFormat="1" x14ac:dyDescent="0.25"/>
    <row r="16029" customFormat="1" x14ac:dyDescent="0.25"/>
    <row r="16030" customFormat="1" x14ac:dyDescent="0.25"/>
    <row r="16031" customFormat="1" x14ac:dyDescent="0.25"/>
    <row r="16032" customFormat="1" x14ac:dyDescent="0.25"/>
    <row r="16033" customFormat="1" x14ac:dyDescent="0.25"/>
    <row r="16034" customFormat="1" x14ac:dyDescent="0.25"/>
    <row r="16035" customFormat="1" x14ac:dyDescent="0.25"/>
    <row r="16036" customFormat="1" x14ac:dyDescent="0.25"/>
    <row r="16037" customFormat="1" x14ac:dyDescent="0.25"/>
    <row r="16038" customFormat="1" x14ac:dyDescent="0.25"/>
    <row r="16039" customFormat="1" x14ac:dyDescent="0.25"/>
    <row r="16040" customFormat="1" x14ac:dyDescent="0.25"/>
    <row r="16041" customFormat="1" x14ac:dyDescent="0.25"/>
    <row r="16042" customFormat="1" x14ac:dyDescent="0.25"/>
    <row r="16043" customFormat="1" x14ac:dyDescent="0.25"/>
    <row r="16044" customFormat="1" x14ac:dyDescent="0.25"/>
    <row r="16045" customFormat="1" x14ac:dyDescent="0.25"/>
    <row r="16046" customFormat="1" x14ac:dyDescent="0.25"/>
    <row r="16047" customFormat="1" x14ac:dyDescent="0.25"/>
    <row r="16048" customFormat="1" x14ac:dyDescent="0.25"/>
    <row r="16049" customFormat="1" x14ac:dyDescent="0.25"/>
    <row r="16050" customFormat="1" x14ac:dyDescent="0.25"/>
    <row r="16051" customFormat="1" x14ac:dyDescent="0.25"/>
    <row r="16052" customFormat="1" x14ac:dyDescent="0.25"/>
    <row r="16053" customFormat="1" x14ac:dyDescent="0.25"/>
    <row r="16054" customFormat="1" x14ac:dyDescent="0.25"/>
    <row r="16055" customFormat="1" x14ac:dyDescent="0.25"/>
    <row r="16056" customFormat="1" x14ac:dyDescent="0.25"/>
    <row r="16057" customFormat="1" x14ac:dyDescent="0.25"/>
    <row r="16058" customFormat="1" x14ac:dyDescent="0.25"/>
    <row r="16059" customFormat="1" x14ac:dyDescent="0.25"/>
    <row r="16060" customFormat="1" x14ac:dyDescent="0.25"/>
    <row r="16061" customFormat="1" x14ac:dyDescent="0.25"/>
    <row r="16062" customFormat="1" x14ac:dyDescent="0.25"/>
    <row r="16063" customFormat="1" x14ac:dyDescent="0.25"/>
    <row r="16064" customFormat="1" x14ac:dyDescent="0.25"/>
    <row r="16065" customFormat="1" x14ac:dyDescent="0.25"/>
    <row r="16066" customFormat="1" x14ac:dyDescent="0.25"/>
    <row r="16067" customFormat="1" x14ac:dyDescent="0.25"/>
    <row r="16068" customFormat="1" x14ac:dyDescent="0.25"/>
    <row r="16069" customFormat="1" x14ac:dyDescent="0.25"/>
    <row r="16070" customFormat="1" x14ac:dyDescent="0.25"/>
    <row r="16071" customFormat="1" x14ac:dyDescent="0.25"/>
    <row r="16072" customFormat="1" x14ac:dyDescent="0.25"/>
    <row r="16073" customFormat="1" x14ac:dyDescent="0.25"/>
    <row r="16074" customFormat="1" x14ac:dyDescent="0.25"/>
    <row r="16075" customFormat="1" x14ac:dyDescent="0.25"/>
    <row r="16076" customFormat="1" x14ac:dyDescent="0.25"/>
    <row r="16077" customFormat="1" x14ac:dyDescent="0.25"/>
    <row r="16078" customFormat="1" x14ac:dyDescent="0.25"/>
    <row r="16079" customFormat="1" x14ac:dyDescent="0.25"/>
    <row r="16080" customFormat="1" x14ac:dyDescent="0.25"/>
    <row r="16081" customFormat="1" x14ac:dyDescent="0.25"/>
    <row r="16082" customFormat="1" x14ac:dyDescent="0.25"/>
    <row r="16083" customFormat="1" x14ac:dyDescent="0.25"/>
    <row r="16084" customFormat="1" x14ac:dyDescent="0.25"/>
    <row r="16085" customFormat="1" x14ac:dyDescent="0.25"/>
    <row r="16086" customFormat="1" x14ac:dyDescent="0.25"/>
    <row r="16087" customFormat="1" x14ac:dyDescent="0.25"/>
    <row r="16088" customFormat="1" x14ac:dyDescent="0.25"/>
    <row r="16089" customFormat="1" x14ac:dyDescent="0.25"/>
    <row r="16090" customFormat="1" x14ac:dyDescent="0.25"/>
    <row r="16091" customFormat="1" x14ac:dyDescent="0.25"/>
    <row r="16092" customFormat="1" x14ac:dyDescent="0.25"/>
    <row r="16093" customFormat="1" x14ac:dyDescent="0.25"/>
    <row r="16094" customFormat="1" x14ac:dyDescent="0.25"/>
    <row r="16095" customFormat="1" x14ac:dyDescent="0.25"/>
    <row r="16096" customFormat="1" x14ac:dyDescent="0.25"/>
    <row r="16097" customFormat="1" x14ac:dyDescent="0.25"/>
    <row r="16098" customFormat="1" x14ac:dyDescent="0.25"/>
    <row r="16099" customFormat="1" x14ac:dyDescent="0.25"/>
    <row r="16100" customFormat="1" x14ac:dyDescent="0.25"/>
    <row r="16101" customFormat="1" x14ac:dyDescent="0.25"/>
    <row r="16102" customFormat="1" x14ac:dyDescent="0.25"/>
    <row r="16103" customFormat="1" x14ac:dyDescent="0.25"/>
    <row r="16104" customFormat="1" x14ac:dyDescent="0.25"/>
    <row r="16105" customFormat="1" x14ac:dyDescent="0.25"/>
    <row r="16106" customFormat="1" x14ac:dyDescent="0.25"/>
    <row r="16107" customFormat="1" x14ac:dyDescent="0.25"/>
    <row r="16108" customFormat="1" x14ac:dyDescent="0.25"/>
    <row r="16109" customFormat="1" x14ac:dyDescent="0.25"/>
    <row r="16110" customFormat="1" x14ac:dyDescent="0.25"/>
    <row r="16111" customFormat="1" x14ac:dyDescent="0.25"/>
    <row r="16112" customFormat="1" x14ac:dyDescent="0.25"/>
    <row r="16113" customFormat="1" x14ac:dyDescent="0.25"/>
    <row r="16114" customFormat="1" x14ac:dyDescent="0.25"/>
    <row r="16115" customFormat="1" x14ac:dyDescent="0.25"/>
    <row r="16116" customFormat="1" x14ac:dyDescent="0.25"/>
    <row r="16117" customFormat="1" x14ac:dyDescent="0.25"/>
    <row r="16118" customFormat="1" x14ac:dyDescent="0.25"/>
    <row r="16119" customFormat="1" x14ac:dyDescent="0.25"/>
    <row r="16120" customFormat="1" x14ac:dyDescent="0.25"/>
    <row r="16121" customFormat="1" x14ac:dyDescent="0.25"/>
    <row r="16122" customFormat="1" x14ac:dyDescent="0.25"/>
    <row r="16123" customFormat="1" x14ac:dyDescent="0.25"/>
    <row r="16124" customFormat="1" x14ac:dyDescent="0.25"/>
    <row r="16125" customFormat="1" x14ac:dyDescent="0.25"/>
    <row r="16126" customFormat="1" x14ac:dyDescent="0.25"/>
    <row r="16127" customFormat="1" x14ac:dyDescent="0.25"/>
    <row r="16128" customFormat="1" x14ac:dyDescent="0.25"/>
    <row r="16129" customFormat="1" x14ac:dyDescent="0.25"/>
    <row r="16130" customFormat="1" x14ac:dyDescent="0.25"/>
    <row r="16131" customFormat="1" x14ac:dyDescent="0.25"/>
    <row r="16132" customFormat="1" x14ac:dyDescent="0.25"/>
    <row r="16133" customFormat="1" x14ac:dyDescent="0.25"/>
    <row r="16134" customFormat="1" x14ac:dyDescent="0.25"/>
    <row r="16135" customFormat="1" x14ac:dyDescent="0.25"/>
    <row r="16136" customFormat="1" x14ac:dyDescent="0.25"/>
    <row r="16137" customFormat="1" x14ac:dyDescent="0.25"/>
    <row r="16138" customFormat="1" x14ac:dyDescent="0.25"/>
    <row r="16139" customFormat="1" x14ac:dyDescent="0.25"/>
    <row r="16140" customFormat="1" x14ac:dyDescent="0.25"/>
    <row r="16141" customFormat="1" x14ac:dyDescent="0.25"/>
    <row r="16142" customFormat="1" x14ac:dyDescent="0.25"/>
    <row r="16143" customFormat="1" x14ac:dyDescent="0.25"/>
    <row r="16144" customFormat="1" x14ac:dyDescent="0.25"/>
    <row r="16145" customFormat="1" x14ac:dyDescent="0.25"/>
    <row r="16146" customFormat="1" x14ac:dyDescent="0.25"/>
    <row r="16147" customFormat="1" x14ac:dyDescent="0.25"/>
    <row r="16148" customFormat="1" x14ac:dyDescent="0.25"/>
    <row r="16149" customFormat="1" x14ac:dyDescent="0.25"/>
    <row r="16150" customFormat="1" x14ac:dyDescent="0.25"/>
    <row r="16151" customFormat="1" x14ac:dyDescent="0.25"/>
    <row r="16152" customFormat="1" x14ac:dyDescent="0.25"/>
    <row r="16153" customFormat="1" x14ac:dyDescent="0.25"/>
    <row r="16154" customFormat="1" x14ac:dyDescent="0.25"/>
    <row r="16155" customFormat="1" x14ac:dyDescent="0.25"/>
    <row r="16156" customFormat="1" x14ac:dyDescent="0.25"/>
    <row r="16157" customFormat="1" x14ac:dyDescent="0.25"/>
    <row r="16158" customFormat="1" x14ac:dyDescent="0.25"/>
    <row r="16159" customFormat="1" x14ac:dyDescent="0.25"/>
    <row r="16160" customFormat="1" x14ac:dyDescent="0.25"/>
    <row r="16161" customFormat="1" x14ac:dyDescent="0.25"/>
    <row r="16162" customFormat="1" x14ac:dyDescent="0.25"/>
    <row r="16163" customFormat="1" x14ac:dyDescent="0.25"/>
    <row r="16164" customFormat="1" x14ac:dyDescent="0.25"/>
    <row r="16165" customFormat="1" x14ac:dyDescent="0.25"/>
    <row r="16166" customFormat="1" x14ac:dyDescent="0.25"/>
    <row r="16167" customFormat="1" x14ac:dyDescent="0.25"/>
    <row r="16168" customFormat="1" x14ac:dyDescent="0.25"/>
    <row r="16169" customFormat="1" x14ac:dyDescent="0.25"/>
    <row r="16170" customFormat="1" x14ac:dyDescent="0.25"/>
    <row r="16171" customFormat="1" x14ac:dyDescent="0.25"/>
    <row r="16172" customFormat="1" x14ac:dyDescent="0.25"/>
    <row r="16173" customFormat="1" x14ac:dyDescent="0.25"/>
    <row r="16174" customFormat="1" x14ac:dyDescent="0.25"/>
    <row r="16175" customFormat="1" x14ac:dyDescent="0.25"/>
    <row r="16176" customFormat="1" x14ac:dyDescent="0.25"/>
    <row r="16177" customFormat="1" x14ac:dyDescent="0.25"/>
    <row r="16178" customFormat="1" x14ac:dyDescent="0.25"/>
    <row r="16179" customFormat="1" x14ac:dyDescent="0.25"/>
    <row r="16180" customFormat="1" x14ac:dyDescent="0.25"/>
    <row r="16181" customFormat="1" x14ac:dyDescent="0.25"/>
    <row r="16182" customFormat="1" x14ac:dyDescent="0.25"/>
    <row r="16183" customFormat="1" x14ac:dyDescent="0.25"/>
    <row r="16184" customFormat="1" x14ac:dyDescent="0.25"/>
    <row r="16185" customFormat="1" x14ac:dyDescent="0.25"/>
    <row r="16186" customFormat="1" x14ac:dyDescent="0.25"/>
    <row r="16187" customFormat="1" x14ac:dyDescent="0.25"/>
    <row r="16188" customFormat="1" x14ac:dyDescent="0.25"/>
    <row r="16189" customFormat="1" x14ac:dyDescent="0.25"/>
    <row r="16190" customFormat="1" x14ac:dyDescent="0.25"/>
    <row r="16191" customFormat="1" x14ac:dyDescent="0.25"/>
    <row r="16192" customFormat="1" x14ac:dyDescent="0.25"/>
    <row r="16193" customFormat="1" x14ac:dyDescent="0.25"/>
    <row r="16194" customFormat="1" x14ac:dyDescent="0.25"/>
    <row r="16195" customFormat="1" x14ac:dyDescent="0.25"/>
    <row r="16196" customFormat="1" x14ac:dyDescent="0.25"/>
    <row r="16197" customFormat="1" x14ac:dyDescent="0.25"/>
    <row r="16198" customFormat="1" x14ac:dyDescent="0.25"/>
    <row r="16199" customFormat="1" x14ac:dyDescent="0.25"/>
    <row r="16200" customFormat="1" x14ac:dyDescent="0.25"/>
    <row r="16201" customFormat="1" x14ac:dyDescent="0.25"/>
    <row r="16202" customFormat="1" x14ac:dyDescent="0.25"/>
    <row r="16203" customFormat="1" x14ac:dyDescent="0.25"/>
    <row r="16204" customFormat="1" x14ac:dyDescent="0.25"/>
    <row r="16205" customFormat="1" x14ac:dyDescent="0.25"/>
    <row r="16206" customFormat="1" x14ac:dyDescent="0.25"/>
    <row r="16207" customFormat="1" x14ac:dyDescent="0.25"/>
    <row r="16208" customFormat="1" x14ac:dyDescent="0.25"/>
    <row r="16209" customFormat="1" x14ac:dyDescent="0.25"/>
    <row r="16210" customFormat="1" x14ac:dyDescent="0.25"/>
    <row r="16211" customFormat="1" x14ac:dyDescent="0.25"/>
    <row r="16212" customFormat="1" x14ac:dyDescent="0.25"/>
    <row r="16213" customFormat="1" x14ac:dyDescent="0.25"/>
    <row r="16214" customFormat="1" x14ac:dyDescent="0.25"/>
    <row r="16215" customFormat="1" x14ac:dyDescent="0.25"/>
    <row r="16216" customFormat="1" x14ac:dyDescent="0.25"/>
    <row r="16217" customFormat="1" x14ac:dyDescent="0.25"/>
    <row r="16218" customFormat="1" x14ac:dyDescent="0.25"/>
    <row r="16219" customFormat="1" x14ac:dyDescent="0.25"/>
    <row r="16220" customFormat="1" x14ac:dyDescent="0.25"/>
    <row r="16221" customFormat="1" x14ac:dyDescent="0.25"/>
    <row r="16222" customFormat="1" x14ac:dyDescent="0.25"/>
    <row r="16223" customFormat="1" x14ac:dyDescent="0.25"/>
    <row r="16224" customFormat="1" x14ac:dyDescent="0.25"/>
    <row r="16225" customFormat="1" x14ac:dyDescent="0.25"/>
    <row r="16226" customFormat="1" x14ac:dyDescent="0.25"/>
    <row r="16227" customFormat="1" x14ac:dyDescent="0.25"/>
    <row r="16228" customFormat="1" x14ac:dyDescent="0.25"/>
    <row r="16229" customFormat="1" x14ac:dyDescent="0.25"/>
    <row r="16230" customFormat="1" x14ac:dyDescent="0.25"/>
    <row r="16231" customFormat="1" x14ac:dyDescent="0.25"/>
    <row r="16232" customFormat="1" x14ac:dyDescent="0.25"/>
    <row r="16233" customFormat="1" x14ac:dyDescent="0.25"/>
    <row r="16234" customFormat="1" x14ac:dyDescent="0.25"/>
    <row r="16235" customFormat="1" x14ac:dyDescent="0.25"/>
    <row r="16236" customFormat="1" x14ac:dyDescent="0.25"/>
    <row r="16237" customFormat="1" x14ac:dyDescent="0.25"/>
    <row r="16238" customFormat="1" x14ac:dyDescent="0.25"/>
    <row r="16239" customFormat="1" x14ac:dyDescent="0.25"/>
    <row r="16240" customFormat="1" x14ac:dyDescent="0.25"/>
    <row r="16241" customFormat="1" x14ac:dyDescent="0.25"/>
    <row r="16242" customFormat="1" x14ac:dyDescent="0.25"/>
    <row r="16243" customFormat="1" x14ac:dyDescent="0.25"/>
    <row r="16244" customFormat="1" x14ac:dyDescent="0.25"/>
    <row r="16245" customFormat="1" x14ac:dyDescent="0.25"/>
    <row r="16246" customFormat="1" x14ac:dyDescent="0.25"/>
    <row r="16247" customFormat="1" x14ac:dyDescent="0.25"/>
    <row r="16248" customFormat="1" x14ac:dyDescent="0.25"/>
    <row r="16249" customFormat="1" x14ac:dyDescent="0.25"/>
    <row r="16250" customFormat="1" x14ac:dyDescent="0.25"/>
    <row r="16251" customFormat="1" x14ac:dyDescent="0.25"/>
    <row r="16252" customFormat="1" x14ac:dyDescent="0.25"/>
    <row r="16253" customFormat="1" x14ac:dyDescent="0.25"/>
    <row r="16254" customFormat="1" x14ac:dyDescent="0.25"/>
    <row r="16255" customFormat="1" x14ac:dyDescent="0.25"/>
    <row r="16256" customFormat="1" x14ac:dyDescent="0.25"/>
    <row r="16257" customFormat="1" x14ac:dyDescent="0.25"/>
    <row r="16258" customFormat="1" x14ac:dyDescent="0.25"/>
    <row r="16259" customFormat="1" x14ac:dyDescent="0.25"/>
    <row r="16260" customFormat="1" x14ac:dyDescent="0.25"/>
    <row r="16261" customFormat="1" x14ac:dyDescent="0.25"/>
    <row r="16262" customFormat="1" x14ac:dyDescent="0.25"/>
    <row r="16263" customFormat="1" x14ac:dyDescent="0.25"/>
    <row r="16264" customFormat="1" x14ac:dyDescent="0.25"/>
    <row r="16265" customFormat="1" x14ac:dyDescent="0.25"/>
    <row r="16266" customFormat="1" x14ac:dyDescent="0.25"/>
    <row r="16267" customFormat="1" x14ac:dyDescent="0.25"/>
    <row r="16268" customFormat="1" x14ac:dyDescent="0.25"/>
    <row r="16269" customFormat="1" x14ac:dyDescent="0.25"/>
    <row r="16270" customFormat="1" x14ac:dyDescent="0.25"/>
    <row r="16271" customFormat="1" x14ac:dyDescent="0.25"/>
    <row r="16272" customFormat="1" x14ac:dyDescent="0.25"/>
    <row r="16273" customFormat="1" x14ac:dyDescent="0.25"/>
    <row r="16274" customFormat="1" x14ac:dyDescent="0.25"/>
    <row r="16275" customFormat="1" x14ac:dyDescent="0.25"/>
    <row r="16276" customFormat="1" x14ac:dyDescent="0.25"/>
    <row r="16277" customFormat="1" x14ac:dyDescent="0.25"/>
    <row r="16278" customFormat="1" x14ac:dyDescent="0.25"/>
    <row r="16279" customFormat="1" x14ac:dyDescent="0.25"/>
    <row r="16280" customFormat="1" x14ac:dyDescent="0.25"/>
    <row r="16281" customFormat="1" x14ac:dyDescent="0.25"/>
    <row r="16282" customFormat="1" x14ac:dyDescent="0.25"/>
    <row r="16283" customFormat="1" x14ac:dyDescent="0.25"/>
    <row r="16284" customFormat="1" x14ac:dyDescent="0.25"/>
    <row r="16285" customFormat="1" x14ac:dyDescent="0.25"/>
    <row r="16286" customFormat="1" x14ac:dyDescent="0.25"/>
    <row r="16287" customFormat="1" x14ac:dyDescent="0.25"/>
    <row r="16288" customFormat="1" x14ac:dyDescent="0.25"/>
    <row r="16289" customFormat="1" x14ac:dyDescent="0.25"/>
    <row r="16290" customFormat="1" x14ac:dyDescent="0.25"/>
    <row r="16291" customFormat="1" x14ac:dyDescent="0.25"/>
    <row r="16292" customFormat="1" x14ac:dyDescent="0.25"/>
    <row r="16293" customFormat="1" x14ac:dyDescent="0.25"/>
    <row r="16294" customFormat="1" x14ac:dyDescent="0.25"/>
    <row r="16295" customFormat="1" x14ac:dyDescent="0.25"/>
    <row r="16296" customFormat="1" x14ac:dyDescent="0.25"/>
    <row r="16297" customFormat="1" x14ac:dyDescent="0.25"/>
    <row r="16298" customFormat="1" x14ac:dyDescent="0.25"/>
    <row r="16299" customFormat="1" x14ac:dyDescent="0.25"/>
    <row r="16300" customFormat="1" x14ac:dyDescent="0.25"/>
    <row r="16301" customFormat="1" x14ac:dyDescent="0.25"/>
    <row r="16302" customFormat="1" x14ac:dyDescent="0.25"/>
    <row r="16303" customFormat="1" x14ac:dyDescent="0.25"/>
    <row r="16304" customFormat="1" x14ac:dyDescent="0.25"/>
    <row r="16305" customFormat="1" x14ac:dyDescent="0.25"/>
    <row r="16306" customFormat="1" x14ac:dyDescent="0.25"/>
    <row r="16307" customFormat="1" x14ac:dyDescent="0.25"/>
    <row r="16308" customFormat="1" x14ac:dyDescent="0.25"/>
    <row r="16309" customFormat="1" x14ac:dyDescent="0.25"/>
    <row r="16310" customFormat="1" x14ac:dyDescent="0.25"/>
    <row r="16311" customFormat="1" x14ac:dyDescent="0.25"/>
    <row r="16312" customFormat="1" x14ac:dyDescent="0.25"/>
    <row r="16313" customFormat="1" x14ac:dyDescent="0.25"/>
    <row r="16314" customFormat="1" x14ac:dyDescent="0.25"/>
    <row r="16315" customFormat="1" x14ac:dyDescent="0.25"/>
    <row r="16316" customFormat="1" x14ac:dyDescent="0.25"/>
    <row r="16317" customFormat="1" x14ac:dyDescent="0.25"/>
    <row r="16318" customFormat="1" x14ac:dyDescent="0.25"/>
    <row r="16319" customFormat="1" x14ac:dyDescent="0.25"/>
    <row r="16320" customFormat="1" x14ac:dyDescent="0.25"/>
    <row r="16321" customFormat="1" x14ac:dyDescent="0.25"/>
    <row r="16322" customFormat="1" x14ac:dyDescent="0.25"/>
    <row r="16323" customFormat="1" x14ac:dyDescent="0.25"/>
    <row r="16324" customFormat="1" x14ac:dyDescent="0.25"/>
    <row r="16325" customFormat="1" x14ac:dyDescent="0.25"/>
    <row r="16326" customFormat="1" x14ac:dyDescent="0.25"/>
    <row r="16327" customFormat="1" x14ac:dyDescent="0.25"/>
    <row r="16328" customFormat="1" x14ac:dyDescent="0.25"/>
    <row r="16329" customFormat="1" x14ac:dyDescent="0.25"/>
    <row r="16330" customFormat="1" x14ac:dyDescent="0.25"/>
    <row r="16331" customFormat="1" x14ac:dyDescent="0.25"/>
    <row r="16332" customFormat="1" x14ac:dyDescent="0.25"/>
    <row r="16333" customFormat="1" x14ac:dyDescent="0.25"/>
    <row r="16334" customFormat="1" x14ac:dyDescent="0.25"/>
    <row r="16335" customFormat="1" x14ac:dyDescent="0.25"/>
    <row r="16336" customFormat="1" x14ac:dyDescent="0.25"/>
    <row r="16337" customFormat="1" x14ac:dyDescent="0.25"/>
    <row r="16338" customFormat="1" x14ac:dyDescent="0.25"/>
    <row r="16339" customFormat="1" x14ac:dyDescent="0.25"/>
    <row r="16340" customFormat="1" x14ac:dyDescent="0.25"/>
    <row r="16341" customFormat="1" x14ac:dyDescent="0.25"/>
    <row r="16342" customFormat="1" x14ac:dyDescent="0.25"/>
    <row r="16343" customFormat="1" x14ac:dyDescent="0.25"/>
    <row r="16344" customFormat="1" x14ac:dyDescent="0.25"/>
    <row r="16345" customFormat="1" x14ac:dyDescent="0.25"/>
    <row r="16346" customFormat="1" x14ac:dyDescent="0.25"/>
    <row r="16347" customFormat="1" x14ac:dyDescent="0.25"/>
    <row r="16348" customFormat="1" x14ac:dyDescent="0.25"/>
    <row r="16349" customFormat="1" x14ac:dyDescent="0.25"/>
    <row r="16350" customFormat="1" x14ac:dyDescent="0.25"/>
    <row r="16351" customFormat="1" x14ac:dyDescent="0.25"/>
    <row r="16352" customFormat="1" x14ac:dyDescent="0.25"/>
    <row r="16353" customFormat="1" x14ac:dyDescent="0.25"/>
    <row r="16354" customFormat="1" x14ac:dyDescent="0.25"/>
    <row r="16355" customFormat="1" x14ac:dyDescent="0.25"/>
    <row r="16356" customFormat="1" x14ac:dyDescent="0.25"/>
    <row r="16357" customFormat="1" x14ac:dyDescent="0.25"/>
    <row r="16358" customFormat="1" x14ac:dyDescent="0.25"/>
    <row r="16359" customFormat="1" x14ac:dyDescent="0.25"/>
    <row r="16360" customFormat="1" x14ac:dyDescent="0.25"/>
    <row r="16361" customFormat="1" x14ac:dyDescent="0.25"/>
    <row r="16362" customFormat="1" x14ac:dyDescent="0.25"/>
    <row r="16363" customFormat="1" x14ac:dyDescent="0.25"/>
    <row r="16364" customFormat="1" x14ac:dyDescent="0.25"/>
    <row r="16365" customFormat="1" x14ac:dyDescent="0.25"/>
    <row r="16366" customFormat="1" x14ac:dyDescent="0.25"/>
    <row r="16367" customFormat="1" x14ac:dyDescent="0.25"/>
    <row r="16368" customFormat="1" x14ac:dyDescent="0.25"/>
    <row r="16369" customFormat="1" x14ac:dyDescent="0.25"/>
    <row r="16370" customFormat="1" x14ac:dyDescent="0.25"/>
    <row r="16371" customFormat="1" x14ac:dyDescent="0.25"/>
    <row r="16372" customFormat="1" x14ac:dyDescent="0.25"/>
    <row r="16373" customFormat="1" x14ac:dyDescent="0.25"/>
    <row r="16374" customFormat="1" x14ac:dyDescent="0.25"/>
    <row r="16375" customFormat="1" x14ac:dyDescent="0.25"/>
    <row r="16376" customFormat="1" x14ac:dyDescent="0.25"/>
    <row r="16377" customFormat="1" x14ac:dyDescent="0.25"/>
    <row r="16378" customFormat="1" x14ac:dyDescent="0.25"/>
    <row r="16379" customFormat="1" x14ac:dyDescent="0.25"/>
    <row r="16380" customFormat="1" x14ac:dyDescent="0.25"/>
    <row r="16381" customFormat="1" x14ac:dyDescent="0.25"/>
    <row r="16382" customFormat="1" x14ac:dyDescent="0.25"/>
    <row r="16383" customFormat="1" x14ac:dyDescent="0.25"/>
    <row r="16384" customFormat="1" x14ac:dyDescent="0.25"/>
    <row r="16385" customFormat="1" x14ac:dyDescent="0.25"/>
    <row r="16386" customFormat="1" x14ac:dyDescent="0.25"/>
    <row r="16387" customFormat="1" x14ac:dyDescent="0.25"/>
    <row r="16388" customFormat="1" x14ac:dyDescent="0.25"/>
    <row r="16389" customFormat="1" x14ac:dyDescent="0.25"/>
    <row r="16390" customFormat="1" x14ac:dyDescent="0.25"/>
    <row r="16391" customFormat="1" x14ac:dyDescent="0.25"/>
    <row r="16392" customFormat="1" x14ac:dyDescent="0.25"/>
    <row r="16393" customFormat="1" x14ac:dyDescent="0.25"/>
    <row r="16394" customFormat="1" x14ac:dyDescent="0.25"/>
    <row r="16395" customFormat="1" x14ac:dyDescent="0.25"/>
    <row r="16396" customFormat="1" x14ac:dyDescent="0.25"/>
    <row r="16397" customFormat="1" x14ac:dyDescent="0.25"/>
    <row r="16398" customFormat="1" x14ac:dyDescent="0.25"/>
    <row r="16399" customFormat="1" x14ac:dyDescent="0.25"/>
    <row r="16400" customFormat="1" x14ac:dyDescent="0.25"/>
    <row r="16401" customFormat="1" x14ac:dyDescent="0.25"/>
    <row r="16402" customFormat="1" x14ac:dyDescent="0.25"/>
    <row r="16403" customFormat="1" x14ac:dyDescent="0.25"/>
    <row r="16404" customFormat="1" x14ac:dyDescent="0.25"/>
    <row r="16405" customFormat="1" x14ac:dyDescent="0.25"/>
    <row r="16406" customFormat="1" x14ac:dyDescent="0.25"/>
    <row r="16407" customFormat="1" x14ac:dyDescent="0.25"/>
    <row r="16408" customFormat="1" x14ac:dyDescent="0.25"/>
    <row r="16409" customFormat="1" x14ac:dyDescent="0.25"/>
    <row r="16410" customFormat="1" x14ac:dyDescent="0.25"/>
    <row r="16411" customFormat="1" x14ac:dyDescent="0.25"/>
    <row r="16412" customFormat="1" x14ac:dyDescent="0.25"/>
    <row r="16413" customFormat="1" x14ac:dyDescent="0.25"/>
    <row r="16414" customFormat="1" x14ac:dyDescent="0.25"/>
    <row r="16415" customFormat="1" x14ac:dyDescent="0.25"/>
    <row r="16416" customFormat="1" x14ac:dyDescent="0.25"/>
    <row r="16417" customFormat="1" x14ac:dyDescent="0.25"/>
    <row r="16418" customFormat="1" x14ac:dyDescent="0.25"/>
    <row r="16419" customFormat="1" x14ac:dyDescent="0.25"/>
    <row r="16420" customFormat="1" x14ac:dyDescent="0.25"/>
    <row r="16421" customFormat="1" x14ac:dyDescent="0.25"/>
    <row r="16422" customFormat="1" x14ac:dyDescent="0.25"/>
    <row r="16423" customFormat="1" x14ac:dyDescent="0.25"/>
    <row r="16424" customFormat="1" x14ac:dyDescent="0.25"/>
    <row r="16425" customFormat="1" x14ac:dyDescent="0.25"/>
    <row r="16426" customFormat="1" x14ac:dyDescent="0.25"/>
    <row r="16427" customFormat="1" x14ac:dyDescent="0.25"/>
    <row r="16428" customFormat="1" x14ac:dyDescent="0.25"/>
    <row r="16429" customFormat="1" x14ac:dyDescent="0.25"/>
    <row r="16430" customFormat="1" x14ac:dyDescent="0.25"/>
    <row r="16431" customFormat="1" x14ac:dyDescent="0.25"/>
    <row r="16432" customFormat="1" x14ac:dyDescent="0.25"/>
    <row r="16433" customFormat="1" x14ac:dyDescent="0.25"/>
    <row r="16434" customFormat="1" x14ac:dyDescent="0.25"/>
    <row r="16435" customFormat="1" x14ac:dyDescent="0.25"/>
    <row r="16436" customFormat="1" x14ac:dyDescent="0.25"/>
    <row r="16437" customFormat="1" x14ac:dyDescent="0.25"/>
    <row r="16438" customFormat="1" x14ac:dyDescent="0.25"/>
    <row r="16439" customFormat="1" x14ac:dyDescent="0.25"/>
    <row r="16440" customFormat="1" x14ac:dyDescent="0.25"/>
    <row r="16441" customFormat="1" x14ac:dyDescent="0.25"/>
    <row r="16442" customFormat="1" x14ac:dyDescent="0.25"/>
    <row r="16443" customFormat="1" x14ac:dyDescent="0.25"/>
    <row r="16444" customFormat="1" x14ac:dyDescent="0.25"/>
    <row r="16445" customFormat="1" x14ac:dyDescent="0.25"/>
    <row r="16446" customFormat="1" x14ac:dyDescent="0.25"/>
    <row r="16447" customFormat="1" x14ac:dyDescent="0.25"/>
    <row r="16448" customFormat="1" x14ac:dyDescent="0.25"/>
    <row r="16449" customFormat="1" x14ac:dyDescent="0.25"/>
    <row r="16450" customFormat="1" x14ac:dyDescent="0.25"/>
    <row r="16451" customFormat="1" x14ac:dyDescent="0.25"/>
    <row r="16452" customFormat="1" x14ac:dyDescent="0.25"/>
    <row r="16453" customFormat="1" x14ac:dyDescent="0.25"/>
    <row r="16454" customFormat="1" x14ac:dyDescent="0.25"/>
    <row r="16455" customFormat="1" x14ac:dyDescent="0.25"/>
    <row r="16456" customFormat="1" x14ac:dyDescent="0.25"/>
    <row r="16457" customFormat="1" x14ac:dyDescent="0.25"/>
    <row r="16458" customFormat="1" x14ac:dyDescent="0.25"/>
    <row r="16459" customFormat="1" x14ac:dyDescent="0.25"/>
    <row r="16460" customFormat="1" x14ac:dyDescent="0.25"/>
    <row r="16461" customFormat="1" x14ac:dyDescent="0.25"/>
    <row r="16462" customFormat="1" x14ac:dyDescent="0.25"/>
    <row r="16463" customFormat="1" x14ac:dyDescent="0.25"/>
    <row r="16464" customFormat="1" x14ac:dyDescent="0.25"/>
    <row r="16465" customFormat="1" x14ac:dyDescent="0.25"/>
    <row r="16466" customFormat="1" x14ac:dyDescent="0.25"/>
    <row r="16467" customFormat="1" x14ac:dyDescent="0.25"/>
    <row r="16468" customFormat="1" x14ac:dyDescent="0.25"/>
    <row r="16469" customFormat="1" x14ac:dyDescent="0.25"/>
    <row r="16470" customFormat="1" x14ac:dyDescent="0.25"/>
    <row r="16471" customFormat="1" x14ac:dyDescent="0.25"/>
    <row r="16472" customFormat="1" x14ac:dyDescent="0.25"/>
    <row r="16473" customFormat="1" x14ac:dyDescent="0.25"/>
    <row r="16474" customFormat="1" x14ac:dyDescent="0.25"/>
    <row r="16475" customFormat="1" x14ac:dyDescent="0.25"/>
    <row r="16476" customFormat="1" x14ac:dyDescent="0.25"/>
    <row r="16477" customFormat="1" x14ac:dyDescent="0.25"/>
    <row r="16478" customFormat="1" x14ac:dyDescent="0.25"/>
    <row r="16479" customFormat="1" x14ac:dyDescent="0.25"/>
    <row r="16480" customFormat="1" x14ac:dyDescent="0.25"/>
    <row r="16481" customFormat="1" x14ac:dyDescent="0.25"/>
    <row r="16482" customFormat="1" x14ac:dyDescent="0.25"/>
    <row r="16483" customFormat="1" x14ac:dyDescent="0.25"/>
    <row r="16484" customFormat="1" x14ac:dyDescent="0.25"/>
    <row r="16485" customFormat="1" x14ac:dyDescent="0.25"/>
    <row r="16486" customFormat="1" x14ac:dyDescent="0.25"/>
    <row r="16487" customFormat="1" x14ac:dyDescent="0.25"/>
    <row r="16488" customFormat="1" x14ac:dyDescent="0.25"/>
    <row r="16489" customFormat="1" x14ac:dyDescent="0.25"/>
    <row r="16490" customFormat="1" x14ac:dyDescent="0.25"/>
    <row r="16491" customFormat="1" x14ac:dyDescent="0.25"/>
    <row r="16492" customFormat="1" x14ac:dyDescent="0.25"/>
    <row r="16493" customFormat="1" x14ac:dyDescent="0.25"/>
    <row r="16494" customFormat="1" x14ac:dyDescent="0.25"/>
    <row r="16495" customFormat="1" x14ac:dyDescent="0.25"/>
    <row r="16496" customFormat="1" x14ac:dyDescent="0.25"/>
    <row r="16497" customFormat="1" x14ac:dyDescent="0.25"/>
    <row r="16498" customFormat="1" x14ac:dyDescent="0.25"/>
    <row r="16499" customFormat="1" x14ac:dyDescent="0.25"/>
    <row r="16500" customFormat="1" x14ac:dyDescent="0.25"/>
    <row r="16501" customFormat="1" x14ac:dyDescent="0.25"/>
    <row r="16502" customFormat="1" x14ac:dyDescent="0.25"/>
    <row r="16503" customFormat="1" x14ac:dyDescent="0.25"/>
    <row r="16504" customFormat="1" x14ac:dyDescent="0.25"/>
    <row r="16505" customFormat="1" x14ac:dyDescent="0.25"/>
    <row r="16506" customFormat="1" x14ac:dyDescent="0.25"/>
    <row r="16507" customFormat="1" x14ac:dyDescent="0.25"/>
    <row r="16508" customFormat="1" x14ac:dyDescent="0.25"/>
    <row r="16509" customFormat="1" x14ac:dyDescent="0.25"/>
    <row r="16510" customFormat="1" x14ac:dyDescent="0.25"/>
    <row r="16511" customFormat="1" x14ac:dyDescent="0.25"/>
    <row r="16512" customFormat="1" x14ac:dyDescent="0.25"/>
    <row r="16513" customFormat="1" x14ac:dyDescent="0.25"/>
    <row r="16514" customFormat="1" x14ac:dyDescent="0.25"/>
    <row r="16515" customFormat="1" x14ac:dyDescent="0.25"/>
    <row r="16516" customFormat="1" x14ac:dyDescent="0.25"/>
    <row r="16517" customFormat="1" x14ac:dyDescent="0.25"/>
    <row r="16518" customFormat="1" x14ac:dyDescent="0.25"/>
    <row r="16519" customFormat="1" x14ac:dyDescent="0.25"/>
    <row r="16520" customFormat="1" x14ac:dyDescent="0.25"/>
    <row r="16521" customFormat="1" x14ac:dyDescent="0.25"/>
    <row r="16522" customFormat="1" x14ac:dyDescent="0.25"/>
    <row r="16523" customFormat="1" x14ac:dyDescent="0.25"/>
    <row r="16524" customFormat="1" x14ac:dyDescent="0.25"/>
    <row r="16525" customFormat="1" x14ac:dyDescent="0.25"/>
    <row r="16526" customFormat="1" x14ac:dyDescent="0.25"/>
    <row r="16527" customFormat="1" x14ac:dyDescent="0.25"/>
    <row r="16528" customFormat="1" x14ac:dyDescent="0.25"/>
    <row r="16529" customFormat="1" x14ac:dyDescent="0.25"/>
    <row r="16530" customFormat="1" x14ac:dyDescent="0.25"/>
    <row r="16531" customFormat="1" x14ac:dyDescent="0.25"/>
    <row r="16532" customFormat="1" x14ac:dyDescent="0.25"/>
    <row r="16533" customFormat="1" x14ac:dyDescent="0.25"/>
    <row r="16534" customFormat="1" x14ac:dyDescent="0.25"/>
    <row r="16535" customFormat="1" x14ac:dyDescent="0.25"/>
    <row r="16536" customFormat="1" x14ac:dyDescent="0.25"/>
    <row r="16537" customFormat="1" x14ac:dyDescent="0.25"/>
    <row r="16538" customFormat="1" x14ac:dyDescent="0.25"/>
    <row r="16539" customFormat="1" x14ac:dyDescent="0.25"/>
    <row r="16540" customFormat="1" x14ac:dyDescent="0.25"/>
    <row r="16541" customFormat="1" x14ac:dyDescent="0.25"/>
    <row r="16542" customFormat="1" x14ac:dyDescent="0.25"/>
    <row r="16543" customFormat="1" x14ac:dyDescent="0.25"/>
    <row r="16544" customFormat="1" x14ac:dyDescent="0.25"/>
    <row r="16545" customFormat="1" x14ac:dyDescent="0.25"/>
    <row r="16546" customFormat="1" x14ac:dyDescent="0.25"/>
    <row r="16547" customFormat="1" x14ac:dyDescent="0.25"/>
    <row r="16548" customFormat="1" x14ac:dyDescent="0.25"/>
    <row r="16549" customFormat="1" x14ac:dyDescent="0.25"/>
    <row r="16550" customFormat="1" x14ac:dyDescent="0.25"/>
    <row r="16551" customFormat="1" x14ac:dyDescent="0.25"/>
    <row r="16552" customFormat="1" x14ac:dyDescent="0.25"/>
    <row r="16553" customFormat="1" x14ac:dyDescent="0.25"/>
    <row r="16554" customFormat="1" x14ac:dyDescent="0.25"/>
    <row r="16555" customFormat="1" x14ac:dyDescent="0.25"/>
    <row r="16556" customFormat="1" x14ac:dyDescent="0.25"/>
    <row r="16557" customFormat="1" x14ac:dyDescent="0.25"/>
    <row r="16558" customFormat="1" x14ac:dyDescent="0.25"/>
    <row r="16559" customFormat="1" x14ac:dyDescent="0.25"/>
    <row r="16560" customFormat="1" x14ac:dyDescent="0.25"/>
    <row r="16561" customFormat="1" x14ac:dyDescent="0.25"/>
    <row r="16562" customFormat="1" x14ac:dyDescent="0.25"/>
    <row r="16563" customFormat="1" x14ac:dyDescent="0.25"/>
    <row r="16564" customFormat="1" x14ac:dyDescent="0.25"/>
    <row r="16565" customFormat="1" x14ac:dyDescent="0.25"/>
    <row r="16566" customFormat="1" x14ac:dyDescent="0.25"/>
    <row r="16567" customFormat="1" x14ac:dyDescent="0.25"/>
    <row r="16568" customFormat="1" x14ac:dyDescent="0.25"/>
    <row r="16569" customFormat="1" x14ac:dyDescent="0.25"/>
    <row r="16570" customFormat="1" x14ac:dyDescent="0.25"/>
    <row r="16571" customFormat="1" x14ac:dyDescent="0.25"/>
    <row r="16572" customFormat="1" x14ac:dyDescent="0.25"/>
    <row r="16573" customFormat="1" x14ac:dyDescent="0.25"/>
    <row r="16574" customFormat="1" x14ac:dyDescent="0.25"/>
    <row r="16575" customFormat="1" x14ac:dyDescent="0.25"/>
    <row r="16576" customFormat="1" x14ac:dyDescent="0.25"/>
    <row r="16577" customFormat="1" x14ac:dyDescent="0.25"/>
    <row r="16578" customFormat="1" x14ac:dyDescent="0.25"/>
    <row r="16579" customFormat="1" x14ac:dyDescent="0.25"/>
    <row r="16580" customFormat="1" x14ac:dyDescent="0.25"/>
    <row r="16581" customFormat="1" x14ac:dyDescent="0.25"/>
    <row r="16582" customFormat="1" x14ac:dyDescent="0.25"/>
    <row r="16583" customFormat="1" x14ac:dyDescent="0.25"/>
    <row r="16584" customFormat="1" x14ac:dyDescent="0.25"/>
    <row r="16585" customFormat="1" x14ac:dyDescent="0.25"/>
    <row r="16586" customFormat="1" x14ac:dyDescent="0.25"/>
    <row r="16587" customFormat="1" x14ac:dyDescent="0.25"/>
    <row r="16588" customFormat="1" x14ac:dyDescent="0.25"/>
    <row r="16589" customFormat="1" x14ac:dyDescent="0.25"/>
    <row r="16590" customFormat="1" x14ac:dyDescent="0.25"/>
    <row r="16591" customFormat="1" x14ac:dyDescent="0.25"/>
    <row r="16592" customFormat="1" x14ac:dyDescent="0.25"/>
    <row r="16593" customFormat="1" x14ac:dyDescent="0.25"/>
    <row r="16594" customFormat="1" x14ac:dyDescent="0.25"/>
    <row r="16595" customFormat="1" x14ac:dyDescent="0.25"/>
    <row r="16596" customFormat="1" x14ac:dyDescent="0.25"/>
    <row r="16597" customFormat="1" x14ac:dyDescent="0.25"/>
    <row r="16598" customFormat="1" x14ac:dyDescent="0.25"/>
    <row r="16599" customFormat="1" x14ac:dyDescent="0.25"/>
    <row r="16600" customFormat="1" x14ac:dyDescent="0.25"/>
    <row r="16601" customFormat="1" x14ac:dyDescent="0.25"/>
    <row r="16602" customFormat="1" x14ac:dyDescent="0.25"/>
    <row r="16603" customFormat="1" x14ac:dyDescent="0.25"/>
    <row r="16604" customFormat="1" x14ac:dyDescent="0.25"/>
    <row r="16605" customFormat="1" x14ac:dyDescent="0.25"/>
    <row r="16606" customFormat="1" x14ac:dyDescent="0.25"/>
    <row r="16607" customFormat="1" x14ac:dyDescent="0.25"/>
    <row r="16608" customFormat="1" x14ac:dyDescent="0.25"/>
    <row r="16609" customFormat="1" x14ac:dyDescent="0.25"/>
    <row r="16610" customFormat="1" x14ac:dyDescent="0.25"/>
    <row r="16611" customFormat="1" x14ac:dyDescent="0.25"/>
    <row r="16612" customFormat="1" x14ac:dyDescent="0.25"/>
    <row r="16613" customFormat="1" x14ac:dyDescent="0.25"/>
    <row r="16614" customFormat="1" x14ac:dyDescent="0.25"/>
    <row r="16615" customFormat="1" x14ac:dyDescent="0.25"/>
    <row r="16616" customFormat="1" x14ac:dyDescent="0.25"/>
    <row r="16617" customFormat="1" x14ac:dyDescent="0.25"/>
    <row r="16618" customFormat="1" x14ac:dyDescent="0.25"/>
    <row r="16619" customFormat="1" x14ac:dyDescent="0.25"/>
    <row r="16620" customFormat="1" x14ac:dyDescent="0.25"/>
    <row r="16621" customFormat="1" x14ac:dyDescent="0.25"/>
    <row r="16622" customFormat="1" x14ac:dyDescent="0.25"/>
    <row r="16623" customFormat="1" x14ac:dyDescent="0.25"/>
    <row r="16624" customFormat="1" x14ac:dyDescent="0.25"/>
    <row r="16625" customFormat="1" x14ac:dyDescent="0.25"/>
    <row r="16626" customFormat="1" x14ac:dyDescent="0.25"/>
    <row r="16627" customFormat="1" x14ac:dyDescent="0.25"/>
    <row r="16628" customFormat="1" x14ac:dyDescent="0.25"/>
    <row r="16629" customFormat="1" x14ac:dyDescent="0.25"/>
    <row r="16630" customFormat="1" x14ac:dyDescent="0.25"/>
    <row r="16631" customFormat="1" x14ac:dyDescent="0.25"/>
    <row r="16632" customFormat="1" x14ac:dyDescent="0.25"/>
    <row r="16633" customFormat="1" x14ac:dyDescent="0.25"/>
    <row r="16634" customFormat="1" x14ac:dyDescent="0.25"/>
    <row r="16635" customFormat="1" x14ac:dyDescent="0.25"/>
    <row r="16636" customFormat="1" x14ac:dyDescent="0.25"/>
    <row r="16637" customFormat="1" x14ac:dyDescent="0.25"/>
    <row r="16638" customFormat="1" x14ac:dyDescent="0.25"/>
    <row r="16639" customFormat="1" x14ac:dyDescent="0.25"/>
    <row r="16640" customFormat="1" x14ac:dyDescent="0.25"/>
    <row r="16641" customFormat="1" x14ac:dyDescent="0.25"/>
    <row r="16642" customFormat="1" x14ac:dyDescent="0.25"/>
    <row r="16643" customFormat="1" x14ac:dyDescent="0.25"/>
    <row r="16644" customFormat="1" x14ac:dyDescent="0.25"/>
    <row r="16645" customFormat="1" x14ac:dyDescent="0.25"/>
    <row r="16646" customFormat="1" x14ac:dyDescent="0.25"/>
    <row r="16647" customFormat="1" x14ac:dyDescent="0.25"/>
    <row r="16648" customFormat="1" x14ac:dyDescent="0.25"/>
    <row r="16649" customFormat="1" x14ac:dyDescent="0.25"/>
    <row r="16650" customFormat="1" x14ac:dyDescent="0.25"/>
    <row r="16651" customFormat="1" x14ac:dyDescent="0.25"/>
    <row r="16652" customFormat="1" x14ac:dyDescent="0.25"/>
    <row r="16653" customFormat="1" x14ac:dyDescent="0.25"/>
    <row r="16654" customFormat="1" x14ac:dyDescent="0.25"/>
    <row r="16655" customFormat="1" x14ac:dyDescent="0.25"/>
    <row r="16656" customFormat="1" x14ac:dyDescent="0.25"/>
    <row r="16657" customFormat="1" x14ac:dyDescent="0.25"/>
    <row r="16658" customFormat="1" x14ac:dyDescent="0.25"/>
    <row r="16659" customFormat="1" x14ac:dyDescent="0.25"/>
    <row r="16660" customFormat="1" x14ac:dyDescent="0.25"/>
    <row r="16661" customFormat="1" x14ac:dyDescent="0.25"/>
    <row r="16662" customFormat="1" x14ac:dyDescent="0.25"/>
    <row r="16663" customFormat="1" x14ac:dyDescent="0.25"/>
    <row r="16664" customFormat="1" x14ac:dyDescent="0.25"/>
    <row r="16665" customFormat="1" x14ac:dyDescent="0.25"/>
    <row r="16666" customFormat="1" x14ac:dyDescent="0.25"/>
    <row r="16667" customFormat="1" x14ac:dyDescent="0.25"/>
    <row r="16668" customFormat="1" x14ac:dyDescent="0.25"/>
    <row r="16669" customFormat="1" x14ac:dyDescent="0.25"/>
    <row r="16670" customFormat="1" x14ac:dyDescent="0.25"/>
    <row r="16671" customFormat="1" x14ac:dyDescent="0.25"/>
    <row r="16672" customFormat="1" x14ac:dyDescent="0.25"/>
    <row r="16673" customFormat="1" x14ac:dyDescent="0.25"/>
    <row r="16674" customFormat="1" x14ac:dyDescent="0.25"/>
    <row r="16675" customFormat="1" x14ac:dyDescent="0.25"/>
    <row r="16676" customFormat="1" x14ac:dyDescent="0.25"/>
    <row r="16677" customFormat="1" x14ac:dyDescent="0.25"/>
    <row r="16678" customFormat="1" x14ac:dyDescent="0.25"/>
    <row r="16679" customFormat="1" x14ac:dyDescent="0.25"/>
    <row r="16680" customFormat="1" x14ac:dyDescent="0.25"/>
    <row r="16681" customFormat="1" x14ac:dyDescent="0.25"/>
    <row r="16682" customFormat="1" x14ac:dyDescent="0.25"/>
    <row r="16683" customFormat="1" x14ac:dyDescent="0.25"/>
    <row r="16684" customFormat="1" x14ac:dyDescent="0.25"/>
    <row r="16685" customFormat="1" x14ac:dyDescent="0.25"/>
    <row r="16686" customFormat="1" x14ac:dyDescent="0.25"/>
    <row r="16687" customFormat="1" x14ac:dyDescent="0.25"/>
    <row r="16688" customFormat="1" x14ac:dyDescent="0.25"/>
    <row r="16689" customFormat="1" x14ac:dyDescent="0.25"/>
    <row r="16690" customFormat="1" x14ac:dyDescent="0.25"/>
    <row r="16691" customFormat="1" x14ac:dyDescent="0.25"/>
    <row r="16692" customFormat="1" x14ac:dyDescent="0.25"/>
    <row r="16693" customFormat="1" x14ac:dyDescent="0.25"/>
    <row r="16694" customFormat="1" x14ac:dyDescent="0.25"/>
    <row r="16695" customFormat="1" x14ac:dyDescent="0.25"/>
    <row r="16696" customFormat="1" x14ac:dyDescent="0.25"/>
    <row r="16697" customFormat="1" x14ac:dyDescent="0.25"/>
    <row r="16698" customFormat="1" x14ac:dyDescent="0.25"/>
    <row r="16699" customFormat="1" x14ac:dyDescent="0.25"/>
    <row r="16700" customFormat="1" x14ac:dyDescent="0.25"/>
    <row r="16701" customFormat="1" x14ac:dyDescent="0.25"/>
    <row r="16702" customFormat="1" x14ac:dyDescent="0.25"/>
    <row r="16703" customFormat="1" x14ac:dyDescent="0.25"/>
    <row r="16704" customFormat="1" x14ac:dyDescent="0.25"/>
    <row r="16705" customFormat="1" x14ac:dyDescent="0.25"/>
    <row r="16706" customFormat="1" x14ac:dyDescent="0.25"/>
    <row r="16707" customFormat="1" x14ac:dyDescent="0.25"/>
    <row r="16708" customFormat="1" x14ac:dyDescent="0.25"/>
    <row r="16709" customFormat="1" x14ac:dyDescent="0.25"/>
    <row r="16710" customFormat="1" x14ac:dyDescent="0.25"/>
    <row r="16711" customFormat="1" x14ac:dyDescent="0.25"/>
    <row r="16712" customFormat="1" x14ac:dyDescent="0.25"/>
    <row r="16713" customFormat="1" x14ac:dyDescent="0.25"/>
    <row r="16714" customFormat="1" x14ac:dyDescent="0.25"/>
    <row r="16715" customFormat="1" x14ac:dyDescent="0.25"/>
    <row r="16716" customFormat="1" x14ac:dyDescent="0.25"/>
    <row r="16717" customFormat="1" x14ac:dyDescent="0.25"/>
    <row r="16718" customFormat="1" x14ac:dyDescent="0.25"/>
    <row r="16719" customFormat="1" x14ac:dyDescent="0.25"/>
    <row r="16720" customFormat="1" x14ac:dyDescent="0.25"/>
    <row r="16721" customFormat="1" x14ac:dyDescent="0.25"/>
    <row r="16722" customFormat="1" x14ac:dyDescent="0.25"/>
    <row r="16723" customFormat="1" x14ac:dyDescent="0.25"/>
    <row r="16724" customFormat="1" x14ac:dyDescent="0.25"/>
    <row r="16725" customFormat="1" x14ac:dyDescent="0.25"/>
    <row r="16726" customFormat="1" x14ac:dyDescent="0.25"/>
    <row r="16727" customFormat="1" x14ac:dyDescent="0.25"/>
    <row r="16728" customFormat="1" x14ac:dyDescent="0.25"/>
    <row r="16729" customFormat="1" x14ac:dyDescent="0.25"/>
    <row r="16730" customFormat="1" x14ac:dyDescent="0.25"/>
    <row r="16731" customFormat="1" x14ac:dyDescent="0.25"/>
    <row r="16732" customFormat="1" x14ac:dyDescent="0.25"/>
    <row r="16733" customFormat="1" x14ac:dyDescent="0.25"/>
    <row r="16734" customFormat="1" x14ac:dyDescent="0.25"/>
    <row r="16735" customFormat="1" x14ac:dyDescent="0.25"/>
    <row r="16736" customFormat="1" x14ac:dyDescent="0.25"/>
    <row r="16737" customFormat="1" x14ac:dyDescent="0.25"/>
    <row r="16738" customFormat="1" x14ac:dyDescent="0.25"/>
    <row r="16739" customFormat="1" x14ac:dyDescent="0.25"/>
    <row r="16740" customFormat="1" x14ac:dyDescent="0.25"/>
    <row r="16741" customFormat="1" x14ac:dyDescent="0.25"/>
    <row r="16742" customFormat="1" x14ac:dyDescent="0.25"/>
    <row r="16743" customFormat="1" x14ac:dyDescent="0.25"/>
    <row r="16744" customFormat="1" x14ac:dyDescent="0.25"/>
    <row r="16745" customFormat="1" x14ac:dyDescent="0.25"/>
    <row r="16746" customFormat="1" x14ac:dyDescent="0.25"/>
    <row r="16747" customFormat="1" x14ac:dyDescent="0.25"/>
    <row r="16748" customFormat="1" x14ac:dyDescent="0.25"/>
    <row r="16749" customFormat="1" x14ac:dyDescent="0.25"/>
    <row r="16750" customFormat="1" x14ac:dyDescent="0.25"/>
    <row r="16751" customFormat="1" x14ac:dyDescent="0.25"/>
    <row r="16752" customFormat="1" x14ac:dyDescent="0.25"/>
    <row r="16753" customFormat="1" x14ac:dyDescent="0.25"/>
    <row r="16754" customFormat="1" x14ac:dyDescent="0.25"/>
    <row r="16755" customFormat="1" x14ac:dyDescent="0.25"/>
    <row r="16756" customFormat="1" x14ac:dyDescent="0.25"/>
    <row r="16757" customFormat="1" x14ac:dyDescent="0.25"/>
    <row r="16758" customFormat="1" x14ac:dyDescent="0.25"/>
    <row r="16759" customFormat="1" x14ac:dyDescent="0.25"/>
    <row r="16760" customFormat="1" x14ac:dyDescent="0.25"/>
    <row r="16761" customFormat="1" x14ac:dyDescent="0.25"/>
    <row r="16762" customFormat="1" x14ac:dyDescent="0.25"/>
    <row r="16763" customFormat="1" x14ac:dyDescent="0.25"/>
    <row r="16764" customFormat="1" x14ac:dyDescent="0.25"/>
    <row r="16765" customFormat="1" x14ac:dyDescent="0.25"/>
    <row r="16766" customFormat="1" x14ac:dyDescent="0.25"/>
    <row r="16767" customFormat="1" x14ac:dyDescent="0.25"/>
    <row r="16768" customFormat="1" x14ac:dyDescent="0.25"/>
    <row r="16769" customFormat="1" x14ac:dyDescent="0.25"/>
    <row r="16770" customFormat="1" x14ac:dyDescent="0.25"/>
    <row r="16771" customFormat="1" x14ac:dyDescent="0.25"/>
    <row r="16772" customFormat="1" x14ac:dyDescent="0.25"/>
    <row r="16773" customFormat="1" x14ac:dyDescent="0.25"/>
    <row r="16774" customFormat="1" x14ac:dyDescent="0.25"/>
    <row r="16775" customFormat="1" x14ac:dyDescent="0.25"/>
    <row r="16776" customFormat="1" x14ac:dyDescent="0.25"/>
    <row r="16777" customFormat="1" x14ac:dyDescent="0.25"/>
    <row r="16778" customFormat="1" x14ac:dyDescent="0.25"/>
    <row r="16779" customFormat="1" x14ac:dyDescent="0.25"/>
    <row r="16780" customFormat="1" x14ac:dyDescent="0.25"/>
    <row r="16781" customFormat="1" x14ac:dyDescent="0.25"/>
    <row r="16782" customFormat="1" x14ac:dyDescent="0.25"/>
    <row r="16783" customFormat="1" x14ac:dyDescent="0.25"/>
    <row r="16784" customFormat="1" x14ac:dyDescent="0.25"/>
    <row r="16785" customFormat="1" x14ac:dyDescent="0.25"/>
    <row r="16786" customFormat="1" x14ac:dyDescent="0.25"/>
    <row r="16787" customFormat="1" x14ac:dyDescent="0.25"/>
    <row r="16788" customFormat="1" x14ac:dyDescent="0.25"/>
    <row r="16789" customFormat="1" x14ac:dyDescent="0.25"/>
    <row r="16790" customFormat="1" x14ac:dyDescent="0.25"/>
    <row r="16791" customFormat="1" x14ac:dyDescent="0.25"/>
    <row r="16792" customFormat="1" x14ac:dyDescent="0.25"/>
    <row r="16793" customFormat="1" x14ac:dyDescent="0.25"/>
    <row r="16794" customFormat="1" x14ac:dyDescent="0.25"/>
    <row r="16795" customFormat="1" x14ac:dyDescent="0.25"/>
    <row r="16796" customFormat="1" x14ac:dyDescent="0.25"/>
    <row r="16797" customFormat="1" x14ac:dyDescent="0.25"/>
    <row r="16798" customFormat="1" x14ac:dyDescent="0.25"/>
    <row r="16799" customFormat="1" x14ac:dyDescent="0.25"/>
    <row r="16800" customFormat="1" x14ac:dyDescent="0.25"/>
    <row r="16801" customFormat="1" x14ac:dyDescent="0.25"/>
    <row r="16802" customFormat="1" x14ac:dyDescent="0.25"/>
    <row r="16803" customFormat="1" x14ac:dyDescent="0.25"/>
    <row r="16804" customFormat="1" x14ac:dyDescent="0.25"/>
    <row r="16805" customFormat="1" x14ac:dyDescent="0.25"/>
    <row r="16806" customFormat="1" x14ac:dyDescent="0.25"/>
    <row r="16807" customFormat="1" x14ac:dyDescent="0.25"/>
    <row r="16808" customFormat="1" x14ac:dyDescent="0.25"/>
    <row r="16809" customFormat="1" x14ac:dyDescent="0.25"/>
    <row r="16810" customFormat="1" x14ac:dyDescent="0.25"/>
    <row r="16811" customFormat="1" x14ac:dyDescent="0.25"/>
    <row r="16812" customFormat="1" x14ac:dyDescent="0.25"/>
    <row r="16813" customFormat="1" x14ac:dyDescent="0.25"/>
    <row r="16814" customFormat="1" x14ac:dyDescent="0.25"/>
    <row r="16815" customFormat="1" x14ac:dyDescent="0.25"/>
    <row r="16816" customFormat="1" x14ac:dyDescent="0.25"/>
    <row r="16817" customFormat="1" x14ac:dyDescent="0.25"/>
    <row r="16818" customFormat="1" x14ac:dyDescent="0.25"/>
    <row r="16819" customFormat="1" x14ac:dyDescent="0.25"/>
    <row r="16820" customFormat="1" x14ac:dyDescent="0.25"/>
    <row r="16821" customFormat="1" x14ac:dyDescent="0.25"/>
    <row r="16822" customFormat="1" x14ac:dyDescent="0.25"/>
    <row r="16823" customFormat="1" x14ac:dyDescent="0.25"/>
    <row r="16824" customFormat="1" x14ac:dyDescent="0.25"/>
    <row r="16825" customFormat="1" x14ac:dyDescent="0.25"/>
    <row r="16826" customFormat="1" x14ac:dyDescent="0.25"/>
    <row r="16827" customFormat="1" x14ac:dyDescent="0.25"/>
    <row r="16828" customFormat="1" x14ac:dyDescent="0.25"/>
    <row r="16829" customFormat="1" x14ac:dyDescent="0.25"/>
    <row r="16830" customFormat="1" x14ac:dyDescent="0.25"/>
    <row r="16831" customFormat="1" x14ac:dyDescent="0.25"/>
    <row r="16832" customFormat="1" x14ac:dyDescent="0.25"/>
    <row r="16833" customFormat="1" x14ac:dyDescent="0.25"/>
    <row r="16834" customFormat="1" x14ac:dyDescent="0.25"/>
    <row r="16835" customFormat="1" x14ac:dyDescent="0.25"/>
    <row r="16836" customFormat="1" x14ac:dyDescent="0.25"/>
    <row r="16837" customFormat="1" x14ac:dyDescent="0.25"/>
    <row r="16838" customFormat="1" x14ac:dyDescent="0.25"/>
    <row r="16839" customFormat="1" x14ac:dyDescent="0.25"/>
    <row r="16840" customFormat="1" x14ac:dyDescent="0.25"/>
    <row r="16841" customFormat="1" x14ac:dyDescent="0.25"/>
    <row r="16842" customFormat="1" x14ac:dyDescent="0.25"/>
    <row r="16843" customFormat="1" x14ac:dyDescent="0.25"/>
    <row r="16844" customFormat="1" x14ac:dyDescent="0.25"/>
    <row r="16845" customFormat="1" x14ac:dyDescent="0.25"/>
    <row r="16846" customFormat="1" x14ac:dyDescent="0.25"/>
    <row r="16847" customFormat="1" x14ac:dyDescent="0.25"/>
    <row r="16848" customFormat="1" x14ac:dyDescent="0.25"/>
    <row r="16849" customFormat="1" x14ac:dyDescent="0.25"/>
    <row r="16850" customFormat="1" x14ac:dyDescent="0.25"/>
    <row r="16851" customFormat="1" x14ac:dyDescent="0.25"/>
    <row r="16852" customFormat="1" x14ac:dyDescent="0.25"/>
    <row r="16853" customFormat="1" x14ac:dyDescent="0.25"/>
    <row r="16854" customFormat="1" x14ac:dyDescent="0.25"/>
    <row r="16855" customFormat="1" x14ac:dyDescent="0.25"/>
    <row r="16856" customFormat="1" x14ac:dyDescent="0.25"/>
    <row r="16857" customFormat="1" x14ac:dyDescent="0.25"/>
    <row r="16858" customFormat="1" x14ac:dyDescent="0.25"/>
    <row r="16859" customFormat="1" x14ac:dyDescent="0.25"/>
    <row r="16860" customFormat="1" x14ac:dyDescent="0.25"/>
    <row r="16861" customFormat="1" x14ac:dyDescent="0.25"/>
    <row r="16862" customFormat="1" x14ac:dyDescent="0.25"/>
    <row r="16863" customFormat="1" x14ac:dyDescent="0.25"/>
    <row r="16864" customFormat="1" x14ac:dyDescent="0.25"/>
    <row r="16865" customFormat="1" x14ac:dyDescent="0.25"/>
    <row r="16866" customFormat="1" x14ac:dyDescent="0.25"/>
    <row r="16867" customFormat="1" x14ac:dyDescent="0.25"/>
    <row r="16868" customFormat="1" x14ac:dyDescent="0.25"/>
    <row r="16869" customFormat="1" x14ac:dyDescent="0.25"/>
    <row r="16870" customFormat="1" x14ac:dyDescent="0.25"/>
    <row r="16871" customFormat="1" x14ac:dyDescent="0.25"/>
    <row r="16872" customFormat="1" x14ac:dyDescent="0.25"/>
    <row r="16873" customFormat="1" x14ac:dyDescent="0.25"/>
    <row r="16874" customFormat="1" x14ac:dyDescent="0.25"/>
    <row r="16875" customFormat="1" x14ac:dyDescent="0.25"/>
    <row r="16876" customFormat="1" x14ac:dyDescent="0.25"/>
    <row r="16877" customFormat="1" x14ac:dyDescent="0.25"/>
    <row r="16878" customFormat="1" x14ac:dyDescent="0.25"/>
    <row r="16879" customFormat="1" x14ac:dyDescent="0.25"/>
    <row r="16880" customFormat="1" x14ac:dyDescent="0.25"/>
    <row r="16881" customFormat="1" x14ac:dyDescent="0.25"/>
    <row r="16882" customFormat="1" x14ac:dyDescent="0.25"/>
    <row r="16883" customFormat="1" x14ac:dyDescent="0.25"/>
    <row r="16884" customFormat="1" x14ac:dyDescent="0.25"/>
    <row r="16885" customFormat="1" x14ac:dyDescent="0.25"/>
    <row r="16886" customFormat="1" x14ac:dyDescent="0.25"/>
    <row r="16887" customFormat="1" x14ac:dyDescent="0.25"/>
    <row r="16888" customFormat="1" x14ac:dyDescent="0.25"/>
    <row r="16889" customFormat="1" x14ac:dyDescent="0.25"/>
    <row r="16890" customFormat="1" x14ac:dyDescent="0.25"/>
    <row r="16891" customFormat="1" x14ac:dyDescent="0.25"/>
    <row r="16892" customFormat="1" x14ac:dyDescent="0.25"/>
    <row r="16893" customFormat="1" x14ac:dyDescent="0.25"/>
    <row r="16894" customFormat="1" x14ac:dyDescent="0.25"/>
    <row r="16895" customFormat="1" x14ac:dyDescent="0.25"/>
    <row r="16896" customFormat="1" x14ac:dyDescent="0.25"/>
    <row r="16897" customFormat="1" x14ac:dyDescent="0.25"/>
    <row r="16898" customFormat="1" x14ac:dyDescent="0.25"/>
    <row r="16899" customFormat="1" x14ac:dyDescent="0.25"/>
    <row r="16900" customFormat="1" x14ac:dyDescent="0.25"/>
    <row r="16901" customFormat="1" x14ac:dyDescent="0.25"/>
    <row r="16902" customFormat="1" x14ac:dyDescent="0.25"/>
    <row r="16903" customFormat="1" x14ac:dyDescent="0.25"/>
    <row r="16904" customFormat="1" x14ac:dyDescent="0.25"/>
    <row r="16905" customFormat="1" x14ac:dyDescent="0.25"/>
    <row r="16906" customFormat="1" x14ac:dyDescent="0.25"/>
    <row r="16907" customFormat="1" x14ac:dyDescent="0.25"/>
    <row r="16908" customFormat="1" x14ac:dyDescent="0.25"/>
    <row r="16909" customFormat="1" x14ac:dyDescent="0.25"/>
    <row r="16910" customFormat="1" x14ac:dyDescent="0.25"/>
    <row r="16911" customFormat="1" x14ac:dyDescent="0.25"/>
    <row r="16912" customFormat="1" x14ac:dyDescent="0.25"/>
    <row r="16913" customFormat="1" x14ac:dyDescent="0.25"/>
    <row r="16914" customFormat="1" x14ac:dyDescent="0.25"/>
    <row r="16915" customFormat="1" x14ac:dyDescent="0.25"/>
    <row r="16916" customFormat="1" x14ac:dyDescent="0.25"/>
    <row r="16917" customFormat="1" x14ac:dyDescent="0.25"/>
    <row r="16918" customFormat="1" x14ac:dyDescent="0.25"/>
    <row r="16919" customFormat="1" x14ac:dyDescent="0.25"/>
    <row r="16920" customFormat="1" x14ac:dyDescent="0.25"/>
    <row r="16921" customFormat="1" x14ac:dyDescent="0.25"/>
    <row r="16922" customFormat="1" x14ac:dyDescent="0.25"/>
    <row r="16923" customFormat="1" x14ac:dyDescent="0.25"/>
    <row r="16924" customFormat="1" x14ac:dyDescent="0.25"/>
    <row r="16925" customFormat="1" x14ac:dyDescent="0.25"/>
    <row r="16926" customFormat="1" x14ac:dyDescent="0.25"/>
    <row r="16927" customFormat="1" x14ac:dyDescent="0.25"/>
    <row r="16928" customFormat="1" x14ac:dyDescent="0.25"/>
    <row r="16929" customFormat="1" x14ac:dyDescent="0.25"/>
    <row r="16930" customFormat="1" x14ac:dyDescent="0.25"/>
    <row r="16931" customFormat="1" x14ac:dyDescent="0.25"/>
    <row r="16932" customFormat="1" x14ac:dyDescent="0.25"/>
    <row r="16933" customFormat="1" x14ac:dyDescent="0.25"/>
    <row r="16934" customFormat="1" x14ac:dyDescent="0.25"/>
    <row r="16935" customFormat="1" x14ac:dyDescent="0.25"/>
    <row r="16936" customFormat="1" x14ac:dyDescent="0.25"/>
    <row r="16937" customFormat="1" x14ac:dyDescent="0.25"/>
    <row r="16938" customFormat="1" x14ac:dyDescent="0.25"/>
    <row r="16939" customFormat="1" x14ac:dyDescent="0.25"/>
    <row r="16940" customFormat="1" x14ac:dyDescent="0.25"/>
    <row r="16941" customFormat="1" x14ac:dyDescent="0.25"/>
    <row r="16942" customFormat="1" x14ac:dyDescent="0.25"/>
    <row r="16943" customFormat="1" x14ac:dyDescent="0.25"/>
    <row r="16944" customFormat="1" x14ac:dyDescent="0.25"/>
    <row r="16945" customFormat="1" x14ac:dyDescent="0.25"/>
    <row r="16946" customFormat="1" x14ac:dyDescent="0.25"/>
    <row r="16947" customFormat="1" x14ac:dyDescent="0.25"/>
    <row r="16948" customFormat="1" x14ac:dyDescent="0.25"/>
    <row r="16949" customFormat="1" x14ac:dyDescent="0.25"/>
    <row r="16950" customFormat="1" x14ac:dyDescent="0.25"/>
    <row r="16951" customFormat="1" x14ac:dyDescent="0.25"/>
    <row r="16952" customFormat="1" x14ac:dyDescent="0.25"/>
    <row r="16953" customFormat="1" x14ac:dyDescent="0.25"/>
    <row r="16954" customFormat="1" x14ac:dyDescent="0.25"/>
    <row r="16955" customFormat="1" x14ac:dyDescent="0.25"/>
    <row r="16956" customFormat="1" x14ac:dyDescent="0.25"/>
    <row r="16957" customFormat="1" x14ac:dyDescent="0.25"/>
    <row r="16958" customFormat="1" x14ac:dyDescent="0.25"/>
    <row r="16959" customFormat="1" x14ac:dyDescent="0.25"/>
    <row r="16960" customFormat="1" x14ac:dyDescent="0.25"/>
    <row r="16961" customFormat="1" x14ac:dyDescent="0.25"/>
    <row r="16962" customFormat="1" x14ac:dyDescent="0.25"/>
    <row r="16963" customFormat="1" x14ac:dyDescent="0.25"/>
    <row r="16964" customFormat="1" x14ac:dyDescent="0.25"/>
    <row r="16965" customFormat="1" x14ac:dyDescent="0.25"/>
    <row r="16966" customFormat="1" x14ac:dyDescent="0.25"/>
    <row r="16967" customFormat="1" x14ac:dyDescent="0.25"/>
    <row r="16968" customFormat="1" x14ac:dyDescent="0.25"/>
    <row r="16969" customFormat="1" x14ac:dyDescent="0.25"/>
    <row r="16970" customFormat="1" x14ac:dyDescent="0.25"/>
    <row r="16971" customFormat="1" x14ac:dyDescent="0.25"/>
    <row r="16972" customFormat="1" x14ac:dyDescent="0.25"/>
    <row r="16973" customFormat="1" x14ac:dyDescent="0.25"/>
    <row r="16974" customFormat="1" x14ac:dyDescent="0.25"/>
    <row r="16975" customFormat="1" x14ac:dyDescent="0.25"/>
    <row r="16976" customFormat="1" x14ac:dyDescent="0.25"/>
    <row r="16977" customFormat="1" x14ac:dyDescent="0.25"/>
    <row r="16978" customFormat="1" x14ac:dyDescent="0.25"/>
    <row r="16979" customFormat="1" x14ac:dyDescent="0.25"/>
    <row r="16980" customFormat="1" x14ac:dyDescent="0.25"/>
    <row r="16981" customFormat="1" x14ac:dyDescent="0.25"/>
    <row r="16982" customFormat="1" x14ac:dyDescent="0.25"/>
    <row r="16983" customFormat="1" x14ac:dyDescent="0.25"/>
    <row r="16984" customFormat="1" x14ac:dyDescent="0.25"/>
    <row r="16985" customFormat="1" x14ac:dyDescent="0.25"/>
    <row r="16986" customFormat="1" x14ac:dyDescent="0.25"/>
    <row r="16987" customFormat="1" x14ac:dyDescent="0.25"/>
    <row r="16988" customFormat="1" x14ac:dyDescent="0.25"/>
    <row r="16989" customFormat="1" x14ac:dyDescent="0.25"/>
    <row r="16990" customFormat="1" x14ac:dyDescent="0.25"/>
    <row r="16991" customFormat="1" x14ac:dyDescent="0.25"/>
    <row r="16992" customFormat="1" x14ac:dyDescent="0.25"/>
    <row r="16993" customFormat="1" x14ac:dyDescent="0.25"/>
    <row r="16994" customFormat="1" x14ac:dyDescent="0.25"/>
    <row r="16995" customFormat="1" x14ac:dyDescent="0.25"/>
    <row r="16996" customFormat="1" x14ac:dyDescent="0.25"/>
    <row r="16997" customFormat="1" x14ac:dyDescent="0.25"/>
    <row r="16998" customFormat="1" x14ac:dyDescent="0.25"/>
    <row r="16999" customFormat="1" x14ac:dyDescent="0.25"/>
    <row r="17000" customFormat="1" x14ac:dyDescent="0.25"/>
    <row r="17001" customFormat="1" x14ac:dyDescent="0.25"/>
    <row r="17002" customFormat="1" x14ac:dyDescent="0.25"/>
    <row r="17003" customFormat="1" x14ac:dyDescent="0.25"/>
    <row r="17004" customFormat="1" x14ac:dyDescent="0.25"/>
    <row r="17005" customFormat="1" x14ac:dyDescent="0.25"/>
    <row r="17006" customFormat="1" x14ac:dyDescent="0.25"/>
    <row r="17007" customFormat="1" x14ac:dyDescent="0.25"/>
    <row r="17008" customFormat="1" x14ac:dyDescent="0.25"/>
    <row r="17009" customFormat="1" x14ac:dyDescent="0.25"/>
    <row r="17010" customFormat="1" x14ac:dyDescent="0.25"/>
    <row r="17011" customFormat="1" x14ac:dyDescent="0.25"/>
    <row r="17012" customFormat="1" x14ac:dyDescent="0.25"/>
    <row r="17013" customFormat="1" x14ac:dyDescent="0.25"/>
    <row r="17014" customFormat="1" x14ac:dyDescent="0.25"/>
    <row r="17015" customFormat="1" x14ac:dyDescent="0.25"/>
    <row r="17016" customFormat="1" x14ac:dyDescent="0.25"/>
    <row r="17017" customFormat="1" x14ac:dyDescent="0.25"/>
    <row r="17018" customFormat="1" x14ac:dyDescent="0.25"/>
    <row r="17019" customFormat="1" x14ac:dyDescent="0.25"/>
    <row r="17020" customFormat="1" x14ac:dyDescent="0.25"/>
    <row r="17021" customFormat="1" x14ac:dyDescent="0.25"/>
    <row r="17022" customFormat="1" x14ac:dyDescent="0.25"/>
    <row r="17023" customFormat="1" x14ac:dyDescent="0.25"/>
    <row r="17024" customFormat="1" x14ac:dyDescent="0.25"/>
    <row r="17025" customFormat="1" x14ac:dyDescent="0.25"/>
    <row r="17026" customFormat="1" x14ac:dyDescent="0.25"/>
    <row r="17027" customFormat="1" x14ac:dyDescent="0.25"/>
    <row r="17028" customFormat="1" x14ac:dyDescent="0.25"/>
    <row r="17029" customFormat="1" x14ac:dyDescent="0.25"/>
    <row r="17030" customFormat="1" x14ac:dyDescent="0.25"/>
    <row r="17031" customFormat="1" x14ac:dyDescent="0.25"/>
    <row r="17032" customFormat="1" x14ac:dyDescent="0.25"/>
    <row r="17033" customFormat="1" x14ac:dyDescent="0.25"/>
    <row r="17034" customFormat="1" x14ac:dyDescent="0.25"/>
    <row r="17035" customFormat="1" x14ac:dyDescent="0.25"/>
    <row r="17036" customFormat="1" x14ac:dyDescent="0.25"/>
    <row r="17037" customFormat="1" x14ac:dyDescent="0.25"/>
    <row r="17038" customFormat="1" x14ac:dyDescent="0.25"/>
    <row r="17039" customFormat="1" x14ac:dyDescent="0.25"/>
    <row r="17040" customFormat="1" x14ac:dyDescent="0.25"/>
    <row r="17041" customFormat="1" x14ac:dyDescent="0.25"/>
    <row r="17042" customFormat="1" x14ac:dyDescent="0.25"/>
    <row r="17043" customFormat="1" x14ac:dyDescent="0.25"/>
    <row r="17044" customFormat="1" x14ac:dyDescent="0.25"/>
    <row r="17045" customFormat="1" x14ac:dyDescent="0.25"/>
    <row r="17046" customFormat="1" x14ac:dyDescent="0.25"/>
    <row r="17047" customFormat="1" x14ac:dyDescent="0.25"/>
    <row r="17048" customFormat="1" x14ac:dyDescent="0.25"/>
    <row r="17049" customFormat="1" x14ac:dyDescent="0.25"/>
    <row r="17050" customFormat="1" x14ac:dyDescent="0.25"/>
    <row r="17051" customFormat="1" x14ac:dyDescent="0.25"/>
    <row r="17052" customFormat="1" x14ac:dyDescent="0.25"/>
    <row r="17053" customFormat="1" x14ac:dyDescent="0.25"/>
    <row r="17054" customFormat="1" x14ac:dyDescent="0.25"/>
    <row r="17055" customFormat="1" x14ac:dyDescent="0.25"/>
    <row r="17056" customFormat="1" x14ac:dyDescent="0.25"/>
    <row r="17057" customFormat="1" x14ac:dyDescent="0.25"/>
    <row r="17058" customFormat="1" x14ac:dyDescent="0.25"/>
    <row r="17059" customFormat="1" x14ac:dyDescent="0.25"/>
    <row r="17060" customFormat="1" x14ac:dyDescent="0.25"/>
    <row r="17061" customFormat="1" x14ac:dyDescent="0.25"/>
    <row r="17062" customFormat="1" x14ac:dyDescent="0.25"/>
    <row r="17063" customFormat="1" x14ac:dyDescent="0.25"/>
    <row r="17064" customFormat="1" x14ac:dyDescent="0.25"/>
    <row r="17065" customFormat="1" x14ac:dyDescent="0.25"/>
    <row r="17066" customFormat="1" x14ac:dyDescent="0.25"/>
    <row r="17067" customFormat="1" x14ac:dyDescent="0.25"/>
    <row r="17068" customFormat="1" x14ac:dyDescent="0.25"/>
    <row r="17069" customFormat="1" x14ac:dyDescent="0.25"/>
    <row r="17070" customFormat="1" x14ac:dyDescent="0.25"/>
    <row r="17071" customFormat="1" x14ac:dyDescent="0.25"/>
    <row r="17072" customFormat="1" x14ac:dyDescent="0.25"/>
    <row r="17073" customFormat="1" x14ac:dyDescent="0.25"/>
    <row r="17074" customFormat="1" x14ac:dyDescent="0.25"/>
    <row r="17075" customFormat="1" x14ac:dyDescent="0.25"/>
    <row r="17076" customFormat="1" x14ac:dyDescent="0.25"/>
    <row r="17077" customFormat="1" x14ac:dyDescent="0.25"/>
    <row r="17078" customFormat="1" x14ac:dyDescent="0.25"/>
    <row r="17079" customFormat="1" x14ac:dyDescent="0.25"/>
    <row r="17080" customFormat="1" x14ac:dyDescent="0.25"/>
    <row r="17081" customFormat="1" x14ac:dyDescent="0.25"/>
    <row r="17082" customFormat="1" x14ac:dyDescent="0.25"/>
    <row r="17083" customFormat="1" x14ac:dyDescent="0.25"/>
    <row r="17084" customFormat="1" x14ac:dyDescent="0.25"/>
    <row r="17085" customFormat="1" x14ac:dyDescent="0.25"/>
    <row r="17086" customFormat="1" x14ac:dyDescent="0.25"/>
    <row r="17087" customFormat="1" x14ac:dyDescent="0.25"/>
    <row r="17088" customFormat="1" x14ac:dyDescent="0.25"/>
    <row r="17089" customFormat="1" x14ac:dyDescent="0.25"/>
    <row r="17090" customFormat="1" x14ac:dyDescent="0.25"/>
    <row r="17091" customFormat="1" x14ac:dyDescent="0.25"/>
    <row r="17092" customFormat="1" x14ac:dyDescent="0.25"/>
    <row r="17093" customFormat="1" x14ac:dyDescent="0.25"/>
    <row r="17094" customFormat="1" x14ac:dyDescent="0.25"/>
    <row r="17095" customFormat="1" x14ac:dyDescent="0.25"/>
    <row r="17096" customFormat="1" x14ac:dyDescent="0.25"/>
    <row r="17097" customFormat="1" x14ac:dyDescent="0.25"/>
    <row r="17098" customFormat="1" x14ac:dyDescent="0.25"/>
    <row r="17099" customFormat="1" x14ac:dyDescent="0.25"/>
    <row r="17100" customFormat="1" x14ac:dyDescent="0.25"/>
    <row r="17101" customFormat="1" x14ac:dyDescent="0.25"/>
    <row r="17102" customFormat="1" x14ac:dyDescent="0.25"/>
    <row r="17103" customFormat="1" x14ac:dyDescent="0.25"/>
    <row r="17104" customFormat="1" x14ac:dyDescent="0.25"/>
    <row r="17105" customFormat="1" x14ac:dyDescent="0.25"/>
    <row r="17106" customFormat="1" x14ac:dyDescent="0.25"/>
    <row r="17107" customFormat="1" x14ac:dyDescent="0.25"/>
    <row r="17108" customFormat="1" x14ac:dyDescent="0.25"/>
    <row r="17109" customFormat="1" x14ac:dyDescent="0.25"/>
    <row r="17110" customFormat="1" x14ac:dyDescent="0.25"/>
    <row r="17111" customFormat="1" x14ac:dyDescent="0.25"/>
    <row r="17112" customFormat="1" x14ac:dyDescent="0.25"/>
    <row r="17113" customFormat="1" x14ac:dyDescent="0.25"/>
    <row r="17114" customFormat="1" x14ac:dyDescent="0.25"/>
    <row r="17115" customFormat="1" x14ac:dyDescent="0.25"/>
    <row r="17116" customFormat="1" x14ac:dyDescent="0.25"/>
    <row r="17117" customFormat="1" x14ac:dyDescent="0.25"/>
    <row r="17118" customFormat="1" x14ac:dyDescent="0.25"/>
    <row r="17119" customFormat="1" x14ac:dyDescent="0.25"/>
    <row r="17120" customFormat="1" x14ac:dyDescent="0.25"/>
    <row r="17121" customFormat="1" x14ac:dyDescent="0.25"/>
    <row r="17122" customFormat="1" x14ac:dyDescent="0.25"/>
    <row r="17123" customFormat="1" x14ac:dyDescent="0.25"/>
    <row r="17124" customFormat="1" x14ac:dyDescent="0.25"/>
    <row r="17125" customFormat="1" x14ac:dyDescent="0.25"/>
    <row r="17126" customFormat="1" x14ac:dyDescent="0.25"/>
    <row r="17127" customFormat="1" x14ac:dyDescent="0.25"/>
    <row r="17128" customFormat="1" x14ac:dyDescent="0.25"/>
    <row r="17129" customFormat="1" x14ac:dyDescent="0.25"/>
    <row r="17130" customFormat="1" x14ac:dyDescent="0.25"/>
    <row r="17131" customFormat="1" x14ac:dyDescent="0.25"/>
    <row r="17132" customFormat="1" x14ac:dyDescent="0.25"/>
    <row r="17133" customFormat="1" x14ac:dyDescent="0.25"/>
    <row r="17134" customFormat="1" x14ac:dyDescent="0.25"/>
    <row r="17135" customFormat="1" x14ac:dyDescent="0.25"/>
    <row r="17136" customFormat="1" x14ac:dyDescent="0.25"/>
    <row r="17137" customFormat="1" x14ac:dyDescent="0.25"/>
    <row r="17138" customFormat="1" x14ac:dyDescent="0.25"/>
    <row r="17139" customFormat="1" x14ac:dyDescent="0.25"/>
    <row r="17140" customFormat="1" x14ac:dyDescent="0.25"/>
    <row r="17141" customFormat="1" x14ac:dyDescent="0.25"/>
    <row r="17142" customFormat="1" x14ac:dyDescent="0.25"/>
    <row r="17143" customFormat="1" x14ac:dyDescent="0.25"/>
    <row r="17144" customFormat="1" x14ac:dyDescent="0.25"/>
    <row r="17145" customFormat="1" x14ac:dyDescent="0.25"/>
    <row r="17146" customFormat="1" x14ac:dyDescent="0.25"/>
    <row r="17147" customFormat="1" x14ac:dyDescent="0.25"/>
    <row r="17148" customFormat="1" x14ac:dyDescent="0.25"/>
    <row r="17149" customFormat="1" x14ac:dyDescent="0.25"/>
    <row r="17150" customFormat="1" x14ac:dyDescent="0.25"/>
    <row r="17151" customFormat="1" x14ac:dyDescent="0.25"/>
    <row r="17152" customFormat="1" x14ac:dyDescent="0.25"/>
    <row r="17153" customFormat="1" x14ac:dyDescent="0.25"/>
    <row r="17154" customFormat="1" x14ac:dyDescent="0.25"/>
    <row r="17155" customFormat="1" x14ac:dyDescent="0.25"/>
    <row r="17156" customFormat="1" x14ac:dyDescent="0.25"/>
    <row r="17157" customFormat="1" x14ac:dyDescent="0.25"/>
    <row r="17158" customFormat="1" x14ac:dyDescent="0.25"/>
    <row r="17159" customFormat="1" x14ac:dyDescent="0.25"/>
    <row r="17160" customFormat="1" x14ac:dyDescent="0.25"/>
    <row r="17161" customFormat="1" x14ac:dyDescent="0.25"/>
    <row r="17162" customFormat="1" x14ac:dyDescent="0.25"/>
    <row r="17163" customFormat="1" x14ac:dyDescent="0.25"/>
    <row r="17164" customFormat="1" x14ac:dyDescent="0.25"/>
    <row r="17165" customFormat="1" x14ac:dyDescent="0.25"/>
    <row r="17166" customFormat="1" x14ac:dyDescent="0.25"/>
    <row r="17167" customFormat="1" x14ac:dyDescent="0.25"/>
    <row r="17168" customFormat="1" x14ac:dyDescent="0.25"/>
    <row r="17169" customFormat="1" x14ac:dyDescent="0.25"/>
    <row r="17170" customFormat="1" x14ac:dyDescent="0.25"/>
    <row r="17171" customFormat="1" x14ac:dyDescent="0.25"/>
    <row r="17172" customFormat="1" x14ac:dyDescent="0.25"/>
    <row r="17173" customFormat="1" x14ac:dyDescent="0.25"/>
    <row r="17174" customFormat="1" x14ac:dyDescent="0.25"/>
    <row r="17175" customFormat="1" x14ac:dyDescent="0.25"/>
    <row r="17176" customFormat="1" x14ac:dyDescent="0.25"/>
    <row r="17177" customFormat="1" x14ac:dyDescent="0.25"/>
    <row r="17178" customFormat="1" x14ac:dyDescent="0.25"/>
    <row r="17179" customFormat="1" x14ac:dyDescent="0.25"/>
    <row r="17180" customFormat="1" x14ac:dyDescent="0.25"/>
    <row r="17181" customFormat="1" x14ac:dyDescent="0.25"/>
    <row r="17182" customFormat="1" x14ac:dyDescent="0.25"/>
    <row r="17183" customFormat="1" x14ac:dyDescent="0.25"/>
    <row r="17184" customFormat="1" x14ac:dyDescent="0.25"/>
    <row r="17185" customFormat="1" x14ac:dyDescent="0.25"/>
    <row r="17186" customFormat="1" x14ac:dyDescent="0.25"/>
    <row r="17187" customFormat="1" x14ac:dyDescent="0.25"/>
    <row r="17188" customFormat="1" x14ac:dyDescent="0.25"/>
    <row r="17189" customFormat="1" x14ac:dyDescent="0.25"/>
    <row r="17190" customFormat="1" x14ac:dyDescent="0.25"/>
    <row r="17191" customFormat="1" x14ac:dyDescent="0.25"/>
    <row r="17192" customFormat="1" x14ac:dyDescent="0.25"/>
    <row r="17193" customFormat="1" x14ac:dyDescent="0.25"/>
    <row r="17194" customFormat="1" x14ac:dyDescent="0.25"/>
    <row r="17195" customFormat="1" x14ac:dyDescent="0.25"/>
    <row r="17196" customFormat="1" x14ac:dyDescent="0.25"/>
    <row r="17197" customFormat="1" x14ac:dyDescent="0.25"/>
    <row r="17198" customFormat="1" x14ac:dyDescent="0.25"/>
    <row r="17199" customFormat="1" x14ac:dyDescent="0.25"/>
    <row r="17200" customFormat="1" x14ac:dyDescent="0.25"/>
    <row r="17201" customFormat="1" x14ac:dyDescent="0.25"/>
    <row r="17202" customFormat="1" x14ac:dyDescent="0.25"/>
    <row r="17203" customFormat="1" x14ac:dyDescent="0.25"/>
    <row r="17204" customFormat="1" x14ac:dyDescent="0.25"/>
    <row r="17205" customFormat="1" x14ac:dyDescent="0.25"/>
    <row r="17206" customFormat="1" x14ac:dyDescent="0.25"/>
    <row r="17207" customFormat="1" x14ac:dyDescent="0.25"/>
    <row r="17208" customFormat="1" x14ac:dyDescent="0.25"/>
    <row r="17209" customFormat="1" x14ac:dyDescent="0.25"/>
    <row r="17210" customFormat="1" x14ac:dyDescent="0.25"/>
    <row r="17211" customFormat="1" x14ac:dyDescent="0.25"/>
    <row r="17212" customFormat="1" x14ac:dyDescent="0.25"/>
    <row r="17213" customFormat="1" x14ac:dyDescent="0.25"/>
    <row r="17214" customFormat="1" x14ac:dyDescent="0.25"/>
    <row r="17215" customFormat="1" x14ac:dyDescent="0.25"/>
    <row r="17216" customFormat="1" x14ac:dyDescent="0.25"/>
    <row r="17217" customFormat="1" x14ac:dyDescent="0.25"/>
    <row r="17218" customFormat="1" x14ac:dyDescent="0.25"/>
    <row r="17219" customFormat="1" x14ac:dyDescent="0.25"/>
    <row r="17220" customFormat="1" x14ac:dyDescent="0.25"/>
    <row r="17221" customFormat="1" x14ac:dyDescent="0.25"/>
    <row r="17222" customFormat="1" x14ac:dyDescent="0.25"/>
    <row r="17223" customFormat="1" x14ac:dyDescent="0.25"/>
    <row r="17224" customFormat="1" x14ac:dyDescent="0.25"/>
    <row r="17225" customFormat="1" x14ac:dyDescent="0.25"/>
    <row r="17226" customFormat="1" x14ac:dyDescent="0.25"/>
    <row r="17227" customFormat="1" x14ac:dyDescent="0.25"/>
    <row r="17228" customFormat="1" x14ac:dyDescent="0.25"/>
    <row r="17229" customFormat="1" x14ac:dyDescent="0.25"/>
    <row r="17230" customFormat="1" x14ac:dyDescent="0.25"/>
    <row r="17231" customFormat="1" x14ac:dyDescent="0.25"/>
    <row r="17232" customFormat="1" x14ac:dyDescent="0.25"/>
    <row r="17233" customFormat="1" x14ac:dyDescent="0.25"/>
    <row r="17234" customFormat="1" x14ac:dyDescent="0.25"/>
    <row r="17235" customFormat="1" x14ac:dyDescent="0.25"/>
    <row r="17236" customFormat="1" x14ac:dyDescent="0.25"/>
    <row r="17237" customFormat="1" x14ac:dyDescent="0.25"/>
    <row r="17238" customFormat="1" x14ac:dyDescent="0.25"/>
    <row r="17239" customFormat="1" x14ac:dyDescent="0.25"/>
    <row r="17240" customFormat="1" x14ac:dyDescent="0.25"/>
    <row r="17241" customFormat="1" x14ac:dyDescent="0.25"/>
    <row r="17242" customFormat="1" x14ac:dyDescent="0.25"/>
    <row r="17243" customFormat="1" x14ac:dyDescent="0.25"/>
    <row r="17244" customFormat="1" x14ac:dyDescent="0.25"/>
    <row r="17245" customFormat="1" x14ac:dyDescent="0.25"/>
    <row r="17246" customFormat="1" x14ac:dyDescent="0.25"/>
    <row r="17247" customFormat="1" x14ac:dyDescent="0.25"/>
    <row r="17248" customFormat="1" x14ac:dyDescent="0.25"/>
    <row r="17249" customFormat="1" x14ac:dyDescent="0.25"/>
    <row r="17250" customFormat="1" x14ac:dyDescent="0.25"/>
    <row r="17251" customFormat="1" x14ac:dyDescent="0.25"/>
    <row r="17252" customFormat="1" x14ac:dyDescent="0.25"/>
    <row r="17253" customFormat="1" x14ac:dyDescent="0.25"/>
    <row r="17254" customFormat="1" x14ac:dyDescent="0.25"/>
    <row r="17255" customFormat="1" x14ac:dyDescent="0.25"/>
    <row r="17256" customFormat="1" x14ac:dyDescent="0.25"/>
    <row r="17257" customFormat="1" x14ac:dyDescent="0.25"/>
    <row r="17258" customFormat="1" x14ac:dyDescent="0.25"/>
    <row r="17259" customFormat="1" x14ac:dyDescent="0.25"/>
    <row r="17260" customFormat="1" x14ac:dyDescent="0.25"/>
    <row r="17261" customFormat="1" x14ac:dyDescent="0.25"/>
    <row r="17262" customFormat="1" x14ac:dyDescent="0.25"/>
    <row r="17263" customFormat="1" x14ac:dyDescent="0.25"/>
    <row r="17264" customFormat="1" x14ac:dyDescent="0.25"/>
    <row r="17265" customFormat="1" x14ac:dyDescent="0.25"/>
    <row r="17266" customFormat="1" x14ac:dyDescent="0.25"/>
    <row r="17267" customFormat="1" x14ac:dyDescent="0.25"/>
    <row r="17268" customFormat="1" x14ac:dyDescent="0.25"/>
    <row r="17269" customFormat="1" x14ac:dyDescent="0.25"/>
    <row r="17270" customFormat="1" x14ac:dyDescent="0.25"/>
    <row r="17271" customFormat="1" x14ac:dyDescent="0.25"/>
    <row r="17272" customFormat="1" x14ac:dyDescent="0.25"/>
    <row r="17273" customFormat="1" x14ac:dyDescent="0.25"/>
    <row r="17274" customFormat="1" x14ac:dyDescent="0.25"/>
    <row r="17275" customFormat="1" x14ac:dyDescent="0.25"/>
    <row r="17276" customFormat="1" x14ac:dyDescent="0.25"/>
    <row r="17277" customFormat="1" x14ac:dyDescent="0.25"/>
    <row r="17278" customFormat="1" x14ac:dyDescent="0.25"/>
    <row r="17279" customFormat="1" x14ac:dyDescent="0.25"/>
    <row r="17280" customFormat="1" x14ac:dyDescent="0.25"/>
    <row r="17281" customFormat="1" x14ac:dyDescent="0.25"/>
    <row r="17282" customFormat="1" x14ac:dyDescent="0.25"/>
    <row r="17283" customFormat="1" x14ac:dyDescent="0.25"/>
    <row r="17284" customFormat="1" x14ac:dyDescent="0.25"/>
    <row r="17285" customFormat="1" x14ac:dyDescent="0.25"/>
    <row r="17286" customFormat="1" x14ac:dyDescent="0.25"/>
    <row r="17287" customFormat="1" x14ac:dyDescent="0.25"/>
    <row r="17288" customFormat="1" x14ac:dyDescent="0.25"/>
    <row r="17289" customFormat="1" x14ac:dyDescent="0.25"/>
    <row r="17290" customFormat="1" x14ac:dyDescent="0.25"/>
    <row r="17291" customFormat="1" x14ac:dyDescent="0.25"/>
    <row r="17292" customFormat="1" x14ac:dyDescent="0.25"/>
    <row r="17293" customFormat="1" x14ac:dyDescent="0.25"/>
    <row r="17294" customFormat="1" x14ac:dyDescent="0.25"/>
    <row r="17295" customFormat="1" x14ac:dyDescent="0.25"/>
    <row r="17296" customFormat="1" x14ac:dyDescent="0.25"/>
    <row r="17297" customFormat="1" x14ac:dyDescent="0.25"/>
    <row r="17298" customFormat="1" x14ac:dyDescent="0.25"/>
    <row r="17299" customFormat="1" x14ac:dyDescent="0.25"/>
    <row r="17300" customFormat="1" x14ac:dyDescent="0.25"/>
    <row r="17301" customFormat="1" x14ac:dyDescent="0.25"/>
    <row r="17302" customFormat="1" x14ac:dyDescent="0.25"/>
    <row r="17303" customFormat="1" x14ac:dyDescent="0.25"/>
    <row r="17304" customFormat="1" x14ac:dyDescent="0.25"/>
    <row r="17305" customFormat="1" x14ac:dyDescent="0.25"/>
    <row r="17306" customFormat="1" x14ac:dyDescent="0.25"/>
    <row r="17307" customFormat="1" x14ac:dyDescent="0.25"/>
    <row r="17308" customFormat="1" x14ac:dyDescent="0.25"/>
    <row r="17309" customFormat="1" x14ac:dyDescent="0.25"/>
    <row r="17310" customFormat="1" x14ac:dyDescent="0.25"/>
    <row r="17311" customFormat="1" x14ac:dyDescent="0.25"/>
    <row r="17312" customFormat="1" x14ac:dyDescent="0.25"/>
    <row r="17313" customFormat="1" x14ac:dyDescent="0.25"/>
    <row r="17314" customFormat="1" x14ac:dyDescent="0.25"/>
    <row r="17315" customFormat="1" x14ac:dyDescent="0.25"/>
    <row r="17316" customFormat="1" x14ac:dyDescent="0.25"/>
    <row r="17317" customFormat="1" x14ac:dyDescent="0.25"/>
    <row r="17318" customFormat="1" x14ac:dyDescent="0.25"/>
    <row r="17319" customFormat="1" x14ac:dyDescent="0.25"/>
    <row r="17320" customFormat="1" x14ac:dyDescent="0.25"/>
    <row r="17321" customFormat="1" x14ac:dyDescent="0.25"/>
    <row r="17322" customFormat="1" x14ac:dyDescent="0.25"/>
    <row r="17323" customFormat="1" x14ac:dyDescent="0.25"/>
    <row r="17324" customFormat="1" x14ac:dyDescent="0.25"/>
    <row r="17325" customFormat="1" x14ac:dyDescent="0.25"/>
    <row r="17326" customFormat="1" x14ac:dyDescent="0.25"/>
    <row r="17327" customFormat="1" x14ac:dyDescent="0.25"/>
    <row r="17328" customFormat="1" x14ac:dyDescent="0.25"/>
    <row r="17329" customFormat="1" x14ac:dyDescent="0.25"/>
    <row r="17330" customFormat="1" x14ac:dyDescent="0.25"/>
    <row r="17331" customFormat="1" x14ac:dyDescent="0.25"/>
    <row r="17332" customFormat="1" x14ac:dyDescent="0.25"/>
    <row r="17333" customFormat="1" x14ac:dyDescent="0.25"/>
    <row r="17334" customFormat="1" x14ac:dyDescent="0.25"/>
    <row r="17335" customFormat="1" x14ac:dyDescent="0.25"/>
    <row r="17336" customFormat="1" x14ac:dyDescent="0.25"/>
    <row r="17337" customFormat="1" x14ac:dyDescent="0.25"/>
    <row r="17338" customFormat="1" x14ac:dyDescent="0.25"/>
    <row r="17339" customFormat="1" x14ac:dyDescent="0.25"/>
    <row r="17340" customFormat="1" x14ac:dyDescent="0.25"/>
    <row r="17341" customFormat="1" x14ac:dyDescent="0.25"/>
    <row r="17342" customFormat="1" x14ac:dyDescent="0.25"/>
    <row r="17343" customFormat="1" x14ac:dyDescent="0.25"/>
    <row r="17344" customFormat="1" x14ac:dyDescent="0.25"/>
    <row r="17345" customFormat="1" x14ac:dyDescent="0.25"/>
    <row r="17346" customFormat="1" x14ac:dyDescent="0.25"/>
    <row r="17347" customFormat="1" x14ac:dyDescent="0.25"/>
    <row r="17348" customFormat="1" x14ac:dyDescent="0.25"/>
    <row r="17349" customFormat="1" x14ac:dyDescent="0.25"/>
    <row r="17350" customFormat="1" x14ac:dyDescent="0.25"/>
    <row r="17351" customFormat="1" x14ac:dyDescent="0.25"/>
    <row r="17352" customFormat="1" x14ac:dyDescent="0.25"/>
    <row r="17353" customFormat="1" x14ac:dyDescent="0.25"/>
    <row r="17354" customFormat="1" x14ac:dyDescent="0.25"/>
    <row r="17355" customFormat="1" x14ac:dyDescent="0.25"/>
    <row r="17356" customFormat="1" x14ac:dyDescent="0.25"/>
    <row r="17357" customFormat="1" x14ac:dyDescent="0.25"/>
    <row r="17358" customFormat="1" x14ac:dyDescent="0.25"/>
    <row r="17359" customFormat="1" x14ac:dyDescent="0.25"/>
    <row r="17360" customFormat="1" x14ac:dyDescent="0.25"/>
    <row r="17361" customFormat="1" x14ac:dyDescent="0.25"/>
    <row r="17362" customFormat="1" x14ac:dyDescent="0.25"/>
    <row r="17363" customFormat="1" x14ac:dyDescent="0.25"/>
    <row r="17364" customFormat="1" x14ac:dyDescent="0.25"/>
    <row r="17365" customFormat="1" x14ac:dyDescent="0.25"/>
    <row r="17366" customFormat="1" x14ac:dyDescent="0.25"/>
    <row r="17367" customFormat="1" x14ac:dyDescent="0.25"/>
    <row r="17368" customFormat="1" x14ac:dyDescent="0.25"/>
    <row r="17369" customFormat="1" x14ac:dyDescent="0.25"/>
    <row r="17370" customFormat="1" x14ac:dyDescent="0.25"/>
    <row r="17371" customFormat="1" x14ac:dyDescent="0.25"/>
    <row r="17372" customFormat="1" x14ac:dyDescent="0.25"/>
    <row r="17373" customFormat="1" x14ac:dyDescent="0.25"/>
    <row r="17374" customFormat="1" x14ac:dyDescent="0.25"/>
    <row r="17375" customFormat="1" x14ac:dyDescent="0.25"/>
    <row r="17376" customFormat="1" x14ac:dyDescent="0.25"/>
    <row r="17377" customFormat="1" x14ac:dyDescent="0.25"/>
    <row r="17378" customFormat="1" x14ac:dyDescent="0.25"/>
    <row r="17379" customFormat="1" x14ac:dyDescent="0.25"/>
    <row r="17380" customFormat="1" x14ac:dyDescent="0.25"/>
    <row r="17381" customFormat="1" x14ac:dyDescent="0.25"/>
    <row r="17382" customFormat="1" x14ac:dyDescent="0.25"/>
    <row r="17383" customFormat="1" x14ac:dyDescent="0.25"/>
    <row r="17384" customFormat="1" x14ac:dyDescent="0.25"/>
    <row r="17385" customFormat="1" x14ac:dyDescent="0.25"/>
    <row r="17386" customFormat="1" x14ac:dyDescent="0.25"/>
    <row r="17387" customFormat="1" x14ac:dyDescent="0.25"/>
    <row r="17388" customFormat="1" x14ac:dyDescent="0.25"/>
    <row r="17389" customFormat="1" x14ac:dyDescent="0.25"/>
    <row r="17390" customFormat="1" x14ac:dyDescent="0.25"/>
    <row r="17391" customFormat="1" x14ac:dyDescent="0.25"/>
    <row r="17392" customFormat="1" x14ac:dyDescent="0.25"/>
    <row r="17393" customFormat="1" x14ac:dyDescent="0.25"/>
    <row r="17394" customFormat="1" x14ac:dyDescent="0.25"/>
    <row r="17395" customFormat="1" x14ac:dyDescent="0.25"/>
    <row r="17396" customFormat="1" x14ac:dyDescent="0.25"/>
    <row r="17397" customFormat="1" x14ac:dyDescent="0.25"/>
    <row r="17398" customFormat="1" x14ac:dyDescent="0.25"/>
    <row r="17399" customFormat="1" x14ac:dyDescent="0.25"/>
    <row r="17400" customFormat="1" x14ac:dyDescent="0.25"/>
    <row r="17401" customFormat="1" x14ac:dyDescent="0.25"/>
    <row r="17402" customFormat="1" x14ac:dyDescent="0.25"/>
    <row r="17403" customFormat="1" x14ac:dyDescent="0.25"/>
    <row r="17404" customFormat="1" x14ac:dyDescent="0.25"/>
    <row r="17405" customFormat="1" x14ac:dyDescent="0.25"/>
    <row r="17406" customFormat="1" x14ac:dyDescent="0.25"/>
    <row r="17407" customFormat="1" x14ac:dyDescent="0.25"/>
    <row r="17408" customFormat="1" x14ac:dyDescent="0.25"/>
    <row r="17409" customFormat="1" x14ac:dyDescent="0.25"/>
    <row r="17410" customFormat="1" x14ac:dyDescent="0.25"/>
    <row r="17411" customFormat="1" x14ac:dyDescent="0.25"/>
    <row r="17412" customFormat="1" x14ac:dyDescent="0.25"/>
    <row r="17413" customFormat="1" x14ac:dyDescent="0.25"/>
    <row r="17414" customFormat="1" x14ac:dyDescent="0.25"/>
    <row r="17415" customFormat="1" x14ac:dyDescent="0.25"/>
    <row r="17416" customFormat="1" x14ac:dyDescent="0.25"/>
    <row r="17417" customFormat="1" x14ac:dyDescent="0.25"/>
    <row r="17418" customFormat="1" x14ac:dyDescent="0.25"/>
    <row r="17419" customFormat="1" x14ac:dyDescent="0.25"/>
    <row r="17420" customFormat="1" x14ac:dyDescent="0.25"/>
    <row r="17421" customFormat="1" x14ac:dyDescent="0.25"/>
    <row r="17422" customFormat="1" x14ac:dyDescent="0.25"/>
    <row r="17423" customFormat="1" x14ac:dyDescent="0.25"/>
    <row r="17424" customFormat="1" x14ac:dyDescent="0.25"/>
    <row r="17425" customFormat="1" x14ac:dyDescent="0.25"/>
    <row r="17426" customFormat="1" x14ac:dyDescent="0.25"/>
    <row r="17427" customFormat="1" x14ac:dyDescent="0.25"/>
    <row r="17428" customFormat="1" x14ac:dyDescent="0.25"/>
    <row r="17429" customFormat="1" x14ac:dyDescent="0.25"/>
    <row r="17430" customFormat="1" x14ac:dyDescent="0.25"/>
    <row r="17431" customFormat="1" x14ac:dyDescent="0.25"/>
    <row r="17432" customFormat="1" x14ac:dyDescent="0.25"/>
    <row r="17433" customFormat="1" x14ac:dyDescent="0.25"/>
    <row r="17434" customFormat="1" x14ac:dyDescent="0.25"/>
    <row r="17435" customFormat="1" x14ac:dyDescent="0.25"/>
    <row r="17436" customFormat="1" x14ac:dyDescent="0.25"/>
    <row r="17437" customFormat="1" x14ac:dyDescent="0.25"/>
    <row r="17438" customFormat="1" x14ac:dyDescent="0.25"/>
    <row r="17439" customFormat="1" x14ac:dyDescent="0.25"/>
    <row r="17440" customFormat="1" x14ac:dyDescent="0.25"/>
    <row r="17441" customFormat="1" x14ac:dyDescent="0.25"/>
    <row r="17442" customFormat="1" x14ac:dyDescent="0.25"/>
    <row r="17443" customFormat="1" x14ac:dyDescent="0.25"/>
    <row r="17444" customFormat="1" x14ac:dyDescent="0.25"/>
    <row r="17445" customFormat="1" x14ac:dyDescent="0.25"/>
    <row r="17446" customFormat="1" x14ac:dyDescent="0.25"/>
    <row r="17447" customFormat="1" x14ac:dyDescent="0.25"/>
    <row r="17448" customFormat="1" x14ac:dyDescent="0.25"/>
    <row r="17449" customFormat="1" x14ac:dyDescent="0.25"/>
    <row r="17450" customFormat="1" x14ac:dyDescent="0.25"/>
    <row r="17451" customFormat="1" x14ac:dyDescent="0.25"/>
    <row r="17452" customFormat="1" x14ac:dyDescent="0.25"/>
    <row r="17453" customFormat="1" x14ac:dyDescent="0.25"/>
    <row r="17454" customFormat="1" x14ac:dyDescent="0.25"/>
    <row r="17455" customFormat="1" x14ac:dyDescent="0.25"/>
    <row r="17456" customFormat="1" x14ac:dyDescent="0.25"/>
    <row r="17457" customFormat="1" x14ac:dyDescent="0.25"/>
    <row r="17458" customFormat="1" x14ac:dyDescent="0.25"/>
    <row r="17459" customFormat="1" x14ac:dyDescent="0.25"/>
    <row r="17460" customFormat="1" x14ac:dyDescent="0.25"/>
    <row r="17461" customFormat="1" x14ac:dyDescent="0.25"/>
    <row r="17462" customFormat="1" x14ac:dyDescent="0.25"/>
    <row r="17463" customFormat="1" x14ac:dyDescent="0.25"/>
    <row r="17464" customFormat="1" x14ac:dyDescent="0.25"/>
    <row r="17465" customFormat="1" x14ac:dyDescent="0.25"/>
    <row r="17466" customFormat="1" x14ac:dyDescent="0.25"/>
    <row r="17467" customFormat="1" x14ac:dyDescent="0.25"/>
    <row r="17468" customFormat="1" x14ac:dyDescent="0.25"/>
    <row r="17469" customFormat="1" x14ac:dyDescent="0.25"/>
    <row r="17470" customFormat="1" x14ac:dyDescent="0.25"/>
    <row r="17471" customFormat="1" x14ac:dyDescent="0.25"/>
    <row r="17472" customFormat="1" x14ac:dyDescent="0.25"/>
    <row r="17473" customFormat="1" x14ac:dyDescent="0.25"/>
    <row r="17474" customFormat="1" x14ac:dyDescent="0.25"/>
    <row r="17475" customFormat="1" x14ac:dyDescent="0.25"/>
    <row r="17476" customFormat="1" x14ac:dyDescent="0.25"/>
    <row r="17477" customFormat="1" x14ac:dyDescent="0.25"/>
    <row r="17478" customFormat="1" x14ac:dyDescent="0.25"/>
    <row r="17479" customFormat="1" x14ac:dyDescent="0.25"/>
    <row r="17480" customFormat="1" x14ac:dyDescent="0.25"/>
    <row r="17481" customFormat="1" x14ac:dyDescent="0.25"/>
    <row r="17482" customFormat="1" x14ac:dyDescent="0.25"/>
    <row r="17483" customFormat="1" x14ac:dyDescent="0.25"/>
    <row r="17484" customFormat="1" x14ac:dyDescent="0.25"/>
    <row r="17485" customFormat="1" x14ac:dyDescent="0.25"/>
    <row r="17486" customFormat="1" x14ac:dyDescent="0.25"/>
    <row r="17487" customFormat="1" x14ac:dyDescent="0.25"/>
    <row r="17488" customFormat="1" x14ac:dyDescent="0.25"/>
    <row r="17489" customFormat="1" x14ac:dyDescent="0.25"/>
    <row r="17490" customFormat="1" x14ac:dyDescent="0.25"/>
    <row r="17491" customFormat="1" x14ac:dyDescent="0.25"/>
    <row r="17492" customFormat="1" x14ac:dyDescent="0.25"/>
    <row r="17493" customFormat="1" x14ac:dyDescent="0.25"/>
    <row r="17494" customFormat="1" x14ac:dyDescent="0.25"/>
    <row r="17495" customFormat="1" x14ac:dyDescent="0.25"/>
    <row r="17496" customFormat="1" x14ac:dyDescent="0.25"/>
    <row r="17497" customFormat="1" x14ac:dyDescent="0.25"/>
    <row r="17498" customFormat="1" x14ac:dyDescent="0.25"/>
    <row r="17499" customFormat="1" x14ac:dyDescent="0.25"/>
    <row r="17500" customFormat="1" x14ac:dyDescent="0.25"/>
    <row r="17501" customFormat="1" x14ac:dyDescent="0.25"/>
    <row r="17502" customFormat="1" x14ac:dyDescent="0.25"/>
    <row r="17503" customFormat="1" x14ac:dyDescent="0.25"/>
    <row r="17504" customFormat="1" x14ac:dyDescent="0.25"/>
    <row r="17505" customFormat="1" x14ac:dyDescent="0.25"/>
    <row r="17506" customFormat="1" x14ac:dyDescent="0.25"/>
    <row r="17507" customFormat="1" x14ac:dyDescent="0.25"/>
    <row r="17508" customFormat="1" x14ac:dyDescent="0.25"/>
    <row r="17509" customFormat="1" x14ac:dyDescent="0.25"/>
    <row r="17510" customFormat="1" x14ac:dyDescent="0.25"/>
    <row r="17511" customFormat="1" x14ac:dyDescent="0.25"/>
    <row r="17512" customFormat="1" x14ac:dyDescent="0.25"/>
    <row r="17513" customFormat="1" x14ac:dyDescent="0.25"/>
    <row r="17514" customFormat="1" x14ac:dyDescent="0.25"/>
    <row r="17515" customFormat="1" x14ac:dyDescent="0.25"/>
    <row r="17516" customFormat="1" x14ac:dyDescent="0.25"/>
    <row r="17517" customFormat="1" x14ac:dyDescent="0.25"/>
    <row r="17518" customFormat="1" x14ac:dyDescent="0.25"/>
    <row r="17519" customFormat="1" x14ac:dyDescent="0.25"/>
    <row r="17520" customFormat="1" x14ac:dyDescent="0.25"/>
    <row r="17521" customFormat="1" x14ac:dyDescent="0.25"/>
    <row r="17522" customFormat="1" x14ac:dyDescent="0.25"/>
    <row r="17523" customFormat="1" x14ac:dyDescent="0.25"/>
    <row r="17524" customFormat="1" x14ac:dyDescent="0.25"/>
    <row r="17525" customFormat="1" x14ac:dyDescent="0.25"/>
    <row r="17526" customFormat="1" x14ac:dyDescent="0.25"/>
    <row r="17527" customFormat="1" x14ac:dyDescent="0.25"/>
    <row r="17528" customFormat="1" x14ac:dyDescent="0.25"/>
    <row r="17529" customFormat="1" x14ac:dyDescent="0.25"/>
    <row r="17530" customFormat="1" x14ac:dyDescent="0.25"/>
    <row r="17531" customFormat="1" x14ac:dyDescent="0.25"/>
    <row r="17532" customFormat="1" x14ac:dyDescent="0.25"/>
    <row r="17533" customFormat="1" x14ac:dyDescent="0.25"/>
    <row r="17534" customFormat="1" x14ac:dyDescent="0.25"/>
    <row r="17535" customFormat="1" x14ac:dyDescent="0.25"/>
    <row r="17536" customFormat="1" x14ac:dyDescent="0.25"/>
    <row r="17537" customFormat="1" x14ac:dyDescent="0.25"/>
    <row r="17538" customFormat="1" x14ac:dyDescent="0.25"/>
    <row r="17539" customFormat="1" x14ac:dyDescent="0.25"/>
    <row r="17540" customFormat="1" x14ac:dyDescent="0.25"/>
    <row r="17541" customFormat="1" x14ac:dyDescent="0.25"/>
    <row r="17542" customFormat="1" x14ac:dyDescent="0.25"/>
    <row r="17543" customFormat="1" x14ac:dyDescent="0.25"/>
    <row r="17544" customFormat="1" x14ac:dyDescent="0.25"/>
    <row r="17545" customFormat="1" x14ac:dyDescent="0.25"/>
    <row r="17546" customFormat="1" x14ac:dyDescent="0.25"/>
    <row r="17547" customFormat="1" x14ac:dyDescent="0.25"/>
    <row r="17548" customFormat="1" x14ac:dyDescent="0.25"/>
    <row r="17549" customFormat="1" x14ac:dyDescent="0.25"/>
    <row r="17550" customFormat="1" x14ac:dyDescent="0.25"/>
    <row r="17551" customFormat="1" x14ac:dyDescent="0.25"/>
    <row r="17552" customFormat="1" x14ac:dyDescent="0.25"/>
    <row r="17553" customFormat="1" x14ac:dyDescent="0.25"/>
    <row r="17554" customFormat="1" x14ac:dyDescent="0.25"/>
    <row r="17555" customFormat="1" x14ac:dyDescent="0.25"/>
    <row r="17556" customFormat="1" x14ac:dyDescent="0.25"/>
    <row r="17557" customFormat="1" x14ac:dyDescent="0.25"/>
    <row r="17558" customFormat="1" x14ac:dyDescent="0.25"/>
    <row r="17559" customFormat="1" x14ac:dyDescent="0.25"/>
    <row r="17560" customFormat="1" x14ac:dyDescent="0.25"/>
    <row r="17561" customFormat="1" x14ac:dyDescent="0.25"/>
    <row r="17562" customFormat="1" x14ac:dyDescent="0.25"/>
    <row r="17563" customFormat="1" x14ac:dyDescent="0.25"/>
    <row r="17564" customFormat="1" x14ac:dyDescent="0.25"/>
    <row r="17565" customFormat="1" x14ac:dyDescent="0.25"/>
    <row r="17566" customFormat="1" x14ac:dyDescent="0.25"/>
    <row r="17567" customFormat="1" x14ac:dyDescent="0.25"/>
    <row r="17568" customFormat="1" x14ac:dyDescent="0.25"/>
    <row r="17569" customFormat="1" x14ac:dyDescent="0.25"/>
    <row r="17570" customFormat="1" x14ac:dyDescent="0.25"/>
    <row r="17571" customFormat="1" x14ac:dyDescent="0.25"/>
    <row r="17572" customFormat="1" x14ac:dyDescent="0.25"/>
    <row r="17573" customFormat="1" x14ac:dyDescent="0.25"/>
    <row r="17574" customFormat="1" x14ac:dyDescent="0.25"/>
    <row r="17575" customFormat="1" x14ac:dyDescent="0.25"/>
    <row r="17576" customFormat="1" x14ac:dyDescent="0.25"/>
    <row r="17577" customFormat="1" x14ac:dyDescent="0.25"/>
    <row r="17578" customFormat="1" x14ac:dyDescent="0.25"/>
    <row r="17579" customFormat="1" x14ac:dyDescent="0.25"/>
    <row r="17580" customFormat="1" x14ac:dyDescent="0.25"/>
    <row r="17581" customFormat="1" x14ac:dyDescent="0.25"/>
    <row r="17582" customFormat="1" x14ac:dyDescent="0.25"/>
    <row r="17583" customFormat="1" x14ac:dyDescent="0.25"/>
    <row r="17584" customFormat="1" x14ac:dyDescent="0.25"/>
    <row r="17585" customFormat="1" x14ac:dyDescent="0.25"/>
    <row r="17586" customFormat="1" x14ac:dyDescent="0.25"/>
    <row r="17587" customFormat="1" x14ac:dyDescent="0.25"/>
    <row r="17588" customFormat="1" x14ac:dyDescent="0.25"/>
    <row r="17589" customFormat="1" x14ac:dyDescent="0.25"/>
    <row r="17590" customFormat="1" x14ac:dyDescent="0.25"/>
    <row r="17591" customFormat="1" x14ac:dyDescent="0.25"/>
    <row r="17592" customFormat="1" x14ac:dyDescent="0.25"/>
    <row r="17593" customFormat="1" x14ac:dyDescent="0.25"/>
    <row r="17594" customFormat="1" x14ac:dyDescent="0.25"/>
    <row r="17595" customFormat="1" x14ac:dyDescent="0.25"/>
    <row r="17596" customFormat="1" x14ac:dyDescent="0.25"/>
    <row r="17597" customFormat="1" x14ac:dyDescent="0.25"/>
    <row r="17598" customFormat="1" x14ac:dyDescent="0.25"/>
    <row r="17599" customFormat="1" x14ac:dyDescent="0.25"/>
    <row r="17600" customFormat="1" x14ac:dyDescent="0.25"/>
    <row r="17601" customFormat="1" x14ac:dyDescent="0.25"/>
    <row r="17602" customFormat="1" x14ac:dyDescent="0.25"/>
    <row r="17603" customFormat="1" x14ac:dyDescent="0.25"/>
    <row r="17604" customFormat="1" x14ac:dyDescent="0.25"/>
    <row r="17605" customFormat="1" x14ac:dyDescent="0.25"/>
    <row r="17606" customFormat="1" x14ac:dyDescent="0.25"/>
    <row r="17607" customFormat="1" x14ac:dyDescent="0.25"/>
    <row r="17608" customFormat="1" x14ac:dyDescent="0.25"/>
    <row r="17609" customFormat="1" x14ac:dyDescent="0.25"/>
    <row r="17610" customFormat="1" x14ac:dyDescent="0.25"/>
    <row r="17611" customFormat="1" x14ac:dyDescent="0.25"/>
    <row r="17612" customFormat="1" x14ac:dyDescent="0.25"/>
    <row r="17613" customFormat="1" x14ac:dyDescent="0.25"/>
    <row r="17614" customFormat="1" x14ac:dyDescent="0.25"/>
    <row r="17615" customFormat="1" x14ac:dyDescent="0.25"/>
    <row r="17616" customFormat="1" x14ac:dyDescent="0.25"/>
    <row r="17617" customFormat="1" x14ac:dyDescent="0.25"/>
    <row r="17618" customFormat="1" x14ac:dyDescent="0.25"/>
    <row r="17619" customFormat="1" x14ac:dyDescent="0.25"/>
    <row r="17620" customFormat="1" x14ac:dyDescent="0.25"/>
    <row r="17621" customFormat="1" x14ac:dyDescent="0.25"/>
    <row r="17622" customFormat="1" x14ac:dyDescent="0.25"/>
    <row r="17623" customFormat="1" x14ac:dyDescent="0.25"/>
    <row r="17624" customFormat="1" x14ac:dyDescent="0.25"/>
    <row r="17625" customFormat="1" x14ac:dyDescent="0.25"/>
    <row r="17626" customFormat="1" x14ac:dyDescent="0.25"/>
    <row r="17627" customFormat="1" x14ac:dyDescent="0.25"/>
    <row r="17628" customFormat="1" x14ac:dyDescent="0.25"/>
    <row r="17629" customFormat="1" x14ac:dyDescent="0.25"/>
    <row r="17630" customFormat="1" x14ac:dyDescent="0.25"/>
    <row r="17631" customFormat="1" x14ac:dyDescent="0.25"/>
    <row r="17632" customFormat="1" x14ac:dyDescent="0.25"/>
    <row r="17633" customFormat="1" x14ac:dyDescent="0.25"/>
    <row r="17634" customFormat="1" x14ac:dyDescent="0.25"/>
    <row r="17635" customFormat="1" x14ac:dyDescent="0.25"/>
    <row r="17636" customFormat="1" x14ac:dyDescent="0.25"/>
    <row r="17637" customFormat="1" x14ac:dyDescent="0.25"/>
    <row r="17638" customFormat="1" x14ac:dyDescent="0.25"/>
    <row r="17639" customFormat="1" x14ac:dyDescent="0.25"/>
    <row r="17640" customFormat="1" x14ac:dyDescent="0.25"/>
    <row r="17641" customFormat="1" x14ac:dyDescent="0.25"/>
    <row r="17642" customFormat="1" x14ac:dyDescent="0.25"/>
    <row r="17643" customFormat="1" x14ac:dyDescent="0.25"/>
    <row r="17644" customFormat="1" x14ac:dyDescent="0.25"/>
    <row r="17645" customFormat="1" x14ac:dyDescent="0.25"/>
    <row r="17646" customFormat="1" x14ac:dyDescent="0.25"/>
    <row r="17647" customFormat="1" x14ac:dyDescent="0.25"/>
    <row r="17648" customFormat="1" x14ac:dyDescent="0.25"/>
    <row r="17649" customFormat="1" x14ac:dyDescent="0.25"/>
    <row r="17650" customFormat="1" x14ac:dyDescent="0.25"/>
    <row r="17651" customFormat="1" x14ac:dyDescent="0.25"/>
    <row r="17652" customFormat="1" x14ac:dyDescent="0.25"/>
    <row r="17653" customFormat="1" x14ac:dyDescent="0.25"/>
    <row r="17654" customFormat="1" x14ac:dyDescent="0.25"/>
    <row r="17655" customFormat="1" x14ac:dyDescent="0.25"/>
    <row r="17656" customFormat="1" x14ac:dyDescent="0.25"/>
    <row r="17657" customFormat="1" x14ac:dyDescent="0.25"/>
    <row r="17658" customFormat="1" x14ac:dyDescent="0.25"/>
    <row r="17659" customFormat="1" x14ac:dyDescent="0.25"/>
    <row r="17660" customFormat="1" x14ac:dyDescent="0.25"/>
    <row r="17661" customFormat="1" x14ac:dyDescent="0.25"/>
    <row r="17662" customFormat="1" x14ac:dyDescent="0.25"/>
    <row r="17663" customFormat="1" x14ac:dyDescent="0.25"/>
    <row r="17664" customFormat="1" x14ac:dyDescent="0.25"/>
    <row r="17665" customFormat="1" x14ac:dyDescent="0.25"/>
    <row r="17666" customFormat="1" x14ac:dyDescent="0.25"/>
    <row r="17667" customFormat="1" x14ac:dyDescent="0.25"/>
    <row r="17668" customFormat="1" x14ac:dyDescent="0.25"/>
    <row r="17669" customFormat="1" x14ac:dyDescent="0.25"/>
    <row r="17670" customFormat="1" x14ac:dyDescent="0.25"/>
    <row r="17671" customFormat="1" x14ac:dyDescent="0.25"/>
    <row r="17672" customFormat="1" x14ac:dyDescent="0.25"/>
    <row r="17673" customFormat="1" x14ac:dyDescent="0.25"/>
    <row r="17674" customFormat="1" x14ac:dyDescent="0.25"/>
    <row r="17675" customFormat="1" x14ac:dyDescent="0.25"/>
    <row r="17676" customFormat="1" x14ac:dyDescent="0.25"/>
    <row r="17677" customFormat="1" x14ac:dyDescent="0.25"/>
    <row r="17678" customFormat="1" x14ac:dyDescent="0.25"/>
    <row r="17679" customFormat="1" x14ac:dyDescent="0.25"/>
    <row r="17680" customFormat="1" x14ac:dyDescent="0.25"/>
    <row r="17681" customFormat="1" x14ac:dyDescent="0.25"/>
    <row r="17682" customFormat="1" x14ac:dyDescent="0.25"/>
    <row r="17683" customFormat="1" x14ac:dyDescent="0.25"/>
    <row r="17684" customFormat="1" x14ac:dyDescent="0.25"/>
    <row r="17685" customFormat="1" x14ac:dyDescent="0.25"/>
    <row r="17686" customFormat="1" x14ac:dyDescent="0.25"/>
    <row r="17687" customFormat="1" x14ac:dyDescent="0.25"/>
    <row r="17688" customFormat="1" x14ac:dyDescent="0.25"/>
    <row r="17689" customFormat="1" x14ac:dyDescent="0.25"/>
    <row r="17690" customFormat="1" x14ac:dyDescent="0.25"/>
    <row r="17691" customFormat="1" x14ac:dyDescent="0.25"/>
    <row r="17692" customFormat="1" x14ac:dyDescent="0.25"/>
    <row r="17693" customFormat="1" x14ac:dyDescent="0.25"/>
    <row r="17694" customFormat="1" x14ac:dyDescent="0.25"/>
    <row r="17695" customFormat="1" x14ac:dyDescent="0.25"/>
    <row r="17696" customFormat="1" x14ac:dyDescent="0.25"/>
    <row r="17697" customFormat="1" x14ac:dyDescent="0.25"/>
    <row r="17698" customFormat="1" x14ac:dyDescent="0.25"/>
    <row r="17699" customFormat="1" x14ac:dyDescent="0.25"/>
    <row r="17700" customFormat="1" x14ac:dyDescent="0.25"/>
    <row r="17701" customFormat="1" x14ac:dyDescent="0.25"/>
    <row r="17702" customFormat="1" x14ac:dyDescent="0.25"/>
    <row r="17703" customFormat="1" x14ac:dyDescent="0.25"/>
    <row r="17704" customFormat="1" x14ac:dyDescent="0.25"/>
    <row r="17705" customFormat="1" x14ac:dyDescent="0.25"/>
    <row r="17706" customFormat="1" x14ac:dyDescent="0.25"/>
    <row r="17707" customFormat="1" x14ac:dyDescent="0.25"/>
    <row r="17708" customFormat="1" x14ac:dyDescent="0.25"/>
    <row r="17709" customFormat="1" x14ac:dyDescent="0.25"/>
    <row r="17710" customFormat="1" x14ac:dyDescent="0.25"/>
    <row r="17711" customFormat="1" x14ac:dyDescent="0.25"/>
    <row r="17712" customFormat="1" x14ac:dyDescent="0.25"/>
    <row r="17713" customFormat="1" x14ac:dyDescent="0.25"/>
    <row r="17714" customFormat="1" x14ac:dyDescent="0.25"/>
    <row r="17715" customFormat="1" x14ac:dyDescent="0.25"/>
    <row r="17716" customFormat="1" x14ac:dyDescent="0.25"/>
    <row r="17717" customFormat="1" x14ac:dyDescent="0.25"/>
    <row r="17718" customFormat="1" x14ac:dyDescent="0.25"/>
    <row r="17719" customFormat="1" x14ac:dyDescent="0.25"/>
    <row r="17720" customFormat="1" x14ac:dyDescent="0.25"/>
    <row r="17721" customFormat="1" x14ac:dyDescent="0.25"/>
    <row r="17722" customFormat="1" x14ac:dyDescent="0.25"/>
    <row r="17723" customFormat="1" x14ac:dyDescent="0.25"/>
    <row r="17724" customFormat="1" x14ac:dyDescent="0.25"/>
    <row r="17725" customFormat="1" x14ac:dyDescent="0.25"/>
    <row r="17726" customFormat="1" x14ac:dyDescent="0.25"/>
    <row r="17727" customFormat="1" x14ac:dyDescent="0.25"/>
    <row r="17728" customFormat="1" x14ac:dyDescent="0.25"/>
    <row r="17729" customFormat="1" x14ac:dyDescent="0.25"/>
    <row r="17730" customFormat="1" x14ac:dyDescent="0.25"/>
    <row r="17731" customFormat="1" x14ac:dyDescent="0.25"/>
    <row r="17732" customFormat="1" x14ac:dyDescent="0.25"/>
    <row r="17733" customFormat="1" x14ac:dyDescent="0.25"/>
    <row r="17734" customFormat="1" x14ac:dyDescent="0.25"/>
    <row r="17735" customFormat="1" x14ac:dyDescent="0.25"/>
    <row r="17736" customFormat="1" x14ac:dyDescent="0.25"/>
    <row r="17737" customFormat="1" x14ac:dyDescent="0.25"/>
    <row r="17738" customFormat="1" x14ac:dyDescent="0.25"/>
    <row r="17739" customFormat="1" x14ac:dyDescent="0.25"/>
    <row r="17740" customFormat="1" x14ac:dyDescent="0.25"/>
    <row r="17741" customFormat="1" x14ac:dyDescent="0.25"/>
    <row r="17742" customFormat="1" x14ac:dyDescent="0.25"/>
    <row r="17743" customFormat="1" x14ac:dyDescent="0.25"/>
    <row r="17744" customFormat="1" x14ac:dyDescent="0.25"/>
    <row r="17745" customFormat="1" x14ac:dyDescent="0.25"/>
    <row r="17746" customFormat="1" x14ac:dyDescent="0.25"/>
    <row r="17747" customFormat="1" x14ac:dyDescent="0.25"/>
    <row r="17748" customFormat="1" x14ac:dyDescent="0.25"/>
    <row r="17749" customFormat="1" x14ac:dyDescent="0.25"/>
    <row r="17750" customFormat="1" x14ac:dyDescent="0.25"/>
    <row r="17751" customFormat="1" x14ac:dyDescent="0.25"/>
    <row r="17752" customFormat="1" x14ac:dyDescent="0.25"/>
    <row r="17753" customFormat="1" x14ac:dyDescent="0.25"/>
    <row r="17754" customFormat="1" x14ac:dyDescent="0.25"/>
    <row r="17755" customFormat="1" x14ac:dyDescent="0.25"/>
    <row r="17756" customFormat="1" x14ac:dyDescent="0.25"/>
    <row r="17757" customFormat="1" x14ac:dyDescent="0.25"/>
    <row r="17758" customFormat="1" x14ac:dyDescent="0.25"/>
    <row r="17759" customFormat="1" x14ac:dyDescent="0.25"/>
    <row r="17760" customFormat="1" x14ac:dyDescent="0.25"/>
    <row r="17761" customFormat="1" x14ac:dyDescent="0.25"/>
    <row r="17762" customFormat="1" x14ac:dyDescent="0.25"/>
    <row r="17763" customFormat="1" x14ac:dyDescent="0.25"/>
    <row r="17764" customFormat="1" x14ac:dyDescent="0.25"/>
    <row r="17765" customFormat="1" x14ac:dyDescent="0.25"/>
    <row r="17766" customFormat="1" x14ac:dyDescent="0.25"/>
    <row r="17767" customFormat="1" x14ac:dyDescent="0.25"/>
    <row r="17768" customFormat="1" x14ac:dyDescent="0.25"/>
    <row r="17769" customFormat="1" x14ac:dyDescent="0.25"/>
    <row r="17770" customFormat="1" x14ac:dyDescent="0.25"/>
    <row r="17771" customFormat="1" x14ac:dyDescent="0.25"/>
    <row r="17772" customFormat="1" x14ac:dyDescent="0.25"/>
    <row r="17773" customFormat="1" x14ac:dyDescent="0.25"/>
    <row r="17774" customFormat="1" x14ac:dyDescent="0.25"/>
    <row r="17775" customFormat="1" x14ac:dyDescent="0.25"/>
    <row r="17776" customFormat="1" x14ac:dyDescent="0.25"/>
    <row r="17777" customFormat="1" x14ac:dyDescent="0.25"/>
    <row r="17778" customFormat="1" x14ac:dyDescent="0.25"/>
    <row r="17779" customFormat="1" x14ac:dyDescent="0.25"/>
    <row r="17780" customFormat="1" x14ac:dyDescent="0.25"/>
    <row r="17781" customFormat="1" x14ac:dyDescent="0.25"/>
    <row r="17782" customFormat="1" x14ac:dyDescent="0.25"/>
    <row r="17783" customFormat="1" x14ac:dyDescent="0.25"/>
    <row r="17784" customFormat="1" x14ac:dyDescent="0.25"/>
    <row r="17785" customFormat="1" x14ac:dyDescent="0.25"/>
    <row r="17786" customFormat="1" x14ac:dyDescent="0.25"/>
    <row r="17787" customFormat="1" x14ac:dyDescent="0.25"/>
    <row r="17788" customFormat="1" x14ac:dyDescent="0.25"/>
    <row r="17789" customFormat="1" x14ac:dyDescent="0.25"/>
    <row r="17790" customFormat="1" x14ac:dyDescent="0.25"/>
    <row r="17791" customFormat="1" x14ac:dyDescent="0.25"/>
    <row r="17792" customFormat="1" x14ac:dyDescent="0.25"/>
    <row r="17793" customFormat="1" x14ac:dyDescent="0.25"/>
    <row r="17794" customFormat="1" x14ac:dyDescent="0.25"/>
    <row r="17795" customFormat="1" x14ac:dyDescent="0.25"/>
    <row r="17796" customFormat="1" x14ac:dyDescent="0.25"/>
    <row r="17797" customFormat="1" x14ac:dyDescent="0.25"/>
    <row r="17798" customFormat="1" x14ac:dyDescent="0.25"/>
    <row r="17799" customFormat="1" x14ac:dyDescent="0.25"/>
    <row r="17800" customFormat="1" x14ac:dyDescent="0.25"/>
    <row r="17801" customFormat="1" x14ac:dyDescent="0.25"/>
    <row r="17802" customFormat="1" x14ac:dyDescent="0.25"/>
    <row r="17803" customFormat="1" x14ac:dyDescent="0.25"/>
    <row r="17804" customFormat="1" x14ac:dyDescent="0.25"/>
    <row r="17805" customFormat="1" x14ac:dyDescent="0.25"/>
    <row r="17806" customFormat="1" x14ac:dyDescent="0.25"/>
    <row r="17807" customFormat="1" x14ac:dyDescent="0.25"/>
    <row r="17808" customFormat="1" x14ac:dyDescent="0.25"/>
    <row r="17809" customFormat="1" x14ac:dyDescent="0.25"/>
    <row r="17810" customFormat="1" x14ac:dyDescent="0.25"/>
    <row r="17811" customFormat="1" x14ac:dyDescent="0.25"/>
    <row r="17812" customFormat="1" x14ac:dyDescent="0.25"/>
    <row r="17813" customFormat="1" x14ac:dyDescent="0.25"/>
    <row r="17814" customFormat="1" x14ac:dyDescent="0.25"/>
    <row r="17815" customFormat="1" x14ac:dyDescent="0.25"/>
    <row r="17816" customFormat="1" x14ac:dyDescent="0.25"/>
    <row r="17817" customFormat="1" x14ac:dyDescent="0.25"/>
    <row r="17818" customFormat="1" x14ac:dyDescent="0.25"/>
    <row r="17819" customFormat="1" x14ac:dyDescent="0.25"/>
    <row r="17820" customFormat="1" x14ac:dyDescent="0.25"/>
    <row r="17821" customFormat="1" x14ac:dyDescent="0.25"/>
    <row r="17822" customFormat="1" x14ac:dyDescent="0.25"/>
    <row r="17823" customFormat="1" x14ac:dyDescent="0.25"/>
    <row r="17824" customFormat="1" x14ac:dyDescent="0.25"/>
    <row r="17825" customFormat="1" x14ac:dyDescent="0.25"/>
    <row r="17826" customFormat="1" x14ac:dyDescent="0.25"/>
    <row r="17827" customFormat="1" x14ac:dyDescent="0.25"/>
    <row r="17828" customFormat="1" x14ac:dyDescent="0.25"/>
    <row r="17829" customFormat="1" x14ac:dyDescent="0.25"/>
    <row r="17830" customFormat="1" x14ac:dyDescent="0.25"/>
    <row r="17831" customFormat="1" x14ac:dyDescent="0.25"/>
    <row r="17832" customFormat="1" x14ac:dyDescent="0.25"/>
    <row r="17833" customFormat="1" x14ac:dyDescent="0.25"/>
    <row r="17834" customFormat="1" x14ac:dyDescent="0.25"/>
    <row r="17835" customFormat="1" x14ac:dyDescent="0.25"/>
    <row r="17836" customFormat="1" x14ac:dyDescent="0.25"/>
    <row r="17837" customFormat="1" x14ac:dyDescent="0.25"/>
    <row r="17838" customFormat="1" x14ac:dyDescent="0.25"/>
    <row r="17839" customFormat="1" x14ac:dyDescent="0.25"/>
    <row r="17840" customFormat="1" x14ac:dyDescent="0.25"/>
    <row r="17841" customFormat="1" x14ac:dyDescent="0.25"/>
    <row r="17842" customFormat="1" x14ac:dyDescent="0.25"/>
    <row r="17843" customFormat="1" x14ac:dyDescent="0.25"/>
    <row r="17844" customFormat="1" x14ac:dyDescent="0.25"/>
    <row r="17845" customFormat="1" x14ac:dyDescent="0.25"/>
    <row r="17846" customFormat="1" x14ac:dyDescent="0.25"/>
    <row r="17847" customFormat="1" x14ac:dyDescent="0.25"/>
    <row r="17848" customFormat="1" x14ac:dyDescent="0.25"/>
    <row r="17849" customFormat="1" x14ac:dyDescent="0.25"/>
    <row r="17850" customFormat="1" x14ac:dyDescent="0.25"/>
    <row r="17851" customFormat="1" x14ac:dyDescent="0.25"/>
    <row r="17852" customFormat="1" x14ac:dyDescent="0.25"/>
    <row r="17853" customFormat="1" x14ac:dyDescent="0.25"/>
    <row r="17854" customFormat="1" x14ac:dyDescent="0.25"/>
    <row r="17855" customFormat="1" x14ac:dyDescent="0.25"/>
    <row r="17856" customFormat="1" x14ac:dyDescent="0.25"/>
    <row r="17857" customFormat="1" x14ac:dyDescent="0.25"/>
    <row r="17858" customFormat="1" x14ac:dyDescent="0.25"/>
    <row r="17859" customFormat="1" x14ac:dyDescent="0.25"/>
    <row r="17860" customFormat="1" x14ac:dyDescent="0.25"/>
    <row r="17861" customFormat="1" x14ac:dyDescent="0.25"/>
    <row r="17862" customFormat="1" x14ac:dyDescent="0.25"/>
    <row r="17863" customFormat="1" x14ac:dyDescent="0.25"/>
    <row r="17864" customFormat="1" x14ac:dyDescent="0.25"/>
    <row r="17865" customFormat="1" x14ac:dyDescent="0.25"/>
    <row r="17866" customFormat="1" x14ac:dyDescent="0.25"/>
    <row r="17867" customFormat="1" x14ac:dyDescent="0.25"/>
    <row r="17868" customFormat="1" x14ac:dyDescent="0.25"/>
    <row r="17869" customFormat="1" x14ac:dyDescent="0.25"/>
    <row r="17870" customFormat="1" x14ac:dyDescent="0.25"/>
    <row r="17871" customFormat="1" x14ac:dyDescent="0.25"/>
    <row r="17872" customFormat="1" x14ac:dyDescent="0.25"/>
    <row r="17873" customFormat="1" x14ac:dyDescent="0.25"/>
    <row r="17874" customFormat="1" x14ac:dyDescent="0.25"/>
    <row r="17875" customFormat="1" x14ac:dyDescent="0.25"/>
    <row r="17876" customFormat="1" x14ac:dyDescent="0.25"/>
    <row r="17877" customFormat="1" x14ac:dyDescent="0.25"/>
    <row r="17878" customFormat="1" x14ac:dyDescent="0.25"/>
    <row r="17879" customFormat="1" x14ac:dyDescent="0.25"/>
    <row r="17880" customFormat="1" x14ac:dyDescent="0.25"/>
    <row r="17881" customFormat="1" x14ac:dyDescent="0.25"/>
    <row r="17882" customFormat="1" x14ac:dyDescent="0.25"/>
    <row r="17883" customFormat="1" x14ac:dyDescent="0.25"/>
    <row r="17884" customFormat="1" x14ac:dyDescent="0.25"/>
    <row r="17885" customFormat="1" x14ac:dyDescent="0.25"/>
    <row r="17886" customFormat="1" x14ac:dyDescent="0.25"/>
    <row r="17887" customFormat="1" x14ac:dyDescent="0.25"/>
    <row r="17888" customFormat="1" x14ac:dyDescent="0.25"/>
    <row r="17889" customFormat="1" x14ac:dyDescent="0.25"/>
    <row r="17890" customFormat="1" x14ac:dyDescent="0.25"/>
    <row r="17891" customFormat="1" x14ac:dyDescent="0.25"/>
    <row r="17892" customFormat="1" x14ac:dyDescent="0.25"/>
    <row r="17893" customFormat="1" x14ac:dyDescent="0.25"/>
    <row r="17894" customFormat="1" x14ac:dyDescent="0.25"/>
    <row r="17895" customFormat="1" x14ac:dyDescent="0.25"/>
    <row r="17896" customFormat="1" x14ac:dyDescent="0.25"/>
    <row r="17897" customFormat="1" x14ac:dyDescent="0.25"/>
    <row r="17898" customFormat="1" x14ac:dyDescent="0.25"/>
    <row r="17899" customFormat="1" x14ac:dyDescent="0.25"/>
    <row r="17900" customFormat="1" x14ac:dyDescent="0.25"/>
    <row r="17901" customFormat="1" x14ac:dyDescent="0.25"/>
    <row r="17902" customFormat="1" x14ac:dyDescent="0.25"/>
    <row r="17903" customFormat="1" x14ac:dyDescent="0.25"/>
    <row r="17904" customFormat="1" x14ac:dyDescent="0.25"/>
    <row r="17905" customFormat="1" x14ac:dyDescent="0.25"/>
    <row r="17906" customFormat="1" x14ac:dyDescent="0.25"/>
    <row r="17907" customFormat="1" x14ac:dyDescent="0.25"/>
    <row r="17908" customFormat="1" x14ac:dyDescent="0.25"/>
    <row r="17909" customFormat="1" x14ac:dyDescent="0.25"/>
    <row r="17910" customFormat="1" x14ac:dyDescent="0.25"/>
    <row r="17911" customFormat="1" x14ac:dyDescent="0.25"/>
    <row r="17912" customFormat="1" x14ac:dyDescent="0.25"/>
    <row r="17913" customFormat="1" x14ac:dyDescent="0.25"/>
    <row r="17914" customFormat="1" x14ac:dyDescent="0.25"/>
    <row r="17915" customFormat="1" x14ac:dyDescent="0.25"/>
    <row r="17916" customFormat="1" x14ac:dyDescent="0.25"/>
    <row r="17917" customFormat="1" x14ac:dyDescent="0.25"/>
    <row r="17918" customFormat="1" x14ac:dyDescent="0.25"/>
    <row r="17919" customFormat="1" x14ac:dyDescent="0.25"/>
    <row r="17920" customFormat="1" x14ac:dyDescent="0.25"/>
    <row r="17921" customFormat="1" x14ac:dyDescent="0.25"/>
    <row r="17922" customFormat="1" x14ac:dyDescent="0.25"/>
    <row r="17923" customFormat="1" x14ac:dyDescent="0.25"/>
    <row r="17924" customFormat="1" x14ac:dyDescent="0.25"/>
    <row r="17925" customFormat="1" x14ac:dyDescent="0.25"/>
    <row r="17926" customFormat="1" x14ac:dyDescent="0.25"/>
    <row r="17927" customFormat="1" x14ac:dyDescent="0.25"/>
    <row r="17928" customFormat="1" x14ac:dyDescent="0.25"/>
    <row r="17929" customFormat="1" x14ac:dyDescent="0.25"/>
    <row r="17930" customFormat="1" x14ac:dyDescent="0.25"/>
    <row r="17931" customFormat="1" x14ac:dyDescent="0.25"/>
    <row r="17932" customFormat="1" x14ac:dyDescent="0.25"/>
    <row r="17933" customFormat="1" x14ac:dyDescent="0.25"/>
    <row r="17934" customFormat="1" x14ac:dyDescent="0.25"/>
    <row r="17935" customFormat="1" x14ac:dyDescent="0.25"/>
    <row r="17936" customFormat="1" x14ac:dyDescent="0.25"/>
    <row r="17937" customFormat="1" x14ac:dyDescent="0.25"/>
    <row r="17938" customFormat="1" x14ac:dyDescent="0.25"/>
    <row r="17939" customFormat="1" x14ac:dyDescent="0.25"/>
    <row r="17940" customFormat="1" x14ac:dyDescent="0.25"/>
    <row r="17941" customFormat="1" x14ac:dyDescent="0.25"/>
    <row r="17942" customFormat="1" x14ac:dyDescent="0.25"/>
    <row r="17943" customFormat="1" x14ac:dyDescent="0.25"/>
    <row r="17944" customFormat="1" x14ac:dyDescent="0.25"/>
    <row r="17945" customFormat="1" x14ac:dyDescent="0.25"/>
    <row r="17946" customFormat="1" x14ac:dyDescent="0.25"/>
    <row r="17947" customFormat="1" x14ac:dyDescent="0.25"/>
    <row r="17948" customFormat="1" x14ac:dyDescent="0.25"/>
    <row r="17949" customFormat="1" x14ac:dyDescent="0.25"/>
    <row r="17950" customFormat="1" x14ac:dyDescent="0.25"/>
    <row r="17951" customFormat="1" x14ac:dyDescent="0.25"/>
    <row r="17952" customFormat="1" x14ac:dyDescent="0.25"/>
    <row r="17953" customFormat="1" x14ac:dyDescent="0.25"/>
    <row r="17954" customFormat="1" x14ac:dyDescent="0.25"/>
    <row r="17955" customFormat="1" x14ac:dyDescent="0.25"/>
    <row r="17956" customFormat="1" x14ac:dyDescent="0.25"/>
    <row r="17957" customFormat="1" x14ac:dyDescent="0.25"/>
    <row r="17958" customFormat="1" x14ac:dyDescent="0.25"/>
    <row r="17959" customFormat="1" x14ac:dyDescent="0.25"/>
    <row r="17960" customFormat="1" x14ac:dyDescent="0.25"/>
    <row r="17961" customFormat="1" x14ac:dyDescent="0.25"/>
    <row r="17962" customFormat="1" x14ac:dyDescent="0.25"/>
    <row r="17963" customFormat="1" x14ac:dyDescent="0.25"/>
    <row r="17964" customFormat="1" x14ac:dyDescent="0.25"/>
    <row r="17965" customFormat="1" x14ac:dyDescent="0.25"/>
    <row r="17966" customFormat="1" x14ac:dyDescent="0.25"/>
    <row r="17967" customFormat="1" x14ac:dyDescent="0.25"/>
    <row r="17968" customFormat="1" x14ac:dyDescent="0.25"/>
    <row r="17969" customFormat="1" x14ac:dyDescent="0.25"/>
    <row r="17970" customFormat="1" x14ac:dyDescent="0.25"/>
    <row r="17971" customFormat="1" x14ac:dyDescent="0.25"/>
    <row r="17972" customFormat="1" x14ac:dyDescent="0.25"/>
    <row r="17973" customFormat="1" x14ac:dyDescent="0.25"/>
    <row r="17974" customFormat="1" x14ac:dyDescent="0.25"/>
    <row r="17975" customFormat="1" x14ac:dyDescent="0.25"/>
    <row r="17976" customFormat="1" x14ac:dyDescent="0.25"/>
    <row r="17977" customFormat="1" x14ac:dyDescent="0.25"/>
    <row r="17978" customFormat="1" x14ac:dyDescent="0.25"/>
    <row r="17979" customFormat="1" x14ac:dyDescent="0.25"/>
    <row r="17980" customFormat="1" x14ac:dyDescent="0.25"/>
    <row r="17981" customFormat="1" x14ac:dyDescent="0.25"/>
    <row r="17982" customFormat="1" x14ac:dyDescent="0.25"/>
    <row r="17983" customFormat="1" x14ac:dyDescent="0.25"/>
    <row r="17984" customFormat="1" x14ac:dyDescent="0.25"/>
    <row r="17985" customFormat="1" x14ac:dyDescent="0.25"/>
    <row r="17986" customFormat="1" x14ac:dyDescent="0.25"/>
    <row r="17987" customFormat="1" x14ac:dyDescent="0.25"/>
    <row r="17988" customFormat="1" x14ac:dyDescent="0.25"/>
    <row r="17989" customFormat="1" x14ac:dyDescent="0.25"/>
    <row r="17990" customFormat="1" x14ac:dyDescent="0.25"/>
    <row r="17991" customFormat="1" x14ac:dyDescent="0.25"/>
    <row r="17992" customFormat="1" x14ac:dyDescent="0.25"/>
    <row r="17993" customFormat="1" x14ac:dyDescent="0.25"/>
    <row r="17994" customFormat="1" x14ac:dyDescent="0.25"/>
    <row r="17995" customFormat="1" x14ac:dyDescent="0.25"/>
    <row r="17996" customFormat="1" x14ac:dyDescent="0.25"/>
    <row r="17997" customFormat="1" x14ac:dyDescent="0.25"/>
    <row r="17998" customFormat="1" x14ac:dyDescent="0.25"/>
    <row r="17999" customFormat="1" x14ac:dyDescent="0.25"/>
    <row r="18000" customFormat="1" x14ac:dyDescent="0.25"/>
    <row r="18001" customFormat="1" x14ac:dyDescent="0.25"/>
    <row r="18002" customFormat="1" x14ac:dyDescent="0.25"/>
    <row r="18003" customFormat="1" x14ac:dyDescent="0.25"/>
    <row r="18004" customFormat="1" x14ac:dyDescent="0.25"/>
    <row r="18005" customFormat="1" x14ac:dyDescent="0.25"/>
    <row r="18006" customFormat="1" x14ac:dyDescent="0.25"/>
    <row r="18007" customFormat="1" x14ac:dyDescent="0.25"/>
    <row r="18008" customFormat="1" x14ac:dyDescent="0.25"/>
    <row r="18009" customFormat="1" x14ac:dyDescent="0.25"/>
    <row r="18010" customFormat="1" x14ac:dyDescent="0.25"/>
    <row r="18011" customFormat="1" x14ac:dyDescent="0.25"/>
    <row r="18012" customFormat="1" x14ac:dyDescent="0.25"/>
    <row r="18013" customFormat="1" x14ac:dyDescent="0.25"/>
    <row r="18014" customFormat="1" x14ac:dyDescent="0.25"/>
    <row r="18015" customFormat="1" x14ac:dyDescent="0.25"/>
    <row r="18016" customFormat="1" x14ac:dyDescent="0.25"/>
    <row r="18017" customFormat="1" x14ac:dyDescent="0.25"/>
    <row r="18018" customFormat="1" x14ac:dyDescent="0.25"/>
    <row r="18019" customFormat="1" x14ac:dyDescent="0.25"/>
    <row r="18020" customFormat="1" x14ac:dyDescent="0.25"/>
    <row r="18021" customFormat="1" x14ac:dyDescent="0.25"/>
    <row r="18022" customFormat="1" x14ac:dyDescent="0.25"/>
    <row r="18023" customFormat="1" x14ac:dyDescent="0.25"/>
    <row r="18024" customFormat="1" x14ac:dyDescent="0.25"/>
    <row r="18025" customFormat="1" x14ac:dyDescent="0.25"/>
    <row r="18026" customFormat="1" x14ac:dyDescent="0.25"/>
    <row r="18027" customFormat="1" x14ac:dyDescent="0.25"/>
    <row r="18028" customFormat="1" x14ac:dyDescent="0.25"/>
    <row r="18029" customFormat="1" x14ac:dyDescent="0.25"/>
    <row r="18030" customFormat="1" x14ac:dyDescent="0.25"/>
    <row r="18031" customFormat="1" x14ac:dyDescent="0.25"/>
    <row r="18032" customFormat="1" x14ac:dyDescent="0.25"/>
    <row r="18033" customFormat="1" x14ac:dyDescent="0.25"/>
    <row r="18034" customFormat="1" x14ac:dyDescent="0.25"/>
    <row r="18035" customFormat="1" x14ac:dyDescent="0.25"/>
    <row r="18036" customFormat="1" x14ac:dyDescent="0.25"/>
    <row r="18037" customFormat="1" x14ac:dyDescent="0.25"/>
    <row r="18038" customFormat="1" x14ac:dyDescent="0.25"/>
    <row r="18039" customFormat="1" x14ac:dyDescent="0.25"/>
    <row r="18040" customFormat="1" x14ac:dyDescent="0.25"/>
    <row r="18041" customFormat="1" x14ac:dyDescent="0.25"/>
    <row r="18042" customFormat="1" x14ac:dyDescent="0.25"/>
    <row r="18043" customFormat="1" x14ac:dyDescent="0.25"/>
    <row r="18044" customFormat="1" x14ac:dyDescent="0.25"/>
    <row r="18045" customFormat="1" x14ac:dyDescent="0.25"/>
    <row r="18046" customFormat="1" x14ac:dyDescent="0.25"/>
    <row r="18047" customFormat="1" x14ac:dyDescent="0.25"/>
    <row r="18048" customFormat="1" x14ac:dyDescent="0.25"/>
    <row r="18049" customFormat="1" x14ac:dyDescent="0.25"/>
    <row r="18050" customFormat="1" x14ac:dyDescent="0.25"/>
    <row r="18051" customFormat="1" x14ac:dyDescent="0.25"/>
    <row r="18052" customFormat="1" x14ac:dyDescent="0.25"/>
    <row r="18053" customFormat="1" x14ac:dyDescent="0.25"/>
    <row r="18054" customFormat="1" x14ac:dyDescent="0.25"/>
    <row r="18055" customFormat="1" x14ac:dyDescent="0.25"/>
    <row r="18056" customFormat="1" x14ac:dyDescent="0.25"/>
    <row r="18057" customFormat="1" x14ac:dyDescent="0.25"/>
    <row r="18058" customFormat="1" x14ac:dyDescent="0.25"/>
    <row r="18059" customFormat="1" x14ac:dyDescent="0.25"/>
    <row r="18060" customFormat="1" x14ac:dyDescent="0.25"/>
    <row r="18061" customFormat="1" x14ac:dyDescent="0.25"/>
    <row r="18062" customFormat="1" x14ac:dyDescent="0.25"/>
    <row r="18063" customFormat="1" x14ac:dyDescent="0.25"/>
    <row r="18064" customFormat="1" x14ac:dyDescent="0.25"/>
    <row r="18065" customFormat="1" x14ac:dyDescent="0.25"/>
    <row r="18066" customFormat="1" x14ac:dyDescent="0.25"/>
    <row r="18067" customFormat="1" x14ac:dyDescent="0.25"/>
    <row r="18068" customFormat="1" x14ac:dyDescent="0.25"/>
    <row r="18069" customFormat="1" x14ac:dyDescent="0.25"/>
    <row r="18070" customFormat="1" x14ac:dyDescent="0.25"/>
    <row r="18071" customFormat="1" x14ac:dyDescent="0.25"/>
    <row r="18072" customFormat="1" x14ac:dyDescent="0.25"/>
    <row r="18073" customFormat="1" x14ac:dyDescent="0.25"/>
    <row r="18074" customFormat="1" x14ac:dyDescent="0.25"/>
    <row r="18075" customFormat="1" x14ac:dyDescent="0.25"/>
    <row r="18076" customFormat="1" x14ac:dyDescent="0.25"/>
    <row r="18077" customFormat="1" x14ac:dyDescent="0.25"/>
    <row r="18078" customFormat="1" x14ac:dyDescent="0.25"/>
    <row r="18079" customFormat="1" x14ac:dyDescent="0.25"/>
    <row r="18080" customFormat="1" x14ac:dyDescent="0.25"/>
    <row r="18081" customFormat="1" x14ac:dyDescent="0.25"/>
    <row r="18082" customFormat="1" x14ac:dyDescent="0.25"/>
    <row r="18083" customFormat="1" x14ac:dyDescent="0.25"/>
    <row r="18084" customFormat="1" x14ac:dyDescent="0.25"/>
    <row r="18085" customFormat="1" x14ac:dyDescent="0.25"/>
    <row r="18086" customFormat="1" x14ac:dyDescent="0.25"/>
    <row r="18087" customFormat="1" x14ac:dyDescent="0.25"/>
    <row r="18088" customFormat="1" x14ac:dyDescent="0.25"/>
    <row r="18089" customFormat="1" x14ac:dyDescent="0.25"/>
    <row r="18090" customFormat="1" x14ac:dyDescent="0.25"/>
    <row r="18091" customFormat="1" x14ac:dyDescent="0.25"/>
    <row r="18092" customFormat="1" x14ac:dyDescent="0.25"/>
    <row r="18093" customFormat="1" x14ac:dyDescent="0.25"/>
    <row r="18094" customFormat="1" x14ac:dyDescent="0.25"/>
    <row r="18095" customFormat="1" x14ac:dyDescent="0.25"/>
    <row r="18096" customFormat="1" x14ac:dyDescent="0.25"/>
    <row r="18097" customFormat="1" x14ac:dyDescent="0.25"/>
    <row r="18098" customFormat="1" x14ac:dyDescent="0.25"/>
    <row r="18099" customFormat="1" x14ac:dyDescent="0.25"/>
    <row r="18100" customFormat="1" x14ac:dyDescent="0.25"/>
    <row r="18101" customFormat="1" x14ac:dyDescent="0.25"/>
    <row r="18102" customFormat="1" x14ac:dyDescent="0.25"/>
    <row r="18103" customFormat="1" x14ac:dyDescent="0.25"/>
    <row r="18104" customFormat="1" x14ac:dyDescent="0.25"/>
    <row r="18105" customFormat="1" x14ac:dyDescent="0.25"/>
    <row r="18106" customFormat="1" x14ac:dyDescent="0.25"/>
    <row r="18107" customFormat="1" x14ac:dyDescent="0.25"/>
    <row r="18108" customFormat="1" x14ac:dyDescent="0.25"/>
    <row r="18109" customFormat="1" x14ac:dyDescent="0.25"/>
    <row r="18110" customFormat="1" x14ac:dyDescent="0.25"/>
    <row r="18111" customFormat="1" x14ac:dyDescent="0.25"/>
    <row r="18112" customFormat="1" x14ac:dyDescent="0.25"/>
    <row r="18113" customFormat="1" x14ac:dyDescent="0.25"/>
    <row r="18114" customFormat="1" x14ac:dyDescent="0.25"/>
    <row r="18115" customFormat="1" x14ac:dyDescent="0.25"/>
    <row r="18116" customFormat="1" x14ac:dyDescent="0.25"/>
    <row r="18117" customFormat="1" x14ac:dyDescent="0.25"/>
    <row r="18118" customFormat="1" x14ac:dyDescent="0.25"/>
    <row r="18119" customFormat="1" x14ac:dyDescent="0.25"/>
    <row r="18120" customFormat="1" x14ac:dyDescent="0.25"/>
    <row r="18121" customFormat="1" x14ac:dyDescent="0.25"/>
    <row r="18122" customFormat="1" x14ac:dyDescent="0.25"/>
    <row r="18123" customFormat="1" x14ac:dyDescent="0.25"/>
    <row r="18124" customFormat="1" x14ac:dyDescent="0.25"/>
    <row r="18125" customFormat="1" x14ac:dyDescent="0.25"/>
    <row r="18126" customFormat="1" x14ac:dyDescent="0.25"/>
    <row r="18127" customFormat="1" x14ac:dyDescent="0.25"/>
    <row r="18128" customFormat="1" x14ac:dyDescent="0.25"/>
    <row r="18129" customFormat="1" x14ac:dyDescent="0.25"/>
    <row r="18130" customFormat="1" x14ac:dyDescent="0.25"/>
    <row r="18131" customFormat="1" x14ac:dyDescent="0.25"/>
    <row r="18132" customFormat="1" x14ac:dyDescent="0.25"/>
    <row r="18133" customFormat="1" x14ac:dyDescent="0.25"/>
    <row r="18134" customFormat="1" x14ac:dyDescent="0.25"/>
    <row r="18135" customFormat="1" x14ac:dyDescent="0.25"/>
    <row r="18136" customFormat="1" x14ac:dyDescent="0.25"/>
    <row r="18137" customFormat="1" x14ac:dyDescent="0.25"/>
    <row r="18138" customFormat="1" x14ac:dyDescent="0.25"/>
    <row r="18139" customFormat="1" x14ac:dyDescent="0.25"/>
    <row r="18140" customFormat="1" x14ac:dyDescent="0.25"/>
    <row r="18141" customFormat="1" x14ac:dyDescent="0.25"/>
    <row r="18142" customFormat="1" x14ac:dyDescent="0.25"/>
    <row r="18143" customFormat="1" x14ac:dyDescent="0.25"/>
    <row r="18144" customFormat="1" x14ac:dyDescent="0.25"/>
    <row r="18145" customFormat="1" x14ac:dyDescent="0.25"/>
    <row r="18146" customFormat="1" x14ac:dyDescent="0.25"/>
    <row r="18147" customFormat="1" x14ac:dyDescent="0.25"/>
    <row r="18148" customFormat="1" x14ac:dyDescent="0.25"/>
    <row r="18149" customFormat="1" x14ac:dyDescent="0.25"/>
    <row r="18150" customFormat="1" x14ac:dyDescent="0.25"/>
    <row r="18151" customFormat="1" x14ac:dyDescent="0.25"/>
    <row r="18152" customFormat="1" x14ac:dyDescent="0.25"/>
    <row r="18153" customFormat="1" x14ac:dyDescent="0.25"/>
    <row r="18154" customFormat="1" x14ac:dyDescent="0.25"/>
    <row r="18155" customFormat="1" x14ac:dyDescent="0.25"/>
    <row r="18156" customFormat="1" x14ac:dyDescent="0.25"/>
    <row r="18157" customFormat="1" x14ac:dyDescent="0.25"/>
    <row r="18158" customFormat="1" x14ac:dyDescent="0.25"/>
    <row r="18159" customFormat="1" x14ac:dyDescent="0.25"/>
    <row r="18160" customFormat="1" x14ac:dyDescent="0.25"/>
    <row r="18161" customFormat="1" x14ac:dyDescent="0.25"/>
    <row r="18162" customFormat="1" x14ac:dyDescent="0.25"/>
    <row r="18163" customFormat="1" x14ac:dyDescent="0.25"/>
    <row r="18164" customFormat="1" x14ac:dyDescent="0.25"/>
    <row r="18165" customFormat="1" x14ac:dyDescent="0.25"/>
    <row r="18166" customFormat="1" x14ac:dyDescent="0.25"/>
    <row r="18167" customFormat="1" x14ac:dyDescent="0.25"/>
    <row r="18168" customFormat="1" x14ac:dyDescent="0.25"/>
    <row r="18169" customFormat="1" x14ac:dyDescent="0.25"/>
    <row r="18170" customFormat="1" x14ac:dyDescent="0.25"/>
    <row r="18171" customFormat="1" x14ac:dyDescent="0.25"/>
    <row r="18172" customFormat="1" x14ac:dyDescent="0.25"/>
    <row r="18173" customFormat="1" x14ac:dyDescent="0.25"/>
    <row r="18174" customFormat="1" x14ac:dyDescent="0.25"/>
    <row r="18175" customFormat="1" x14ac:dyDescent="0.25"/>
    <row r="18176" customFormat="1" x14ac:dyDescent="0.25"/>
    <row r="18177" customFormat="1" x14ac:dyDescent="0.25"/>
    <row r="18178" customFormat="1" x14ac:dyDescent="0.25"/>
    <row r="18179" customFormat="1" x14ac:dyDescent="0.25"/>
    <row r="18180" customFormat="1" x14ac:dyDescent="0.25"/>
    <row r="18181" customFormat="1" x14ac:dyDescent="0.25"/>
    <row r="18182" customFormat="1" x14ac:dyDescent="0.25"/>
    <row r="18183" customFormat="1" x14ac:dyDescent="0.25"/>
    <row r="18184" customFormat="1" x14ac:dyDescent="0.25"/>
    <row r="18185" customFormat="1" x14ac:dyDescent="0.25"/>
    <row r="18186" customFormat="1" x14ac:dyDescent="0.25"/>
    <row r="18187" customFormat="1" x14ac:dyDescent="0.25"/>
    <row r="18188" customFormat="1" x14ac:dyDescent="0.25"/>
    <row r="18189" customFormat="1" x14ac:dyDescent="0.25"/>
    <row r="18190" customFormat="1" x14ac:dyDescent="0.25"/>
    <row r="18191" customFormat="1" x14ac:dyDescent="0.25"/>
    <row r="18192" customFormat="1" x14ac:dyDescent="0.25"/>
    <row r="18193" customFormat="1" x14ac:dyDescent="0.25"/>
    <row r="18194" customFormat="1" x14ac:dyDescent="0.25"/>
    <row r="18195" customFormat="1" x14ac:dyDescent="0.25"/>
    <row r="18196" customFormat="1" x14ac:dyDescent="0.25"/>
    <row r="18197" customFormat="1" x14ac:dyDescent="0.25"/>
    <row r="18198" customFormat="1" x14ac:dyDescent="0.25"/>
    <row r="18199" customFormat="1" x14ac:dyDescent="0.25"/>
    <row r="18200" customFormat="1" x14ac:dyDescent="0.25"/>
    <row r="18201" customFormat="1" x14ac:dyDescent="0.25"/>
    <row r="18202" customFormat="1" x14ac:dyDescent="0.25"/>
    <row r="18203" customFormat="1" x14ac:dyDescent="0.25"/>
    <row r="18204" customFormat="1" x14ac:dyDescent="0.25"/>
    <row r="18205" customFormat="1" x14ac:dyDescent="0.25"/>
    <row r="18206" customFormat="1" x14ac:dyDescent="0.25"/>
    <row r="18207" customFormat="1" x14ac:dyDescent="0.25"/>
    <row r="18208" customFormat="1" x14ac:dyDescent="0.25"/>
    <row r="18209" customFormat="1" x14ac:dyDescent="0.25"/>
    <row r="18210" customFormat="1" x14ac:dyDescent="0.25"/>
    <row r="18211" customFormat="1" x14ac:dyDescent="0.25"/>
    <row r="18212" customFormat="1" x14ac:dyDescent="0.25"/>
    <row r="18213" customFormat="1" x14ac:dyDescent="0.25"/>
    <row r="18214" customFormat="1" x14ac:dyDescent="0.25"/>
    <row r="18215" customFormat="1" x14ac:dyDescent="0.25"/>
    <row r="18216" customFormat="1" x14ac:dyDescent="0.25"/>
    <row r="18217" customFormat="1" x14ac:dyDescent="0.25"/>
    <row r="18218" customFormat="1" x14ac:dyDescent="0.25"/>
    <row r="18219" customFormat="1" x14ac:dyDescent="0.25"/>
    <row r="18220" customFormat="1" x14ac:dyDescent="0.25"/>
    <row r="18221" customFormat="1" x14ac:dyDescent="0.25"/>
    <row r="18222" customFormat="1" x14ac:dyDescent="0.25"/>
    <row r="18223" customFormat="1" x14ac:dyDescent="0.25"/>
    <row r="18224" customFormat="1" x14ac:dyDescent="0.25"/>
    <row r="18225" customFormat="1" x14ac:dyDescent="0.25"/>
    <row r="18226" customFormat="1" x14ac:dyDescent="0.25"/>
    <row r="18227" customFormat="1" x14ac:dyDescent="0.25"/>
    <row r="18228" customFormat="1" x14ac:dyDescent="0.25"/>
    <row r="18229" customFormat="1" x14ac:dyDescent="0.25"/>
    <row r="18230" customFormat="1" x14ac:dyDescent="0.25"/>
    <row r="18231" customFormat="1" x14ac:dyDescent="0.25"/>
    <row r="18232" customFormat="1" x14ac:dyDescent="0.25"/>
    <row r="18233" customFormat="1" x14ac:dyDescent="0.25"/>
    <row r="18234" customFormat="1" x14ac:dyDescent="0.25"/>
    <row r="18235" customFormat="1" x14ac:dyDescent="0.25"/>
    <row r="18236" customFormat="1" x14ac:dyDescent="0.25"/>
    <row r="18237" customFormat="1" x14ac:dyDescent="0.25"/>
    <row r="18238" customFormat="1" x14ac:dyDescent="0.25"/>
    <row r="18239" customFormat="1" x14ac:dyDescent="0.25"/>
    <row r="18240" customFormat="1" x14ac:dyDescent="0.25"/>
    <row r="18241" customFormat="1" x14ac:dyDescent="0.25"/>
    <row r="18242" customFormat="1" x14ac:dyDescent="0.25"/>
    <row r="18243" customFormat="1" x14ac:dyDescent="0.25"/>
    <row r="18244" customFormat="1" x14ac:dyDescent="0.25"/>
    <row r="18245" customFormat="1" x14ac:dyDescent="0.25"/>
    <row r="18246" customFormat="1" x14ac:dyDescent="0.25"/>
    <row r="18247" customFormat="1" x14ac:dyDescent="0.25"/>
    <row r="18248" customFormat="1" x14ac:dyDescent="0.25"/>
    <row r="18249" customFormat="1" x14ac:dyDescent="0.25"/>
    <row r="18250" customFormat="1" x14ac:dyDescent="0.25"/>
    <row r="18251" customFormat="1" x14ac:dyDescent="0.25"/>
    <row r="18252" customFormat="1" x14ac:dyDescent="0.25"/>
    <row r="18253" customFormat="1" x14ac:dyDescent="0.25"/>
    <row r="18254" customFormat="1" x14ac:dyDescent="0.25"/>
    <row r="18255" customFormat="1" x14ac:dyDescent="0.25"/>
    <row r="18256" customFormat="1" x14ac:dyDescent="0.25"/>
    <row r="18257" customFormat="1" x14ac:dyDescent="0.25"/>
    <row r="18258" customFormat="1" x14ac:dyDescent="0.25"/>
    <row r="18259" customFormat="1" x14ac:dyDescent="0.25"/>
    <row r="18260" customFormat="1" x14ac:dyDescent="0.25"/>
    <row r="18261" customFormat="1" x14ac:dyDescent="0.25"/>
    <row r="18262" customFormat="1" x14ac:dyDescent="0.25"/>
    <row r="18263" customFormat="1" x14ac:dyDescent="0.25"/>
    <row r="18264" customFormat="1" x14ac:dyDescent="0.25"/>
    <row r="18265" customFormat="1" x14ac:dyDescent="0.25"/>
    <row r="18266" customFormat="1" x14ac:dyDescent="0.25"/>
    <row r="18267" customFormat="1" x14ac:dyDescent="0.25"/>
    <row r="18268" customFormat="1" x14ac:dyDescent="0.25"/>
    <row r="18269" customFormat="1" x14ac:dyDescent="0.25"/>
    <row r="18270" customFormat="1" x14ac:dyDescent="0.25"/>
    <row r="18271" customFormat="1" x14ac:dyDescent="0.25"/>
    <row r="18272" customFormat="1" x14ac:dyDescent="0.25"/>
    <row r="18273" customFormat="1" x14ac:dyDescent="0.25"/>
    <row r="18274" customFormat="1" x14ac:dyDescent="0.25"/>
    <row r="18275" customFormat="1" x14ac:dyDescent="0.25"/>
    <row r="18276" customFormat="1" x14ac:dyDescent="0.25"/>
    <row r="18277" customFormat="1" x14ac:dyDescent="0.25"/>
    <row r="18278" customFormat="1" x14ac:dyDescent="0.25"/>
    <row r="18279" customFormat="1" x14ac:dyDescent="0.25"/>
    <row r="18280" customFormat="1" x14ac:dyDescent="0.25"/>
    <row r="18281" customFormat="1" x14ac:dyDescent="0.25"/>
    <row r="18282" customFormat="1" x14ac:dyDescent="0.25"/>
    <row r="18283" customFormat="1" x14ac:dyDescent="0.25"/>
    <row r="18284" customFormat="1" x14ac:dyDescent="0.25"/>
    <row r="18285" customFormat="1" x14ac:dyDescent="0.25"/>
    <row r="18286" customFormat="1" x14ac:dyDescent="0.25"/>
    <row r="18287" customFormat="1" x14ac:dyDescent="0.25"/>
    <row r="18288" customFormat="1" x14ac:dyDescent="0.25"/>
    <row r="18289" customFormat="1" x14ac:dyDescent="0.25"/>
    <row r="18290" customFormat="1" x14ac:dyDescent="0.25"/>
    <row r="18291" customFormat="1" x14ac:dyDescent="0.25"/>
    <row r="18292" customFormat="1" x14ac:dyDescent="0.25"/>
    <row r="18293" customFormat="1" x14ac:dyDescent="0.25"/>
    <row r="18294" customFormat="1" x14ac:dyDescent="0.25"/>
    <row r="18295" customFormat="1" x14ac:dyDescent="0.25"/>
    <row r="18296" customFormat="1" x14ac:dyDescent="0.25"/>
    <row r="18297" customFormat="1" x14ac:dyDescent="0.25"/>
    <row r="18298" customFormat="1" x14ac:dyDescent="0.25"/>
    <row r="18299" customFormat="1" x14ac:dyDescent="0.25"/>
    <row r="18300" customFormat="1" x14ac:dyDescent="0.25"/>
    <row r="18301" customFormat="1" x14ac:dyDescent="0.25"/>
    <row r="18302" customFormat="1" x14ac:dyDescent="0.25"/>
    <row r="18303" customFormat="1" x14ac:dyDescent="0.25"/>
    <row r="18304" customFormat="1" x14ac:dyDescent="0.25"/>
    <row r="18305" customFormat="1" x14ac:dyDescent="0.25"/>
    <row r="18306" customFormat="1" x14ac:dyDescent="0.25"/>
    <row r="18307" customFormat="1" x14ac:dyDescent="0.25"/>
    <row r="18308" customFormat="1" x14ac:dyDescent="0.25"/>
    <row r="18309" customFormat="1" x14ac:dyDescent="0.25"/>
    <row r="18310" customFormat="1" x14ac:dyDescent="0.25"/>
    <row r="18311" customFormat="1" x14ac:dyDescent="0.25"/>
    <row r="18312" customFormat="1" x14ac:dyDescent="0.25"/>
    <row r="18313" customFormat="1" x14ac:dyDescent="0.25"/>
    <row r="18314" customFormat="1" x14ac:dyDescent="0.25"/>
    <row r="18315" customFormat="1" x14ac:dyDescent="0.25"/>
    <row r="18316" customFormat="1" x14ac:dyDescent="0.25"/>
    <row r="18317" customFormat="1" x14ac:dyDescent="0.25"/>
    <row r="18318" customFormat="1" x14ac:dyDescent="0.25"/>
    <row r="18319" customFormat="1" x14ac:dyDescent="0.25"/>
    <row r="18320" customFormat="1" x14ac:dyDescent="0.25"/>
    <row r="18321" customFormat="1" x14ac:dyDescent="0.25"/>
    <row r="18322" customFormat="1" x14ac:dyDescent="0.25"/>
    <row r="18323" customFormat="1" x14ac:dyDescent="0.25"/>
    <row r="18324" customFormat="1" x14ac:dyDescent="0.25"/>
    <row r="18325" customFormat="1" x14ac:dyDescent="0.25"/>
    <row r="18326" customFormat="1" x14ac:dyDescent="0.25"/>
    <row r="18327" customFormat="1" x14ac:dyDescent="0.25"/>
    <row r="18328" customFormat="1" x14ac:dyDescent="0.25"/>
    <row r="18329" customFormat="1" x14ac:dyDescent="0.25"/>
    <row r="18330" customFormat="1" x14ac:dyDescent="0.25"/>
    <row r="18331" customFormat="1" x14ac:dyDescent="0.25"/>
    <row r="18332" customFormat="1" x14ac:dyDescent="0.25"/>
    <row r="18333" customFormat="1" x14ac:dyDescent="0.25"/>
    <row r="18334" customFormat="1" x14ac:dyDescent="0.25"/>
    <row r="18335" customFormat="1" x14ac:dyDescent="0.25"/>
    <row r="18336" customFormat="1" x14ac:dyDescent="0.25"/>
    <row r="18337" customFormat="1" x14ac:dyDescent="0.25"/>
    <row r="18338" customFormat="1" x14ac:dyDescent="0.25"/>
    <row r="18339" customFormat="1" x14ac:dyDescent="0.25"/>
    <row r="18340" customFormat="1" x14ac:dyDescent="0.25"/>
    <row r="18341" customFormat="1" x14ac:dyDescent="0.25"/>
    <row r="18342" customFormat="1" x14ac:dyDescent="0.25"/>
    <row r="18343" customFormat="1" x14ac:dyDescent="0.25"/>
    <row r="18344" customFormat="1" x14ac:dyDescent="0.25"/>
    <row r="18345" customFormat="1" x14ac:dyDescent="0.25"/>
    <row r="18346" customFormat="1" x14ac:dyDescent="0.25"/>
    <row r="18347" customFormat="1" x14ac:dyDescent="0.25"/>
    <row r="18348" customFormat="1" x14ac:dyDescent="0.25"/>
    <row r="18349" customFormat="1" x14ac:dyDescent="0.25"/>
    <row r="18350" customFormat="1" x14ac:dyDescent="0.25"/>
    <row r="18351" customFormat="1" x14ac:dyDescent="0.25"/>
    <row r="18352" customFormat="1" x14ac:dyDescent="0.25"/>
    <row r="18353" customFormat="1" x14ac:dyDescent="0.25"/>
    <row r="18354" customFormat="1" x14ac:dyDescent="0.25"/>
    <row r="18355" customFormat="1" x14ac:dyDescent="0.25"/>
    <row r="18356" customFormat="1" x14ac:dyDescent="0.25"/>
    <row r="18357" customFormat="1" x14ac:dyDescent="0.25"/>
    <row r="18358" customFormat="1" x14ac:dyDescent="0.25"/>
    <row r="18359" customFormat="1" x14ac:dyDescent="0.25"/>
    <row r="18360" customFormat="1" x14ac:dyDescent="0.25"/>
    <row r="18361" customFormat="1" x14ac:dyDescent="0.25"/>
    <row r="18362" customFormat="1" x14ac:dyDescent="0.25"/>
    <row r="18363" customFormat="1" x14ac:dyDescent="0.25"/>
    <row r="18364" customFormat="1" x14ac:dyDescent="0.25"/>
    <row r="18365" customFormat="1" x14ac:dyDescent="0.25"/>
    <row r="18366" customFormat="1" x14ac:dyDescent="0.25"/>
    <row r="18367" customFormat="1" x14ac:dyDescent="0.25"/>
    <row r="18368" customFormat="1" x14ac:dyDescent="0.25"/>
    <row r="18369" customFormat="1" x14ac:dyDescent="0.25"/>
    <row r="18370" customFormat="1" x14ac:dyDescent="0.25"/>
    <row r="18371" customFormat="1" x14ac:dyDescent="0.25"/>
    <row r="18372" customFormat="1" x14ac:dyDescent="0.25"/>
    <row r="18373" customFormat="1" x14ac:dyDescent="0.25"/>
    <row r="18374" customFormat="1" x14ac:dyDescent="0.25"/>
    <row r="18375" customFormat="1" x14ac:dyDescent="0.25"/>
    <row r="18376" customFormat="1" x14ac:dyDescent="0.25"/>
    <row r="18377" customFormat="1" x14ac:dyDescent="0.25"/>
    <row r="18378" customFormat="1" x14ac:dyDescent="0.25"/>
    <row r="18379" customFormat="1" x14ac:dyDescent="0.25"/>
    <row r="18380" customFormat="1" x14ac:dyDescent="0.25"/>
    <row r="18381" customFormat="1" x14ac:dyDescent="0.25"/>
    <row r="18382" customFormat="1" x14ac:dyDescent="0.25"/>
    <row r="18383" customFormat="1" x14ac:dyDescent="0.25"/>
    <row r="18384" customFormat="1" x14ac:dyDescent="0.25"/>
    <row r="18385" customFormat="1" x14ac:dyDescent="0.25"/>
    <row r="18386" customFormat="1" x14ac:dyDescent="0.25"/>
    <row r="18387" customFormat="1" x14ac:dyDescent="0.25"/>
    <row r="18388" customFormat="1" x14ac:dyDescent="0.25"/>
    <row r="18389" customFormat="1" x14ac:dyDescent="0.25"/>
    <row r="18390" customFormat="1" x14ac:dyDescent="0.25"/>
    <row r="18391" customFormat="1" x14ac:dyDescent="0.25"/>
    <row r="18392" customFormat="1" x14ac:dyDescent="0.25"/>
    <row r="18393" customFormat="1" x14ac:dyDescent="0.25"/>
    <row r="18394" customFormat="1" x14ac:dyDescent="0.25"/>
    <row r="18395" customFormat="1" x14ac:dyDescent="0.25"/>
    <row r="18396" customFormat="1" x14ac:dyDescent="0.25"/>
    <row r="18397" customFormat="1" x14ac:dyDescent="0.25"/>
    <row r="18398" customFormat="1" x14ac:dyDescent="0.25"/>
    <row r="18399" customFormat="1" x14ac:dyDescent="0.25"/>
    <row r="18400" customFormat="1" x14ac:dyDescent="0.25"/>
    <row r="18401" customFormat="1" x14ac:dyDescent="0.25"/>
    <row r="18402" customFormat="1" x14ac:dyDescent="0.25"/>
    <row r="18403" customFormat="1" x14ac:dyDescent="0.25"/>
    <row r="18404" customFormat="1" x14ac:dyDescent="0.25"/>
    <row r="18405" customFormat="1" x14ac:dyDescent="0.25"/>
    <row r="18406" customFormat="1" x14ac:dyDescent="0.25"/>
    <row r="18407" customFormat="1" x14ac:dyDescent="0.25"/>
    <row r="18408" customFormat="1" x14ac:dyDescent="0.25"/>
    <row r="18409" customFormat="1" x14ac:dyDescent="0.25"/>
    <row r="18410" customFormat="1" x14ac:dyDescent="0.25"/>
    <row r="18411" customFormat="1" x14ac:dyDescent="0.25"/>
    <row r="18412" customFormat="1" x14ac:dyDescent="0.25"/>
    <row r="18413" customFormat="1" x14ac:dyDescent="0.25"/>
    <row r="18414" customFormat="1" x14ac:dyDescent="0.25"/>
    <row r="18415" customFormat="1" x14ac:dyDescent="0.25"/>
    <row r="18416" customFormat="1" x14ac:dyDescent="0.25"/>
    <row r="18417" customFormat="1" x14ac:dyDescent="0.25"/>
    <row r="18418" customFormat="1" x14ac:dyDescent="0.25"/>
    <row r="18419" customFormat="1" x14ac:dyDescent="0.25"/>
    <row r="18420" customFormat="1" x14ac:dyDescent="0.25"/>
    <row r="18421" customFormat="1" x14ac:dyDescent="0.25"/>
    <row r="18422" customFormat="1" x14ac:dyDescent="0.25"/>
    <row r="18423" customFormat="1" x14ac:dyDescent="0.25"/>
    <row r="18424" customFormat="1" x14ac:dyDescent="0.25"/>
    <row r="18425" customFormat="1" x14ac:dyDescent="0.25"/>
    <row r="18426" customFormat="1" x14ac:dyDescent="0.25"/>
    <row r="18427" customFormat="1" x14ac:dyDescent="0.25"/>
    <row r="18428" customFormat="1" x14ac:dyDescent="0.25"/>
    <row r="18429" customFormat="1" x14ac:dyDescent="0.25"/>
    <row r="18430" customFormat="1" x14ac:dyDescent="0.25"/>
    <row r="18431" customFormat="1" x14ac:dyDescent="0.25"/>
    <row r="18432" customFormat="1" x14ac:dyDescent="0.25"/>
    <row r="18433" customFormat="1" x14ac:dyDescent="0.25"/>
    <row r="18434" customFormat="1" x14ac:dyDescent="0.25"/>
    <row r="18435" customFormat="1" x14ac:dyDescent="0.25"/>
    <row r="18436" customFormat="1" x14ac:dyDescent="0.25"/>
    <row r="18437" customFormat="1" x14ac:dyDescent="0.25"/>
    <row r="18438" customFormat="1" x14ac:dyDescent="0.25"/>
    <row r="18439" customFormat="1" x14ac:dyDescent="0.25"/>
    <row r="18440" customFormat="1" x14ac:dyDescent="0.25"/>
    <row r="18441" customFormat="1" x14ac:dyDescent="0.25"/>
    <row r="18442" customFormat="1" x14ac:dyDescent="0.25"/>
    <row r="18443" customFormat="1" x14ac:dyDescent="0.25"/>
    <row r="18444" customFormat="1" x14ac:dyDescent="0.25"/>
    <row r="18445" customFormat="1" x14ac:dyDescent="0.25"/>
    <row r="18446" customFormat="1" x14ac:dyDescent="0.25"/>
    <row r="18447" customFormat="1" x14ac:dyDescent="0.25"/>
    <row r="18448" customFormat="1" x14ac:dyDescent="0.25"/>
    <row r="18449" customFormat="1" x14ac:dyDescent="0.25"/>
    <row r="18450" customFormat="1" x14ac:dyDescent="0.25"/>
    <row r="18451" customFormat="1" x14ac:dyDescent="0.25"/>
    <row r="18452" customFormat="1" x14ac:dyDescent="0.25"/>
    <row r="18453" customFormat="1" x14ac:dyDescent="0.25"/>
    <row r="18454" customFormat="1" x14ac:dyDescent="0.25"/>
    <row r="18455" customFormat="1" x14ac:dyDescent="0.25"/>
    <row r="18456" customFormat="1" x14ac:dyDescent="0.25"/>
    <row r="18457" customFormat="1" x14ac:dyDescent="0.25"/>
    <row r="18458" customFormat="1" x14ac:dyDescent="0.25"/>
    <row r="18459" customFormat="1" x14ac:dyDescent="0.25"/>
    <row r="18460" customFormat="1" x14ac:dyDescent="0.25"/>
    <row r="18461" customFormat="1" x14ac:dyDescent="0.25"/>
    <row r="18462" customFormat="1" x14ac:dyDescent="0.25"/>
    <row r="18463" customFormat="1" x14ac:dyDescent="0.25"/>
    <row r="18464" customFormat="1" x14ac:dyDescent="0.25"/>
    <row r="18465" customFormat="1" x14ac:dyDescent="0.25"/>
    <row r="18466" customFormat="1" x14ac:dyDescent="0.25"/>
    <row r="18467" customFormat="1" x14ac:dyDescent="0.25"/>
    <row r="18468" customFormat="1" x14ac:dyDescent="0.25"/>
    <row r="18469" customFormat="1" x14ac:dyDescent="0.25"/>
    <row r="18470" customFormat="1" x14ac:dyDescent="0.25"/>
    <row r="18471" customFormat="1" x14ac:dyDescent="0.25"/>
    <row r="18472" customFormat="1" x14ac:dyDescent="0.25"/>
    <row r="18473" customFormat="1" x14ac:dyDescent="0.25"/>
    <row r="18474" customFormat="1" x14ac:dyDescent="0.25"/>
    <row r="18475" customFormat="1" x14ac:dyDescent="0.25"/>
    <row r="18476" customFormat="1" x14ac:dyDescent="0.25"/>
    <row r="18477" customFormat="1" x14ac:dyDescent="0.25"/>
    <row r="18478" customFormat="1" x14ac:dyDescent="0.25"/>
    <row r="18479" customFormat="1" x14ac:dyDescent="0.25"/>
    <row r="18480" customFormat="1" x14ac:dyDescent="0.25"/>
    <row r="18481" customFormat="1" x14ac:dyDescent="0.25"/>
    <row r="18482" customFormat="1" x14ac:dyDescent="0.25"/>
    <row r="18483" customFormat="1" x14ac:dyDescent="0.25"/>
    <row r="18484" customFormat="1" x14ac:dyDescent="0.25"/>
    <row r="18485" customFormat="1" x14ac:dyDescent="0.25"/>
    <row r="18486" customFormat="1" x14ac:dyDescent="0.25"/>
    <row r="18487" customFormat="1" x14ac:dyDescent="0.25"/>
    <row r="18488" customFormat="1" x14ac:dyDescent="0.25"/>
    <row r="18489" customFormat="1" x14ac:dyDescent="0.25"/>
    <row r="18490" customFormat="1" x14ac:dyDescent="0.25"/>
    <row r="18491" customFormat="1" x14ac:dyDescent="0.25"/>
    <row r="18492" customFormat="1" x14ac:dyDescent="0.25"/>
    <row r="18493" customFormat="1" x14ac:dyDescent="0.25"/>
    <row r="18494" customFormat="1" x14ac:dyDescent="0.25"/>
    <row r="18495" customFormat="1" x14ac:dyDescent="0.25"/>
    <row r="18496" customFormat="1" x14ac:dyDescent="0.25"/>
    <row r="18497" customFormat="1" x14ac:dyDescent="0.25"/>
    <row r="18498" customFormat="1" x14ac:dyDescent="0.25"/>
    <row r="18499" customFormat="1" x14ac:dyDescent="0.25"/>
    <row r="18500" customFormat="1" x14ac:dyDescent="0.25"/>
    <row r="18501" customFormat="1" x14ac:dyDescent="0.25"/>
    <row r="18502" customFormat="1" x14ac:dyDescent="0.25"/>
    <row r="18503" customFormat="1" x14ac:dyDescent="0.25"/>
    <row r="18504" customFormat="1" x14ac:dyDescent="0.25"/>
    <row r="18505" customFormat="1" x14ac:dyDescent="0.25"/>
    <row r="18506" customFormat="1" x14ac:dyDescent="0.25"/>
    <row r="18507" customFormat="1" x14ac:dyDescent="0.25"/>
    <row r="18508" customFormat="1" x14ac:dyDescent="0.25"/>
    <row r="18509" customFormat="1" x14ac:dyDescent="0.25"/>
    <row r="18510" customFormat="1" x14ac:dyDescent="0.25"/>
    <row r="18511" customFormat="1" x14ac:dyDescent="0.25"/>
    <row r="18512" customFormat="1" x14ac:dyDescent="0.25"/>
    <row r="18513" customFormat="1" x14ac:dyDescent="0.25"/>
    <row r="18514" customFormat="1" x14ac:dyDescent="0.25"/>
    <row r="18515" customFormat="1" x14ac:dyDescent="0.25"/>
    <row r="18516" customFormat="1" x14ac:dyDescent="0.25"/>
    <row r="18517" customFormat="1" x14ac:dyDescent="0.25"/>
    <row r="18518" customFormat="1" x14ac:dyDescent="0.25"/>
    <row r="18519" customFormat="1" x14ac:dyDescent="0.25"/>
    <row r="18520" customFormat="1" x14ac:dyDescent="0.25"/>
    <row r="18521" customFormat="1" x14ac:dyDescent="0.25"/>
    <row r="18522" customFormat="1" x14ac:dyDescent="0.25"/>
    <row r="18523" customFormat="1" x14ac:dyDescent="0.25"/>
    <row r="18524" customFormat="1" x14ac:dyDescent="0.25"/>
    <row r="18525" customFormat="1" x14ac:dyDescent="0.25"/>
    <row r="18526" customFormat="1" x14ac:dyDescent="0.25"/>
    <row r="18527" customFormat="1" x14ac:dyDescent="0.25"/>
    <row r="18528" customFormat="1" x14ac:dyDescent="0.25"/>
    <row r="18529" customFormat="1" x14ac:dyDescent="0.25"/>
    <row r="18530" customFormat="1" x14ac:dyDescent="0.25"/>
    <row r="18531" customFormat="1" x14ac:dyDescent="0.25"/>
    <row r="18532" customFormat="1" x14ac:dyDescent="0.25"/>
    <row r="18533" customFormat="1" x14ac:dyDescent="0.25"/>
    <row r="18534" customFormat="1" x14ac:dyDescent="0.25"/>
    <row r="18535" customFormat="1" x14ac:dyDescent="0.25"/>
    <row r="18536" customFormat="1" x14ac:dyDescent="0.25"/>
    <row r="18537" customFormat="1" x14ac:dyDescent="0.25"/>
    <row r="18538" customFormat="1" x14ac:dyDescent="0.25"/>
    <row r="18539" customFormat="1" x14ac:dyDescent="0.25"/>
    <row r="18540" customFormat="1" x14ac:dyDescent="0.25"/>
    <row r="18541" customFormat="1" x14ac:dyDescent="0.25"/>
    <row r="18542" customFormat="1" x14ac:dyDescent="0.25"/>
    <row r="18543" customFormat="1" x14ac:dyDescent="0.25"/>
    <row r="18544" customFormat="1" x14ac:dyDescent="0.25"/>
    <row r="18545" customFormat="1" x14ac:dyDescent="0.25"/>
    <row r="18546" customFormat="1" x14ac:dyDescent="0.25"/>
    <row r="18547" customFormat="1" x14ac:dyDescent="0.25"/>
    <row r="18548" customFormat="1" x14ac:dyDescent="0.25"/>
    <row r="18549" customFormat="1" x14ac:dyDescent="0.25"/>
    <row r="18550" customFormat="1" x14ac:dyDescent="0.25"/>
    <row r="18551" customFormat="1" x14ac:dyDescent="0.25"/>
    <row r="18552" customFormat="1" x14ac:dyDescent="0.25"/>
    <row r="18553" customFormat="1" x14ac:dyDescent="0.25"/>
    <row r="18554" customFormat="1" x14ac:dyDescent="0.25"/>
    <row r="18555" customFormat="1" x14ac:dyDescent="0.25"/>
    <row r="18556" customFormat="1" x14ac:dyDescent="0.25"/>
    <row r="18557" customFormat="1" x14ac:dyDescent="0.25"/>
    <row r="18558" customFormat="1" x14ac:dyDescent="0.25"/>
    <row r="18559" customFormat="1" x14ac:dyDescent="0.25"/>
    <row r="18560" customFormat="1" x14ac:dyDescent="0.25"/>
    <row r="18561" customFormat="1" x14ac:dyDescent="0.25"/>
    <row r="18562" customFormat="1" x14ac:dyDescent="0.25"/>
    <row r="18563" customFormat="1" x14ac:dyDescent="0.25"/>
    <row r="18564" customFormat="1" x14ac:dyDescent="0.25"/>
    <row r="18565" customFormat="1" x14ac:dyDescent="0.25"/>
    <row r="18566" customFormat="1" x14ac:dyDescent="0.25"/>
    <row r="18567" customFormat="1" x14ac:dyDescent="0.25"/>
    <row r="18568" customFormat="1" x14ac:dyDescent="0.25"/>
    <row r="18569" customFormat="1" x14ac:dyDescent="0.25"/>
    <row r="18570" customFormat="1" x14ac:dyDescent="0.25"/>
    <row r="18571" customFormat="1" x14ac:dyDescent="0.25"/>
    <row r="18572" customFormat="1" x14ac:dyDescent="0.25"/>
    <row r="18573" customFormat="1" x14ac:dyDescent="0.25"/>
    <row r="18574" customFormat="1" x14ac:dyDescent="0.25"/>
    <row r="18575" customFormat="1" x14ac:dyDescent="0.25"/>
    <row r="18576" customFormat="1" x14ac:dyDescent="0.25"/>
    <row r="18577" customFormat="1" x14ac:dyDescent="0.25"/>
    <row r="18578" customFormat="1" x14ac:dyDescent="0.25"/>
    <row r="18579" customFormat="1" x14ac:dyDescent="0.25"/>
    <row r="18580" customFormat="1" x14ac:dyDescent="0.25"/>
    <row r="18581" customFormat="1" x14ac:dyDescent="0.25"/>
    <row r="18582" customFormat="1" x14ac:dyDescent="0.25"/>
    <row r="18583" customFormat="1" x14ac:dyDescent="0.25"/>
    <row r="18584" customFormat="1" x14ac:dyDescent="0.25"/>
    <row r="18585" customFormat="1" x14ac:dyDescent="0.25"/>
    <row r="18586" customFormat="1" x14ac:dyDescent="0.25"/>
    <row r="18587" customFormat="1" x14ac:dyDescent="0.25"/>
    <row r="18588" customFormat="1" x14ac:dyDescent="0.25"/>
    <row r="18589" customFormat="1" x14ac:dyDescent="0.25"/>
    <row r="18590" customFormat="1" x14ac:dyDescent="0.25"/>
    <row r="18591" customFormat="1" x14ac:dyDescent="0.25"/>
    <row r="18592" customFormat="1" x14ac:dyDescent="0.25"/>
    <row r="18593" customFormat="1" x14ac:dyDescent="0.25"/>
    <row r="18594" customFormat="1" x14ac:dyDescent="0.25"/>
    <row r="18595" customFormat="1" x14ac:dyDescent="0.25"/>
    <row r="18596" customFormat="1" x14ac:dyDescent="0.25"/>
    <row r="18597" customFormat="1" x14ac:dyDescent="0.25"/>
    <row r="18598" customFormat="1" x14ac:dyDescent="0.25"/>
    <row r="18599" customFormat="1" x14ac:dyDescent="0.25"/>
    <row r="18600" customFormat="1" x14ac:dyDescent="0.25"/>
    <row r="18601" customFormat="1" x14ac:dyDescent="0.25"/>
    <row r="18602" customFormat="1" x14ac:dyDescent="0.25"/>
    <row r="18603" customFormat="1" x14ac:dyDescent="0.25"/>
    <row r="18604" customFormat="1" x14ac:dyDescent="0.25"/>
    <row r="18605" customFormat="1" x14ac:dyDescent="0.25"/>
    <row r="18606" customFormat="1" x14ac:dyDescent="0.25"/>
    <row r="18607" customFormat="1" x14ac:dyDescent="0.25"/>
    <row r="18608" customFormat="1" x14ac:dyDescent="0.25"/>
    <row r="18609" customFormat="1" x14ac:dyDescent="0.25"/>
    <row r="18610" customFormat="1" x14ac:dyDescent="0.25"/>
    <row r="18611" customFormat="1" x14ac:dyDescent="0.25"/>
    <row r="18612" customFormat="1" x14ac:dyDescent="0.25"/>
    <row r="18613" customFormat="1" x14ac:dyDescent="0.25"/>
    <row r="18614" customFormat="1" x14ac:dyDescent="0.25"/>
    <row r="18615" customFormat="1" x14ac:dyDescent="0.25"/>
    <row r="18616" customFormat="1" x14ac:dyDescent="0.25"/>
    <row r="18617" customFormat="1" x14ac:dyDescent="0.25"/>
    <row r="18618" customFormat="1" x14ac:dyDescent="0.25"/>
    <row r="18619" customFormat="1" x14ac:dyDescent="0.25"/>
    <row r="18620" customFormat="1" x14ac:dyDescent="0.25"/>
    <row r="18621" customFormat="1" x14ac:dyDescent="0.25"/>
    <row r="18622" customFormat="1" x14ac:dyDescent="0.25"/>
    <row r="18623" customFormat="1" x14ac:dyDescent="0.25"/>
    <row r="18624" customFormat="1" x14ac:dyDescent="0.25"/>
    <row r="18625" customFormat="1" x14ac:dyDescent="0.25"/>
    <row r="18626" customFormat="1" x14ac:dyDescent="0.25"/>
    <row r="18627" customFormat="1" x14ac:dyDescent="0.25"/>
    <row r="18628" customFormat="1" x14ac:dyDescent="0.25"/>
    <row r="18629" customFormat="1" x14ac:dyDescent="0.25"/>
    <row r="18630" customFormat="1" x14ac:dyDescent="0.25"/>
    <row r="18631" customFormat="1" x14ac:dyDescent="0.25"/>
    <row r="18632" customFormat="1" x14ac:dyDescent="0.25"/>
    <row r="18633" customFormat="1" x14ac:dyDescent="0.25"/>
    <row r="18634" customFormat="1" x14ac:dyDescent="0.25"/>
    <row r="18635" customFormat="1" x14ac:dyDescent="0.25"/>
    <row r="18636" customFormat="1" x14ac:dyDescent="0.25"/>
    <row r="18637" customFormat="1" x14ac:dyDescent="0.25"/>
    <row r="18638" customFormat="1" x14ac:dyDescent="0.25"/>
    <row r="18639" customFormat="1" x14ac:dyDescent="0.25"/>
    <row r="18640" customFormat="1" x14ac:dyDescent="0.25"/>
    <row r="18641" customFormat="1" x14ac:dyDescent="0.25"/>
    <row r="18642" customFormat="1" x14ac:dyDescent="0.25"/>
    <row r="18643" customFormat="1" x14ac:dyDescent="0.25"/>
    <row r="18644" customFormat="1" x14ac:dyDescent="0.25"/>
    <row r="18645" customFormat="1" x14ac:dyDescent="0.25"/>
    <row r="18646" customFormat="1" x14ac:dyDescent="0.25"/>
    <row r="18647" customFormat="1" x14ac:dyDescent="0.25"/>
    <row r="18648" customFormat="1" x14ac:dyDescent="0.25"/>
    <row r="18649" customFormat="1" x14ac:dyDescent="0.25"/>
    <row r="18650" customFormat="1" x14ac:dyDescent="0.25"/>
    <row r="18651" customFormat="1" x14ac:dyDescent="0.25"/>
    <row r="18652" customFormat="1" x14ac:dyDescent="0.25"/>
    <row r="18653" customFormat="1" x14ac:dyDescent="0.25"/>
    <row r="18654" customFormat="1" x14ac:dyDescent="0.25"/>
    <row r="18655" customFormat="1" x14ac:dyDescent="0.25"/>
    <row r="18656" customFormat="1" x14ac:dyDescent="0.25"/>
    <row r="18657" customFormat="1" x14ac:dyDescent="0.25"/>
    <row r="18658" customFormat="1" x14ac:dyDescent="0.25"/>
    <row r="18659" customFormat="1" x14ac:dyDescent="0.25"/>
    <row r="18660" customFormat="1" x14ac:dyDescent="0.25"/>
    <row r="18661" customFormat="1" x14ac:dyDescent="0.25"/>
    <row r="18662" customFormat="1" x14ac:dyDescent="0.25"/>
    <row r="18663" customFormat="1" x14ac:dyDescent="0.25"/>
    <row r="18664" customFormat="1" x14ac:dyDescent="0.25"/>
    <row r="18665" customFormat="1" x14ac:dyDescent="0.25"/>
    <row r="18666" customFormat="1" x14ac:dyDescent="0.25"/>
    <row r="18667" customFormat="1" x14ac:dyDescent="0.25"/>
    <row r="18668" customFormat="1" x14ac:dyDescent="0.25"/>
    <row r="18669" customFormat="1" x14ac:dyDescent="0.25"/>
    <row r="18670" customFormat="1" x14ac:dyDescent="0.25"/>
    <row r="18671" customFormat="1" x14ac:dyDescent="0.25"/>
    <row r="18672" customFormat="1" x14ac:dyDescent="0.25"/>
    <row r="18673" customFormat="1" x14ac:dyDescent="0.25"/>
    <row r="18674" customFormat="1" x14ac:dyDescent="0.25"/>
    <row r="18675" customFormat="1" x14ac:dyDescent="0.25"/>
    <row r="18676" customFormat="1" x14ac:dyDescent="0.25"/>
    <row r="18677" customFormat="1" x14ac:dyDescent="0.25"/>
    <row r="18678" customFormat="1" x14ac:dyDescent="0.25"/>
    <row r="18679" customFormat="1" x14ac:dyDescent="0.25"/>
    <row r="18680" customFormat="1" x14ac:dyDescent="0.25"/>
    <row r="18681" customFormat="1" x14ac:dyDescent="0.25"/>
    <row r="18682" customFormat="1" x14ac:dyDescent="0.25"/>
    <row r="18683" customFormat="1" x14ac:dyDescent="0.25"/>
    <row r="18684" customFormat="1" x14ac:dyDescent="0.25"/>
    <row r="18685" customFormat="1" x14ac:dyDescent="0.25"/>
    <row r="18686" customFormat="1" x14ac:dyDescent="0.25"/>
    <row r="18687" customFormat="1" x14ac:dyDescent="0.25"/>
    <row r="18688" customFormat="1" x14ac:dyDescent="0.25"/>
    <row r="18689" customFormat="1" x14ac:dyDescent="0.25"/>
    <row r="18690" customFormat="1" x14ac:dyDescent="0.25"/>
    <row r="18691" customFormat="1" x14ac:dyDescent="0.25"/>
    <row r="18692" customFormat="1" x14ac:dyDescent="0.25"/>
    <row r="18693" customFormat="1" x14ac:dyDescent="0.25"/>
    <row r="18694" customFormat="1" x14ac:dyDescent="0.25"/>
    <row r="18695" customFormat="1" x14ac:dyDescent="0.25"/>
    <row r="18696" customFormat="1" x14ac:dyDescent="0.25"/>
    <row r="18697" customFormat="1" x14ac:dyDescent="0.25"/>
    <row r="18698" customFormat="1" x14ac:dyDescent="0.25"/>
    <row r="18699" customFormat="1" x14ac:dyDescent="0.25"/>
    <row r="18700" customFormat="1" x14ac:dyDescent="0.25"/>
    <row r="18701" customFormat="1" x14ac:dyDescent="0.25"/>
    <row r="18702" customFormat="1" x14ac:dyDescent="0.25"/>
    <row r="18703" customFormat="1" x14ac:dyDescent="0.25"/>
    <row r="18704" customFormat="1" x14ac:dyDescent="0.25"/>
    <row r="18705" customFormat="1" x14ac:dyDescent="0.25"/>
    <row r="18706" customFormat="1" x14ac:dyDescent="0.25"/>
    <row r="18707" customFormat="1" x14ac:dyDescent="0.25"/>
    <row r="18708" customFormat="1" x14ac:dyDescent="0.25"/>
    <row r="18709" customFormat="1" x14ac:dyDescent="0.25"/>
    <row r="18710" customFormat="1" x14ac:dyDescent="0.25"/>
    <row r="18711" customFormat="1" x14ac:dyDescent="0.25"/>
    <row r="18712" customFormat="1" x14ac:dyDescent="0.25"/>
    <row r="18713" customFormat="1" x14ac:dyDescent="0.25"/>
    <row r="18714" customFormat="1" x14ac:dyDescent="0.25"/>
    <row r="18715" customFormat="1" x14ac:dyDescent="0.25"/>
    <row r="18716" customFormat="1" x14ac:dyDescent="0.25"/>
    <row r="18717" customFormat="1" x14ac:dyDescent="0.25"/>
    <row r="18718" customFormat="1" x14ac:dyDescent="0.25"/>
    <row r="18719" customFormat="1" x14ac:dyDescent="0.25"/>
    <row r="18720" customFormat="1" x14ac:dyDescent="0.25"/>
    <row r="18721" customFormat="1" x14ac:dyDescent="0.25"/>
    <row r="18722" customFormat="1" x14ac:dyDescent="0.25"/>
    <row r="18723" customFormat="1" x14ac:dyDescent="0.25"/>
    <row r="18724" customFormat="1" x14ac:dyDescent="0.25"/>
    <row r="18725" customFormat="1" x14ac:dyDescent="0.25"/>
    <row r="18726" customFormat="1" x14ac:dyDescent="0.25"/>
    <row r="18727" customFormat="1" x14ac:dyDescent="0.25"/>
    <row r="18728" customFormat="1" x14ac:dyDescent="0.25"/>
    <row r="18729" customFormat="1" x14ac:dyDescent="0.25"/>
    <row r="18730" customFormat="1" x14ac:dyDescent="0.25"/>
    <row r="18731" customFormat="1" x14ac:dyDescent="0.25"/>
    <row r="18732" customFormat="1" x14ac:dyDescent="0.25"/>
    <row r="18733" customFormat="1" x14ac:dyDescent="0.25"/>
    <row r="18734" customFormat="1" x14ac:dyDescent="0.25"/>
    <row r="18735" customFormat="1" x14ac:dyDescent="0.25"/>
    <row r="18736" customFormat="1" x14ac:dyDescent="0.25"/>
    <row r="18737" customFormat="1" x14ac:dyDescent="0.25"/>
    <row r="18738" customFormat="1" x14ac:dyDescent="0.25"/>
    <row r="18739" customFormat="1" x14ac:dyDescent="0.25"/>
    <row r="18740" customFormat="1" x14ac:dyDescent="0.25"/>
    <row r="18741" customFormat="1" x14ac:dyDescent="0.25"/>
    <row r="18742" customFormat="1" x14ac:dyDescent="0.25"/>
    <row r="18743" customFormat="1" x14ac:dyDescent="0.25"/>
    <row r="18744" customFormat="1" x14ac:dyDescent="0.25"/>
    <row r="18745" customFormat="1" x14ac:dyDescent="0.25"/>
    <row r="18746" customFormat="1" x14ac:dyDescent="0.25"/>
    <row r="18747" customFormat="1" x14ac:dyDescent="0.25"/>
    <row r="18748" customFormat="1" x14ac:dyDescent="0.25"/>
    <row r="18749" customFormat="1" x14ac:dyDescent="0.25"/>
    <row r="18750" customFormat="1" x14ac:dyDescent="0.25"/>
    <row r="18751" customFormat="1" x14ac:dyDescent="0.25"/>
    <row r="18752" customFormat="1" x14ac:dyDescent="0.25"/>
    <row r="18753" customFormat="1" x14ac:dyDescent="0.25"/>
    <row r="18754" customFormat="1" x14ac:dyDescent="0.25"/>
    <row r="18755" customFormat="1" x14ac:dyDescent="0.25"/>
    <row r="18756" customFormat="1" x14ac:dyDescent="0.25"/>
    <row r="18757" customFormat="1" x14ac:dyDescent="0.25"/>
    <row r="18758" customFormat="1" x14ac:dyDescent="0.25"/>
    <row r="18759" customFormat="1" x14ac:dyDescent="0.25"/>
    <row r="18760" customFormat="1" x14ac:dyDescent="0.25"/>
    <row r="18761" customFormat="1" x14ac:dyDescent="0.25"/>
    <row r="18762" customFormat="1" x14ac:dyDescent="0.25"/>
    <row r="18763" customFormat="1" x14ac:dyDescent="0.25"/>
    <row r="18764" customFormat="1" x14ac:dyDescent="0.25"/>
    <row r="18765" customFormat="1" x14ac:dyDescent="0.25"/>
    <row r="18766" customFormat="1" x14ac:dyDescent="0.25"/>
    <row r="18767" customFormat="1" x14ac:dyDescent="0.25"/>
    <row r="18768" customFormat="1" x14ac:dyDescent="0.25"/>
    <row r="18769" customFormat="1" x14ac:dyDescent="0.25"/>
    <row r="18770" customFormat="1" x14ac:dyDescent="0.25"/>
    <row r="18771" customFormat="1" x14ac:dyDescent="0.25"/>
    <row r="18772" customFormat="1" x14ac:dyDescent="0.25"/>
    <row r="18773" customFormat="1" x14ac:dyDescent="0.25"/>
    <row r="18774" customFormat="1" x14ac:dyDescent="0.25"/>
    <row r="18775" customFormat="1" x14ac:dyDescent="0.25"/>
    <row r="18776" customFormat="1" x14ac:dyDescent="0.25"/>
    <row r="18777" customFormat="1" x14ac:dyDescent="0.25"/>
    <row r="18778" customFormat="1" x14ac:dyDescent="0.25"/>
    <row r="18779" customFormat="1" x14ac:dyDescent="0.25"/>
    <row r="18780" customFormat="1" x14ac:dyDescent="0.25"/>
    <row r="18781" customFormat="1" x14ac:dyDescent="0.25"/>
    <row r="18782" customFormat="1" x14ac:dyDescent="0.25"/>
    <row r="18783" customFormat="1" x14ac:dyDescent="0.25"/>
    <row r="18784" customFormat="1" x14ac:dyDescent="0.25"/>
    <row r="18785" customFormat="1" x14ac:dyDescent="0.25"/>
    <row r="18786" customFormat="1" x14ac:dyDescent="0.25"/>
    <row r="18787" customFormat="1" x14ac:dyDescent="0.25"/>
    <row r="18788" customFormat="1" x14ac:dyDescent="0.25"/>
    <row r="18789" customFormat="1" x14ac:dyDescent="0.25"/>
    <row r="18790" customFormat="1" x14ac:dyDescent="0.25"/>
    <row r="18791" customFormat="1" x14ac:dyDescent="0.25"/>
    <row r="18792" customFormat="1" x14ac:dyDescent="0.25"/>
    <row r="18793" customFormat="1" x14ac:dyDescent="0.25"/>
    <row r="18794" customFormat="1" x14ac:dyDescent="0.25"/>
    <row r="18795" customFormat="1" x14ac:dyDescent="0.25"/>
    <row r="18796" customFormat="1" x14ac:dyDescent="0.25"/>
    <row r="18797" customFormat="1" x14ac:dyDescent="0.25"/>
    <row r="18798" customFormat="1" x14ac:dyDescent="0.25"/>
    <row r="18799" customFormat="1" x14ac:dyDescent="0.25"/>
    <row r="18800" customFormat="1" x14ac:dyDescent="0.25"/>
    <row r="18801" customFormat="1" x14ac:dyDescent="0.25"/>
    <row r="18802" customFormat="1" x14ac:dyDescent="0.25"/>
    <row r="18803" customFormat="1" x14ac:dyDescent="0.25"/>
    <row r="18804" customFormat="1" x14ac:dyDescent="0.25"/>
    <row r="18805" customFormat="1" x14ac:dyDescent="0.25"/>
    <row r="18806" customFormat="1" x14ac:dyDescent="0.25"/>
    <row r="18807" customFormat="1" x14ac:dyDescent="0.25"/>
    <row r="18808" customFormat="1" x14ac:dyDescent="0.25"/>
    <row r="18809" customFormat="1" x14ac:dyDescent="0.25"/>
    <row r="18810" customFormat="1" x14ac:dyDescent="0.25"/>
    <row r="18811" customFormat="1" x14ac:dyDescent="0.25"/>
    <row r="18812" customFormat="1" x14ac:dyDescent="0.25"/>
    <row r="18813" customFormat="1" x14ac:dyDescent="0.25"/>
    <row r="18814" customFormat="1" x14ac:dyDescent="0.25"/>
    <row r="18815" customFormat="1" x14ac:dyDescent="0.25"/>
    <row r="18816" customFormat="1" x14ac:dyDescent="0.25"/>
    <row r="18817" customFormat="1" x14ac:dyDescent="0.25"/>
    <row r="18818" customFormat="1" x14ac:dyDescent="0.25"/>
    <row r="18819" customFormat="1" x14ac:dyDescent="0.25"/>
    <row r="18820" customFormat="1" x14ac:dyDescent="0.25"/>
    <row r="18821" customFormat="1" x14ac:dyDescent="0.25"/>
    <row r="18822" customFormat="1" x14ac:dyDescent="0.25"/>
    <row r="18823" customFormat="1" x14ac:dyDescent="0.25"/>
    <row r="18824" customFormat="1" x14ac:dyDescent="0.25"/>
    <row r="18825" customFormat="1" x14ac:dyDescent="0.25"/>
    <row r="18826" customFormat="1" x14ac:dyDescent="0.25"/>
    <row r="18827" customFormat="1" x14ac:dyDescent="0.25"/>
    <row r="18828" customFormat="1" x14ac:dyDescent="0.25"/>
    <row r="18829" customFormat="1" x14ac:dyDescent="0.25"/>
    <row r="18830" customFormat="1" x14ac:dyDescent="0.25"/>
    <row r="18831" customFormat="1" x14ac:dyDescent="0.25"/>
    <row r="18832" customFormat="1" x14ac:dyDescent="0.25"/>
    <row r="18833" customFormat="1" x14ac:dyDescent="0.25"/>
    <row r="18834" customFormat="1" x14ac:dyDescent="0.25"/>
    <row r="18835" customFormat="1" x14ac:dyDescent="0.25"/>
    <row r="18836" customFormat="1" x14ac:dyDescent="0.25"/>
    <row r="18837" customFormat="1" x14ac:dyDescent="0.25"/>
    <row r="18838" customFormat="1" x14ac:dyDescent="0.25"/>
    <row r="18839" customFormat="1" x14ac:dyDescent="0.25"/>
    <row r="18840" customFormat="1" x14ac:dyDescent="0.25"/>
    <row r="18841" customFormat="1" x14ac:dyDescent="0.25"/>
    <row r="18842" customFormat="1" x14ac:dyDescent="0.25"/>
    <row r="18843" customFormat="1" x14ac:dyDescent="0.25"/>
    <row r="18844" customFormat="1" x14ac:dyDescent="0.25"/>
    <row r="18845" customFormat="1" x14ac:dyDescent="0.25"/>
    <row r="18846" customFormat="1" x14ac:dyDescent="0.25"/>
    <row r="18847" customFormat="1" x14ac:dyDescent="0.25"/>
    <row r="18848" customFormat="1" x14ac:dyDescent="0.25"/>
    <row r="18849" customFormat="1" x14ac:dyDescent="0.25"/>
    <row r="18850" customFormat="1" x14ac:dyDescent="0.25"/>
    <row r="18851" customFormat="1" x14ac:dyDescent="0.25"/>
    <row r="18852" customFormat="1" x14ac:dyDescent="0.25"/>
    <row r="18853" customFormat="1" x14ac:dyDescent="0.25"/>
    <row r="18854" customFormat="1" x14ac:dyDescent="0.25"/>
    <row r="18855" customFormat="1" x14ac:dyDescent="0.25"/>
    <row r="18856" customFormat="1" x14ac:dyDescent="0.25"/>
    <row r="18857" customFormat="1" x14ac:dyDescent="0.25"/>
    <row r="18858" customFormat="1" x14ac:dyDescent="0.25"/>
    <row r="18859" customFormat="1" x14ac:dyDescent="0.25"/>
    <row r="18860" customFormat="1" x14ac:dyDescent="0.25"/>
    <row r="18861" customFormat="1" x14ac:dyDescent="0.25"/>
    <row r="18862" customFormat="1" x14ac:dyDescent="0.25"/>
    <row r="18863" customFormat="1" x14ac:dyDescent="0.25"/>
    <row r="18864" customFormat="1" x14ac:dyDescent="0.25"/>
    <row r="18865" customFormat="1" x14ac:dyDescent="0.25"/>
    <row r="18866" customFormat="1" x14ac:dyDescent="0.25"/>
    <row r="18867" customFormat="1" x14ac:dyDescent="0.25"/>
    <row r="18868" customFormat="1" x14ac:dyDescent="0.25"/>
    <row r="18869" customFormat="1" x14ac:dyDescent="0.25"/>
    <row r="18870" customFormat="1" x14ac:dyDescent="0.25"/>
    <row r="18871" customFormat="1" x14ac:dyDescent="0.25"/>
    <row r="18872" customFormat="1" x14ac:dyDescent="0.25"/>
    <row r="18873" customFormat="1" x14ac:dyDescent="0.25"/>
    <row r="18874" customFormat="1" x14ac:dyDescent="0.25"/>
    <row r="18875" customFormat="1" x14ac:dyDescent="0.25"/>
    <row r="18876" customFormat="1" x14ac:dyDescent="0.25"/>
    <row r="18877" customFormat="1" x14ac:dyDescent="0.25"/>
    <row r="18878" customFormat="1" x14ac:dyDescent="0.25"/>
    <row r="18879" customFormat="1" x14ac:dyDescent="0.25"/>
    <row r="18880" customFormat="1" x14ac:dyDescent="0.25"/>
    <row r="18881" customFormat="1" x14ac:dyDescent="0.25"/>
    <row r="18882" customFormat="1" x14ac:dyDescent="0.25"/>
    <row r="18883" customFormat="1" x14ac:dyDescent="0.25"/>
    <row r="18884" customFormat="1" x14ac:dyDescent="0.25"/>
    <row r="18885" customFormat="1" x14ac:dyDescent="0.25"/>
    <row r="18886" customFormat="1" x14ac:dyDescent="0.25"/>
    <row r="18887" customFormat="1" x14ac:dyDescent="0.25"/>
    <row r="18888" customFormat="1" x14ac:dyDescent="0.25"/>
    <row r="18889" customFormat="1" x14ac:dyDescent="0.25"/>
    <row r="18890" customFormat="1" x14ac:dyDescent="0.25"/>
    <row r="18891" customFormat="1" x14ac:dyDescent="0.25"/>
    <row r="18892" customFormat="1" x14ac:dyDescent="0.25"/>
    <row r="18893" customFormat="1" x14ac:dyDescent="0.25"/>
    <row r="18894" customFormat="1" x14ac:dyDescent="0.25"/>
    <row r="18895" customFormat="1" x14ac:dyDescent="0.25"/>
    <row r="18896" customFormat="1" x14ac:dyDescent="0.25"/>
    <row r="18897" customFormat="1" x14ac:dyDescent="0.25"/>
    <row r="18898" customFormat="1" x14ac:dyDescent="0.25"/>
    <row r="18899" customFormat="1" x14ac:dyDescent="0.25"/>
    <row r="18900" customFormat="1" x14ac:dyDescent="0.25"/>
    <row r="18901" customFormat="1" x14ac:dyDescent="0.25"/>
    <row r="18902" customFormat="1" x14ac:dyDescent="0.25"/>
    <row r="18903" customFormat="1" x14ac:dyDescent="0.25"/>
    <row r="18904" customFormat="1" x14ac:dyDescent="0.25"/>
    <row r="18905" customFormat="1" x14ac:dyDescent="0.25"/>
    <row r="18906" customFormat="1" x14ac:dyDescent="0.25"/>
    <row r="18907" customFormat="1" x14ac:dyDescent="0.25"/>
    <row r="18908" customFormat="1" x14ac:dyDescent="0.25"/>
    <row r="18909" customFormat="1" x14ac:dyDescent="0.25"/>
    <row r="18910" customFormat="1" x14ac:dyDescent="0.25"/>
    <row r="18911" customFormat="1" x14ac:dyDescent="0.25"/>
    <row r="18912" customFormat="1" x14ac:dyDescent="0.25"/>
    <row r="18913" customFormat="1" x14ac:dyDescent="0.25"/>
    <row r="18914" customFormat="1" x14ac:dyDescent="0.25"/>
    <row r="18915" customFormat="1" x14ac:dyDescent="0.25"/>
    <row r="18916" customFormat="1" x14ac:dyDescent="0.25"/>
    <row r="18917" customFormat="1" x14ac:dyDescent="0.25"/>
    <row r="18918" customFormat="1" x14ac:dyDescent="0.25"/>
    <row r="18919" customFormat="1" x14ac:dyDescent="0.25"/>
    <row r="18920" customFormat="1" x14ac:dyDescent="0.25"/>
    <row r="18921" customFormat="1" x14ac:dyDescent="0.25"/>
    <row r="18922" customFormat="1" x14ac:dyDescent="0.25"/>
    <row r="18923" customFormat="1" x14ac:dyDescent="0.25"/>
    <row r="18924" customFormat="1" x14ac:dyDescent="0.25"/>
    <row r="18925" customFormat="1" x14ac:dyDescent="0.25"/>
    <row r="18926" customFormat="1" x14ac:dyDescent="0.25"/>
    <row r="18927" customFormat="1" x14ac:dyDescent="0.25"/>
    <row r="18928" customFormat="1" x14ac:dyDescent="0.25"/>
    <row r="18929" customFormat="1" x14ac:dyDescent="0.25"/>
    <row r="18930" customFormat="1" x14ac:dyDescent="0.25"/>
    <row r="18931" customFormat="1" x14ac:dyDescent="0.25"/>
    <row r="18932" customFormat="1" x14ac:dyDescent="0.25"/>
    <row r="18933" customFormat="1" x14ac:dyDescent="0.25"/>
    <row r="18934" customFormat="1" x14ac:dyDescent="0.25"/>
    <row r="18935" customFormat="1" x14ac:dyDescent="0.25"/>
    <row r="18936" customFormat="1" x14ac:dyDescent="0.25"/>
    <row r="18937" customFormat="1" x14ac:dyDescent="0.25"/>
    <row r="18938" customFormat="1" x14ac:dyDescent="0.25"/>
    <row r="18939" customFormat="1" x14ac:dyDescent="0.25"/>
    <row r="18940" customFormat="1" x14ac:dyDescent="0.25"/>
    <row r="18941" customFormat="1" x14ac:dyDescent="0.25"/>
    <row r="18942" customFormat="1" x14ac:dyDescent="0.25"/>
    <row r="18943" customFormat="1" x14ac:dyDescent="0.25"/>
    <row r="18944" customFormat="1" x14ac:dyDescent="0.25"/>
    <row r="18945" customFormat="1" x14ac:dyDescent="0.25"/>
    <row r="18946" customFormat="1" x14ac:dyDescent="0.25"/>
    <row r="18947" customFormat="1" x14ac:dyDescent="0.25"/>
    <row r="18948" customFormat="1" x14ac:dyDescent="0.25"/>
    <row r="18949" customFormat="1" x14ac:dyDescent="0.25"/>
    <row r="18950" customFormat="1" x14ac:dyDescent="0.25"/>
    <row r="18951" customFormat="1" x14ac:dyDescent="0.25"/>
    <row r="18952" customFormat="1" x14ac:dyDescent="0.25"/>
    <row r="18953" customFormat="1" x14ac:dyDescent="0.25"/>
    <row r="18954" customFormat="1" x14ac:dyDescent="0.25"/>
    <row r="18955" customFormat="1" x14ac:dyDescent="0.25"/>
    <row r="18956" customFormat="1" x14ac:dyDescent="0.25"/>
    <row r="18957" customFormat="1" x14ac:dyDescent="0.25"/>
    <row r="18958" customFormat="1" x14ac:dyDescent="0.25"/>
    <row r="18959" customFormat="1" x14ac:dyDescent="0.25"/>
    <row r="18960" customFormat="1" x14ac:dyDescent="0.25"/>
    <row r="18961" customFormat="1" x14ac:dyDescent="0.25"/>
    <row r="18962" customFormat="1" x14ac:dyDescent="0.25"/>
    <row r="18963" customFormat="1" x14ac:dyDescent="0.25"/>
    <row r="18964" customFormat="1" x14ac:dyDescent="0.25"/>
    <row r="18965" customFormat="1" x14ac:dyDescent="0.25"/>
    <row r="18966" customFormat="1" x14ac:dyDescent="0.25"/>
    <row r="18967" customFormat="1" x14ac:dyDescent="0.25"/>
    <row r="18968" customFormat="1" x14ac:dyDescent="0.25"/>
    <row r="18969" customFormat="1" x14ac:dyDescent="0.25"/>
    <row r="18970" customFormat="1" x14ac:dyDescent="0.25"/>
    <row r="18971" customFormat="1" x14ac:dyDescent="0.25"/>
    <row r="18972" customFormat="1" x14ac:dyDescent="0.25"/>
    <row r="18973" customFormat="1" x14ac:dyDescent="0.25"/>
    <row r="18974" customFormat="1" x14ac:dyDescent="0.25"/>
    <row r="18975" customFormat="1" x14ac:dyDescent="0.25"/>
    <row r="18976" customFormat="1" x14ac:dyDescent="0.25"/>
    <row r="18977" customFormat="1" x14ac:dyDescent="0.25"/>
    <row r="18978" customFormat="1" x14ac:dyDescent="0.25"/>
    <row r="18979" customFormat="1" x14ac:dyDescent="0.25"/>
    <row r="18980" customFormat="1" x14ac:dyDescent="0.25"/>
    <row r="18981" customFormat="1" x14ac:dyDescent="0.25"/>
    <row r="18982" customFormat="1" x14ac:dyDescent="0.25"/>
    <row r="18983" customFormat="1" x14ac:dyDescent="0.25"/>
    <row r="18984" customFormat="1" x14ac:dyDescent="0.25"/>
    <row r="18985" customFormat="1" x14ac:dyDescent="0.25"/>
    <row r="18986" customFormat="1" x14ac:dyDescent="0.25"/>
    <row r="18987" customFormat="1" x14ac:dyDescent="0.25"/>
    <row r="18988" customFormat="1" x14ac:dyDescent="0.25"/>
    <row r="18989" customFormat="1" x14ac:dyDescent="0.25"/>
    <row r="18990" customFormat="1" x14ac:dyDescent="0.25"/>
    <row r="18991" customFormat="1" x14ac:dyDescent="0.25"/>
    <row r="18992" customFormat="1" x14ac:dyDescent="0.25"/>
    <row r="18993" customFormat="1" x14ac:dyDescent="0.25"/>
    <row r="18994" customFormat="1" x14ac:dyDescent="0.25"/>
    <row r="18995" customFormat="1" x14ac:dyDescent="0.25"/>
    <row r="18996" customFormat="1" x14ac:dyDescent="0.25"/>
    <row r="18997" customFormat="1" x14ac:dyDescent="0.25"/>
    <row r="18998" customFormat="1" x14ac:dyDescent="0.25"/>
    <row r="18999" customFormat="1" x14ac:dyDescent="0.25"/>
    <row r="19000" customFormat="1" x14ac:dyDescent="0.25"/>
    <row r="19001" customFormat="1" x14ac:dyDescent="0.25"/>
    <row r="19002" customFormat="1" x14ac:dyDescent="0.25"/>
    <row r="19003" customFormat="1" x14ac:dyDescent="0.25"/>
    <row r="19004" customFormat="1" x14ac:dyDescent="0.25"/>
    <row r="19005" customFormat="1" x14ac:dyDescent="0.25"/>
    <row r="19006" customFormat="1" x14ac:dyDescent="0.25"/>
    <row r="19007" customFormat="1" x14ac:dyDescent="0.25"/>
    <row r="19008" customFormat="1" x14ac:dyDescent="0.25"/>
    <row r="19009" customFormat="1" x14ac:dyDescent="0.25"/>
    <row r="19010" customFormat="1" x14ac:dyDescent="0.25"/>
    <row r="19011" customFormat="1" x14ac:dyDescent="0.25"/>
    <row r="19012" customFormat="1" x14ac:dyDescent="0.25"/>
    <row r="19013" customFormat="1" x14ac:dyDescent="0.25"/>
    <row r="19014" customFormat="1" x14ac:dyDescent="0.25"/>
    <row r="19015" customFormat="1" x14ac:dyDescent="0.25"/>
    <row r="19016" customFormat="1" x14ac:dyDescent="0.25"/>
    <row r="19017" customFormat="1" x14ac:dyDescent="0.25"/>
    <row r="19018" customFormat="1" x14ac:dyDescent="0.25"/>
    <row r="19019" customFormat="1" x14ac:dyDescent="0.25"/>
    <row r="19020" customFormat="1" x14ac:dyDescent="0.25"/>
    <row r="19021" customFormat="1" x14ac:dyDescent="0.25"/>
    <row r="19022" customFormat="1" x14ac:dyDescent="0.25"/>
    <row r="19023" customFormat="1" x14ac:dyDescent="0.25"/>
    <row r="19024" customFormat="1" x14ac:dyDescent="0.25"/>
    <row r="19025" customFormat="1" x14ac:dyDescent="0.25"/>
    <row r="19026" customFormat="1" x14ac:dyDescent="0.25"/>
    <row r="19027" customFormat="1" x14ac:dyDescent="0.25"/>
    <row r="19028" customFormat="1" x14ac:dyDescent="0.25"/>
    <row r="19029" customFormat="1" x14ac:dyDescent="0.25"/>
    <row r="19030" customFormat="1" x14ac:dyDescent="0.25"/>
    <row r="19031" customFormat="1" x14ac:dyDescent="0.25"/>
    <row r="19032" customFormat="1" x14ac:dyDescent="0.25"/>
    <row r="19033" customFormat="1" x14ac:dyDescent="0.25"/>
    <row r="19034" customFormat="1" x14ac:dyDescent="0.25"/>
    <row r="19035" customFormat="1" x14ac:dyDescent="0.25"/>
    <row r="19036" customFormat="1" x14ac:dyDescent="0.25"/>
    <row r="19037" customFormat="1" x14ac:dyDescent="0.25"/>
    <row r="19038" customFormat="1" x14ac:dyDescent="0.25"/>
    <row r="19039" customFormat="1" x14ac:dyDescent="0.25"/>
    <row r="19040" customFormat="1" x14ac:dyDescent="0.25"/>
    <row r="19041" customFormat="1" x14ac:dyDescent="0.25"/>
    <row r="19042" customFormat="1" x14ac:dyDescent="0.25"/>
    <row r="19043" customFormat="1" x14ac:dyDescent="0.25"/>
    <row r="19044" customFormat="1" x14ac:dyDescent="0.25"/>
    <row r="19045" customFormat="1" x14ac:dyDescent="0.25"/>
    <row r="19046" customFormat="1" x14ac:dyDescent="0.25"/>
    <row r="19047" customFormat="1" x14ac:dyDescent="0.25"/>
    <row r="19048" customFormat="1" x14ac:dyDescent="0.25"/>
    <row r="19049" customFormat="1" x14ac:dyDescent="0.25"/>
    <row r="19050" customFormat="1" x14ac:dyDescent="0.25"/>
    <row r="19051" customFormat="1" x14ac:dyDescent="0.25"/>
    <row r="19052" customFormat="1" x14ac:dyDescent="0.25"/>
    <row r="19053" customFormat="1" x14ac:dyDescent="0.25"/>
    <row r="19054" customFormat="1" x14ac:dyDescent="0.25"/>
    <row r="19055" customFormat="1" x14ac:dyDescent="0.25"/>
    <row r="19056" customFormat="1" x14ac:dyDescent="0.25"/>
    <row r="19057" customFormat="1" x14ac:dyDescent="0.25"/>
    <row r="19058" customFormat="1" x14ac:dyDescent="0.25"/>
    <row r="19059" customFormat="1" x14ac:dyDescent="0.25"/>
    <row r="19060" customFormat="1" x14ac:dyDescent="0.25"/>
    <row r="19061" customFormat="1" x14ac:dyDescent="0.25"/>
    <row r="19062" customFormat="1" x14ac:dyDescent="0.25"/>
    <row r="19063" customFormat="1" x14ac:dyDescent="0.25"/>
    <row r="19064" customFormat="1" x14ac:dyDescent="0.25"/>
    <row r="19065" customFormat="1" x14ac:dyDescent="0.25"/>
    <row r="19066" customFormat="1" x14ac:dyDescent="0.25"/>
    <row r="19067" customFormat="1" x14ac:dyDescent="0.25"/>
    <row r="19068" customFormat="1" x14ac:dyDescent="0.25"/>
    <row r="19069" customFormat="1" x14ac:dyDescent="0.25"/>
    <row r="19070" customFormat="1" x14ac:dyDescent="0.25"/>
    <row r="19071" customFormat="1" x14ac:dyDescent="0.25"/>
    <row r="19072" customFormat="1" x14ac:dyDescent="0.25"/>
    <row r="19073" customFormat="1" x14ac:dyDescent="0.25"/>
    <row r="19074" customFormat="1" x14ac:dyDescent="0.25"/>
    <row r="19075" customFormat="1" x14ac:dyDescent="0.25"/>
    <row r="19076" customFormat="1" x14ac:dyDescent="0.25"/>
    <row r="19077" customFormat="1" x14ac:dyDescent="0.25"/>
    <row r="19078" customFormat="1" x14ac:dyDescent="0.25"/>
    <row r="19079" customFormat="1" x14ac:dyDescent="0.25"/>
    <row r="19080" customFormat="1" x14ac:dyDescent="0.25"/>
    <row r="19081" customFormat="1" x14ac:dyDescent="0.25"/>
    <row r="19082" customFormat="1" x14ac:dyDescent="0.25"/>
    <row r="19083" customFormat="1" x14ac:dyDescent="0.25"/>
    <row r="19084" customFormat="1" x14ac:dyDescent="0.25"/>
    <row r="19085" customFormat="1" x14ac:dyDescent="0.25"/>
    <row r="19086" customFormat="1" x14ac:dyDescent="0.25"/>
    <row r="19087" customFormat="1" x14ac:dyDescent="0.25"/>
    <row r="19088" customFormat="1" x14ac:dyDescent="0.25"/>
    <row r="19089" customFormat="1" x14ac:dyDescent="0.25"/>
    <row r="19090" customFormat="1" x14ac:dyDescent="0.25"/>
    <row r="19091" customFormat="1" x14ac:dyDescent="0.25"/>
    <row r="19092" customFormat="1" x14ac:dyDescent="0.25"/>
    <row r="19093" customFormat="1" x14ac:dyDescent="0.25"/>
    <row r="19094" customFormat="1" x14ac:dyDescent="0.25"/>
    <row r="19095" customFormat="1" x14ac:dyDescent="0.25"/>
    <row r="19096" customFormat="1" x14ac:dyDescent="0.25"/>
    <row r="19097" customFormat="1" x14ac:dyDescent="0.25"/>
    <row r="19098" customFormat="1" x14ac:dyDescent="0.25"/>
    <row r="19099" customFormat="1" x14ac:dyDescent="0.25"/>
    <row r="19100" customFormat="1" x14ac:dyDescent="0.25"/>
    <row r="19101" customFormat="1" x14ac:dyDescent="0.25"/>
    <row r="19102" customFormat="1" x14ac:dyDescent="0.25"/>
    <row r="19103" customFormat="1" x14ac:dyDescent="0.25"/>
    <row r="19104" customFormat="1" x14ac:dyDescent="0.25"/>
    <row r="19105" customFormat="1" x14ac:dyDescent="0.25"/>
    <row r="19106" customFormat="1" x14ac:dyDescent="0.25"/>
    <row r="19107" customFormat="1" x14ac:dyDescent="0.25"/>
    <row r="19108" customFormat="1" x14ac:dyDescent="0.25"/>
    <row r="19109" customFormat="1" x14ac:dyDescent="0.25"/>
    <row r="19110" customFormat="1" x14ac:dyDescent="0.25"/>
    <row r="19111" customFormat="1" x14ac:dyDescent="0.25"/>
    <row r="19112" customFormat="1" x14ac:dyDescent="0.25"/>
    <row r="19113" customFormat="1" x14ac:dyDescent="0.25"/>
    <row r="19114" customFormat="1" x14ac:dyDescent="0.25"/>
    <row r="19115" customFormat="1" x14ac:dyDescent="0.25"/>
    <row r="19116" customFormat="1" x14ac:dyDescent="0.25"/>
    <row r="19117" customFormat="1" x14ac:dyDescent="0.25"/>
    <row r="19118" customFormat="1" x14ac:dyDescent="0.25"/>
    <row r="19119" customFormat="1" x14ac:dyDescent="0.25"/>
    <row r="19120" customFormat="1" x14ac:dyDescent="0.25"/>
    <row r="19121" customFormat="1" x14ac:dyDescent="0.25"/>
    <row r="19122" customFormat="1" x14ac:dyDescent="0.25"/>
    <row r="19123" customFormat="1" x14ac:dyDescent="0.25"/>
    <row r="19124" customFormat="1" x14ac:dyDescent="0.25"/>
    <row r="19125" customFormat="1" x14ac:dyDescent="0.25"/>
    <row r="19126" customFormat="1" x14ac:dyDescent="0.25"/>
    <row r="19127" customFormat="1" x14ac:dyDescent="0.25"/>
    <row r="19128" customFormat="1" x14ac:dyDescent="0.25"/>
    <row r="19129" customFormat="1" x14ac:dyDescent="0.25"/>
    <row r="19130" customFormat="1" x14ac:dyDescent="0.25"/>
    <row r="19131" customFormat="1" x14ac:dyDescent="0.25"/>
    <row r="19132" customFormat="1" x14ac:dyDescent="0.25"/>
    <row r="19133" customFormat="1" x14ac:dyDescent="0.25"/>
    <row r="19134" customFormat="1" x14ac:dyDescent="0.25"/>
    <row r="19135" customFormat="1" x14ac:dyDescent="0.25"/>
    <row r="19136" customFormat="1" x14ac:dyDescent="0.25"/>
    <row r="19137" customFormat="1" x14ac:dyDescent="0.25"/>
    <row r="19138" customFormat="1" x14ac:dyDescent="0.25"/>
    <row r="19139" customFormat="1" x14ac:dyDescent="0.25"/>
    <row r="19140" customFormat="1" x14ac:dyDescent="0.25"/>
    <row r="19141" customFormat="1" x14ac:dyDescent="0.25"/>
    <row r="19142" customFormat="1" x14ac:dyDescent="0.25"/>
    <row r="19143" customFormat="1" x14ac:dyDescent="0.25"/>
    <row r="19144" customFormat="1" x14ac:dyDescent="0.25"/>
    <row r="19145" customFormat="1" x14ac:dyDescent="0.25"/>
    <row r="19146" customFormat="1" x14ac:dyDescent="0.25"/>
    <row r="19147" customFormat="1" x14ac:dyDescent="0.25"/>
    <row r="19148" customFormat="1" x14ac:dyDescent="0.25"/>
    <row r="19149" customFormat="1" x14ac:dyDescent="0.25"/>
    <row r="19150" customFormat="1" x14ac:dyDescent="0.25"/>
    <row r="19151" customFormat="1" x14ac:dyDescent="0.25"/>
    <row r="19152" customFormat="1" x14ac:dyDescent="0.25"/>
    <row r="19153" customFormat="1" x14ac:dyDescent="0.25"/>
    <row r="19154" customFormat="1" x14ac:dyDescent="0.25"/>
    <row r="19155" customFormat="1" x14ac:dyDescent="0.25"/>
    <row r="19156" customFormat="1" x14ac:dyDescent="0.25"/>
    <row r="19157" customFormat="1" x14ac:dyDescent="0.25"/>
    <row r="19158" customFormat="1" x14ac:dyDescent="0.25"/>
    <row r="19159" customFormat="1" x14ac:dyDescent="0.25"/>
    <row r="19160" customFormat="1" x14ac:dyDescent="0.25"/>
    <row r="19161" customFormat="1" x14ac:dyDescent="0.25"/>
    <row r="19162" customFormat="1" x14ac:dyDescent="0.25"/>
    <row r="19163" customFormat="1" x14ac:dyDescent="0.25"/>
    <row r="19164" customFormat="1" x14ac:dyDescent="0.25"/>
    <row r="19165" customFormat="1" x14ac:dyDescent="0.25"/>
    <row r="19166" customFormat="1" x14ac:dyDescent="0.25"/>
    <row r="19167" customFormat="1" x14ac:dyDescent="0.25"/>
    <row r="19168" customFormat="1" x14ac:dyDescent="0.25"/>
    <row r="19169" customFormat="1" x14ac:dyDescent="0.25"/>
    <row r="19170" customFormat="1" x14ac:dyDescent="0.25"/>
    <row r="19171" customFormat="1" x14ac:dyDescent="0.25"/>
    <row r="19172" customFormat="1" x14ac:dyDescent="0.25"/>
    <row r="19173" customFormat="1" x14ac:dyDescent="0.25"/>
    <row r="19174" customFormat="1" x14ac:dyDescent="0.25"/>
    <row r="19175" customFormat="1" x14ac:dyDescent="0.25"/>
    <row r="19176" customFormat="1" x14ac:dyDescent="0.25"/>
    <row r="19177" customFormat="1" x14ac:dyDescent="0.25"/>
    <row r="19178" customFormat="1" x14ac:dyDescent="0.25"/>
    <row r="19179" customFormat="1" x14ac:dyDescent="0.25"/>
    <row r="19180" customFormat="1" x14ac:dyDescent="0.25"/>
    <row r="19181" customFormat="1" x14ac:dyDescent="0.25"/>
    <row r="19182" customFormat="1" x14ac:dyDescent="0.25"/>
    <row r="19183" customFormat="1" x14ac:dyDescent="0.25"/>
    <row r="19184" customFormat="1" x14ac:dyDescent="0.25"/>
    <row r="19185" customFormat="1" x14ac:dyDescent="0.25"/>
    <row r="19186" customFormat="1" x14ac:dyDescent="0.25"/>
    <row r="19187" customFormat="1" x14ac:dyDescent="0.25"/>
    <row r="19188" customFormat="1" x14ac:dyDescent="0.25"/>
    <row r="19189" customFormat="1" x14ac:dyDescent="0.25"/>
    <row r="19190" customFormat="1" x14ac:dyDescent="0.25"/>
    <row r="19191" customFormat="1" x14ac:dyDescent="0.25"/>
    <row r="19192" customFormat="1" x14ac:dyDescent="0.25"/>
    <row r="19193" customFormat="1" x14ac:dyDescent="0.25"/>
    <row r="19194" customFormat="1" x14ac:dyDescent="0.25"/>
    <row r="19195" customFormat="1" x14ac:dyDescent="0.25"/>
    <row r="19196" customFormat="1" x14ac:dyDescent="0.25"/>
    <row r="19197" customFormat="1" x14ac:dyDescent="0.25"/>
    <row r="19198" customFormat="1" x14ac:dyDescent="0.25"/>
    <row r="19199" customFormat="1" x14ac:dyDescent="0.25"/>
    <row r="19200" customFormat="1" x14ac:dyDescent="0.25"/>
    <row r="19201" customFormat="1" x14ac:dyDescent="0.25"/>
    <row r="19202" customFormat="1" x14ac:dyDescent="0.25"/>
    <row r="19203" customFormat="1" x14ac:dyDescent="0.25"/>
    <row r="19204" customFormat="1" x14ac:dyDescent="0.25"/>
    <row r="19205" customFormat="1" x14ac:dyDescent="0.25"/>
    <row r="19206" customFormat="1" x14ac:dyDescent="0.25"/>
    <row r="19207" customFormat="1" x14ac:dyDescent="0.25"/>
    <row r="19208" customFormat="1" x14ac:dyDescent="0.25"/>
    <row r="19209" customFormat="1" x14ac:dyDescent="0.25"/>
    <row r="19210" customFormat="1" x14ac:dyDescent="0.25"/>
    <row r="19211" customFormat="1" x14ac:dyDescent="0.25"/>
    <row r="19212" customFormat="1" x14ac:dyDescent="0.25"/>
    <row r="19213" customFormat="1" x14ac:dyDescent="0.25"/>
    <row r="19214" customFormat="1" x14ac:dyDescent="0.25"/>
    <row r="19215" customFormat="1" x14ac:dyDescent="0.25"/>
    <row r="19216" customFormat="1" x14ac:dyDescent="0.25"/>
    <row r="19217" customFormat="1" x14ac:dyDescent="0.25"/>
    <row r="19218" customFormat="1" x14ac:dyDescent="0.25"/>
    <row r="19219" customFormat="1" x14ac:dyDescent="0.25"/>
    <row r="19220" customFormat="1" x14ac:dyDescent="0.25"/>
    <row r="19221" customFormat="1" x14ac:dyDescent="0.25"/>
    <row r="19222" customFormat="1" x14ac:dyDescent="0.25"/>
    <row r="19223" customFormat="1" x14ac:dyDescent="0.25"/>
    <row r="19224" customFormat="1" x14ac:dyDescent="0.25"/>
    <row r="19225" customFormat="1" x14ac:dyDescent="0.25"/>
    <row r="19226" customFormat="1" x14ac:dyDescent="0.25"/>
    <row r="19227" customFormat="1" x14ac:dyDescent="0.25"/>
    <row r="19228" customFormat="1" x14ac:dyDescent="0.25"/>
    <row r="19229" customFormat="1" x14ac:dyDescent="0.25"/>
    <row r="19230" customFormat="1" x14ac:dyDescent="0.25"/>
    <row r="19231" customFormat="1" x14ac:dyDescent="0.25"/>
    <row r="19232" customFormat="1" x14ac:dyDescent="0.25"/>
    <row r="19233" customFormat="1" x14ac:dyDescent="0.25"/>
    <row r="19234" customFormat="1" x14ac:dyDescent="0.25"/>
    <row r="19235" customFormat="1" x14ac:dyDescent="0.25"/>
    <row r="19236" customFormat="1" x14ac:dyDescent="0.25"/>
    <row r="19237" customFormat="1" x14ac:dyDescent="0.25"/>
    <row r="19238" customFormat="1" x14ac:dyDescent="0.25"/>
    <row r="19239" customFormat="1" x14ac:dyDescent="0.25"/>
    <row r="19240" customFormat="1" x14ac:dyDescent="0.25"/>
    <row r="19241" customFormat="1" x14ac:dyDescent="0.25"/>
    <row r="19242" customFormat="1" x14ac:dyDescent="0.25"/>
    <row r="19243" customFormat="1" x14ac:dyDescent="0.25"/>
    <row r="19244" customFormat="1" x14ac:dyDescent="0.25"/>
    <row r="19245" customFormat="1" x14ac:dyDescent="0.25"/>
    <row r="19246" customFormat="1" x14ac:dyDescent="0.25"/>
    <row r="19247" customFormat="1" x14ac:dyDescent="0.25"/>
    <row r="19248" customFormat="1" x14ac:dyDescent="0.25"/>
    <row r="19249" customFormat="1" x14ac:dyDescent="0.25"/>
    <row r="19250" customFormat="1" x14ac:dyDescent="0.25"/>
    <row r="19251" customFormat="1" x14ac:dyDescent="0.25"/>
    <row r="19252" customFormat="1" x14ac:dyDescent="0.25"/>
    <row r="19253" customFormat="1" x14ac:dyDescent="0.25"/>
    <row r="19254" customFormat="1" x14ac:dyDescent="0.25"/>
    <row r="19255" customFormat="1" x14ac:dyDescent="0.25"/>
    <row r="19256" customFormat="1" x14ac:dyDescent="0.25"/>
    <row r="19257" customFormat="1" x14ac:dyDescent="0.25"/>
    <row r="19258" customFormat="1" x14ac:dyDescent="0.25"/>
    <row r="19259" customFormat="1" x14ac:dyDescent="0.25"/>
    <row r="19260" customFormat="1" x14ac:dyDescent="0.25"/>
    <row r="19261" customFormat="1" x14ac:dyDescent="0.25"/>
    <row r="19262" customFormat="1" x14ac:dyDescent="0.25"/>
    <row r="19263" customFormat="1" x14ac:dyDescent="0.25"/>
    <row r="19264" customFormat="1" x14ac:dyDescent="0.25"/>
    <row r="19265" customFormat="1" x14ac:dyDescent="0.25"/>
    <row r="19266" customFormat="1" x14ac:dyDescent="0.25"/>
    <row r="19267" customFormat="1" x14ac:dyDescent="0.25"/>
    <row r="19268" customFormat="1" x14ac:dyDescent="0.25"/>
    <row r="19269" customFormat="1" x14ac:dyDescent="0.25"/>
    <row r="19270" customFormat="1" x14ac:dyDescent="0.25"/>
    <row r="19271" customFormat="1" x14ac:dyDescent="0.25"/>
    <row r="19272" customFormat="1" x14ac:dyDescent="0.25"/>
    <row r="19273" customFormat="1" x14ac:dyDescent="0.25"/>
    <row r="19274" customFormat="1" x14ac:dyDescent="0.25"/>
    <row r="19275" customFormat="1" x14ac:dyDescent="0.25"/>
    <row r="19276" customFormat="1" x14ac:dyDescent="0.25"/>
    <row r="19277" customFormat="1" x14ac:dyDescent="0.25"/>
    <row r="19278" customFormat="1" x14ac:dyDescent="0.25"/>
    <row r="19279" customFormat="1" x14ac:dyDescent="0.25"/>
    <row r="19280" customFormat="1" x14ac:dyDescent="0.25"/>
    <row r="19281" customFormat="1" x14ac:dyDescent="0.25"/>
    <row r="19282" customFormat="1" x14ac:dyDescent="0.25"/>
    <row r="19283" customFormat="1" x14ac:dyDescent="0.25"/>
    <row r="19284" customFormat="1" x14ac:dyDescent="0.25"/>
    <row r="19285" customFormat="1" x14ac:dyDescent="0.25"/>
    <row r="19286" customFormat="1" x14ac:dyDescent="0.25"/>
    <row r="19287" customFormat="1" x14ac:dyDescent="0.25"/>
    <row r="19288" customFormat="1" x14ac:dyDescent="0.25"/>
    <row r="19289" customFormat="1" x14ac:dyDescent="0.25"/>
    <row r="19290" customFormat="1" x14ac:dyDescent="0.25"/>
    <row r="19291" customFormat="1" x14ac:dyDescent="0.25"/>
    <row r="19292" customFormat="1" x14ac:dyDescent="0.25"/>
    <row r="19293" customFormat="1" x14ac:dyDescent="0.25"/>
    <row r="19294" customFormat="1" x14ac:dyDescent="0.25"/>
    <row r="19295" customFormat="1" x14ac:dyDescent="0.25"/>
    <row r="19296" customFormat="1" x14ac:dyDescent="0.25"/>
    <row r="19297" customFormat="1" x14ac:dyDescent="0.25"/>
    <row r="19298" customFormat="1" x14ac:dyDescent="0.25"/>
    <row r="19299" customFormat="1" x14ac:dyDescent="0.25"/>
    <row r="19300" customFormat="1" x14ac:dyDescent="0.25"/>
    <row r="19301" customFormat="1" x14ac:dyDescent="0.25"/>
    <row r="19302" customFormat="1" x14ac:dyDescent="0.25"/>
    <row r="19303" customFormat="1" x14ac:dyDescent="0.25"/>
    <row r="19304" customFormat="1" x14ac:dyDescent="0.25"/>
    <row r="19305" customFormat="1" x14ac:dyDescent="0.25"/>
    <row r="19306" customFormat="1" x14ac:dyDescent="0.25"/>
    <row r="19307" customFormat="1" x14ac:dyDescent="0.25"/>
    <row r="19308" customFormat="1" x14ac:dyDescent="0.25"/>
    <row r="19309" customFormat="1" x14ac:dyDescent="0.25"/>
    <row r="19310" customFormat="1" x14ac:dyDescent="0.25"/>
    <row r="19311" customFormat="1" x14ac:dyDescent="0.25"/>
    <row r="19312" customFormat="1" x14ac:dyDescent="0.25"/>
    <row r="19313" customFormat="1" x14ac:dyDescent="0.25"/>
    <row r="19314" customFormat="1" x14ac:dyDescent="0.25"/>
    <row r="19315" customFormat="1" x14ac:dyDescent="0.25"/>
    <row r="19316" customFormat="1" x14ac:dyDescent="0.25"/>
    <row r="19317" customFormat="1" x14ac:dyDescent="0.25"/>
    <row r="19318" customFormat="1" x14ac:dyDescent="0.25"/>
    <row r="19319" customFormat="1" x14ac:dyDescent="0.25"/>
    <row r="19320" customFormat="1" x14ac:dyDescent="0.25"/>
    <row r="19321" customFormat="1" x14ac:dyDescent="0.25"/>
    <row r="19322" customFormat="1" x14ac:dyDescent="0.25"/>
    <row r="19323" customFormat="1" x14ac:dyDescent="0.25"/>
    <row r="19324" customFormat="1" x14ac:dyDescent="0.25"/>
    <row r="19325" customFormat="1" x14ac:dyDescent="0.25"/>
    <row r="19326" customFormat="1" x14ac:dyDescent="0.25"/>
    <row r="19327" customFormat="1" x14ac:dyDescent="0.25"/>
    <row r="19328" customFormat="1" x14ac:dyDescent="0.25"/>
    <row r="19329" customFormat="1" x14ac:dyDescent="0.25"/>
    <row r="19330" customFormat="1" x14ac:dyDescent="0.25"/>
    <row r="19331" customFormat="1" x14ac:dyDescent="0.25"/>
    <row r="19332" customFormat="1" x14ac:dyDescent="0.25"/>
    <row r="19333" customFormat="1" x14ac:dyDescent="0.25"/>
    <row r="19334" customFormat="1" x14ac:dyDescent="0.25"/>
    <row r="19335" customFormat="1" x14ac:dyDescent="0.25"/>
    <row r="19336" customFormat="1" x14ac:dyDescent="0.25"/>
    <row r="19337" customFormat="1" x14ac:dyDescent="0.25"/>
    <row r="19338" customFormat="1" x14ac:dyDescent="0.25"/>
    <row r="19339" customFormat="1" x14ac:dyDescent="0.25"/>
    <row r="19340" customFormat="1" x14ac:dyDescent="0.25"/>
    <row r="19341" customFormat="1" x14ac:dyDescent="0.25"/>
    <row r="19342" customFormat="1" x14ac:dyDescent="0.25"/>
    <row r="19343" customFormat="1" x14ac:dyDescent="0.25"/>
    <row r="19344" customFormat="1" x14ac:dyDescent="0.25"/>
    <row r="19345" customFormat="1" x14ac:dyDescent="0.25"/>
    <row r="19346" customFormat="1" x14ac:dyDescent="0.25"/>
    <row r="19347" customFormat="1" x14ac:dyDescent="0.25"/>
    <row r="19348" customFormat="1" x14ac:dyDescent="0.25"/>
    <row r="19349" customFormat="1" x14ac:dyDescent="0.25"/>
    <row r="19350" customFormat="1" x14ac:dyDescent="0.25"/>
    <row r="19351" customFormat="1" x14ac:dyDescent="0.25"/>
    <row r="19352" customFormat="1" x14ac:dyDescent="0.25"/>
    <row r="19353" customFormat="1" x14ac:dyDescent="0.25"/>
    <row r="19354" customFormat="1" x14ac:dyDescent="0.25"/>
    <row r="19355" customFormat="1" x14ac:dyDescent="0.25"/>
    <row r="19356" customFormat="1" x14ac:dyDescent="0.25"/>
    <row r="19357" customFormat="1" x14ac:dyDescent="0.25"/>
    <row r="19358" customFormat="1" x14ac:dyDescent="0.25"/>
    <row r="19359" customFormat="1" x14ac:dyDescent="0.25"/>
    <row r="19360" customFormat="1" x14ac:dyDescent="0.25"/>
    <row r="19361" customFormat="1" x14ac:dyDescent="0.25"/>
    <row r="19362" customFormat="1" x14ac:dyDescent="0.25"/>
    <row r="19363" customFormat="1" x14ac:dyDescent="0.25"/>
    <row r="19364" customFormat="1" x14ac:dyDescent="0.25"/>
    <row r="19365" customFormat="1" x14ac:dyDescent="0.25"/>
    <row r="19366" customFormat="1" x14ac:dyDescent="0.25"/>
    <row r="19367" customFormat="1" x14ac:dyDescent="0.25"/>
    <row r="19368" customFormat="1" x14ac:dyDescent="0.25"/>
    <row r="19369" customFormat="1" x14ac:dyDescent="0.25"/>
    <row r="19370" customFormat="1" x14ac:dyDescent="0.25"/>
    <row r="19371" customFormat="1" x14ac:dyDescent="0.25"/>
    <row r="19372" customFormat="1" x14ac:dyDescent="0.25"/>
    <row r="19373" customFormat="1" x14ac:dyDescent="0.25"/>
    <row r="19374" customFormat="1" x14ac:dyDescent="0.25"/>
    <row r="19375" customFormat="1" x14ac:dyDescent="0.25"/>
    <row r="19376" customFormat="1" x14ac:dyDescent="0.25"/>
    <row r="19377" customFormat="1" x14ac:dyDescent="0.25"/>
    <row r="19378" customFormat="1" x14ac:dyDescent="0.25"/>
    <row r="19379" customFormat="1" x14ac:dyDescent="0.25"/>
    <row r="19380" customFormat="1" x14ac:dyDescent="0.25"/>
    <row r="19381" customFormat="1" x14ac:dyDescent="0.25"/>
    <row r="19382" customFormat="1" x14ac:dyDescent="0.25"/>
    <row r="19383" customFormat="1" x14ac:dyDescent="0.25"/>
    <row r="19384" customFormat="1" x14ac:dyDescent="0.25"/>
    <row r="19385" customFormat="1" x14ac:dyDescent="0.25"/>
    <row r="19386" customFormat="1" x14ac:dyDescent="0.25"/>
    <row r="19387" customFormat="1" x14ac:dyDescent="0.25"/>
    <row r="19388" customFormat="1" x14ac:dyDescent="0.25"/>
    <row r="19389" customFormat="1" x14ac:dyDescent="0.25"/>
    <row r="19390" customFormat="1" x14ac:dyDescent="0.25"/>
    <row r="19391" customFormat="1" x14ac:dyDescent="0.25"/>
    <row r="19392" customFormat="1" x14ac:dyDescent="0.25"/>
    <row r="19393" customFormat="1" x14ac:dyDescent="0.25"/>
    <row r="19394" customFormat="1" x14ac:dyDescent="0.25"/>
    <row r="19395" customFormat="1" x14ac:dyDescent="0.25"/>
    <row r="19396" customFormat="1" x14ac:dyDescent="0.25"/>
    <row r="19397" customFormat="1" x14ac:dyDescent="0.25"/>
    <row r="19398" customFormat="1" x14ac:dyDescent="0.25"/>
    <row r="19399" customFormat="1" x14ac:dyDescent="0.25"/>
    <row r="19400" customFormat="1" x14ac:dyDescent="0.25"/>
    <row r="19401" customFormat="1" x14ac:dyDescent="0.25"/>
    <row r="19402" customFormat="1" x14ac:dyDescent="0.25"/>
    <row r="19403" customFormat="1" x14ac:dyDescent="0.25"/>
    <row r="19404" customFormat="1" x14ac:dyDescent="0.25"/>
    <row r="19405" customFormat="1" x14ac:dyDescent="0.25"/>
    <row r="19406" customFormat="1" x14ac:dyDescent="0.25"/>
    <row r="19407" customFormat="1" x14ac:dyDescent="0.25"/>
    <row r="19408" customFormat="1" x14ac:dyDescent="0.25"/>
    <row r="19409" customFormat="1" x14ac:dyDescent="0.25"/>
    <row r="19410" customFormat="1" x14ac:dyDescent="0.25"/>
    <row r="19411" customFormat="1" x14ac:dyDescent="0.25"/>
    <row r="19412" customFormat="1" x14ac:dyDescent="0.25"/>
    <row r="19413" customFormat="1" x14ac:dyDescent="0.25"/>
    <row r="19414" customFormat="1" x14ac:dyDescent="0.25"/>
    <row r="19415" customFormat="1" x14ac:dyDescent="0.25"/>
    <row r="19416" customFormat="1" x14ac:dyDescent="0.25"/>
    <row r="19417" customFormat="1" x14ac:dyDescent="0.25"/>
    <row r="19418" customFormat="1" x14ac:dyDescent="0.25"/>
    <row r="19419" customFormat="1" x14ac:dyDescent="0.25"/>
    <row r="19420" customFormat="1" x14ac:dyDescent="0.25"/>
    <row r="19421" customFormat="1" x14ac:dyDescent="0.25"/>
    <row r="19422" customFormat="1" x14ac:dyDescent="0.25"/>
    <row r="19423" customFormat="1" x14ac:dyDescent="0.25"/>
    <row r="19424" customFormat="1" x14ac:dyDescent="0.25"/>
    <row r="19425" customFormat="1" x14ac:dyDescent="0.25"/>
    <row r="19426" customFormat="1" x14ac:dyDescent="0.25"/>
    <row r="19427" customFormat="1" x14ac:dyDescent="0.25"/>
    <row r="19428" customFormat="1" x14ac:dyDescent="0.25"/>
    <row r="19429" customFormat="1" x14ac:dyDescent="0.25"/>
    <row r="19430" customFormat="1" x14ac:dyDescent="0.25"/>
    <row r="19431" customFormat="1" x14ac:dyDescent="0.25"/>
    <row r="19432" customFormat="1" x14ac:dyDescent="0.25"/>
    <row r="19433" customFormat="1" x14ac:dyDescent="0.25"/>
    <row r="19434" customFormat="1" x14ac:dyDescent="0.25"/>
    <row r="19435" customFormat="1" x14ac:dyDescent="0.25"/>
    <row r="19436" customFormat="1" x14ac:dyDescent="0.25"/>
    <row r="19437" customFormat="1" x14ac:dyDescent="0.25"/>
    <row r="19438" customFormat="1" x14ac:dyDescent="0.25"/>
    <row r="19439" customFormat="1" x14ac:dyDescent="0.25"/>
    <row r="19440" customFormat="1" x14ac:dyDescent="0.25"/>
    <row r="19441" customFormat="1" x14ac:dyDescent="0.25"/>
    <row r="19442" customFormat="1" x14ac:dyDescent="0.25"/>
    <row r="19443" customFormat="1" x14ac:dyDescent="0.25"/>
    <row r="19444" customFormat="1" x14ac:dyDescent="0.25"/>
    <row r="19445" customFormat="1" x14ac:dyDescent="0.25"/>
    <row r="19446" customFormat="1" x14ac:dyDescent="0.25"/>
    <row r="19447" customFormat="1" x14ac:dyDescent="0.25"/>
    <row r="19448" customFormat="1" x14ac:dyDescent="0.25"/>
    <row r="19449" customFormat="1" x14ac:dyDescent="0.25"/>
    <row r="19450" customFormat="1" x14ac:dyDescent="0.25"/>
    <row r="19451" customFormat="1" x14ac:dyDescent="0.25"/>
    <row r="19452" customFormat="1" x14ac:dyDescent="0.25"/>
    <row r="19453" customFormat="1" x14ac:dyDescent="0.25"/>
    <row r="19454" customFormat="1" x14ac:dyDescent="0.25"/>
    <row r="19455" customFormat="1" x14ac:dyDescent="0.25"/>
    <row r="19456" customFormat="1" x14ac:dyDescent="0.25"/>
    <row r="19457" customFormat="1" x14ac:dyDescent="0.25"/>
    <row r="19458" customFormat="1" x14ac:dyDescent="0.25"/>
    <row r="19459" customFormat="1" x14ac:dyDescent="0.25"/>
    <row r="19460" customFormat="1" x14ac:dyDescent="0.25"/>
    <row r="19461" customFormat="1" x14ac:dyDescent="0.25"/>
    <row r="19462" customFormat="1" x14ac:dyDescent="0.25"/>
    <row r="19463" customFormat="1" x14ac:dyDescent="0.25"/>
    <row r="19464" customFormat="1" x14ac:dyDescent="0.25"/>
    <row r="19465" customFormat="1" x14ac:dyDescent="0.25"/>
    <row r="19466" customFormat="1" x14ac:dyDescent="0.25"/>
    <row r="19467" customFormat="1" x14ac:dyDescent="0.25"/>
    <row r="19468" customFormat="1" x14ac:dyDescent="0.25"/>
    <row r="19469" customFormat="1" x14ac:dyDescent="0.25"/>
    <row r="19470" customFormat="1" x14ac:dyDescent="0.25"/>
    <row r="19471" customFormat="1" x14ac:dyDescent="0.25"/>
    <row r="19472" customFormat="1" x14ac:dyDescent="0.25"/>
    <row r="19473" customFormat="1" x14ac:dyDescent="0.25"/>
    <row r="19474" customFormat="1" x14ac:dyDescent="0.25"/>
    <row r="19475" customFormat="1" x14ac:dyDescent="0.25"/>
    <row r="19476" customFormat="1" x14ac:dyDescent="0.25"/>
    <row r="19477" customFormat="1" x14ac:dyDescent="0.25"/>
    <row r="19478" customFormat="1" x14ac:dyDescent="0.25"/>
    <row r="19479" customFormat="1" x14ac:dyDescent="0.25"/>
    <row r="19480" customFormat="1" x14ac:dyDescent="0.25"/>
    <row r="19481" customFormat="1" x14ac:dyDescent="0.25"/>
    <row r="19482" customFormat="1" x14ac:dyDescent="0.25"/>
    <row r="19483" customFormat="1" x14ac:dyDescent="0.25"/>
    <row r="19484" customFormat="1" x14ac:dyDescent="0.25"/>
    <row r="19485" customFormat="1" x14ac:dyDescent="0.25"/>
    <row r="19486" customFormat="1" x14ac:dyDescent="0.25"/>
    <row r="19487" customFormat="1" x14ac:dyDescent="0.25"/>
    <row r="19488" customFormat="1" x14ac:dyDescent="0.25"/>
    <row r="19489" customFormat="1" x14ac:dyDescent="0.25"/>
    <row r="19490" customFormat="1" x14ac:dyDescent="0.25"/>
    <row r="19491" customFormat="1" x14ac:dyDescent="0.25"/>
    <row r="19492" customFormat="1" x14ac:dyDescent="0.25"/>
    <row r="19493" customFormat="1" x14ac:dyDescent="0.25"/>
    <row r="19494" customFormat="1" x14ac:dyDescent="0.25"/>
    <row r="19495" customFormat="1" x14ac:dyDescent="0.25"/>
    <row r="19496" customFormat="1" x14ac:dyDescent="0.25"/>
    <row r="19497" customFormat="1" x14ac:dyDescent="0.25"/>
    <row r="19498" customFormat="1" x14ac:dyDescent="0.25"/>
    <row r="19499" customFormat="1" x14ac:dyDescent="0.25"/>
    <row r="19500" customFormat="1" x14ac:dyDescent="0.25"/>
    <row r="19501" customFormat="1" x14ac:dyDescent="0.25"/>
    <row r="19502" customFormat="1" x14ac:dyDescent="0.25"/>
    <row r="19503" customFormat="1" x14ac:dyDescent="0.25"/>
    <row r="19504" customFormat="1" x14ac:dyDescent="0.25"/>
    <row r="19505" customFormat="1" x14ac:dyDescent="0.25"/>
    <row r="19506" customFormat="1" x14ac:dyDescent="0.25"/>
    <row r="19507" customFormat="1" x14ac:dyDescent="0.25"/>
    <row r="19508" customFormat="1" x14ac:dyDescent="0.25"/>
    <row r="19509" customFormat="1" x14ac:dyDescent="0.25"/>
    <row r="19510" customFormat="1" x14ac:dyDescent="0.25"/>
    <row r="19511" customFormat="1" x14ac:dyDescent="0.25"/>
    <row r="19512" customFormat="1" x14ac:dyDescent="0.25"/>
    <row r="19513" customFormat="1" x14ac:dyDescent="0.25"/>
    <row r="19514" customFormat="1" x14ac:dyDescent="0.25"/>
    <row r="19515" customFormat="1" x14ac:dyDescent="0.25"/>
    <row r="19516" customFormat="1" x14ac:dyDescent="0.25"/>
    <row r="19517" customFormat="1" x14ac:dyDescent="0.25"/>
    <row r="19518" customFormat="1" x14ac:dyDescent="0.25"/>
    <row r="19519" customFormat="1" x14ac:dyDescent="0.25"/>
    <row r="19520" customFormat="1" x14ac:dyDescent="0.25"/>
    <row r="19521" customFormat="1" x14ac:dyDescent="0.25"/>
    <row r="19522" customFormat="1" x14ac:dyDescent="0.25"/>
    <row r="19523" customFormat="1" x14ac:dyDescent="0.25"/>
    <row r="19524" customFormat="1" x14ac:dyDescent="0.25"/>
    <row r="19525" customFormat="1" x14ac:dyDescent="0.25"/>
    <row r="19526" customFormat="1" x14ac:dyDescent="0.25"/>
    <row r="19527" customFormat="1" x14ac:dyDescent="0.25"/>
    <row r="19528" customFormat="1" x14ac:dyDescent="0.25"/>
    <row r="19529" customFormat="1" x14ac:dyDescent="0.25"/>
    <row r="19530" customFormat="1" x14ac:dyDescent="0.25"/>
    <row r="19531" customFormat="1" x14ac:dyDescent="0.25"/>
    <row r="19532" customFormat="1" x14ac:dyDescent="0.25"/>
    <row r="19533" customFormat="1" x14ac:dyDescent="0.25"/>
    <row r="19534" customFormat="1" x14ac:dyDescent="0.25"/>
    <row r="19535" customFormat="1" x14ac:dyDescent="0.25"/>
    <row r="19536" customFormat="1" x14ac:dyDescent="0.25"/>
    <row r="19537" customFormat="1" x14ac:dyDescent="0.25"/>
    <row r="19538" customFormat="1" x14ac:dyDescent="0.25"/>
    <row r="19539" customFormat="1" x14ac:dyDescent="0.25"/>
    <row r="19540" customFormat="1" x14ac:dyDescent="0.25"/>
    <row r="19541" customFormat="1" x14ac:dyDescent="0.25"/>
    <row r="19542" customFormat="1" x14ac:dyDescent="0.25"/>
    <row r="19543" customFormat="1" x14ac:dyDescent="0.25"/>
    <row r="19544" customFormat="1" x14ac:dyDescent="0.25"/>
    <row r="19545" customFormat="1" x14ac:dyDescent="0.25"/>
    <row r="19546" customFormat="1" x14ac:dyDescent="0.25"/>
    <row r="19547" customFormat="1" x14ac:dyDescent="0.25"/>
    <row r="19548" customFormat="1" x14ac:dyDescent="0.25"/>
    <row r="19549" customFormat="1" x14ac:dyDescent="0.25"/>
    <row r="19550" customFormat="1" x14ac:dyDescent="0.25"/>
    <row r="19551" customFormat="1" x14ac:dyDescent="0.25"/>
    <row r="19552" customFormat="1" x14ac:dyDescent="0.25"/>
    <row r="19553" customFormat="1" x14ac:dyDescent="0.25"/>
    <row r="19554" customFormat="1" x14ac:dyDescent="0.25"/>
    <row r="19555" customFormat="1" x14ac:dyDescent="0.25"/>
    <row r="19556" customFormat="1" x14ac:dyDescent="0.25"/>
    <row r="19557" customFormat="1" x14ac:dyDescent="0.25"/>
    <row r="19558" customFormat="1" x14ac:dyDescent="0.25"/>
    <row r="19559" customFormat="1" x14ac:dyDescent="0.25"/>
    <row r="19560" customFormat="1" x14ac:dyDescent="0.25"/>
    <row r="19561" customFormat="1" x14ac:dyDescent="0.25"/>
    <row r="19562" customFormat="1" x14ac:dyDescent="0.25"/>
    <row r="19563" customFormat="1" x14ac:dyDescent="0.25"/>
    <row r="19564" customFormat="1" x14ac:dyDescent="0.25"/>
    <row r="19565" customFormat="1" x14ac:dyDescent="0.25"/>
    <row r="19566" customFormat="1" x14ac:dyDescent="0.25"/>
    <row r="19567" customFormat="1" x14ac:dyDescent="0.25"/>
    <row r="19568" customFormat="1" x14ac:dyDescent="0.25"/>
    <row r="19569" customFormat="1" x14ac:dyDescent="0.25"/>
    <row r="19570" customFormat="1" x14ac:dyDescent="0.25"/>
    <row r="19571" customFormat="1" x14ac:dyDescent="0.25"/>
    <row r="19572" customFormat="1" x14ac:dyDescent="0.25"/>
    <row r="19573" customFormat="1" x14ac:dyDescent="0.25"/>
    <row r="19574" customFormat="1" x14ac:dyDescent="0.25"/>
    <row r="19575" customFormat="1" x14ac:dyDescent="0.25"/>
    <row r="19576" customFormat="1" x14ac:dyDescent="0.25"/>
    <row r="19577" customFormat="1" x14ac:dyDescent="0.25"/>
    <row r="19578" customFormat="1" x14ac:dyDescent="0.25"/>
    <row r="19579" customFormat="1" x14ac:dyDescent="0.25"/>
    <row r="19580" customFormat="1" x14ac:dyDescent="0.25"/>
    <row r="19581" customFormat="1" x14ac:dyDescent="0.25"/>
    <row r="19582" customFormat="1" x14ac:dyDescent="0.25"/>
    <row r="19583" customFormat="1" x14ac:dyDescent="0.25"/>
    <row r="19584" customFormat="1" x14ac:dyDescent="0.25"/>
    <row r="19585" customFormat="1" x14ac:dyDescent="0.25"/>
    <row r="19586" customFormat="1" x14ac:dyDescent="0.25"/>
    <row r="19587" customFormat="1" x14ac:dyDescent="0.25"/>
    <row r="19588" customFormat="1" x14ac:dyDescent="0.25"/>
    <row r="19589" customFormat="1" x14ac:dyDescent="0.25"/>
    <row r="19590" customFormat="1" x14ac:dyDescent="0.25"/>
    <row r="19591" customFormat="1" x14ac:dyDescent="0.25"/>
    <row r="19592" customFormat="1" x14ac:dyDescent="0.25"/>
    <row r="19593" customFormat="1" x14ac:dyDescent="0.25"/>
    <row r="19594" customFormat="1" x14ac:dyDescent="0.25"/>
    <row r="19595" customFormat="1" x14ac:dyDescent="0.25"/>
    <row r="19596" customFormat="1" x14ac:dyDescent="0.25"/>
    <row r="19597" customFormat="1" x14ac:dyDescent="0.25"/>
    <row r="19598" customFormat="1" x14ac:dyDescent="0.25"/>
    <row r="19599" customFormat="1" x14ac:dyDescent="0.25"/>
    <row r="19600" customFormat="1" x14ac:dyDescent="0.25"/>
    <row r="19601" customFormat="1" x14ac:dyDescent="0.25"/>
    <row r="19602" customFormat="1" x14ac:dyDescent="0.25"/>
    <row r="19603" customFormat="1" x14ac:dyDescent="0.25"/>
    <row r="19604" customFormat="1" x14ac:dyDescent="0.25"/>
    <row r="19605" customFormat="1" x14ac:dyDescent="0.25"/>
    <row r="19606" customFormat="1" x14ac:dyDescent="0.25"/>
    <row r="19607" customFormat="1" x14ac:dyDescent="0.25"/>
    <row r="19608" customFormat="1" x14ac:dyDescent="0.25"/>
    <row r="19609" customFormat="1" x14ac:dyDescent="0.25"/>
    <row r="19610" customFormat="1" x14ac:dyDescent="0.25"/>
    <row r="19611" customFormat="1" x14ac:dyDescent="0.25"/>
    <row r="19612" customFormat="1" x14ac:dyDescent="0.25"/>
    <row r="19613" customFormat="1" x14ac:dyDescent="0.25"/>
    <row r="19614" customFormat="1" x14ac:dyDescent="0.25"/>
    <row r="19615" customFormat="1" x14ac:dyDescent="0.25"/>
    <row r="19616" customFormat="1" x14ac:dyDescent="0.25"/>
    <row r="19617" customFormat="1" x14ac:dyDescent="0.25"/>
    <row r="19618" customFormat="1" x14ac:dyDescent="0.25"/>
    <row r="19619" customFormat="1" x14ac:dyDescent="0.25"/>
    <row r="19620" customFormat="1" x14ac:dyDescent="0.25"/>
    <row r="19621" customFormat="1" x14ac:dyDescent="0.25"/>
    <row r="19622" customFormat="1" x14ac:dyDescent="0.25"/>
    <row r="19623" customFormat="1" x14ac:dyDescent="0.25"/>
    <row r="19624" customFormat="1" x14ac:dyDescent="0.25"/>
    <row r="19625" customFormat="1" x14ac:dyDescent="0.25"/>
    <row r="19626" customFormat="1" x14ac:dyDescent="0.25"/>
    <row r="19627" customFormat="1" x14ac:dyDescent="0.25"/>
    <row r="19628" customFormat="1" x14ac:dyDescent="0.25"/>
    <row r="19629" customFormat="1" x14ac:dyDescent="0.25"/>
    <row r="19630" customFormat="1" x14ac:dyDescent="0.25"/>
    <row r="19631" customFormat="1" x14ac:dyDescent="0.25"/>
    <row r="19632" customFormat="1" x14ac:dyDescent="0.25"/>
    <row r="19633" customFormat="1" x14ac:dyDescent="0.25"/>
    <row r="19634" customFormat="1" x14ac:dyDescent="0.25"/>
    <row r="19635" customFormat="1" x14ac:dyDescent="0.25"/>
    <row r="19636" customFormat="1" x14ac:dyDescent="0.25"/>
    <row r="19637" customFormat="1" x14ac:dyDescent="0.25"/>
    <row r="19638" customFormat="1" x14ac:dyDescent="0.25"/>
    <row r="19639" customFormat="1" x14ac:dyDescent="0.25"/>
    <row r="19640" customFormat="1" x14ac:dyDescent="0.25"/>
    <row r="19641" customFormat="1" x14ac:dyDescent="0.25"/>
    <row r="19642" customFormat="1" x14ac:dyDescent="0.25"/>
    <row r="19643" customFormat="1" x14ac:dyDescent="0.25"/>
    <row r="19644" customFormat="1" x14ac:dyDescent="0.25"/>
    <row r="19645" customFormat="1" x14ac:dyDescent="0.25"/>
    <row r="19646" customFormat="1" x14ac:dyDescent="0.25"/>
    <row r="19647" customFormat="1" x14ac:dyDescent="0.25"/>
    <row r="19648" customFormat="1" x14ac:dyDescent="0.25"/>
    <row r="19649" customFormat="1" x14ac:dyDescent="0.25"/>
    <row r="19650" customFormat="1" x14ac:dyDescent="0.25"/>
    <row r="19651" customFormat="1" x14ac:dyDescent="0.25"/>
    <row r="19652" customFormat="1" x14ac:dyDescent="0.25"/>
    <row r="19653" customFormat="1" x14ac:dyDescent="0.25"/>
    <row r="19654" customFormat="1" x14ac:dyDescent="0.25"/>
    <row r="19655" customFormat="1" x14ac:dyDescent="0.25"/>
    <row r="19656" customFormat="1" x14ac:dyDescent="0.25"/>
    <row r="19657" customFormat="1" x14ac:dyDescent="0.25"/>
    <row r="19658" customFormat="1" x14ac:dyDescent="0.25"/>
    <row r="19659" customFormat="1" x14ac:dyDescent="0.25"/>
    <row r="19660" customFormat="1" x14ac:dyDescent="0.25"/>
    <row r="19661" customFormat="1" x14ac:dyDescent="0.25"/>
    <row r="19662" customFormat="1" x14ac:dyDescent="0.25"/>
    <row r="19663" customFormat="1" x14ac:dyDescent="0.25"/>
    <row r="19664" customFormat="1" x14ac:dyDescent="0.25"/>
    <row r="19665" customFormat="1" x14ac:dyDescent="0.25"/>
    <row r="19666" customFormat="1" x14ac:dyDescent="0.25"/>
    <row r="19667" customFormat="1" x14ac:dyDescent="0.25"/>
    <row r="19668" customFormat="1" x14ac:dyDescent="0.25"/>
    <row r="19669" customFormat="1" x14ac:dyDescent="0.25"/>
    <row r="19670" customFormat="1" x14ac:dyDescent="0.25"/>
    <row r="19671" customFormat="1" x14ac:dyDescent="0.25"/>
    <row r="19672" customFormat="1" x14ac:dyDescent="0.25"/>
    <row r="19673" customFormat="1" x14ac:dyDescent="0.25"/>
    <row r="19674" customFormat="1" x14ac:dyDescent="0.25"/>
    <row r="19675" customFormat="1" x14ac:dyDescent="0.25"/>
    <row r="19676" customFormat="1" x14ac:dyDescent="0.25"/>
    <row r="19677" customFormat="1" x14ac:dyDescent="0.25"/>
    <row r="19678" customFormat="1" x14ac:dyDescent="0.25"/>
    <row r="19679" customFormat="1" x14ac:dyDescent="0.25"/>
    <row r="19680" customFormat="1" x14ac:dyDescent="0.25"/>
    <row r="19681" customFormat="1" x14ac:dyDescent="0.25"/>
    <row r="19682" customFormat="1" x14ac:dyDescent="0.25"/>
    <row r="19683" customFormat="1" x14ac:dyDescent="0.25"/>
    <row r="19684" customFormat="1" x14ac:dyDescent="0.25"/>
    <row r="19685" customFormat="1" x14ac:dyDescent="0.25"/>
    <row r="19686" customFormat="1" x14ac:dyDescent="0.25"/>
    <row r="19687" customFormat="1" x14ac:dyDescent="0.25"/>
    <row r="19688" customFormat="1" x14ac:dyDescent="0.25"/>
    <row r="19689" customFormat="1" x14ac:dyDescent="0.25"/>
    <row r="19690" customFormat="1" x14ac:dyDescent="0.25"/>
    <row r="19691" customFormat="1" x14ac:dyDescent="0.25"/>
    <row r="19692" customFormat="1" x14ac:dyDescent="0.25"/>
    <row r="19693" customFormat="1" x14ac:dyDescent="0.25"/>
    <row r="19694" customFormat="1" x14ac:dyDescent="0.25"/>
    <row r="19695" customFormat="1" x14ac:dyDescent="0.25"/>
    <row r="19696" customFormat="1" x14ac:dyDescent="0.25"/>
    <row r="19697" customFormat="1" x14ac:dyDescent="0.25"/>
    <row r="19698" customFormat="1" x14ac:dyDescent="0.25"/>
    <row r="19699" customFormat="1" x14ac:dyDescent="0.25"/>
    <row r="19700" customFormat="1" x14ac:dyDescent="0.25"/>
    <row r="19701" customFormat="1" x14ac:dyDescent="0.25"/>
    <row r="19702" customFormat="1" x14ac:dyDescent="0.25"/>
    <row r="19703" customFormat="1" x14ac:dyDescent="0.25"/>
    <row r="19704" customFormat="1" x14ac:dyDescent="0.25"/>
    <row r="19705" customFormat="1" x14ac:dyDescent="0.25"/>
    <row r="19706" customFormat="1" x14ac:dyDescent="0.25"/>
    <row r="19707" customFormat="1" x14ac:dyDescent="0.25"/>
    <row r="19708" customFormat="1" x14ac:dyDescent="0.25"/>
    <row r="19709" customFormat="1" x14ac:dyDescent="0.25"/>
    <row r="19710" customFormat="1" x14ac:dyDescent="0.25"/>
    <row r="19711" customFormat="1" x14ac:dyDescent="0.25"/>
    <row r="19712" customFormat="1" x14ac:dyDescent="0.25"/>
    <row r="19713" customFormat="1" x14ac:dyDescent="0.25"/>
    <row r="19714" customFormat="1" x14ac:dyDescent="0.25"/>
    <row r="19715" customFormat="1" x14ac:dyDescent="0.25"/>
    <row r="19716" customFormat="1" x14ac:dyDescent="0.25"/>
    <row r="19717" customFormat="1" x14ac:dyDescent="0.25"/>
    <row r="19718" customFormat="1" x14ac:dyDescent="0.25"/>
    <row r="19719" customFormat="1" x14ac:dyDescent="0.25"/>
    <row r="19720" customFormat="1" x14ac:dyDescent="0.25"/>
    <row r="19721" customFormat="1" x14ac:dyDescent="0.25"/>
    <row r="19722" customFormat="1" x14ac:dyDescent="0.25"/>
    <row r="19723" customFormat="1" x14ac:dyDescent="0.25"/>
    <row r="19724" customFormat="1" x14ac:dyDescent="0.25"/>
    <row r="19725" customFormat="1" x14ac:dyDescent="0.25"/>
    <row r="19726" customFormat="1" x14ac:dyDescent="0.25"/>
    <row r="19727" customFormat="1" x14ac:dyDescent="0.25"/>
    <row r="19728" customFormat="1" x14ac:dyDescent="0.25"/>
    <row r="19729" customFormat="1" x14ac:dyDescent="0.25"/>
    <row r="19730" customFormat="1" x14ac:dyDescent="0.25"/>
    <row r="19731" customFormat="1" x14ac:dyDescent="0.25"/>
    <row r="19732" customFormat="1" x14ac:dyDescent="0.25"/>
    <row r="19733" customFormat="1" x14ac:dyDescent="0.25"/>
    <row r="19734" customFormat="1" x14ac:dyDescent="0.25"/>
    <row r="19735" customFormat="1" x14ac:dyDescent="0.25"/>
    <row r="19736" customFormat="1" x14ac:dyDescent="0.25"/>
    <row r="19737" customFormat="1" x14ac:dyDescent="0.25"/>
    <row r="19738" customFormat="1" x14ac:dyDescent="0.25"/>
    <row r="19739" customFormat="1" x14ac:dyDescent="0.25"/>
    <row r="19740" customFormat="1" x14ac:dyDescent="0.25"/>
    <row r="19741" customFormat="1" x14ac:dyDescent="0.25"/>
    <row r="19742" customFormat="1" x14ac:dyDescent="0.25"/>
    <row r="19743" customFormat="1" x14ac:dyDescent="0.25"/>
    <row r="19744" customFormat="1" x14ac:dyDescent="0.25"/>
    <row r="19745" customFormat="1" x14ac:dyDescent="0.25"/>
    <row r="19746" customFormat="1" x14ac:dyDescent="0.25"/>
    <row r="19747" customFormat="1" x14ac:dyDescent="0.25"/>
    <row r="19748" customFormat="1" x14ac:dyDescent="0.25"/>
    <row r="19749" customFormat="1" x14ac:dyDescent="0.25"/>
    <row r="19750" customFormat="1" x14ac:dyDescent="0.25"/>
    <row r="19751" customFormat="1" x14ac:dyDescent="0.25"/>
    <row r="19752" customFormat="1" x14ac:dyDescent="0.25"/>
    <row r="19753" customFormat="1" x14ac:dyDescent="0.25"/>
    <row r="19754" customFormat="1" x14ac:dyDescent="0.25"/>
    <row r="19755" customFormat="1" x14ac:dyDescent="0.25"/>
    <row r="19756" customFormat="1" x14ac:dyDescent="0.25"/>
    <row r="19757" customFormat="1" x14ac:dyDescent="0.25"/>
    <row r="19758" customFormat="1" x14ac:dyDescent="0.25"/>
    <row r="19759" customFormat="1" x14ac:dyDescent="0.25"/>
    <row r="19760" customFormat="1" x14ac:dyDescent="0.25"/>
    <row r="19761" customFormat="1" x14ac:dyDescent="0.25"/>
    <row r="19762" customFormat="1" x14ac:dyDescent="0.25"/>
    <row r="19763" customFormat="1" x14ac:dyDescent="0.25"/>
    <row r="19764" customFormat="1" x14ac:dyDescent="0.25"/>
    <row r="19765" customFormat="1" x14ac:dyDescent="0.25"/>
    <row r="19766" customFormat="1" x14ac:dyDescent="0.25"/>
    <row r="19767" customFormat="1" x14ac:dyDescent="0.25"/>
    <row r="19768" customFormat="1" x14ac:dyDescent="0.25"/>
    <row r="19769" customFormat="1" x14ac:dyDescent="0.25"/>
    <row r="19770" customFormat="1" x14ac:dyDescent="0.25"/>
    <row r="19771" customFormat="1" x14ac:dyDescent="0.25"/>
    <row r="19772" customFormat="1" x14ac:dyDescent="0.25"/>
    <row r="19773" customFormat="1" x14ac:dyDescent="0.25"/>
    <row r="19774" customFormat="1" x14ac:dyDescent="0.25"/>
    <row r="19775" customFormat="1" x14ac:dyDescent="0.25"/>
    <row r="19776" customFormat="1" x14ac:dyDescent="0.25"/>
    <row r="19777" customFormat="1" x14ac:dyDescent="0.25"/>
    <row r="19778" customFormat="1" x14ac:dyDescent="0.25"/>
    <row r="19779" customFormat="1" x14ac:dyDescent="0.25"/>
    <row r="19780" customFormat="1" x14ac:dyDescent="0.25"/>
    <row r="19781" customFormat="1" x14ac:dyDescent="0.25"/>
    <row r="19782" customFormat="1" x14ac:dyDescent="0.25"/>
    <row r="19783" customFormat="1" x14ac:dyDescent="0.25"/>
    <row r="19784" customFormat="1" x14ac:dyDescent="0.25"/>
    <row r="19785" customFormat="1" x14ac:dyDescent="0.25"/>
    <row r="19786" customFormat="1" x14ac:dyDescent="0.25"/>
    <row r="19787" customFormat="1" x14ac:dyDescent="0.25"/>
    <row r="19788" customFormat="1" x14ac:dyDescent="0.25"/>
    <row r="19789" customFormat="1" x14ac:dyDescent="0.25"/>
    <row r="19790" customFormat="1" x14ac:dyDescent="0.25"/>
    <row r="19791" customFormat="1" x14ac:dyDescent="0.25"/>
    <row r="19792" customFormat="1" x14ac:dyDescent="0.25"/>
    <row r="19793" customFormat="1" x14ac:dyDescent="0.25"/>
    <row r="19794" customFormat="1" x14ac:dyDescent="0.25"/>
    <row r="19795" customFormat="1" x14ac:dyDescent="0.25"/>
    <row r="19796" customFormat="1" x14ac:dyDescent="0.25"/>
    <row r="19797" customFormat="1" x14ac:dyDescent="0.25"/>
    <row r="19798" customFormat="1" x14ac:dyDescent="0.25"/>
    <row r="19799" customFormat="1" x14ac:dyDescent="0.25"/>
    <row r="19800" customFormat="1" x14ac:dyDescent="0.25"/>
    <row r="19801" customFormat="1" x14ac:dyDescent="0.25"/>
    <row r="19802" customFormat="1" x14ac:dyDescent="0.25"/>
    <row r="19803" customFormat="1" x14ac:dyDescent="0.25"/>
    <row r="19804" customFormat="1" x14ac:dyDescent="0.25"/>
    <row r="19805" customFormat="1" x14ac:dyDescent="0.25"/>
    <row r="19806" customFormat="1" x14ac:dyDescent="0.25"/>
    <row r="19807" customFormat="1" x14ac:dyDescent="0.25"/>
    <row r="19808" customFormat="1" x14ac:dyDescent="0.25"/>
    <row r="19809" customFormat="1" x14ac:dyDescent="0.25"/>
    <row r="19810" customFormat="1" x14ac:dyDescent="0.25"/>
    <row r="19811" customFormat="1" x14ac:dyDescent="0.25"/>
    <row r="19812" customFormat="1" x14ac:dyDescent="0.25"/>
    <row r="19813" customFormat="1" x14ac:dyDescent="0.25"/>
    <row r="19814" customFormat="1" x14ac:dyDescent="0.25"/>
    <row r="19815" customFormat="1" x14ac:dyDescent="0.25"/>
    <row r="19816" customFormat="1" x14ac:dyDescent="0.25"/>
    <row r="19817" customFormat="1" x14ac:dyDescent="0.25"/>
    <row r="19818" customFormat="1" x14ac:dyDescent="0.25"/>
    <row r="19819" customFormat="1" x14ac:dyDescent="0.25"/>
    <row r="19820" customFormat="1" x14ac:dyDescent="0.25"/>
    <row r="19821" customFormat="1" x14ac:dyDescent="0.25"/>
    <row r="19822" customFormat="1" x14ac:dyDescent="0.25"/>
    <row r="19823" customFormat="1" x14ac:dyDescent="0.25"/>
    <row r="19824" customFormat="1" x14ac:dyDescent="0.25"/>
    <row r="19825" customFormat="1" x14ac:dyDescent="0.25"/>
    <row r="19826" customFormat="1" x14ac:dyDescent="0.25"/>
    <row r="19827" customFormat="1" x14ac:dyDescent="0.25"/>
    <row r="19828" customFormat="1" x14ac:dyDescent="0.25"/>
    <row r="19829" customFormat="1" x14ac:dyDescent="0.25"/>
    <row r="19830" customFormat="1" x14ac:dyDescent="0.25"/>
    <row r="19831" customFormat="1" x14ac:dyDescent="0.25"/>
    <row r="19832" customFormat="1" x14ac:dyDescent="0.25"/>
    <row r="19833" customFormat="1" x14ac:dyDescent="0.25"/>
    <row r="19834" customFormat="1" x14ac:dyDescent="0.25"/>
    <row r="19835" customFormat="1" x14ac:dyDescent="0.25"/>
    <row r="19836" customFormat="1" x14ac:dyDescent="0.25"/>
    <row r="19837" customFormat="1" x14ac:dyDescent="0.25"/>
    <row r="19838" customFormat="1" x14ac:dyDescent="0.25"/>
    <row r="19839" customFormat="1" x14ac:dyDescent="0.25"/>
    <row r="19840" customFormat="1" x14ac:dyDescent="0.25"/>
    <row r="19841" customFormat="1" x14ac:dyDescent="0.25"/>
    <row r="19842" customFormat="1" x14ac:dyDescent="0.25"/>
    <row r="19843" customFormat="1" x14ac:dyDescent="0.25"/>
    <row r="19844" customFormat="1" x14ac:dyDescent="0.25"/>
    <row r="19845" customFormat="1" x14ac:dyDescent="0.25"/>
    <row r="19846" customFormat="1" x14ac:dyDescent="0.25"/>
    <row r="19847" customFormat="1" x14ac:dyDescent="0.25"/>
    <row r="19848" customFormat="1" x14ac:dyDescent="0.25"/>
    <row r="19849" customFormat="1" x14ac:dyDescent="0.25"/>
    <row r="19850" customFormat="1" x14ac:dyDescent="0.25"/>
    <row r="19851" customFormat="1" x14ac:dyDescent="0.25"/>
    <row r="19852" customFormat="1" x14ac:dyDescent="0.25"/>
    <row r="19853" customFormat="1" x14ac:dyDescent="0.25"/>
    <row r="19854" customFormat="1" x14ac:dyDescent="0.25"/>
    <row r="19855" customFormat="1" x14ac:dyDescent="0.25"/>
    <row r="19856" customFormat="1" x14ac:dyDescent="0.25"/>
    <row r="19857" customFormat="1" x14ac:dyDescent="0.25"/>
    <row r="19858" customFormat="1" x14ac:dyDescent="0.25"/>
    <row r="19859" customFormat="1" x14ac:dyDescent="0.25"/>
    <row r="19860" customFormat="1" x14ac:dyDescent="0.25"/>
    <row r="19861" customFormat="1" x14ac:dyDescent="0.25"/>
    <row r="19862" customFormat="1" x14ac:dyDescent="0.25"/>
    <row r="19863" customFormat="1" x14ac:dyDescent="0.25"/>
    <row r="19864" customFormat="1" x14ac:dyDescent="0.25"/>
    <row r="19865" customFormat="1" x14ac:dyDescent="0.25"/>
    <row r="19866" customFormat="1" x14ac:dyDescent="0.25"/>
    <row r="19867" customFormat="1" x14ac:dyDescent="0.25"/>
    <row r="19868" customFormat="1" x14ac:dyDescent="0.25"/>
    <row r="19869" customFormat="1" x14ac:dyDescent="0.25"/>
    <row r="19870" customFormat="1" x14ac:dyDescent="0.25"/>
    <row r="19871" customFormat="1" x14ac:dyDescent="0.25"/>
    <row r="19872" customFormat="1" x14ac:dyDescent="0.25"/>
    <row r="19873" customFormat="1" x14ac:dyDescent="0.25"/>
    <row r="19874" customFormat="1" x14ac:dyDescent="0.25"/>
    <row r="19875" customFormat="1" x14ac:dyDescent="0.25"/>
    <row r="19876" customFormat="1" x14ac:dyDescent="0.25"/>
    <row r="19877" customFormat="1" x14ac:dyDescent="0.25"/>
    <row r="19878" customFormat="1" x14ac:dyDescent="0.25"/>
    <row r="19879" customFormat="1" x14ac:dyDescent="0.25"/>
    <row r="19880" customFormat="1" x14ac:dyDescent="0.25"/>
    <row r="19881" customFormat="1" x14ac:dyDescent="0.25"/>
    <row r="19882" customFormat="1" x14ac:dyDescent="0.25"/>
    <row r="19883" customFormat="1" x14ac:dyDescent="0.25"/>
    <row r="19884" customFormat="1" x14ac:dyDescent="0.25"/>
    <row r="19885" customFormat="1" x14ac:dyDescent="0.25"/>
    <row r="19886" customFormat="1" x14ac:dyDescent="0.25"/>
    <row r="19887" customFormat="1" x14ac:dyDescent="0.25"/>
    <row r="19888" customFormat="1" x14ac:dyDescent="0.25"/>
    <row r="19889" customFormat="1" x14ac:dyDescent="0.25"/>
    <row r="19890" customFormat="1" x14ac:dyDescent="0.25"/>
    <row r="19891" customFormat="1" x14ac:dyDescent="0.25"/>
    <row r="19892" customFormat="1" x14ac:dyDescent="0.25"/>
    <row r="19893" customFormat="1" x14ac:dyDescent="0.25"/>
    <row r="19894" customFormat="1" x14ac:dyDescent="0.25"/>
    <row r="19895" customFormat="1" x14ac:dyDescent="0.25"/>
    <row r="19896" customFormat="1" x14ac:dyDescent="0.25"/>
    <row r="19897" customFormat="1" x14ac:dyDescent="0.25"/>
    <row r="19898" customFormat="1" x14ac:dyDescent="0.25"/>
    <row r="19899" customFormat="1" x14ac:dyDescent="0.25"/>
    <row r="19900" customFormat="1" x14ac:dyDescent="0.25"/>
    <row r="19901" customFormat="1" x14ac:dyDescent="0.25"/>
    <row r="19902" customFormat="1" x14ac:dyDescent="0.25"/>
    <row r="19903" customFormat="1" x14ac:dyDescent="0.25"/>
    <row r="19904" customFormat="1" x14ac:dyDescent="0.25"/>
    <row r="19905" customFormat="1" x14ac:dyDescent="0.25"/>
    <row r="19906" customFormat="1" x14ac:dyDescent="0.25"/>
    <row r="19907" customFormat="1" x14ac:dyDescent="0.25"/>
    <row r="19908" customFormat="1" x14ac:dyDescent="0.25"/>
    <row r="19909" customFormat="1" x14ac:dyDescent="0.25"/>
    <row r="19910" customFormat="1" x14ac:dyDescent="0.25"/>
    <row r="19911" customFormat="1" x14ac:dyDescent="0.25"/>
    <row r="19912" customFormat="1" x14ac:dyDescent="0.25"/>
    <row r="19913" customFormat="1" x14ac:dyDescent="0.25"/>
    <row r="19914" customFormat="1" x14ac:dyDescent="0.25"/>
    <row r="19915" customFormat="1" x14ac:dyDescent="0.25"/>
    <row r="19916" customFormat="1" x14ac:dyDescent="0.25"/>
    <row r="19917" customFormat="1" x14ac:dyDescent="0.25"/>
    <row r="19918" customFormat="1" x14ac:dyDescent="0.25"/>
    <row r="19919" customFormat="1" x14ac:dyDescent="0.25"/>
    <row r="19920" customFormat="1" x14ac:dyDescent="0.25"/>
    <row r="19921" customFormat="1" x14ac:dyDescent="0.25"/>
    <row r="19922" customFormat="1" x14ac:dyDescent="0.25"/>
    <row r="19923" customFormat="1" x14ac:dyDescent="0.25"/>
    <row r="19924" customFormat="1" x14ac:dyDescent="0.25"/>
    <row r="19925" customFormat="1" x14ac:dyDescent="0.25"/>
    <row r="19926" customFormat="1" x14ac:dyDescent="0.25"/>
    <row r="19927" customFormat="1" x14ac:dyDescent="0.25"/>
    <row r="19928" customFormat="1" x14ac:dyDescent="0.25"/>
    <row r="19929" customFormat="1" x14ac:dyDescent="0.25"/>
    <row r="19930" customFormat="1" x14ac:dyDescent="0.25"/>
    <row r="19931" customFormat="1" x14ac:dyDescent="0.25"/>
    <row r="19932" customFormat="1" x14ac:dyDescent="0.25"/>
    <row r="19933" customFormat="1" x14ac:dyDescent="0.25"/>
    <row r="19934" customFormat="1" x14ac:dyDescent="0.25"/>
    <row r="19935" customFormat="1" x14ac:dyDescent="0.25"/>
    <row r="19936" customFormat="1" x14ac:dyDescent="0.25"/>
    <row r="19937" customFormat="1" x14ac:dyDescent="0.25"/>
    <row r="19938" customFormat="1" x14ac:dyDescent="0.25"/>
    <row r="19939" customFormat="1" x14ac:dyDescent="0.25"/>
    <row r="19940" customFormat="1" x14ac:dyDescent="0.25"/>
    <row r="19941" customFormat="1" x14ac:dyDescent="0.25"/>
    <row r="19942" customFormat="1" x14ac:dyDescent="0.25"/>
    <row r="19943" customFormat="1" x14ac:dyDescent="0.25"/>
    <row r="19944" customFormat="1" x14ac:dyDescent="0.25"/>
    <row r="19945" customFormat="1" x14ac:dyDescent="0.25"/>
    <row r="19946" customFormat="1" x14ac:dyDescent="0.25"/>
    <row r="19947" customFormat="1" x14ac:dyDescent="0.25"/>
    <row r="19948" customFormat="1" x14ac:dyDescent="0.25"/>
    <row r="19949" customFormat="1" x14ac:dyDescent="0.25"/>
    <row r="19950" customFormat="1" x14ac:dyDescent="0.25"/>
    <row r="19951" customFormat="1" x14ac:dyDescent="0.25"/>
    <row r="19952" customFormat="1" x14ac:dyDescent="0.25"/>
    <row r="19953" customFormat="1" x14ac:dyDescent="0.25"/>
    <row r="19954" customFormat="1" x14ac:dyDescent="0.25"/>
    <row r="19955" customFormat="1" x14ac:dyDescent="0.25"/>
    <row r="19956" customFormat="1" x14ac:dyDescent="0.25"/>
    <row r="19957" customFormat="1" x14ac:dyDescent="0.25"/>
    <row r="19958" customFormat="1" x14ac:dyDescent="0.25"/>
    <row r="19959" customFormat="1" x14ac:dyDescent="0.25"/>
    <row r="19960" customFormat="1" x14ac:dyDescent="0.25"/>
    <row r="19961" customFormat="1" x14ac:dyDescent="0.25"/>
    <row r="19962" customFormat="1" x14ac:dyDescent="0.25"/>
    <row r="19963" customFormat="1" x14ac:dyDescent="0.25"/>
    <row r="19964" customFormat="1" x14ac:dyDescent="0.25"/>
    <row r="19965" customFormat="1" x14ac:dyDescent="0.25"/>
    <row r="19966" customFormat="1" x14ac:dyDescent="0.25"/>
    <row r="19967" customFormat="1" x14ac:dyDescent="0.25"/>
    <row r="19968" customFormat="1" x14ac:dyDescent="0.25"/>
    <row r="19969" customFormat="1" x14ac:dyDescent="0.25"/>
    <row r="19970" customFormat="1" x14ac:dyDescent="0.25"/>
    <row r="19971" customFormat="1" x14ac:dyDescent="0.25"/>
    <row r="19972" customFormat="1" x14ac:dyDescent="0.25"/>
    <row r="19973" customFormat="1" x14ac:dyDescent="0.25"/>
    <row r="19974" customFormat="1" x14ac:dyDescent="0.25"/>
    <row r="19975" customFormat="1" x14ac:dyDescent="0.25"/>
    <row r="19976" customFormat="1" x14ac:dyDescent="0.25"/>
    <row r="19977" customFormat="1" x14ac:dyDescent="0.25"/>
    <row r="19978" customFormat="1" x14ac:dyDescent="0.25"/>
    <row r="19979" customFormat="1" x14ac:dyDescent="0.25"/>
    <row r="19980" customFormat="1" x14ac:dyDescent="0.25"/>
    <row r="19981" customFormat="1" x14ac:dyDescent="0.25"/>
    <row r="19982" customFormat="1" x14ac:dyDescent="0.25"/>
    <row r="19983" customFormat="1" x14ac:dyDescent="0.25"/>
    <row r="19984" customFormat="1" x14ac:dyDescent="0.25"/>
    <row r="19985" customFormat="1" x14ac:dyDescent="0.25"/>
    <row r="19986" customFormat="1" x14ac:dyDescent="0.25"/>
    <row r="19987" customFormat="1" x14ac:dyDescent="0.25"/>
    <row r="19988" customFormat="1" x14ac:dyDescent="0.25"/>
    <row r="19989" customFormat="1" x14ac:dyDescent="0.25"/>
    <row r="19990" customFormat="1" x14ac:dyDescent="0.25"/>
    <row r="19991" customFormat="1" x14ac:dyDescent="0.25"/>
    <row r="19992" customFormat="1" x14ac:dyDescent="0.25"/>
    <row r="19993" customFormat="1" x14ac:dyDescent="0.25"/>
    <row r="19994" customFormat="1" x14ac:dyDescent="0.25"/>
    <row r="19995" customFormat="1" x14ac:dyDescent="0.25"/>
    <row r="19996" customFormat="1" x14ac:dyDescent="0.25"/>
    <row r="19997" customFormat="1" x14ac:dyDescent="0.25"/>
    <row r="19998" customFormat="1" x14ac:dyDescent="0.25"/>
    <row r="19999" customFormat="1" x14ac:dyDescent="0.25"/>
    <row r="20000" customFormat="1" x14ac:dyDescent="0.25"/>
    <row r="20001" customFormat="1" x14ac:dyDescent="0.25"/>
    <row r="20002" customFormat="1" x14ac:dyDescent="0.25"/>
    <row r="20003" customFormat="1" x14ac:dyDescent="0.25"/>
    <row r="20004" customFormat="1" x14ac:dyDescent="0.25"/>
    <row r="20005" customFormat="1" x14ac:dyDescent="0.25"/>
    <row r="20006" customFormat="1" x14ac:dyDescent="0.25"/>
    <row r="20007" customFormat="1" x14ac:dyDescent="0.25"/>
    <row r="20008" customFormat="1" x14ac:dyDescent="0.25"/>
    <row r="20009" customFormat="1" x14ac:dyDescent="0.25"/>
    <row r="20010" customFormat="1" x14ac:dyDescent="0.25"/>
    <row r="20011" customFormat="1" x14ac:dyDescent="0.25"/>
    <row r="20012" customFormat="1" x14ac:dyDescent="0.25"/>
    <row r="20013" customFormat="1" x14ac:dyDescent="0.25"/>
    <row r="20014" customFormat="1" x14ac:dyDescent="0.25"/>
    <row r="20015" customFormat="1" x14ac:dyDescent="0.25"/>
    <row r="20016" customFormat="1" x14ac:dyDescent="0.25"/>
    <row r="20017" customFormat="1" x14ac:dyDescent="0.25"/>
    <row r="20018" customFormat="1" x14ac:dyDescent="0.25"/>
    <row r="20019" customFormat="1" x14ac:dyDescent="0.25"/>
    <row r="20020" customFormat="1" x14ac:dyDescent="0.25"/>
    <row r="20021" customFormat="1" x14ac:dyDescent="0.25"/>
    <row r="20022" customFormat="1" x14ac:dyDescent="0.25"/>
    <row r="20023" customFormat="1" x14ac:dyDescent="0.25"/>
    <row r="20024" customFormat="1" x14ac:dyDescent="0.25"/>
    <row r="20025" customFormat="1" x14ac:dyDescent="0.25"/>
    <row r="20026" customFormat="1" x14ac:dyDescent="0.25"/>
    <row r="20027" customFormat="1" x14ac:dyDescent="0.25"/>
    <row r="20028" customFormat="1" x14ac:dyDescent="0.25"/>
    <row r="20029" customFormat="1" x14ac:dyDescent="0.25"/>
    <row r="20030" customFormat="1" x14ac:dyDescent="0.25"/>
    <row r="20031" customFormat="1" x14ac:dyDescent="0.25"/>
    <row r="20032" customFormat="1" x14ac:dyDescent="0.25"/>
    <row r="20033" customFormat="1" x14ac:dyDescent="0.25"/>
    <row r="20034" customFormat="1" x14ac:dyDescent="0.25"/>
    <row r="20035" customFormat="1" x14ac:dyDescent="0.25"/>
    <row r="20036" customFormat="1" x14ac:dyDescent="0.25"/>
    <row r="20037" customFormat="1" x14ac:dyDescent="0.25"/>
    <row r="20038" customFormat="1" x14ac:dyDescent="0.25"/>
    <row r="20039" customFormat="1" x14ac:dyDescent="0.25"/>
    <row r="20040" customFormat="1" x14ac:dyDescent="0.25"/>
    <row r="20041" customFormat="1" x14ac:dyDescent="0.25"/>
    <row r="20042" customFormat="1" x14ac:dyDescent="0.25"/>
    <row r="20043" customFormat="1" x14ac:dyDescent="0.25"/>
    <row r="20044" customFormat="1" x14ac:dyDescent="0.25"/>
    <row r="20045" customFormat="1" x14ac:dyDescent="0.25"/>
    <row r="20046" customFormat="1" x14ac:dyDescent="0.25"/>
    <row r="20047" customFormat="1" x14ac:dyDescent="0.25"/>
    <row r="20048" customFormat="1" x14ac:dyDescent="0.25"/>
    <row r="20049" customFormat="1" x14ac:dyDescent="0.25"/>
    <row r="20050" customFormat="1" x14ac:dyDescent="0.25"/>
    <row r="20051" customFormat="1" x14ac:dyDescent="0.25"/>
    <row r="20052" customFormat="1" x14ac:dyDescent="0.25"/>
    <row r="20053" customFormat="1" x14ac:dyDescent="0.25"/>
    <row r="20054" customFormat="1" x14ac:dyDescent="0.25"/>
    <row r="20055" customFormat="1" x14ac:dyDescent="0.25"/>
    <row r="20056" customFormat="1" x14ac:dyDescent="0.25"/>
    <row r="20057" customFormat="1" x14ac:dyDescent="0.25"/>
    <row r="20058" customFormat="1" x14ac:dyDescent="0.25"/>
    <row r="20059" customFormat="1" x14ac:dyDescent="0.25"/>
    <row r="20060" customFormat="1" x14ac:dyDescent="0.25"/>
    <row r="20061" customFormat="1" x14ac:dyDescent="0.25"/>
    <row r="20062" customFormat="1" x14ac:dyDescent="0.25"/>
    <row r="20063" customFormat="1" x14ac:dyDescent="0.25"/>
    <row r="20064" customFormat="1" x14ac:dyDescent="0.25"/>
    <row r="20065" customFormat="1" x14ac:dyDescent="0.25"/>
    <row r="20066" customFormat="1" x14ac:dyDescent="0.25"/>
    <row r="20067" customFormat="1" x14ac:dyDescent="0.25"/>
    <row r="20068" customFormat="1" x14ac:dyDescent="0.25"/>
    <row r="20069" customFormat="1" x14ac:dyDescent="0.25"/>
    <row r="20070" customFormat="1" x14ac:dyDescent="0.25"/>
    <row r="20071" customFormat="1" x14ac:dyDescent="0.25"/>
    <row r="20072" customFormat="1" x14ac:dyDescent="0.25"/>
    <row r="20073" customFormat="1" x14ac:dyDescent="0.25"/>
    <row r="20074" customFormat="1" x14ac:dyDescent="0.25"/>
    <row r="20075" customFormat="1" x14ac:dyDescent="0.25"/>
    <row r="20076" customFormat="1" x14ac:dyDescent="0.25"/>
    <row r="20077" customFormat="1" x14ac:dyDescent="0.25"/>
    <row r="20078" customFormat="1" x14ac:dyDescent="0.25"/>
    <row r="20079" customFormat="1" x14ac:dyDescent="0.25"/>
    <row r="20080" customFormat="1" x14ac:dyDescent="0.25"/>
    <row r="20081" customFormat="1" x14ac:dyDescent="0.25"/>
    <row r="20082" customFormat="1" x14ac:dyDescent="0.25"/>
    <row r="20083" customFormat="1" x14ac:dyDescent="0.25"/>
    <row r="20084" customFormat="1" x14ac:dyDescent="0.25"/>
    <row r="20085" customFormat="1" x14ac:dyDescent="0.25"/>
    <row r="20086" customFormat="1" x14ac:dyDescent="0.25"/>
    <row r="20087" customFormat="1" x14ac:dyDescent="0.25"/>
    <row r="20088" customFormat="1" x14ac:dyDescent="0.25"/>
    <row r="20089" customFormat="1" x14ac:dyDescent="0.25"/>
    <row r="20090" customFormat="1" x14ac:dyDescent="0.25"/>
    <row r="20091" customFormat="1" x14ac:dyDescent="0.25"/>
    <row r="20092" customFormat="1" x14ac:dyDescent="0.25"/>
    <row r="20093" customFormat="1" x14ac:dyDescent="0.25"/>
    <row r="20094" customFormat="1" x14ac:dyDescent="0.25"/>
    <row r="20095" customFormat="1" x14ac:dyDescent="0.25"/>
    <row r="20096" customFormat="1" x14ac:dyDescent="0.25"/>
    <row r="20097" customFormat="1" x14ac:dyDescent="0.25"/>
    <row r="20098" customFormat="1" x14ac:dyDescent="0.25"/>
    <row r="20099" customFormat="1" x14ac:dyDescent="0.25"/>
    <row r="20100" customFormat="1" x14ac:dyDescent="0.25"/>
    <row r="20101" customFormat="1" x14ac:dyDescent="0.25"/>
    <row r="20102" customFormat="1" x14ac:dyDescent="0.25"/>
    <row r="20103" customFormat="1" x14ac:dyDescent="0.25"/>
    <row r="20104" customFormat="1" x14ac:dyDescent="0.25"/>
    <row r="20105" customFormat="1" x14ac:dyDescent="0.25"/>
    <row r="20106" customFormat="1" x14ac:dyDescent="0.25"/>
    <row r="20107" customFormat="1" x14ac:dyDescent="0.25"/>
    <row r="20108" customFormat="1" x14ac:dyDescent="0.25"/>
    <row r="20109" customFormat="1" x14ac:dyDescent="0.25"/>
    <row r="20110" customFormat="1" x14ac:dyDescent="0.25"/>
    <row r="20111" customFormat="1" x14ac:dyDescent="0.25"/>
    <row r="20112" customFormat="1" x14ac:dyDescent="0.25"/>
    <row r="20113" customFormat="1" x14ac:dyDescent="0.25"/>
    <row r="20114" customFormat="1" x14ac:dyDescent="0.25"/>
    <row r="20115" customFormat="1" x14ac:dyDescent="0.25"/>
    <row r="20116" customFormat="1" x14ac:dyDescent="0.25"/>
    <row r="20117" customFormat="1" x14ac:dyDescent="0.25"/>
    <row r="20118" customFormat="1" x14ac:dyDescent="0.25"/>
    <row r="20119" customFormat="1" x14ac:dyDescent="0.25"/>
    <row r="20120" customFormat="1" x14ac:dyDescent="0.25"/>
    <row r="20121" customFormat="1" x14ac:dyDescent="0.25"/>
    <row r="20122" customFormat="1" x14ac:dyDescent="0.25"/>
    <row r="20123" customFormat="1" x14ac:dyDescent="0.25"/>
    <row r="20124" customFormat="1" x14ac:dyDescent="0.25"/>
    <row r="20125" customFormat="1" x14ac:dyDescent="0.25"/>
    <row r="20126" customFormat="1" x14ac:dyDescent="0.25"/>
    <row r="20127" customFormat="1" x14ac:dyDescent="0.25"/>
    <row r="20128" customFormat="1" x14ac:dyDescent="0.25"/>
    <row r="20129" customFormat="1" x14ac:dyDescent="0.25"/>
    <row r="20130" customFormat="1" x14ac:dyDescent="0.25"/>
    <row r="20131" customFormat="1" x14ac:dyDescent="0.25"/>
    <row r="20132" customFormat="1" x14ac:dyDescent="0.25"/>
    <row r="20133" customFormat="1" x14ac:dyDescent="0.25"/>
    <row r="20134" customFormat="1" x14ac:dyDescent="0.25"/>
    <row r="20135" customFormat="1" x14ac:dyDescent="0.25"/>
    <row r="20136" customFormat="1" x14ac:dyDescent="0.25"/>
    <row r="20137" customFormat="1" x14ac:dyDescent="0.25"/>
    <row r="20138" customFormat="1" x14ac:dyDescent="0.25"/>
    <row r="20139" customFormat="1" x14ac:dyDescent="0.25"/>
    <row r="20140" customFormat="1" x14ac:dyDescent="0.25"/>
    <row r="20141" customFormat="1" x14ac:dyDescent="0.25"/>
    <row r="20142" customFormat="1" x14ac:dyDescent="0.25"/>
    <row r="20143" customFormat="1" x14ac:dyDescent="0.25"/>
    <row r="20144" customFormat="1" x14ac:dyDescent="0.25"/>
    <row r="20145" customFormat="1" x14ac:dyDescent="0.25"/>
    <row r="20146" customFormat="1" x14ac:dyDescent="0.25"/>
    <row r="20147" customFormat="1" x14ac:dyDescent="0.25"/>
    <row r="20148" customFormat="1" x14ac:dyDescent="0.25"/>
    <row r="20149" customFormat="1" x14ac:dyDescent="0.25"/>
    <row r="20150" customFormat="1" x14ac:dyDescent="0.25"/>
    <row r="20151" customFormat="1" x14ac:dyDescent="0.25"/>
    <row r="20152" customFormat="1" x14ac:dyDescent="0.25"/>
    <row r="20153" customFormat="1" x14ac:dyDescent="0.25"/>
    <row r="20154" customFormat="1" x14ac:dyDescent="0.25"/>
    <row r="20155" customFormat="1" x14ac:dyDescent="0.25"/>
    <row r="20156" customFormat="1" x14ac:dyDescent="0.25"/>
    <row r="20157" customFormat="1" x14ac:dyDescent="0.25"/>
    <row r="20158" customFormat="1" x14ac:dyDescent="0.25"/>
    <row r="20159" customFormat="1" x14ac:dyDescent="0.25"/>
    <row r="20160" customFormat="1" x14ac:dyDescent="0.25"/>
    <row r="20161" customFormat="1" x14ac:dyDescent="0.25"/>
    <row r="20162" customFormat="1" x14ac:dyDescent="0.25"/>
    <row r="20163" customFormat="1" x14ac:dyDescent="0.25"/>
    <row r="20164" customFormat="1" x14ac:dyDescent="0.25"/>
    <row r="20165" customFormat="1" x14ac:dyDescent="0.25"/>
    <row r="20166" customFormat="1" x14ac:dyDescent="0.25"/>
    <row r="20167" customFormat="1" x14ac:dyDescent="0.25"/>
    <row r="20168" customFormat="1" x14ac:dyDescent="0.25"/>
    <row r="20169" customFormat="1" x14ac:dyDescent="0.25"/>
    <row r="20170" customFormat="1" x14ac:dyDescent="0.25"/>
    <row r="20171" customFormat="1" x14ac:dyDescent="0.25"/>
    <row r="20172" customFormat="1" x14ac:dyDescent="0.25"/>
    <row r="20173" customFormat="1" x14ac:dyDescent="0.25"/>
    <row r="20174" customFormat="1" x14ac:dyDescent="0.25"/>
    <row r="20175" customFormat="1" x14ac:dyDescent="0.25"/>
    <row r="20176" customFormat="1" x14ac:dyDescent="0.25"/>
    <row r="20177" customFormat="1" x14ac:dyDescent="0.25"/>
    <row r="20178" customFormat="1" x14ac:dyDescent="0.25"/>
    <row r="20179" customFormat="1" x14ac:dyDescent="0.25"/>
    <row r="20180" customFormat="1" x14ac:dyDescent="0.25"/>
    <row r="20181" customFormat="1" x14ac:dyDescent="0.25"/>
    <row r="20182" customFormat="1" x14ac:dyDescent="0.25"/>
    <row r="20183" customFormat="1" x14ac:dyDescent="0.25"/>
    <row r="20184" customFormat="1" x14ac:dyDescent="0.25"/>
    <row r="20185" customFormat="1" x14ac:dyDescent="0.25"/>
    <row r="20186" customFormat="1" x14ac:dyDescent="0.25"/>
    <row r="20187" customFormat="1" x14ac:dyDescent="0.25"/>
    <row r="20188" customFormat="1" x14ac:dyDescent="0.25"/>
    <row r="20189" customFormat="1" x14ac:dyDescent="0.25"/>
    <row r="20190" customFormat="1" x14ac:dyDescent="0.25"/>
    <row r="20191" customFormat="1" x14ac:dyDescent="0.25"/>
    <row r="20192" customFormat="1" x14ac:dyDescent="0.25"/>
    <row r="20193" customFormat="1" x14ac:dyDescent="0.25"/>
    <row r="20194" customFormat="1" x14ac:dyDescent="0.25"/>
    <row r="20195" customFormat="1" x14ac:dyDescent="0.25"/>
    <row r="20196" customFormat="1" x14ac:dyDescent="0.25"/>
    <row r="20197" customFormat="1" x14ac:dyDescent="0.25"/>
    <row r="20198" customFormat="1" x14ac:dyDescent="0.25"/>
    <row r="20199" customFormat="1" x14ac:dyDescent="0.25"/>
    <row r="20200" customFormat="1" x14ac:dyDescent="0.25"/>
    <row r="20201" customFormat="1" x14ac:dyDescent="0.25"/>
    <row r="20202" customFormat="1" x14ac:dyDescent="0.25"/>
    <row r="20203" customFormat="1" x14ac:dyDescent="0.25"/>
    <row r="20204" customFormat="1" x14ac:dyDescent="0.25"/>
    <row r="20205" customFormat="1" x14ac:dyDescent="0.25"/>
    <row r="20206" customFormat="1" x14ac:dyDescent="0.25"/>
    <row r="20207" customFormat="1" x14ac:dyDescent="0.25"/>
    <row r="20208" customFormat="1" x14ac:dyDescent="0.25"/>
    <row r="20209" customFormat="1" x14ac:dyDescent="0.25"/>
    <row r="20210" customFormat="1" x14ac:dyDescent="0.25"/>
    <row r="20211" customFormat="1" x14ac:dyDescent="0.25"/>
    <row r="20212" customFormat="1" x14ac:dyDescent="0.25"/>
    <row r="20213" customFormat="1" x14ac:dyDescent="0.25"/>
    <row r="20214" customFormat="1" x14ac:dyDescent="0.25"/>
    <row r="20215" customFormat="1" x14ac:dyDescent="0.25"/>
    <row r="20216" customFormat="1" x14ac:dyDescent="0.25"/>
    <row r="20217" customFormat="1" x14ac:dyDescent="0.25"/>
    <row r="20218" customFormat="1" x14ac:dyDescent="0.25"/>
    <row r="20219" customFormat="1" x14ac:dyDescent="0.25"/>
    <row r="20220" customFormat="1" x14ac:dyDescent="0.25"/>
    <row r="20221" customFormat="1" x14ac:dyDescent="0.25"/>
    <row r="20222" customFormat="1" x14ac:dyDescent="0.25"/>
    <row r="20223" customFormat="1" x14ac:dyDescent="0.25"/>
    <row r="20224" customFormat="1" x14ac:dyDescent="0.25"/>
    <row r="20225" customFormat="1" x14ac:dyDescent="0.25"/>
    <row r="20226" customFormat="1" x14ac:dyDescent="0.25"/>
    <row r="20227" customFormat="1" x14ac:dyDescent="0.25"/>
    <row r="20228" customFormat="1" x14ac:dyDescent="0.25"/>
    <row r="20229" customFormat="1" x14ac:dyDescent="0.25"/>
    <row r="20230" customFormat="1" x14ac:dyDescent="0.25"/>
    <row r="20231" customFormat="1" x14ac:dyDescent="0.25"/>
    <row r="20232" customFormat="1" x14ac:dyDescent="0.25"/>
    <row r="20233" customFormat="1" x14ac:dyDescent="0.25"/>
    <row r="20234" customFormat="1" x14ac:dyDescent="0.25"/>
    <row r="20235" customFormat="1" x14ac:dyDescent="0.25"/>
    <row r="20236" customFormat="1" x14ac:dyDescent="0.25"/>
    <row r="20237" customFormat="1" x14ac:dyDescent="0.25"/>
    <row r="20238" customFormat="1" x14ac:dyDescent="0.25"/>
    <row r="20239" customFormat="1" x14ac:dyDescent="0.25"/>
    <row r="20240" customFormat="1" x14ac:dyDescent="0.25"/>
    <row r="20241" customFormat="1" x14ac:dyDescent="0.25"/>
    <row r="20242" customFormat="1" x14ac:dyDescent="0.25"/>
    <row r="20243" customFormat="1" x14ac:dyDescent="0.25"/>
    <row r="20244" customFormat="1" x14ac:dyDescent="0.25"/>
    <row r="20245" customFormat="1" x14ac:dyDescent="0.25"/>
    <row r="20246" customFormat="1" x14ac:dyDescent="0.25"/>
    <row r="20247" customFormat="1" x14ac:dyDescent="0.25"/>
    <row r="20248" customFormat="1" x14ac:dyDescent="0.25"/>
    <row r="20249" customFormat="1" x14ac:dyDescent="0.25"/>
    <row r="20250" customFormat="1" x14ac:dyDescent="0.25"/>
    <row r="20251" customFormat="1" x14ac:dyDescent="0.25"/>
    <row r="20252" customFormat="1" x14ac:dyDescent="0.25"/>
    <row r="20253" customFormat="1" x14ac:dyDescent="0.25"/>
    <row r="20254" customFormat="1" x14ac:dyDescent="0.25"/>
    <row r="20255" customFormat="1" x14ac:dyDescent="0.25"/>
    <row r="20256" customFormat="1" x14ac:dyDescent="0.25"/>
    <row r="20257" customFormat="1" x14ac:dyDescent="0.25"/>
    <row r="20258" customFormat="1" x14ac:dyDescent="0.25"/>
    <row r="20259" customFormat="1" x14ac:dyDescent="0.25"/>
    <row r="20260" customFormat="1" x14ac:dyDescent="0.25"/>
    <row r="20261" customFormat="1" x14ac:dyDescent="0.25"/>
    <row r="20262" customFormat="1" x14ac:dyDescent="0.25"/>
    <row r="20263" customFormat="1" x14ac:dyDescent="0.25"/>
    <row r="20264" customFormat="1" x14ac:dyDescent="0.25"/>
    <row r="20265" customFormat="1" x14ac:dyDescent="0.25"/>
    <row r="20266" customFormat="1" x14ac:dyDescent="0.25"/>
    <row r="20267" customFormat="1" x14ac:dyDescent="0.25"/>
    <row r="20268" customFormat="1" x14ac:dyDescent="0.25"/>
    <row r="20269" customFormat="1" x14ac:dyDescent="0.25"/>
    <row r="20270" customFormat="1" x14ac:dyDescent="0.25"/>
    <row r="20271" customFormat="1" x14ac:dyDescent="0.25"/>
    <row r="20272" customFormat="1" x14ac:dyDescent="0.25"/>
    <row r="20273" customFormat="1" x14ac:dyDescent="0.25"/>
    <row r="20274" customFormat="1" x14ac:dyDescent="0.25"/>
    <row r="20275" customFormat="1" x14ac:dyDescent="0.25"/>
    <row r="20276" customFormat="1" x14ac:dyDescent="0.25"/>
    <row r="20277" customFormat="1" x14ac:dyDescent="0.25"/>
    <row r="20278" customFormat="1" x14ac:dyDescent="0.25"/>
    <row r="20279" customFormat="1" x14ac:dyDescent="0.25"/>
    <row r="20280" customFormat="1" x14ac:dyDescent="0.25"/>
    <row r="20281" customFormat="1" x14ac:dyDescent="0.25"/>
    <row r="20282" customFormat="1" x14ac:dyDescent="0.25"/>
    <row r="20283" customFormat="1" x14ac:dyDescent="0.25"/>
    <row r="20284" customFormat="1" x14ac:dyDescent="0.25"/>
    <row r="20285" customFormat="1" x14ac:dyDescent="0.25"/>
    <row r="20286" customFormat="1" x14ac:dyDescent="0.25"/>
    <row r="20287" customFormat="1" x14ac:dyDescent="0.25"/>
    <row r="20288" customFormat="1" x14ac:dyDescent="0.25"/>
    <row r="20289" customFormat="1" x14ac:dyDescent="0.25"/>
    <row r="20290" customFormat="1" x14ac:dyDescent="0.25"/>
    <row r="20291" customFormat="1" x14ac:dyDescent="0.25"/>
    <row r="20292" customFormat="1" x14ac:dyDescent="0.25"/>
    <row r="20293" customFormat="1" x14ac:dyDescent="0.25"/>
    <row r="20294" customFormat="1" x14ac:dyDescent="0.25"/>
    <row r="20295" customFormat="1" x14ac:dyDescent="0.25"/>
    <row r="20296" customFormat="1" x14ac:dyDescent="0.25"/>
    <row r="20297" customFormat="1" x14ac:dyDescent="0.25"/>
    <row r="20298" customFormat="1" x14ac:dyDescent="0.25"/>
    <row r="20299" customFormat="1" x14ac:dyDescent="0.25"/>
    <row r="20300" customFormat="1" x14ac:dyDescent="0.25"/>
    <row r="20301" customFormat="1" x14ac:dyDescent="0.25"/>
    <row r="20302" customFormat="1" x14ac:dyDescent="0.25"/>
    <row r="20303" customFormat="1" x14ac:dyDescent="0.25"/>
    <row r="20304" customFormat="1" x14ac:dyDescent="0.25"/>
    <row r="20305" customFormat="1" x14ac:dyDescent="0.25"/>
    <row r="20306" customFormat="1" x14ac:dyDescent="0.25"/>
    <row r="20307" customFormat="1" x14ac:dyDescent="0.25"/>
    <row r="20308" customFormat="1" x14ac:dyDescent="0.25"/>
    <row r="20309" customFormat="1" x14ac:dyDescent="0.25"/>
    <row r="20310" customFormat="1" x14ac:dyDescent="0.25"/>
    <row r="20311" customFormat="1" x14ac:dyDescent="0.25"/>
    <row r="20312" customFormat="1" x14ac:dyDescent="0.25"/>
    <row r="20313" customFormat="1" x14ac:dyDescent="0.25"/>
    <row r="20314" customFormat="1" x14ac:dyDescent="0.25"/>
    <row r="20315" customFormat="1" x14ac:dyDescent="0.25"/>
    <row r="20316" customFormat="1" x14ac:dyDescent="0.25"/>
    <row r="20317" customFormat="1" x14ac:dyDescent="0.25"/>
    <row r="20318" customFormat="1" x14ac:dyDescent="0.25"/>
    <row r="20319" customFormat="1" x14ac:dyDescent="0.25"/>
    <row r="20320" customFormat="1" x14ac:dyDescent="0.25"/>
    <row r="20321" customFormat="1" x14ac:dyDescent="0.25"/>
    <row r="20322" customFormat="1" x14ac:dyDescent="0.25"/>
    <row r="20323" customFormat="1" x14ac:dyDescent="0.25"/>
    <row r="20324" customFormat="1" x14ac:dyDescent="0.25"/>
    <row r="20325" customFormat="1" x14ac:dyDescent="0.25"/>
    <row r="20326" customFormat="1" x14ac:dyDescent="0.25"/>
    <row r="20327" customFormat="1" x14ac:dyDescent="0.25"/>
    <row r="20328" customFormat="1" x14ac:dyDescent="0.25"/>
    <row r="20329" customFormat="1" x14ac:dyDescent="0.25"/>
    <row r="20330" customFormat="1" x14ac:dyDescent="0.25"/>
    <row r="20331" customFormat="1" x14ac:dyDescent="0.25"/>
    <row r="20332" customFormat="1" x14ac:dyDescent="0.25"/>
    <row r="20333" customFormat="1" x14ac:dyDescent="0.25"/>
    <row r="20334" customFormat="1" x14ac:dyDescent="0.25"/>
    <row r="20335" customFormat="1" x14ac:dyDescent="0.25"/>
    <row r="20336" customFormat="1" x14ac:dyDescent="0.25"/>
    <row r="20337" customFormat="1" x14ac:dyDescent="0.25"/>
    <row r="20338" customFormat="1" x14ac:dyDescent="0.25"/>
    <row r="20339" customFormat="1" x14ac:dyDescent="0.25"/>
    <row r="20340" customFormat="1" x14ac:dyDescent="0.25"/>
    <row r="20341" customFormat="1" x14ac:dyDescent="0.25"/>
    <row r="20342" customFormat="1" x14ac:dyDescent="0.25"/>
    <row r="20343" customFormat="1" x14ac:dyDescent="0.25"/>
    <row r="20344" customFormat="1" x14ac:dyDescent="0.25"/>
    <row r="20345" customFormat="1" x14ac:dyDescent="0.25"/>
    <row r="20346" customFormat="1" x14ac:dyDescent="0.25"/>
    <row r="20347" customFormat="1" x14ac:dyDescent="0.25"/>
    <row r="20348" customFormat="1" x14ac:dyDescent="0.25"/>
    <row r="20349" customFormat="1" x14ac:dyDescent="0.25"/>
    <row r="20350" customFormat="1" x14ac:dyDescent="0.25"/>
    <row r="20351" customFormat="1" x14ac:dyDescent="0.25"/>
    <row r="20352" customFormat="1" x14ac:dyDescent="0.25"/>
    <row r="20353" customFormat="1" x14ac:dyDescent="0.25"/>
    <row r="20354" customFormat="1" x14ac:dyDescent="0.25"/>
    <row r="20355" customFormat="1" x14ac:dyDescent="0.25"/>
    <row r="20356" customFormat="1" x14ac:dyDescent="0.25"/>
    <row r="20357" customFormat="1" x14ac:dyDescent="0.25"/>
    <row r="20358" customFormat="1" x14ac:dyDescent="0.25"/>
    <row r="20359" customFormat="1" x14ac:dyDescent="0.25"/>
    <row r="20360" customFormat="1" x14ac:dyDescent="0.25"/>
    <row r="20361" customFormat="1" x14ac:dyDescent="0.25"/>
    <row r="20362" customFormat="1" x14ac:dyDescent="0.25"/>
    <row r="20363" customFormat="1" x14ac:dyDescent="0.25"/>
    <row r="20364" customFormat="1" x14ac:dyDescent="0.25"/>
    <row r="20365" customFormat="1" x14ac:dyDescent="0.25"/>
    <row r="20366" customFormat="1" x14ac:dyDescent="0.25"/>
    <row r="20367" customFormat="1" x14ac:dyDescent="0.25"/>
    <row r="20368" customFormat="1" x14ac:dyDescent="0.25"/>
    <row r="20369" customFormat="1" x14ac:dyDescent="0.25"/>
    <row r="20370" customFormat="1" x14ac:dyDescent="0.25"/>
    <row r="20371" customFormat="1" x14ac:dyDescent="0.25"/>
    <row r="20372" customFormat="1" x14ac:dyDescent="0.25"/>
    <row r="20373" customFormat="1" x14ac:dyDescent="0.25"/>
    <row r="20374" customFormat="1" x14ac:dyDescent="0.25"/>
    <row r="20375" customFormat="1" x14ac:dyDescent="0.25"/>
    <row r="20376" customFormat="1" x14ac:dyDescent="0.25"/>
    <row r="20377" customFormat="1" x14ac:dyDescent="0.25"/>
    <row r="20378" customFormat="1" x14ac:dyDescent="0.25"/>
    <row r="20379" customFormat="1" x14ac:dyDescent="0.25"/>
    <row r="20380" customFormat="1" x14ac:dyDescent="0.25"/>
    <row r="20381" customFormat="1" x14ac:dyDescent="0.25"/>
    <row r="20382" customFormat="1" x14ac:dyDescent="0.25"/>
    <row r="20383" customFormat="1" x14ac:dyDescent="0.25"/>
    <row r="20384" customFormat="1" x14ac:dyDescent="0.25"/>
    <row r="20385" customFormat="1" x14ac:dyDescent="0.25"/>
    <row r="20386" customFormat="1" x14ac:dyDescent="0.25"/>
    <row r="20387" customFormat="1" x14ac:dyDescent="0.25"/>
    <row r="20388" customFormat="1" x14ac:dyDescent="0.25"/>
    <row r="20389" customFormat="1" x14ac:dyDescent="0.25"/>
    <row r="20390" customFormat="1" x14ac:dyDescent="0.25"/>
    <row r="20391" customFormat="1" x14ac:dyDescent="0.25"/>
    <row r="20392" customFormat="1" x14ac:dyDescent="0.25"/>
    <row r="20393" customFormat="1" x14ac:dyDescent="0.25"/>
    <row r="20394" customFormat="1" x14ac:dyDescent="0.25"/>
    <row r="20395" customFormat="1" x14ac:dyDescent="0.25"/>
    <row r="20396" customFormat="1" x14ac:dyDescent="0.25"/>
    <row r="20397" customFormat="1" x14ac:dyDescent="0.25"/>
    <row r="20398" customFormat="1" x14ac:dyDescent="0.25"/>
    <row r="20399" customFormat="1" x14ac:dyDescent="0.25"/>
    <row r="20400" customFormat="1" x14ac:dyDescent="0.25"/>
    <row r="20401" customFormat="1" x14ac:dyDescent="0.25"/>
    <row r="20402" customFormat="1" x14ac:dyDescent="0.25"/>
    <row r="20403" customFormat="1" x14ac:dyDescent="0.25"/>
    <row r="20404" customFormat="1" x14ac:dyDescent="0.25"/>
    <row r="20405" customFormat="1" x14ac:dyDescent="0.25"/>
    <row r="20406" customFormat="1" x14ac:dyDescent="0.25"/>
    <row r="20407" customFormat="1" x14ac:dyDescent="0.25"/>
    <row r="20408" customFormat="1" x14ac:dyDescent="0.25"/>
    <row r="20409" customFormat="1" x14ac:dyDescent="0.25"/>
    <row r="20410" customFormat="1" x14ac:dyDescent="0.25"/>
    <row r="20411" customFormat="1" x14ac:dyDescent="0.25"/>
    <row r="20412" customFormat="1" x14ac:dyDescent="0.25"/>
    <row r="20413" customFormat="1" x14ac:dyDescent="0.25"/>
    <row r="20414" customFormat="1" x14ac:dyDescent="0.25"/>
    <row r="20415" customFormat="1" x14ac:dyDescent="0.25"/>
    <row r="20416" customFormat="1" x14ac:dyDescent="0.25"/>
    <row r="20417" customFormat="1" x14ac:dyDescent="0.25"/>
    <row r="20418" customFormat="1" x14ac:dyDescent="0.25"/>
    <row r="20419" customFormat="1" x14ac:dyDescent="0.25"/>
    <row r="20420" customFormat="1" x14ac:dyDescent="0.25"/>
    <row r="20421" customFormat="1" x14ac:dyDescent="0.25"/>
    <row r="20422" customFormat="1" x14ac:dyDescent="0.25"/>
    <row r="20423" customFormat="1" x14ac:dyDescent="0.25"/>
    <row r="20424" customFormat="1" x14ac:dyDescent="0.25"/>
    <row r="20425" customFormat="1" x14ac:dyDescent="0.25"/>
    <row r="20426" customFormat="1" x14ac:dyDescent="0.25"/>
    <row r="20427" customFormat="1" x14ac:dyDescent="0.25"/>
    <row r="20428" customFormat="1" x14ac:dyDescent="0.25"/>
    <row r="20429" customFormat="1" x14ac:dyDescent="0.25"/>
    <row r="20430" customFormat="1" x14ac:dyDescent="0.25"/>
    <row r="20431" customFormat="1" x14ac:dyDescent="0.25"/>
    <row r="20432" customFormat="1" x14ac:dyDescent="0.25"/>
    <row r="20433" customFormat="1" x14ac:dyDescent="0.25"/>
    <row r="20434" customFormat="1" x14ac:dyDescent="0.25"/>
    <row r="20435" customFormat="1" x14ac:dyDescent="0.25"/>
    <row r="20436" customFormat="1" x14ac:dyDescent="0.25"/>
    <row r="20437" customFormat="1" x14ac:dyDescent="0.25"/>
    <row r="20438" customFormat="1" x14ac:dyDescent="0.25"/>
    <row r="20439" customFormat="1" x14ac:dyDescent="0.25"/>
    <row r="20440" customFormat="1" x14ac:dyDescent="0.25"/>
    <row r="20441" customFormat="1" x14ac:dyDescent="0.25"/>
    <row r="20442" customFormat="1" x14ac:dyDescent="0.25"/>
    <row r="20443" customFormat="1" x14ac:dyDescent="0.25"/>
    <row r="20444" customFormat="1" x14ac:dyDescent="0.25"/>
    <row r="20445" customFormat="1" x14ac:dyDescent="0.25"/>
    <row r="20446" customFormat="1" x14ac:dyDescent="0.25"/>
    <row r="20447" customFormat="1" x14ac:dyDescent="0.25"/>
    <row r="20448" customFormat="1" x14ac:dyDescent="0.25"/>
    <row r="20449" customFormat="1" x14ac:dyDescent="0.25"/>
    <row r="20450" customFormat="1" x14ac:dyDescent="0.25"/>
    <row r="20451" customFormat="1" x14ac:dyDescent="0.25"/>
    <row r="20452" customFormat="1" x14ac:dyDescent="0.25"/>
    <row r="20453" customFormat="1" x14ac:dyDescent="0.25"/>
    <row r="20454" customFormat="1" x14ac:dyDescent="0.25"/>
    <row r="20455" customFormat="1" x14ac:dyDescent="0.25"/>
    <row r="20456" customFormat="1" x14ac:dyDescent="0.25"/>
    <row r="20457" customFormat="1" x14ac:dyDescent="0.25"/>
    <row r="20458" customFormat="1" x14ac:dyDescent="0.25"/>
    <row r="20459" customFormat="1" x14ac:dyDescent="0.25"/>
    <row r="20460" customFormat="1" x14ac:dyDescent="0.25"/>
    <row r="20461" customFormat="1" x14ac:dyDescent="0.25"/>
    <row r="20462" customFormat="1" x14ac:dyDescent="0.25"/>
    <row r="20463" customFormat="1" x14ac:dyDescent="0.25"/>
    <row r="20464" customFormat="1" x14ac:dyDescent="0.25"/>
    <row r="20465" customFormat="1" x14ac:dyDescent="0.25"/>
    <row r="20466" customFormat="1" x14ac:dyDescent="0.25"/>
    <row r="20467" customFormat="1" x14ac:dyDescent="0.25"/>
    <row r="20468" customFormat="1" x14ac:dyDescent="0.25"/>
    <row r="20469" customFormat="1" x14ac:dyDescent="0.25"/>
    <row r="20470" customFormat="1" x14ac:dyDescent="0.25"/>
    <row r="20471" customFormat="1" x14ac:dyDescent="0.25"/>
    <row r="20472" customFormat="1" x14ac:dyDescent="0.25"/>
    <row r="20473" customFormat="1" x14ac:dyDescent="0.25"/>
    <row r="20474" customFormat="1" x14ac:dyDescent="0.25"/>
    <row r="20475" customFormat="1" x14ac:dyDescent="0.25"/>
    <row r="20476" customFormat="1" x14ac:dyDescent="0.25"/>
    <row r="20477" customFormat="1" x14ac:dyDescent="0.25"/>
    <row r="20478" customFormat="1" x14ac:dyDescent="0.25"/>
    <row r="20479" customFormat="1" x14ac:dyDescent="0.25"/>
    <row r="20480" customFormat="1" x14ac:dyDescent="0.25"/>
    <row r="20481" customFormat="1" x14ac:dyDescent="0.25"/>
    <row r="20482" customFormat="1" x14ac:dyDescent="0.25"/>
    <row r="20483" customFormat="1" x14ac:dyDescent="0.25"/>
    <row r="20484" customFormat="1" x14ac:dyDescent="0.25"/>
    <row r="20485" customFormat="1" x14ac:dyDescent="0.25"/>
    <row r="20486" customFormat="1" x14ac:dyDescent="0.25"/>
    <row r="20487" customFormat="1" x14ac:dyDescent="0.25"/>
    <row r="20488" customFormat="1" x14ac:dyDescent="0.25"/>
    <row r="20489" customFormat="1" x14ac:dyDescent="0.25"/>
    <row r="20490" customFormat="1" x14ac:dyDescent="0.25"/>
    <row r="20491" customFormat="1" x14ac:dyDescent="0.25"/>
    <row r="20492" customFormat="1" x14ac:dyDescent="0.25"/>
    <row r="20493" customFormat="1" x14ac:dyDescent="0.25"/>
    <row r="20494" customFormat="1" x14ac:dyDescent="0.25"/>
    <row r="20495" customFormat="1" x14ac:dyDescent="0.25"/>
    <row r="20496" customFormat="1" x14ac:dyDescent="0.25"/>
    <row r="20497" customFormat="1" x14ac:dyDescent="0.25"/>
    <row r="20498" customFormat="1" x14ac:dyDescent="0.25"/>
    <row r="20499" customFormat="1" x14ac:dyDescent="0.25"/>
    <row r="20500" customFormat="1" x14ac:dyDescent="0.25"/>
    <row r="20501" customFormat="1" x14ac:dyDescent="0.25"/>
    <row r="20502" customFormat="1" x14ac:dyDescent="0.25"/>
    <row r="20503" customFormat="1" x14ac:dyDescent="0.25"/>
    <row r="20504" customFormat="1" x14ac:dyDescent="0.25"/>
    <row r="20505" customFormat="1" x14ac:dyDescent="0.25"/>
    <row r="20506" customFormat="1" x14ac:dyDescent="0.25"/>
    <row r="20507" customFormat="1" x14ac:dyDescent="0.25"/>
    <row r="20508" customFormat="1" x14ac:dyDescent="0.25"/>
    <row r="20509" customFormat="1" x14ac:dyDescent="0.25"/>
    <row r="20510" customFormat="1" x14ac:dyDescent="0.25"/>
    <row r="20511" customFormat="1" x14ac:dyDescent="0.25"/>
    <row r="20512" customFormat="1" x14ac:dyDescent="0.25"/>
    <row r="20513" customFormat="1" x14ac:dyDescent="0.25"/>
    <row r="20514" customFormat="1" x14ac:dyDescent="0.25"/>
    <row r="20515" customFormat="1" x14ac:dyDescent="0.25"/>
    <row r="20516" customFormat="1" x14ac:dyDescent="0.25"/>
    <row r="20517" customFormat="1" x14ac:dyDescent="0.25"/>
    <row r="20518" customFormat="1" x14ac:dyDescent="0.25"/>
    <row r="20519" customFormat="1" x14ac:dyDescent="0.25"/>
    <row r="20520" customFormat="1" x14ac:dyDescent="0.25"/>
    <row r="20521" customFormat="1" x14ac:dyDescent="0.25"/>
    <row r="20522" customFormat="1" x14ac:dyDescent="0.25"/>
    <row r="20523" customFormat="1" x14ac:dyDescent="0.25"/>
    <row r="20524" customFormat="1" x14ac:dyDescent="0.25"/>
    <row r="20525" customFormat="1" x14ac:dyDescent="0.25"/>
    <row r="20526" customFormat="1" x14ac:dyDescent="0.25"/>
    <row r="20527" customFormat="1" x14ac:dyDescent="0.25"/>
    <row r="20528" customFormat="1" x14ac:dyDescent="0.25"/>
    <row r="20529" customFormat="1" x14ac:dyDescent="0.25"/>
    <row r="20530" customFormat="1" x14ac:dyDescent="0.25"/>
    <row r="20531" customFormat="1" x14ac:dyDescent="0.25"/>
    <row r="20532" customFormat="1" x14ac:dyDescent="0.25"/>
    <row r="20533" customFormat="1" x14ac:dyDescent="0.25"/>
    <row r="20534" customFormat="1" x14ac:dyDescent="0.25"/>
    <row r="20535" customFormat="1" x14ac:dyDescent="0.25"/>
    <row r="20536" customFormat="1" x14ac:dyDescent="0.25"/>
    <row r="20537" customFormat="1" x14ac:dyDescent="0.25"/>
    <row r="20538" customFormat="1" x14ac:dyDescent="0.25"/>
    <row r="20539" customFormat="1" x14ac:dyDescent="0.25"/>
    <row r="20540" customFormat="1" x14ac:dyDescent="0.25"/>
    <row r="20541" customFormat="1" x14ac:dyDescent="0.25"/>
    <row r="20542" customFormat="1" x14ac:dyDescent="0.25"/>
    <row r="20543" customFormat="1" x14ac:dyDescent="0.25"/>
    <row r="20544" customFormat="1" x14ac:dyDescent="0.25"/>
    <row r="20545" customFormat="1" x14ac:dyDescent="0.25"/>
    <row r="20546" customFormat="1" x14ac:dyDescent="0.25"/>
    <row r="20547" customFormat="1" x14ac:dyDescent="0.25"/>
    <row r="20548" customFormat="1" x14ac:dyDescent="0.25"/>
    <row r="20549" customFormat="1" x14ac:dyDescent="0.25"/>
    <row r="20550" customFormat="1" x14ac:dyDescent="0.25"/>
    <row r="20551" customFormat="1" x14ac:dyDescent="0.25"/>
    <row r="20552" customFormat="1" x14ac:dyDescent="0.25"/>
    <row r="20553" customFormat="1" x14ac:dyDescent="0.25"/>
    <row r="20554" customFormat="1" x14ac:dyDescent="0.25"/>
    <row r="20555" customFormat="1" x14ac:dyDescent="0.25"/>
    <row r="20556" customFormat="1" x14ac:dyDescent="0.25"/>
    <row r="20557" customFormat="1" x14ac:dyDescent="0.25"/>
    <row r="20558" customFormat="1" x14ac:dyDescent="0.25"/>
    <row r="20559" customFormat="1" x14ac:dyDescent="0.25"/>
    <row r="20560" customFormat="1" x14ac:dyDescent="0.25"/>
    <row r="20561" customFormat="1" x14ac:dyDescent="0.25"/>
    <row r="20562" customFormat="1" x14ac:dyDescent="0.25"/>
    <row r="20563" customFormat="1" x14ac:dyDescent="0.25"/>
    <row r="20564" customFormat="1" x14ac:dyDescent="0.25"/>
    <row r="20565" customFormat="1" x14ac:dyDescent="0.25"/>
    <row r="20566" customFormat="1" x14ac:dyDescent="0.25"/>
    <row r="20567" customFormat="1" x14ac:dyDescent="0.25"/>
    <row r="20568" customFormat="1" x14ac:dyDescent="0.25"/>
    <row r="20569" customFormat="1" x14ac:dyDescent="0.25"/>
    <row r="20570" customFormat="1" x14ac:dyDescent="0.25"/>
    <row r="20571" customFormat="1" x14ac:dyDescent="0.25"/>
    <row r="20572" customFormat="1" x14ac:dyDescent="0.25"/>
    <row r="20573" customFormat="1" x14ac:dyDescent="0.25"/>
    <row r="20574" customFormat="1" x14ac:dyDescent="0.25"/>
    <row r="20575" customFormat="1" x14ac:dyDescent="0.25"/>
    <row r="20576" customFormat="1" x14ac:dyDescent="0.25"/>
    <row r="20577" customFormat="1" x14ac:dyDescent="0.25"/>
    <row r="20578" customFormat="1" x14ac:dyDescent="0.25"/>
    <row r="20579" customFormat="1" x14ac:dyDescent="0.25"/>
    <row r="20580" customFormat="1" x14ac:dyDescent="0.25"/>
    <row r="20581" customFormat="1" x14ac:dyDescent="0.25"/>
    <row r="20582" customFormat="1" x14ac:dyDescent="0.25"/>
    <row r="20583" customFormat="1" x14ac:dyDescent="0.25"/>
    <row r="20584" customFormat="1" x14ac:dyDescent="0.25"/>
    <row r="20585" customFormat="1" x14ac:dyDescent="0.25"/>
    <row r="20586" customFormat="1" x14ac:dyDescent="0.25"/>
    <row r="20587" customFormat="1" x14ac:dyDescent="0.25"/>
    <row r="20588" customFormat="1" x14ac:dyDescent="0.25"/>
    <row r="20589" customFormat="1" x14ac:dyDescent="0.25"/>
    <row r="20590" customFormat="1" x14ac:dyDescent="0.25"/>
    <row r="20591" customFormat="1" x14ac:dyDescent="0.25"/>
    <row r="20592" customFormat="1" x14ac:dyDescent="0.25"/>
    <row r="20593" customFormat="1" x14ac:dyDescent="0.25"/>
    <row r="20594" customFormat="1" x14ac:dyDescent="0.25"/>
    <row r="20595" customFormat="1" x14ac:dyDescent="0.25"/>
    <row r="20596" customFormat="1" x14ac:dyDescent="0.25"/>
    <row r="20597" customFormat="1" x14ac:dyDescent="0.25"/>
    <row r="20598" customFormat="1" x14ac:dyDescent="0.25"/>
    <row r="20599" customFormat="1" x14ac:dyDescent="0.25"/>
    <row r="20600" customFormat="1" x14ac:dyDescent="0.25"/>
    <row r="20601" customFormat="1" x14ac:dyDescent="0.25"/>
    <row r="20602" customFormat="1" x14ac:dyDescent="0.25"/>
    <row r="20603" customFormat="1" x14ac:dyDescent="0.25"/>
    <row r="20604" customFormat="1" x14ac:dyDescent="0.25"/>
    <row r="20605" customFormat="1" x14ac:dyDescent="0.25"/>
    <row r="20606" customFormat="1" x14ac:dyDescent="0.25"/>
    <row r="20607" customFormat="1" x14ac:dyDescent="0.25"/>
    <row r="20608" customFormat="1" x14ac:dyDescent="0.25"/>
    <row r="20609" customFormat="1" x14ac:dyDescent="0.25"/>
    <row r="20610" customFormat="1" x14ac:dyDescent="0.25"/>
    <row r="20611" customFormat="1" x14ac:dyDescent="0.25"/>
    <row r="20612" customFormat="1" x14ac:dyDescent="0.25"/>
    <row r="20613" customFormat="1" x14ac:dyDescent="0.25"/>
    <row r="20614" customFormat="1" x14ac:dyDescent="0.25"/>
    <row r="20615" customFormat="1" x14ac:dyDescent="0.25"/>
    <row r="20616" customFormat="1" x14ac:dyDescent="0.25"/>
    <row r="20617" customFormat="1" x14ac:dyDescent="0.25"/>
    <row r="20618" customFormat="1" x14ac:dyDescent="0.25"/>
    <row r="20619" customFormat="1" x14ac:dyDescent="0.25"/>
    <row r="20620" customFormat="1" x14ac:dyDescent="0.25"/>
    <row r="20621" customFormat="1" x14ac:dyDescent="0.25"/>
    <row r="20622" customFormat="1" x14ac:dyDescent="0.25"/>
    <row r="20623" customFormat="1" x14ac:dyDescent="0.25"/>
    <row r="20624" customFormat="1" x14ac:dyDescent="0.25"/>
    <row r="20625" customFormat="1" x14ac:dyDescent="0.25"/>
    <row r="20626" customFormat="1" x14ac:dyDescent="0.25"/>
    <row r="20627" customFormat="1" x14ac:dyDescent="0.25"/>
    <row r="20628" customFormat="1" x14ac:dyDescent="0.25"/>
    <row r="20629" customFormat="1" x14ac:dyDescent="0.25"/>
    <row r="20630" customFormat="1" x14ac:dyDescent="0.25"/>
    <row r="20631" customFormat="1" x14ac:dyDescent="0.25"/>
    <row r="20632" customFormat="1" x14ac:dyDescent="0.25"/>
    <row r="20633" customFormat="1" x14ac:dyDescent="0.25"/>
    <row r="20634" customFormat="1" x14ac:dyDescent="0.25"/>
    <row r="20635" customFormat="1" x14ac:dyDescent="0.25"/>
    <row r="20636" customFormat="1" x14ac:dyDescent="0.25"/>
    <row r="20637" customFormat="1" x14ac:dyDescent="0.25"/>
    <row r="20638" customFormat="1" x14ac:dyDescent="0.25"/>
    <row r="20639" customFormat="1" x14ac:dyDescent="0.25"/>
    <row r="20640" customFormat="1" x14ac:dyDescent="0.25"/>
    <row r="20641" customFormat="1" x14ac:dyDescent="0.25"/>
    <row r="20642" customFormat="1" x14ac:dyDescent="0.25"/>
    <row r="20643" customFormat="1" x14ac:dyDescent="0.25"/>
    <row r="20644" customFormat="1" x14ac:dyDescent="0.25"/>
    <row r="20645" customFormat="1" x14ac:dyDescent="0.25"/>
    <row r="20646" customFormat="1" x14ac:dyDescent="0.25"/>
    <row r="20647" customFormat="1" x14ac:dyDescent="0.25"/>
    <row r="20648" customFormat="1" x14ac:dyDescent="0.25"/>
    <row r="20649" customFormat="1" x14ac:dyDescent="0.25"/>
    <row r="20650" customFormat="1" x14ac:dyDescent="0.25"/>
    <row r="20651" customFormat="1" x14ac:dyDescent="0.25"/>
    <row r="20652" customFormat="1" x14ac:dyDescent="0.25"/>
    <row r="20653" customFormat="1" x14ac:dyDescent="0.25"/>
    <row r="20654" customFormat="1" x14ac:dyDescent="0.25"/>
    <row r="20655" customFormat="1" x14ac:dyDescent="0.25"/>
    <row r="20656" customFormat="1" x14ac:dyDescent="0.25"/>
    <row r="20657" customFormat="1" x14ac:dyDescent="0.25"/>
    <row r="20658" customFormat="1" x14ac:dyDescent="0.25"/>
    <row r="20659" customFormat="1" x14ac:dyDescent="0.25"/>
    <row r="20660" customFormat="1" x14ac:dyDescent="0.25"/>
    <row r="20661" customFormat="1" x14ac:dyDescent="0.25"/>
    <row r="20662" customFormat="1" x14ac:dyDescent="0.25"/>
    <row r="20663" customFormat="1" x14ac:dyDescent="0.25"/>
    <row r="20664" customFormat="1" x14ac:dyDescent="0.25"/>
    <row r="20665" customFormat="1" x14ac:dyDescent="0.25"/>
    <row r="20666" customFormat="1" x14ac:dyDescent="0.25"/>
    <row r="20667" customFormat="1" x14ac:dyDescent="0.25"/>
    <row r="20668" customFormat="1" x14ac:dyDescent="0.25"/>
    <row r="20669" customFormat="1" x14ac:dyDescent="0.25"/>
    <row r="20670" customFormat="1" x14ac:dyDescent="0.25"/>
    <row r="20671" customFormat="1" x14ac:dyDescent="0.25"/>
    <row r="20672" customFormat="1" x14ac:dyDescent="0.25"/>
    <row r="20673" customFormat="1" x14ac:dyDescent="0.25"/>
    <row r="20674" customFormat="1" x14ac:dyDescent="0.25"/>
    <row r="20675" customFormat="1" x14ac:dyDescent="0.25"/>
    <row r="20676" customFormat="1" x14ac:dyDescent="0.25"/>
    <row r="20677" customFormat="1" x14ac:dyDescent="0.25"/>
    <row r="20678" customFormat="1" x14ac:dyDescent="0.25"/>
    <row r="20679" customFormat="1" x14ac:dyDescent="0.25"/>
    <row r="20680" customFormat="1" x14ac:dyDescent="0.25"/>
    <row r="20681" customFormat="1" x14ac:dyDescent="0.25"/>
    <row r="20682" customFormat="1" x14ac:dyDescent="0.25"/>
    <row r="20683" customFormat="1" x14ac:dyDescent="0.25"/>
    <row r="20684" customFormat="1" x14ac:dyDescent="0.25"/>
    <row r="20685" customFormat="1" x14ac:dyDescent="0.25"/>
    <row r="20686" customFormat="1" x14ac:dyDescent="0.25"/>
    <row r="20687" customFormat="1" x14ac:dyDescent="0.25"/>
    <row r="20688" customFormat="1" x14ac:dyDescent="0.25"/>
    <row r="20689" customFormat="1" x14ac:dyDescent="0.25"/>
    <row r="20690" customFormat="1" x14ac:dyDescent="0.25"/>
    <row r="20691" customFormat="1" x14ac:dyDescent="0.25"/>
    <row r="20692" customFormat="1" x14ac:dyDescent="0.25"/>
    <row r="20693" customFormat="1" x14ac:dyDescent="0.25"/>
    <row r="20694" customFormat="1" x14ac:dyDescent="0.25"/>
    <row r="20695" customFormat="1" x14ac:dyDescent="0.25"/>
    <row r="20696" customFormat="1" x14ac:dyDescent="0.25"/>
    <row r="20697" customFormat="1" x14ac:dyDescent="0.25"/>
    <row r="20698" customFormat="1" x14ac:dyDescent="0.25"/>
    <row r="20699" customFormat="1" x14ac:dyDescent="0.25"/>
    <row r="20700" customFormat="1" x14ac:dyDescent="0.25"/>
    <row r="20701" customFormat="1" x14ac:dyDescent="0.25"/>
    <row r="20702" customFormat="1" x14ac:dyDescent="0.25"/>
    <row r="20703" customFormat="1" x14ac:dyDescent="0.25"/>
    <row r="20704" customFormat="1" x14ac:dyDescent="0.25"/>
    <row r="20705" customFormat="1" x14ac:dyDescent="0.25"/>
    <row r="20706" customFormat="1" x14ac:dyDescent="0.25"/>
    <row r="20707" customFormat="1" x14ac:dyDescent="0.25"/>
    <row r="20708" customFormat="1" x14ac:dyDescent="0.25"/>
    <row r="20709" customFormat="1" x14ac:dyDescent="0.25"/>
    <row r="20710" customFormat="1" x14ac:dyDescent="0.25"/>
    <row r="20711" customFormat="1" x14ac:dyDescent="0.25"/>
    <row r="20712" customFormat="1" x14ac:dyDescent="0.25"/>
    <row r="20713" customFormat="1" x14ac:dyDescent="0.25"/>
    <row r="20714" customFormat="1" x14ac:dyDescent="0.25"/>
    <row r="20715" customFormat="1" x14ac:dyDescent="0.25"/>
    <row r="20716" customFormat="1" x14ac:dyDescent="0.25"/>
    <row r="20717" customFormat="1" x14ac:dyDescent="0.25"/>
    <row r="20718" customFormat="1" x14ac:dyDescent="0.25"/>
    <row r="20719" customFormat="1" x14ac:dyDescent="0.25"/>
    <row r="20720" customFormat="1" x14ac:dyDescent="0.25"/>
    <row r="20721" customFormat="1" x14ac:dyDescent="0.25"/>
    <row r="20722" customFormat="1" x14ac:dyDescent="0.25"/>
    <row r="20723" customFormat="1" x14ac:dyDescent="0.25"/>
    <row r="20724" customFormat="1" x14ac:dyDescent="0.25"/>
    <row r="20725" customFormat="1" x14ac:dyDescent="0.25"/>
    <row r="20726" customFormat="1" x14ac:dyDescent="0.25"/>
    <row r="20727" customFormat="1" x14ac:dyDescent="0.25"/>
    <row r="20728" customFormat="1" x14ac:dyDescent="0.25"/>
    <row r="20729" customFormat="1" x14ac:dyDescent="0.25"/>
    <row r="20730" customFormat="1" x14ac:dyDescent="0.25"/>
    <row r="20731" customFormat="1" x14ac:dyDescent="0.25"/>
    <row r="20732" customFormat="1" x14ac:dyDescent="0.25"/>
    <row r="20733" customFormat="1" x14ac:dyDescent="0.25"/>
    <row r="20734" customFormat="1" x14ac:dyDescent="0.25"/>
    <row r="20735" customFormat="1" x14ac:dyDescent="0.25"/>
    <row r="20736" customFormat="1" x14ac:dyDescent="0.25"/>
    <row r="20737" customFormat="1" x14ac:dyDescent="0.25"/>
    <row r="20738" customFormat="1" x14ac:dyDescent="0.25"/>
    <row r="20739" customFormat="1" x14ac:dyDescent="0.25"/>
    <row r="20740" customFormat="1" x14ac:dyDescent="0.25"/>
    <row r="20741" customFormat="1" x14ac:dyDescent="0.25"/>
    <row r="20742" customFormat="1" x14ac:dyDescent="0.25"/>
    <row r="20743" customFormat="1" x14ac:dyDescent="0.25"/>
    <row r="20744" customFormat="1" x14ac:dyDescent="0.25"/>
    <row r="20745" customFormat="1" x14ac:dyDescent="0.25"/>
    <row r="20746" customFormat="1" x14ac:dyDescent="0.25"/>
    <row r="20747" customFormat="1" x14ac:dyDescent="0.25"/>
    <row r="20748" customFormat="1" x14ac:dyDescent="0.25"/>
    <row r="20749" customFormat="1" x14ac:dyDescent="0.25"/>
    <row r="20750" customFormat="1" x14ac:dyDescent="0.25"/>
    <row r="20751" customFormat="1" x14ac:dyDescent="0.25"/>
    <row r="20752" customFormat="1" x14ac:dyDescent="0.25"/>
    <row r="20753" customFormat="1" x14ac:dyDescent="0.25"/>
    <row r="20754" customFormat="1" x14ac:dyDescent="0.25"/>
    <row r="20755" customFormat="1" x14ac:dyDescent="0.25"/>
    <row r="20756" customFormat="1" x14ac:dyDescent="0.25"/>
    <row r="20757" customFormat="1" x14ac:dyDescent="0.25"/>
    <row r="20758" customFormat="1" x14ac:dyDescent="0.25"/>
    <row r="20759" customFormat="1" x14ac:dyDescent="0.25"/>
    <row r="20760" customFormat="1" x14ac:dyDescent="0.25"/>
    <row r="20761" customFormat="1" x14ac:dyDescent="0.25"/>
    <row r="20762" customFormat="1" x14ac:dyDescent="0.25"/>
    <row r="20763" customFormat="1" x14ac:dyDescent="0.25"/>
    <row r="20764" customFormat="1" x14ac:dyDescent="0.25"/>
    <row r="20765" customFormat="1" x14ac:dyDescent="0.25"/>
    <row r="20766" customFormat="1" x14ac:dyDescent="0.25"/>
    <row r="20767" customFormat="1" x14ac:dyDescent="0.25"/>
    <row r="20768" customFormat="1" x14ac:dyDescent="0.25"/>
    <row r="20769" customFormat="1" x14ac:dyDescent="0.25"/>
    <row r="20770" customFormat="1" x14ac:dyDescent="0.25"/>
    <row r="20771" customFormat="1" x14ac:dyDescent="0.25"/>
    <row r="20772" customFormat="1" x14ac:dyDescent="0.25"/>
    <row r="20773" customFormat="1" x14ac:dyDescent="0.25"/>
    <row r="20774" customFormat="1" x14ac:dyDescent="0.25"/>
    <row r="20775" customFormat="1" x14ac:dyDescent="0.25"/>
    <row r="20776" customFormat="1" x14ac:dyDescent="0.25"/>
    <row r="20777" customFormat="1" x14ac:dyDescent="0.25"/>
    <row r="20778" customFormat="1" x14ac:dyDescent="0.25"/>
    <row r="20779" customFormat="1" x14ac:dyDescent="0.25"/>
    <row r="20780" customFormat="1" x14ac:dyDescent="0.25"/>
    <row r="20781" customFormat="1" x14ac:dyDescent="0.25"/>
    <row r="20782" customFormat="1" x14ac:dyDescent="0.25"/>
    <row r="20783" customFormat="1" x14ac:dyDescent="0.25"/>
    <row r="20784" customFormat="1" x14ac:dyDescent="0.25"/>
    <row r="20785" customFormat="1" x14ac:dyDescent="0.25"/>
    <row r="20786" customFormat="1" x14ac:dyDescent="0.25"/>
    <row r="20787" customFormat="1" x14ac:dyDescent="0.25"/>
    <row r="20788" customFormat="1" x14ac:dyDescent="0.25"/>
    <row r="20789" customFormat="1" x14ac:dyDescent="0.25"/>
    <row r="20790" customFormat="1" x14ac:dyDescent="0.25"/>
    <row r="20791" customFormat="1" x14ac:dyDescent="0.25"/>
    <row r="20792" customFormat="1" x14ac:dyDescent="0.25"/>
    <row r="20793" customFormat="1" x14ac:dyDescent="0.25"/>
    <row r="20794" customFormat="1" x14ac:dyDescent="0.25"/>
    <row r="20795" customFormat="1" x14ac:dyDescent="0.25"/>
    <row r="20796" customFormat="1" x14ac:dyDescent="0.25"/>
    <row r="20797" customFormat="1" x14ac:dyDescent="0.25"/>
    <row r="20798" customFormat="1" x14ac:dyDescent="0.25"/>
    <row r="20799" customFormat="1" x14ac:dyDescent="0.25"/>
    <row r="20800" customFormat="1" x14ac:dyDescent="0.25"/>
    <row r="20801" customFormat="1" x14ac:dyDescent="0.25"/>
    <row r="20802" customFormat="1" x14ac:dyDescent="0.25"/>
    <row r="20803" customFormat="1" x14ac:dyDescent="0.25"/>
    <row r="20804" customFormat="1" x14ac:dyDescent="0.25"/>
    <row r="20805" customFormat="1" x14ac:dyDescent="0.25"/>
    <row r="20806" customFormat="1" x14ac:dyDescent="0.25"/>
    <row r="20807" customFormat="1" x14ac:dyDescent="0.25"/>
    <row r="20808" customFormat="1" x14ac:dyDescent="0.25"/>
    <row r="20809" customFormat="1" x14ac:dyDescent="0.25"/>
    <row r="20810" customFormat="1" x14ac:dyDescent="0.25"/>
    <row r="20811" customFormat="1" x14ac:dyDescent="0.25"/>
    <row r="20812" customFormat="1" x14ac:dyDescent="0.25"/>
    <row r="20813" customFormat="1" x14ac:dyDescent="0.25"/>
    <row r="20814" customFormat="1" x14ac:dyDescent="0.25"/>
    <row r="20815" customFormat="1" x14ac:dyDescent="0.25"/>
    <row r="20816" customFormat="1" x14ac:dyDescent="0.25"/>
    <row r="20817" customFormat="1" x14ac:dyDescent="0.25"/>
    <row r="20818" customFormat="1" x14ac:dyDescent="0.25"/>
    <row r="20819" customFormat="1" x14ac:dyDescent="0.25"/>
    <row r="20820" customFormat="1" x14ac:dyDescent="0.25"/>
    <row r="20821" customFormat="1" x14ac:dyDescent="0.25"/>
    <row r="20822" customFormat="1" x14ac:dyDescent="0.25"/>
    <row r="20823" customFormat="1" x14ac:dyDescent="0.25"/>
    <row r="20824" customFormat="1" x14ac:dyDescent="0.25"/>
    <row r="20825" customFormat="1" x14ac:dyDescent="0.25"/>
    <row r="20826" customFormat="1" x14ac:dyDescent="0.25"/>
    <row r="20827" customFormat="1" x14ac:dyDescent="0.25"/>
    <row r="20828" customFormat="1" x14ac:dyDescent="0.25"/>
    <row r="20829" customFormat="1" x14ac:dyDescent="0.25"/>
    <row r="20830" customFormat="1" x14ac:dyDescent="0.25"/>
    <row r="20831" customFormat="1" x14ac:dyDescent="0.25"/>
    <row r="20832" customFormat="1" x14ac:dyDescent="0.25"/>
    <row r="20833" customFormat="1" x14ac:dyDescent="0.25"/>
    <row r="20834" customFormat="1" x14ac:dyDescent="0.25"/>
    <row r="20835" customFormat="1" x14ac:dyDescent="0.25"/>
    <row r="20836" customFormat="1" x14ac:dyDescent="0.25"/>
    <row r="20837" customFormat="1" x14ac:dyDescent="0.25"/>
    <row r="20838" customFormat="1" x14ac:dyDescent="0.25"/>
    <row r="20839" customFormat="1" x14ac:dyDescent="0.25"/>
    <row r="20840" customFormat="1" x14ac:dyDescent="0.25"/>
    <row r="20841" customFormat="1" x14ac:dyDescent="0.25"/>
    <row r="20842" customFormat="1" x14ac:dyDescent="0.25"/>
    <row r="20843" customFormat="1" x14ac:dyDescent="0.25"/>
    <row r="20844" customFormat="1" x14ac:dyDescent="0.25"/>
    <row r="20845" customFormat="1" x14ac:dyDescent="0.25"/>
    <row r="20846" customFormat="1" x14ac:dyDescent="0.25"/>
    <row r="20847" customFormat="1" x14ac:dyDescent="0.25"/>
    <row r="20848" customFormat="1" x14ac:dyDescent="0.25"/>
    <row r="20849" customFormat="1" x14ac:dyDescent="0.25"/>
    <row r="20850" customFormat="1" x14ac:dyDescent="0.25"/>
    <row r="20851" customFormat="1" x14ac:dyDescent="0.25"/>
    <row r="20852" customFormat="1" x14ac:dyDescent="0.25"/>
    <row r="20853" customFormat="1" x14ac:dyDescent="0.25"/>
    <row r="20854" customFormat="1" x14ac:dyDescent="0.25"/>
    <row r="20855" customFormat="1" x14ac:dyDescent="0.25"/>
    <row r="20856" customFormat="1" x14ac:dyDescent="0.25"/>
    <row r="20857" customFormat="1" x14ac:dyDescent="0.25"/>
    <row r="20858" customFormat="1" x14ac:dyDescent="0.25"/>
    <row r="20859" customFormat="1" x14ac:dyDescent="0.25"/>
    <row r="20860" customFormat="1" x14ac:dyDescent="0.25"/>
    <row r="20861" customFormat="1" x14ac:dyDescent="0.25"/>
    <row r="20862" customFormat="1" x14ac:dyDescent="0.25"/>
    <row r="20863" customFormat="1" x14ac:dyDescent="0.25"/>
    <row r="20864" customFormat="1" x14ac:dyDescent="0.25"/>
    <row r="20865" customFormat="1" x14ac:dyDescent="0.25"/>
    <row r="20866" customFormat="1" x14ac:dyDescent="0.25"/>
    <row r="20867" customFormat="1" x14ac:dyDescent="0.25"/>
    <row r="20868" customFormat="1" x14ac:dyDescent="0.25"/>
    <row r="20869" customFormat="1" x14ac:dyDescent="0.25"/>
    <row r="20870" customFormat="1" x14ac:dyDescent="0.25"/>
    <row r="20871" customFormat="1" x14ac:dyDescent="0.25"/>
    <row r="20872" customFormat="1" x14ac:dyDescent="0.25"/>
    <row r="20873" customFormat="1" x14ac:dyDescent="0.25"/>
    <row r="20874" customFormat="1" x14ac:dyDescent="0.25"/>
    <row r="20875" customFormat="1" x14ac:dyDescent="0.25"/>
    <row r="20876" customFormat="1" x14ac:dyDescent="0.25"/>
    <row r="20877" customFormat="1" x14ac:dyDescent="0.25"/>
    <row r="20878" customFormat="1" x14ac:dyDescent="0.25"/>
    <row r="20879" customFormat="1" x14ac:dyDescent="0.25"/>
    <row r="20880" customFormat="1" x14ac:dyDescent="0.25"/>
    <row r="20881" customFormat="1" x14ac:dyDescent="0.25"/>
    <row r="20882" customFormat="1" x14ac:dyDescent="0.25"/>
    <row r="20883" customFormat="1" x14ac:dyDescent="0.25"/>
    <row r="20884" customFormat="1" x14ac:dyDescent="0.25"/>
    <row r="20885" customFormat="1" x14ac:dyDescent="0.25"/>
    <row r="20886" customFormat="1" x14ac:dyDescent="0.25"/>
    <row r="20887" customFormat="1" x14ac:dyDescent="0.25"/>
    <row r="20888" customFormat="1" x14ac:dyDescent="0.25"/>
    <row r="20889" customFormat="1" x14ac:dyDescent="0.25"/>
    <row r="20890" customFormat="1" x14ac:dyDescent="0.25"/>
    <row r="20891" customFormat="1" x14ac:dyDescent="0.25"/>
    <row r="20892" customFormat="1" x14ac:dyDescent="0.25"/>
    <row r="20893" customFormat="1" x14ac:dyDescent="0.25"/>
    <row r="20894" customFormat="1" x14ac:dyDescent="0.25"/>
    <row r="20895" customFormat="1" x14ac:dyDescent="0.25"/>
    <row r="20896" customFormat="1" x14ac:dyDescent="0.25"/>
    <row r="20897" customFormat="1" x14ac:dyDescent="0.25"/>
    <row r="20898" customFormat="1" x14ac:dyDescent="0.25"/>
    <row r="20899" customFormat="1" x14ac:dyDescent="0.25"/>
    <row r="20900" customFormat="1" x14ac:dyDescent="0.25"/>
    <row r="20901" customFormat="1" x14ac:dyDescent="0.25"/>
    <row r="20902" customFormat="1" x14ac:dyDescent="0.25"/>
    <row r="20903" customFormat="1" x14ac:dyDescent="0.25"/>
    <row r="20904" customFormat="1" x14ac:dyDescent="0.25"/>
    <row r="20905" customFormat="1" x14ac:dyDescent="0.25"/>
    <row r="20906" customFormat="1" x14ac:dyDescent="0.25"/>
    <row r="20907" customFormat="1" x14ac:dyDescent="0.25"/>
    <row r="20908" customFormat="1" x14ac:dyDescent="0.25"/>
    <row r="20909" customFormat="1" x14ac:dyDescent="0.25"/>
    <row r="20910" customFormat="1" x14ac:dyDescent="0.25"/>
    <row r="20911" customFormat="1" x14ac:dyDescent="0.25"/>
    <row r="20912" customFormat="1" x14ac:dyDescent="0.25"/>
    <row r="20913" customFormat="1" x14ac:dyDescent="0.25"/>
    <row r="20914" customFormat="1" x14ac:dyDescent="0.25"/>
    <row r="20915" customFormat="1" x14ac:dyDescent="0.25"/>
    <row r="20916" customFormat="1" x14ac:dyDescent="0.25"/>
    <row r="20917" customFormat="1" x14ac:dyDescent="0.25"/>
    <row r="20918" customFormat="1" x14ac:dyDescent="0.25"/>
    <row r="20919" customFormat="1" x14ac:dyDescent="0.25"/>
    <row r="20920" customFormat="1" x14ac:dyDescent="0.25"/>
    <row r="20921" customFormat="1" x14ac:dyDescent="0.25"/>
    <row r="20922" customFormat="1" x14ac:dyDescent="0.25"/>
    <row r="20923" customFormat="1" x14ac:dyDescent="0.25"/>
    <row r="20924" customFormat="1" x14ac:dyDescent="0.25"/>
    <row r="20925" customFormat="1" x14ac:dyDescent="0.25"/>
    <row r="20926" customFormat="1" x14ac:dyDescent="0.25"/>
    <row r="20927" customFormat="1" x14ac:dyDescent="0.25"/>
    <row r="20928" customFormat="1" x14ac:dyDescent="0.25"/>
    <row r="20929" customFormat="1" x14ac:dyDescent="0.25"/>
    <row r="20930" customFormat="1" x14ac:dyDescent="0.25"/>
    <row r="20931" customFormat="1" x14ac:dyDescent="0.25"/>
    <row r="20932" customFormat="1" x14ac:dyDescent="0.25"/>
    <row r="20933" customFormat="1" x14ac:dyDescent="0.25"/>
    <row r="20934" customFormat="1" x14ac:dyDescent="0.25"/>
    <row r="20935" customFormat="1" x14ac:dyDescent="0.25"/>
    <row r="20936" customFormat="1" x14ac:dyDescent="0.25"/>
    <row r="20937" customFormat="1" x14ac:dyDescent="0.25"/>
    <row r="20938" customFormat="1" x14ac:dyDescent="0.25"/>
    <row r="20939" customFormat="1" x14ac:dyDescent="0.25"/>
    <row r="20940" customFormat="1" x14ac:dyDescent="0.25"/>
    <row r="20941" customFormat="1" x14ac:dyDescent="0.25"/>
    <row r="20942" customFormat="1" x14ac:dyDescent="0.25"/>
    <row r="20943" customFormat="1" x14ac:dyDescent="0.25"/>
    <row r="20944" customFormat="1" x14ac:dyDescent="0.25"/>
    <row r="20945" customFormat="1" x14ac:dyDescent="0.25"/>
    <row r="20946" customFormat="1" x14ac:dyDescent="0.25"/>
    <row r="20947" customFormat="1" x14ac:dyDescent="0.25"/>
    <row r="20948" customFormat="1" x14ac:dyDescent="0.25"/>
    <row r="20949" customFormat="1" x14ac:dyDescent="0.25"/>
    <row r="20950" customFormat="1" x14ac:dyDescent="0.25"/>
    <row r="20951" customFormat="1" x14ac:dyDescent="0.25"/>
    <row r="20952" customFormat="1" x14ac:dyDescent="0.25"/>
    <row r="20953" customFormat="1" x14ac:dyDescent="0.25"/>
    <row r="20954" customFormat="1" x14ac:dyDescent="0.25"/>
    <row r="20955" customFormat="1" x14ac:dyDescent="0.25"/>
    <row r="20956" customFormat="1" x14ac:dyDescent="0.25"/>
    <row r="20957" customFormat="1" x14ac:dyDescent="0.25"/>
    <row r="20958" customFormat="1" x14ac:dyDescent="0.25"/>
    <row r="20959" customFormat="1" x14ac:dyDescent="0.25"/>
    <row r="20960" customFormat="1" x14ac:dyDescent="0.25"/>
    <row r="20961" customFormat="1" x14ac:dyDescent="0.25"/>
    <row r="20962" customFormat="1" x14ac:dyDescent="0.25"/>
    <row r="20963" customFormat="1" x14ac:dyDescent="0.25"/>
    <row r="20964" customFormat="1" x14ac:dyDescent="0.25"/>
    <row r="20965" customFormat="1" x14ac:dyDescent="0.25"/>
    <row r="20966" customFormat="1" x14ac:dyDescent="0.25"/>
    <row r="20967" customFormat="1" x14ac:dyDescent="0.25"/>
    <row r="20968" customFormat="1" x14ac:dyDescent="0.25"/>
    <row r="20969" customFormat="1" x14ac:dyDescent="0.25"/>
    <row r="20970" customFormat="1" x14ac:dyDescent="0.25"/>
    <row r="20971" customFormat="1" x14ac:dyDescent="0.25"/>
    <row r="20972" customFormat="1" x14ac:dyDescent="0.25"/>
    <row r="20973" customFormat="1" x14ac:dyDescent="0.25"/>
    <row r="20974" customFormat="1" x14ac:dyDescent="0.25"/>
    <row r="20975" customFormat="1" x14ac:dyDescent="0.25"/>
    <row r="20976" customFormat="1" x14ac:dyDescent="0.25"/>
    <row r="20977" customFormat="1" x14ac:dyDescent="0.25"/>
    <row r="20978" customFormat="1" x14ac:dyDescent="0.25"/>
    <row r="20979" customFormat="1" x14ac:dyDescent="0.25"/>
    <row r="20980" customFormat="1" x14ac:dyDescent="0.25"/>
    <row r="20981" customFormat="1" x14ac:dyDescent="0.25"/>
    <row r="20982" customFormat="1" x14ac:dyDescent="0.25"/>
    <row r="20983" customFormat="1" x14ac:dyDescent="0.25"/>
    <row r="20984" customFormat="1" x14ac:dyDescent="0.25"/>
    <row r="20985" customFormat="1" x14ac:dyDescent="0.25"/>
    <row r="20986" customFormat="1" x14ac:dyDescent="0.25"/>
    <row r="20987" customFormat="1" x14ac:dyDescent="0.25"/>
    <row r="20988" customFormat="1" x14ac:dyDescent="0.25"/>
    <row r="20989" customFormat="1" x14ac:dyDescent="0.25"/>
    <row r="20990" customFormat="1" x14ac:dyDescent="0.25"/>
    <row r="20991" customFormat="1" x14ac:dyDescent="0.25"/>
    <row r="20992" customFormat="1" x14ac:dyDescent="0.25"/>
    <row r="20993" customFormat="1" x14ac:dyDescent="0.25"/>
    <row r="20994" customFormat="1" x14ac:dyDescent="0.25"/>
    <row r="20995" customFormat="1" x14ac:dyDescent="0.25"/>
    <row r="20996" customFormat="1" x14ac:dyDescent="0.25"/>
    <row r="20997" customFormat="1" x14ac:dyDescent="0.25"/>
    <row r="20998" customFormat="1" x14ac:dyDescent="0.25"/>
    <row r="20999" customFormat="1" x14ac:dyDescent="0.25"/>
    <row r="21000" customFormat="1" x14ac:dyDescent="0.25"/>
    <row r="21001" customFormat="1" x14ac:dyDescent="0.25"/>
    <row r="21002" customFormat="1" x14ac:dyDescent="0.25"/>
    <row r="21003" customFormat="1" x14ac:dyDescent="0.25"/>
    <row r="21004" customFormat="1" x14ac:dyDescent="0.25"/>
    <row r="21005" customFormat="1" x14ac:dyDescent="0.25"/>
    <row r="21006" customFormat="1" x14ac:dyDescent="0.25"/>
    <row r="21007" customFormat="1" x14ac:dyDescent="0.25"/>
    <row r="21008" customFormat="1" x14ac:dyDescent="0.25"/>
    <row r="21009" customFormat="1" x14ac:dyDescent="0.25"/>
    <row r="21010" customFormat="1" x14ac:dyDescent="0.25"/>
    <row r="21011" customFormat="1" x14ac:dyDescent="0.25"/>
    <row r="21012" customFormat="1" x14ac:dyDescent="0.25"/>
    <row r="21013" customFormat="1" x14ac:dyDescent="0.25"/>
    <row r="21014" customFormat="1" x14ac:dyDescent="0.25"/>
    <row r="21015" customFormat="1" x14ac:dyDescent="0.25"/>
    <row r="21016" customFormat="1" x14ac:dyDescent="0.25"/>
    <row r="21017" customFormat="1" x14ac:dyDescent="0.25"/>
    <row r="21018" customFormat="1" x14ac:dyDescent="0.25"/>
    <row r="21019" customFormat="1" x14ac:dyDescent="0.25"/>
    <row r="21020" customFormat="1" x14ac:dyDescent="0.25"/>
    <row r="21021" customFormat="1" x14ac:dyDescent="0.25"/>
    <row r="21022" customFormat="1" x14ac:dyDescent="0.25"/>
    <row r="21023" customFormat="1" x14ac:dyDescent="0.25"/>
    <row r="21024" customFormat="1" x14ac:dyDescent="0.25"/>
    <row r="21025" customFormat="1" x14ac:dyDescent="0.25"/>
    <row r="21026" customFormat="1" x14ac:dyDescent="0.25"/>
    <row r="21027" customFormat="1" x14ac:dyDescent="0.25"/>
    <row r="21028" customFormat="1" x14ac:dyDescent="0.25"/>
    <row r="21029" customFormat="1" x14ac:dyDescent="0.25"/>
    <row r="21030" customFormat="1" x14ac:dyDescent="0.25"/>
    <row r="21031" customFormat="1" x14ac:dyDescent="0.25"/>
    <row r="21032" customFormat="1" x14ac:dyDescent="0.25"/>
    <row r="21033" customFormat="1" x14ac:dyDescent="0.25"/>
    <row r="21034" customFormat="1" x14ac:dyDescent="0.25"/>
    <row r="21035" customFormat="1" x14ac:dyDescent="0.25"/>
    <row r="21036" customFormat="1" x14ac:dyDescent="0.25"/>
    <row r="21037" customFormat="1" x14ac:dyDescent="0.25"/>
    <row r="21038" customFormat="1" x14ac:dyDescent="0.25"/>
    <row r="21039" customFormat="1" x14ac:dyDescent="0.25"/>
    <row r="21040" customFormat="1" x14ac:dyDescent="0.25"/>
    <row r="21041" customFormat="1" x14ac:dyDescent="0.25"/>
    <row r="21042" customFormat="1" x14ac:dyDescent="0.25"/>
    <row r="21043" customFormat="1" x14ac:dyDescent="0.25"/>
    <row r="21044" customFormat="1" x14ac:dyDescent="0.25"/>
    <row r="21045" customFormat="1" x14ac:dyDescent="0.25"/>
    <row r="21046" customFormat="1" x14ac:dyDescent="0.25"/>
    <row r="21047" customFormat="1" x14ac:dyDescent="0.25"/>
    <row r="21048" customFormat="1" x14ac:dyDescent="0.25"/>
    <row r="21049" customFormat="1" x14ac:dyDescent="0.25"/>
    <row r="21050" customFormat="1" x14ac:dyDescent="0.25"/>
    <row r="21051" customFormat="1" x14ac:dyDescent="0.25"/>
    <row r="21052" customFormat="1" x14ac:dyDescent="0.25"/>
    <row r="21053" customFormat="1" x14ac:dyDescent="0.25"/>
    <row r="21054" customFormat="1" x14ac:dyDescent="0.25"/>
    <row r="21055" customFormat="1" x14ac:dyDescent="0.25"/>
    <row r="21056" customFormat="1" x14ac:dyDescent="0.25"/>
    <row r="21057" customFormat="1" x14ac:dyDescent="0.25"/>
    <row r="21058" customFormat="1" x14ac:dyDescent="0.25"/>
    <row r="21059" customFormat="1" x14ac:dyDescent="0.25"/>
    <row r="21060" customFormat="1" x14ac:dyDescent="0.25"/>
    <row r="21061" customFormat="1" x14ac:dyDescent="0.25"/>
    <row r="21062" customFormat="1" x14ac:dyDescent="0.25"/>
    <row r="21063" customFormat="1" x14ac:dyDescent="0.25"/>
    <row r="21064" customFormat="1" x14ac:dyDescent="0.25"/>
    <row r="21065" customFormat="1" x14ac:dyDescent="0.25"/>
    <row r="21066" customFormat="1" x14ac:dyDescent="0.25"/>
    <row r="21067" customFormat="1" x14ac:dyDescent="0.25"/>
    <row r="21068" customFormat="1" x14ac:dyDescent="0.25"/>
    <row r="21069" customFormat="1" x14ac:dyDescent="0.25"/>
    <row r="21070" customFormat="1" x14ac:dyDescent="0.25"/>
    <row r="21071" customFormat="1" x14ac:dyDescent="0.25"/>
    <row r="21072" customFormat="1" x14ac:dyDescent="0.25"/>
    <row r="21073" customFormat="1" x14ac:dyDescent="0.25"/>
    <row r="21074" customFormat="1" x14ac:dyDescent="0.25"/>
    <row r="21075" customFormat="1" x14ac:dyDescent="0.25"/>
    <row r="21076" customFormat="1" x14ac:dyDescent="0.25"/>
    <row r="21077" customFormat="1" x14ac:dyDescent="0.25"/>
    <row r="21078" customFormat="1" x14ac:dyDescent="0.25"/>
    <row r="21079" customFormat="1" x14ac:dyDescent="0.25"/>
    <row r="21080" customFormat="1" x14ac:dyDescent="0.25"/>
    <row r="21081" customFormat="1" x14ac:dyDescent="0.25"/>
    <row r="21082" customFormat="1" x14ac:dyDescent="0.25"/>
    <row r="21083" customFormat="1" x14ac:dyDescent="0.25"/>
    <row r="21084" customFormat="1" x14ac:dyDescent="0.25"/>
    <row r="21085" customFormat="1" x14ac:dyDescent="0.25"/>
    <row r="21086" customFormat="1" x14ac:dyDescent="0.25"/>
    <row r="21087" customFormat="1" x14ac:dyDescent="0.25"/>
    <row r="21088" customFormat="1" x14ac:dyDescent="0.25"/>
    <row r="21089" customFormat="1" x14ac:dyDescent="0.25"/>
    <row r="21090" customFormat="1" x14ac:dyDescent="0.25"/>
    <row r="21091" customFormat="1" x14ac:dyDescent="0.25"/>
    <row r="21092" customFormat="1" x14ac:dyDescent="0.25"/>
    <row r="21093" customFormat="1" x14ac:dyDescent="0.25"/>
    <row r="21094" customFormat="1" x14ac:dyDescent="0.25"/>
    <row r="21095" customFormat="1" x14ac:dyDescent="0.25"/>
    <row r="21096" customFormat="1" x14ac:dyDescent="0.25"/>
    <row r="21097" customFormat="1" x14ac:dyDescent="0.25"/>
    <row r="21098" customFormat="1" x14ac:dyDescent="0.25"/>
    <row r="21099" customFormat="1" x14ac:dyDescent="0.25"/>
    <row r="21100" customFormat="1" x14ac:dyDescent="0.25"/>
    <row r="21101" customFormat="1" x14ac:dyDescent="0.25"/>
    <row r="21102" customFormat="1" x14ac:dyDescent="0.25"/>
    <row r="21103" customFormat="1" x14ac:dyDescent="0.25"/>
    <row r="21104" customFormat="1" x14ac:dyDescent="0.25"/>
    <row r="21105" customFormat="1" x14ac:dyDescent="0.25"/>
    <row r="21106" customFormat="1" x14ac:dyDescent="0.25"/>
    <row r="21107" customFormat="1" x14ac:dyDescent="0.25"/>
    <row r="21108" customFormat="1" x14ac:dyDescent="0.25"/>
    <row r="21109" customFormat="1" x14ac:dyDescent="0.25"/>
    <row r="21110" customFormat="1" x14ac:dyDescent="0.25"/>
    <row r="21111" customFormat="1" x14ac:dyDescent="0.25"/>
    <row r="21112" customFormat="1" x14ac:dyDescent="0.25"/>
    <row r="21113" customFormat="1" x14ac:dyDescent="0.25"/>
    <row r="21114" customFormat="1" x14ac:dyDescent="0.25"/>
    <row r="21115" customFormat="1" x14ac:dyDescent="0.25"/>
    <row r="21116" customFormat="1" x14ac:dyDescent="0.25"/>
    <row r="21117" customFormat="1" x14ac:dyDescent="0.25"/>
    <row r="21118" customFormat="1" x14ac:dyDescent="0.25"/>
    <row r="21119" customFormat="1" x14ac:dyDescent="0.25"/>
    <row r="21120" customFormat="1" x14ac:dyDescent="0.25"/>
    <row r="21121" customFormat="1" x14ac:dyDescent="0.25"/>
    <row r="21122" customFormat="1" x14ac:dyDescent="0.25"/>
    <row r="21123" customFormat="1" x14ac:dyDescent="0.25"/>
    <row r="21124" customFormat="1" x14ac:dyDescent="0.25"/>
    <row r="21125" customFormat="1" x14ac:dyDescent="0.25"/>
    <row r="21126" customFormat="1" x14ac:dyDescent="0.25"/>
    <row r="21127" customFormat="1" x14ac:dyDescent="0.25"/>
    <row r="21128" customFormat="1" x14ac:dyDescent="0.25"/>
    <row r="21129" customFormat="1" x14ac:dyDescent="0.25"/>
    <row r="21130" customFormat="1" x14ac:dyDescent="0.25"/>
    <row r="21131" customFormat="1" x14ac:dyDescent="0.25"/>
    <row r="21132" customFormat="1" x14ac:dyDescent="0.25"/>
    <row r="21133" customFormat="1" x14ac:dyDescent="0.25"/>
    <row r="21134" customFormat="1" x14ac:dyDescent="0.25"/>
    <row r="21135" customFormat="1" x14ac:dyDescent="0.25"/>
    <row r="21136" customFormat="1" x14ac:dyDescent="0.25"/>
    <row r="21137" customFormat="1" x14ac:dyDescent="0.25"/>
    <row r="21138" customFormat="1" x14ac:dyDescent="0.25"/>
    <row r="21139" customFormat="1" x14ac:dyDescent="0.25"/>
    <row r="21140" customFormat="1" x14ac:dyDescent="0.25"/>
    <row r="21141" customFormat="1" x14ac:dyDescent="0.25"/>
    <row r="21142" customFormat="1" x14ac:dyDescent="0.25"/>
    <row r="21143" customFormat="1" x14ac:dyDescent="0.25"/>
    <row r="21144" customFormat="1" x14ac:dyDescent="0.25"/>
    <row r="21145" customFormat="1" x14ac:dyDescent="0.25"/>
    <row r="21146" customFormat="1" x14ac:dyDescent="0.25"/>
    <row r="21147" customFormat="1" x14ac:dyDescent="0.25"/>
    <row r="21148" customFormat="1" x14ac:dyDescent="0.25"/>
    <row r="21149" customFormat="1" x14ac:dyDescent="0.25"/>
    <row r="21150" customFormat="1" x14ac:dyDescent="0.25"/>
    <row r="21151" customFormat="1" x14ac:dyDescent="0.25"/>
    <row r="21152" customFormat="1" x14ac:dyDescent="0.25"/>
    <row r="21153" customFormat="1" x14ac:dyDescent="0.25"/>
    <row r="21154" customFormat="1" x14ac:dyDescent="0.25"/>
    <row r="21155" customFormat="1" x14ac:dyDescent="0.25"/>
    <row r="21156" customFormat="1" x14ac:dyDescent="0.25"/>
    <row r="21157" customFormat="1" x14ac:dyDescent="0.25"/>
    <row r="21158" customFormat="1" x14ac:dyDescent="0.25"/>
    <row r="21159" customFormat="1" x14ac:dyDescent="0.25"/>
    <row r="21160" customFormat="1" x14ac:dyDescent="0.25"/>
    <row r="21161" customFormat="1" x14ac:dyDescent="0.25"/>
    <row r="21162" customFormat="1" x14ac:dyDescent="0.25"/>
    <row r="21163" customFormat="1" x14ac:dyDescent="0.25"/>
    <row r="21164" customFormat="1" x14ac:dyDescent="0.25"/>
    <row r="21165" customFormat="1" x14ac:dyDescent="0.25"/>
    <row r="21166" customFormat="1" x14ac:dyDescent="0.25"/>
    <row r="21167" customFormat="1" x14ac:dyDescent="0.25"/>
    <row r="21168" customFormat="1" x14ac:dyDescent="0.25"/>
    <row r="21169" customFormat="1" x14ac:dyDescent="0.25"/>
    <row r="21170" customFormat="1" x14ac:dyDescent="0.25"/>
    <row r="21171" customFormat="1" x14ac:dyDescent="0.25"/>
    <row r="21172" customFormat="1" x14ac:dyDescent="0.25"/>
    <row r="21173" customFormat="1" x14ac:dyDescent="0.25"/>
    <row r="21174" customFormat="1" x14ac:dyDescent="0.25"/>
    <row r="21175" customFormat="1" x14ac:dyDescent="0.25"/>
    <row r="21176" customFormat="1" x14ac:dyDescent="0.25"/>
    <row r="21177" customFormat="1" x14ac:dyDescent="0.25"/>
    <row r="21178" customFormat="1" x14ac:dyDescent="0.25"/>
    <row r="21179" customFormat="1" x14ac:dyDescent="0.25"/>
    <row r="21180" customFormat="1" x14ac:dyDescent="0.25"/>
    <row r="21181" customFormat="1" x14ac:dyDescent="0.25"/>
    <row r="21182" customFormat="1" x14ac:dyDescent="0.25"/>
    <row r="21183" customFormat="1" x14ac:dyDescent="0.25"/>
    <row r="21184" customFormat="1" x14ac:dyDescent="0.25"/>
    <row r="21185" customFormat="1" x14ac:dyDescent="0.25"/>
    <row r="21186" customFormat="1" x14ac:dyDescent="0.25"/>
    <row r="21187" customFormat="1" x14ac:dyDescent="0.25"/>
    <row r="21188" customFormat="1" x14ac:dyDescent="0.25"/>
    <row r="21189" customFormat="1" x14ac:dyDescent="0.25"/>
    <row r="21190" customFormat="1" x14ac:dyDescent="0.25"/>
    <row r="21191" customFormat="1" x14ac:dyDescent="0.25"/>
    <row r="21192" customFormat="1" x14ac:dyDescent="0.25"/>
    <row r="21193" customFormat="1" x14ac:dyDescent="0.25"/>
    <row r="21194" customFormat="1" x14ac:dyDescent="0.25"/>
    <row r="21195" customFormat="1" x14ac:dyDescent="0.25"/>
    <row r="21196" customFormat="1" x14ac:dyDescent="0.25"/>
    <row r="21197" customFormat="1" x14ac:dyDescent="0.25"/>
    <row r="21198" customFormat="1" x14ac:dyDescent="0.25"/>
    <row r="21199" customFormat="1" x14ac:dyDescent="0.25"/>
    <row r="21200" customFormat="1" x14ac:dyDescent="0.25"/>
    <row r="21201" customFormat="1" x14ac:dyDescent="0.25"/>
    <row r="21202" customFormat="1" x14ac:dyDescent="0.25"/>
    <row r="21203" customFormat="1" x14ac:dyDescent="0.25"/>
    <row r="21204" customFormat="1" x14ac:dyDescent="0.25"/>
    <row r="21205" customFormat="1" x14ac:dyDescent="0.25"/>
    <row r="21206" customFormat="1" x14ac:dyDescent="0.25"/>
    <row r="21207" customFormat="1" x14ac:dyDescent="0.25"/>
    <row r="21208" customFormat="1" x14ac:dyDescent="0.25"/>
    <row r="21209" customFormat="1" x14ac:dyDescent="0.25"/>
    <row r="21210" customFormat="1" x14ac:dyDescent="0.25"/>
    <row r="21211" customFormat="1" x14ac:dyDescent="0.25"/>
    <row r="21212" customFormat="1" x14ac:dyDescent="0.25"/>
    <row r="21213" customFormat="1" x14ac:dyDescent="0.25"/>
    <row r="21214" customFormat="1" x14ac:dyDescent="0.25"/>
    <row r="21215" customFormat="1" x14ac:dyDescent="0.25"/>
    <row r="21216" customFormat="1" x14ac:dyDescent="0.25"/>
    <row r="21217" customFormat="1" x14ac:dyDescent="0.25"/>
    <row r="21218" customFormat="1" x14ac:dyDescent="0.25"/>
    <row r="21219" customFormat="1" x14ac:dyDescent="0.25"/>
    <row r="21220" customFormat="1" x14ac:dyDescent="0.25"/>
    <row r="21221" customFormat="1" x14ac:dyDescent="0.25"/>
    <row r="21222" customFormat="1" x14ac:dyDescent="0.25"/>
    <row r="21223" customFormat="1" x14ac:dyDescent="0.25"/>
    <row r="21224" customFormat="1" x14ac:dyDescent="0.25"/>
    <row r="21225" customFormat="1" x14ac:dyDescent="0.25"/>
    <row r="21226" customFormat="1" x14ac:dyDescent="0.25"/>
    <row r="21227" customFormat="1" x14ac:dyDescent="0.25"/>
    <row r="21228" customFormat="1" x14ac:dyDescent="0.25"/>
    <row r="21229" customFormat="1" x14ac:dyDescent="0.25"/>
    <row r="21230" customFormat="1" x14ac:dyDescent="0.25"/>
    <row r="21231" customFormat="1" x14ac:dyDescent="0.25"/>
    <row r="21232" customFormat="1" x14ac:dyDescent="0.25"/>
    <row r="21233" customFormat="1" x14ac:dyDescent="0.25"/>
    <row r="21234" customFormat="1" x14ac:dyDescent="0.25"/>
    <row r="21235" customFormat="1" x14ac:dyDescent="0.25"/>
    <row r="21236" customFormat="1" x14ac:dyDescent="0.25"/>
    <row r="21237" customFormat="1" x14ac:dyDescent="0.25"/>
    <row r="21238" customFormat="1" x14ac:dyDescent="0.25"/>
    <row r="21239" customFormat="1" x14ac:dyDescent="0.25"/>
    <row r="21240" customFormat="1" x14ac:dyDescent="0.25"/>
    <row r="21241" customFormat="1" x14ac:dyDescent="0.25"/>
    <row r="21242" customFormat="1" x14ac:dyDescent="0.25"/>
    <row r="21243" customFormat="1" x14ac:dyDescent="0.25"/>
    <row r="21244" customFormat="1" x14ac:dyDescent="0.25"/>
    <row r="21245" customFormat="1" x14ac:dyDescent="0.25"/>
    <row r="21246" customFormat="1" x14ac:dyDescent="0.25"/>
    <row r="21247" customFormat="1" x14ac:dyDescent="0.25"/>
    <row r="21248" customFormat="1" x14ac:dyDescent="0.25"/>
    <row r="21249" customFormat="1" x14ac:dyDescent="0.25"/>
    <row r="21250" customFormat="1" x14ac:dyDescent="0.25"/>
    <row r="21251" customFormat="1" x14ac:dyDescent="0.25"/>
    <row r="21252" customFormat="1" x14ac:dyDescent="0.25"/>
    <row r="21253" customFormat="1" x14ac:dyDescent="0.25"/>
    <row r="21254" customFormat="1" x14ac:dyDescent="0.25"/>
    <row r="21255" customFormat="1" x14ac:dyDescent="0.25"/>
    <row r="21256" customFormat="1" x14ac:dyDescent="0.25"/>
    <row r="21257" customFormat="1" x14ac:dyDescent="0.25"/>
    <row r="21258" customFormat="1" x14ac:dyDescent="0.25"/>
    <row r="21259" customFormat="1" x14ac:dyDescent="0.25"/>
    <row r="21260" customFormat="1" x14ac:dyDescent="0.25"/>
    <row r="21261" customFormat="1" x14ac:dyDescent="0.25"/>
    <row r="21262" customFormat="1" x14ac:dyDescent="0.25"/>
    <row r="21263" customFormat="1" x14ac:dyDescent="0.25"/>
    <row r="21264" customFormat="1" x14ac:dyDescent="0.25"/>
    <row r="21265" customFormat="1" x14ac:dyDescent="0.25"/>
    <row r="21266" customFormat="1" x14ac:dyDescent="0.25"/>
    <row r="21267" customFormat="1" x14ac:dyDescent="0.25"/>
    <row r="21268" customFormat="1" x14ac:dyDescent="0.25"/>
    <row r="21269" customFormat="1" x14ac:dyDescent="0.25"/>
    <row r="21270" customFormat="1" x14ac:dyDescent="0.25"/>
    <row r="21271" customFormat="1" x14ac:dyDescent="0.25"/>
    <row r="21272" customFormat="1" x14ac:dyDescent="0.25"/>
    <row r="21273" customFormat="1" x14ac:dyDescent="0.25"/>
    <row r="21274" customFormat="1" x14ac:dyDescent="0.25"/>
    <row r="21275" customFormat="1" x14ac:dyDescent="0.25"/>
    <row r="21276" customFormat="1" x14ac:dyDescent="0.25"/>
    <row r="21277" customFormat="1" x14ac:dyDescent="0.25"/>
    <row r="21278" customFormat="1" x14ac:dyDescent="0.25"/>
    <row r="21279" customFormat="1" x14ac:dyDescent="0.25"/>
    <row r="21280" customFormat="1" x14ac:dyDescent="0.25"/>
    <row r="21281" customFormat="1" x14ac:dyDescent="0.25"/>
    <row r="21282" customFormat="1" x14ac:dyDescent="0.25"/>
    <row r="21283" customFormat="1" x14ac:dyDescent="0.25"/>
    <row r="21284" customFormat="1" x14ac:dyDescent="0.25"/>
    <row r="21285" customFormat="1" x14ac:dyDescent="0.25"/>
    <row r="21286" customFormat="1" x14ac:dyDescent="0.25"/>
    <row r="21287" customFormat="1" x14ac:dyDescent="0.25"/>
    <row r="21288" customFormat="1" x14ac:dyDescent="0.25"/>
    <row r="21289" customFormat="1" x14ac:dyDescent="0.25"/>
    <row r="21290" customFormat="1" x14ac:dyDescent="0.25"/>
    <row r="21291" customFormat="1" x14ac:dyDescent="0.25"/>
    <row r="21292" customFormat="1" x14ac:dyDescent="0.25"/>
    <row r="21293" customFormat="1" x14ac:dyDescent="0.25"/>
    <row r="21294" customFormat="1" x14ac:dyDescent="0.25"/>
    <row r="21295" customFormat="1" x14ac:dyDescent="0.25"/>
    <row r="21296" customFormat="1" x14ac:dyDescent="0.25"/>
    <row r="21297" customFormat="1" x14ac:dyDescent="0.25"/>
    <row r="21298" customFormat="1" x14ac:dyDescent="0.25"/>
    <row r="21299" customFormat="1" x14ac:dyDescent="0.25"/>
    <row r="21300" customFormat="1" x14ac:dyDescent="0.25"/>
    <row r="21301" customFormat="1" x14ac:dyDescent="0.25"/>
    <row r="21302" customFormat="1" x14ac:dyDescent="0.25"/>
    <row r="21303" customFormat="1" x14ac:dyDescent="0.25"/>
    <row r="21304" customFormat="1" x14ac:dyDescent="0.25"/>
    <row r="21305" customFormat="1" x14ac:dyDescent="0.25"/>
    <row r="21306" customFormat="1" x14ac:dyDescent="0.25"/>
    <row r="21307" customFormat="1" x14ac:dyDescent="0.25"/>
    <row r="21308" customFormat="1" x14ac:dyDescent="0.25"/>
    <row r="21309" customFormat="1" x14ac:dyDescent="0.25"/>
    <row r="21310" customFormat="1" x14ac:dyDescent="0.25"/>
    <row r="21311" customFormat="1" x14ac:dyDescent="0.25"/>
    <row r="21312" customFormat="1" x14ac:dyDescent="0.25"/>
    <row r="21313" customFormat="1" x14ac:dyDescent="0.25"/>
    <row r="21314" customFormat="1" x14ac:dyDescent="0.25"/>
    <row r="21315" customFormat="1" x14ac:dyDescent="0.25"/>
    <row r="21316" customFormat="1" x14ac:dyDescent="0.25"/>
    <row r="21317" customFormat="1" x14ac:dyDescent="0.25"/>
    <row r="21318" customFormat="1" x14ac:dyDescent="0.25"/>
    <row r="21319" customFormat="1" x14ac:dyDescent="0.25"/>
    <row r="21320" customFormat="1" x14ac:dyDescent="0.25"/>
    <row r="21321" customFormat="1" x14ac:dyDescent="0.25"/>
    <row r="21322" customFormat="1" x14ac:dyDescent="0.25"/>
    <row r="21323" customFormat="1" x14ac:dyDescent="0.25"/>
    <row r="21324" customFormat="1" x14ac:dyDescent="0.25"/>
    <row r="21325" customFormat="1" x14ac:dyDescent="0.25"/>
    <row r="21326" customFormat="1" x14ac:dyDescent="0.25"/>
    <row r="21327" customFormat="1" x14ac:dyDescent="0.25"/>
    <row r="21328" customFormat="1" x14ac:dyDescent="0.25"/>
    <row r="21329" customFormat="1" x14ac:dyDescent="0.25"/>
    <row r="21330" customFormat="1" x14ac:dyDescent="0.25"/>
    <row r="21331" customFormat="1" x14ac:dyDescent="0.25"/>
    <row r="21332" customFormat="1" x14ac:dyDescent="0.25"/>
    <row r="21333" customFormat="1" x14ac:dyDescent="0.25"/>
    <row r="21334" customFormat="1" x14ac:dyDescent="0.25"/>
    <row r="21335" customFormat="1" x14ac:dyDescent="0.25"/>
    <row r="21336" customFormat="1" x14ac:dyDescent="0.25"/>
    <row r="21337" customFormat="1" x14ac:dyDescent="0.25"/>
    <row r="21338" customFormat="1" x14ac:dyDescent="0.25"/>
    <row r="21339" customFormat="1" x14ac:dyDescent="0.25"/>
    <row r="21340" customFormat="1" x14ac:dyDescent="0.25"/>
    <row r="21341" customFormat="1" x14ac:dyDescent="0.25"/>
    <row r="21342" customFormat="1" x14ac:dyDescent="0.25"/>
    <row r="21343" customFormat="1" x14ac:dyDescent="0.25"/>
    <row r="21344" customFormat="1" x14ac:dyDescent="0.25"/>
    <row r="21345" customFormat="1" x14ac:dyDescent="0.25"/>
    <row r="21346" customFormat="1" x14ac:dyDescent="0.25"/>
    <row r="21347" customFormat="1" x14ac:dyDescent="0.25"/>
    <row r="21348" customFormat="1" x14ac:dyDescent="0.25"/>
    <row r="21349" customFormat="1" x14ac:dyDescent="0.25"/>
    <row r="21350" customFormat="1" x14ac:dyDescent="0.25"/>
    <row r="21351" customFormat="1" x14ac:dyDescent="0.25"/>
    <row r="21352" customFormat="1" x14ac:dyDescent="0.25"/>
    <row r="21353" customFormat="1" x14ac:dyDescent="0.25"/>
    <row r="21354" customFormat="1" x14ac:dyDescent="0.25"/>
    <row r="21355" customFormat="1" x14ac:dyDescent="0.25"/>
    <row r="21356" customFormat="1" x14ac:dyDescent="0.25"/>
    <row r="21357" customFormat="1" x14ac:dyDescent="0.25"/>
    <row r="21358" customFormat="1" x14ac:dyDescent="0.25"/>
    <row r="21359" customFormat="1" x14ac:dyDescent="0.25"/>
    <row r="21360" customFormat="1" x14ac:dyDescent="0.25"/>
    <row r="21361" customFormat="1" x14ac:dyDescent="0.25"/>
    <row r="21362" customFormat="1" x14ac:dyDescent="0.25"/>
    <row r="21363" customFormat="1" x14ac:dyDescent="0.25"/>
    <row r="21364" customFormat="1" x14ac:dyDescent="0.25"/>
    <row r="21365" customFormat="1" x14ac:dyDescent="0.25"/>
    <row r="21366" customFormat="1" x14ac:dyDescent="0.25"/>
    <row r="21367" customFormat="1" x14ac:dyDescent="0.25"/>
    <row r="21368" customFormat="1" x14ac:dyDescent="0.25"/>
    <row r="21369" customFormat="1" x14ac:dyDescent="0.25"/>
    <row r="21370" customFormat="1" x14ac:dyDescent="0.25"/>
    <row r="21371" customFormat="1" x14ac:dyDescent="0.25"/>
    <row r="21372" customFormat="1" x14ac:dyDescent="0.25"/>
    <row r="21373" customFormat="1" x14ac:dyDescent="0.25"/>
    <row r="21374" customFormat="1" x14ac:dyDescent="0.25"/>
    <row r="21375" customFormat="1" x14ac:dyDescent="0.25"/>
    <row r="21376" customFormat="1" x14ac:dyDescent="0.25"/>
    <row r="21377" customFormat="1" x14ac:dyDescent="0.25"/>
    <row r="21378" customFormat="1" x14ac:dyDescent="0.25"/>
    <row r="21379" customFormat="1" x14ac:dyDescent="0.25"/>
    <row r="21380" customFormat="1" x14ac:dyDescent="0.25"/>
    <row r="21381" customFormat="1" x14ac:dyDescent="0.25"/>
    <row r="21382" customFormat="1" x14ac:dyDescent="0.25"/>
    <row r="21383" customFormat="1" x14ac:dyDescent="0.25"/>
    <row r="21384" customFormat="1" x14ac:dyDescent="0.25"/>
    <row r="21385" customFormat="1" x14ac:dyDescent="0.25"/>
    <row r="21386" customFormat="1" x14ac:dyDescent="0.25"/>
    <row r="21387" customFormat="1" x14ac:dyDescent="0.25"/>
    <row r="21388" customFormat="1" x14ac:dyDescent="0.25"/>
    <row r="21389" customFormat="1" x14ac:dyDescent="0.25"/>
    <row r="21390" customFormat="1" x14ac:dyDescent="0.25"/>
    <row r="21391" customFormat="1" x14ac:dyDescent="0.25"/>
    <row r="21392" customFormat="1" x14ac:dyDescent="0.25"/>
    <row r="21393" customFormat="1" x14ac:dyDescent="0.25"/>
    <row r="21394" customFormat="1" x14ac:dyDescent="0.25"/>
    <row r="21395" customFormat="1" x14ac:dyDescent="0.25"/>
    <row r="21396" customFormat="1" x14ac:dyDescent="0.25"/>
    <row r="21397" customFormat="1" x14ac:dyDescent="0.25"/>
    <row r="21398" customFormat="1" x14ac:dyDescent="0.25"/>
    <row r="21399" customFormat="1" x14ac:dyDescent="0.25"/>
    <row r="21400" customFormat="1" x14ac:dyDescent="0.25"/>
    <row r="21401" customFormat="1" x14ac:dyDescent="0.25"/>
    <row r="21402" customFormat="1" x14ac:dyDescent="0.25"/>
    <row r="21403" customFormat="1" x14ac:dyDescent="0.25"/>
    <row r="21404" customFormat="1" x14ac:dyDescent="0.25"/>
    <row r="21405" customFormat="1" x14ac:dyDescent="0.25"/>
    <row r="21406" customFormat="1" x14ac:dyDescent="0.25"/>
    <row r="21407" customFormat="1" x14ac:dyDescent="0.25"/>
    <row r="21408" customFormat="1" x14ac:dyDescent="0.25"/>
    <row r="21409" customFormat="1" x14ac:dyDescent="0.25"/>
    <row r="21410" customFormat="1" x14ac:dyDescent="0.25"/>
    <row r="21411" customFormat="1" x14ac:dyDescent="0.25"/>
    <row r="21412" customFormat="1" x14ac:dyDescent="0.25"/>
    <row r="21413" customFormat="1" x14ac:dyDescent="0.25"/>
    <row r="21414" customFormat="1" x14ac:dyDescent="0.25"/>
    <row r="21415" customFormat="1" x14ac:dyDescent="0.25"/>
    <row r="21416" customFormat="1" x14ac:dyDescent="0.25"/>
    <row r="21417" customFormat="1" x14ac:dyDescent="0.25"/>
    <row r="21418" customFormat="1" x14ac:dyDescent="0.25"/>
    <row r="21419" customFormat="1" x14ac:dyDescent="0.25"/>
    <row r="21420" customFormat="1" x14ac:dyDescent="0.25"/>
    <row r="21421" customFormat="1" x14ac:dyDescent="0.25"/>
    <row r="21422" customFormat="1" x14ac:dyDescent="0.25"/>
    <row r="21423" customFormat="1" x14ac:dyDescent="0.25"/>
    <row r="21424" customFormat="1" x14ac:dyDescent="0.25"/>
    <row r="21425" customFormat="1" x14ac:dyDescent="0.25"/>
    <row r="21426" customFormat="1" x14ac:dyDescent="0.25"/>
    <row r="21427" customFormat="1" x14ac:dyDescent="0.25"/>
    <row r="21428" customFormat="1" x14ac:dyDescent="0.25"/>
    <row r="21429" customFormat="1" x14ac:dyDescent="0.25"/>
    <row r="21430" customFormat="1" x14ac:dyDescent="0.25"/>
    <row r="21431" customFormat="1" x14ac:dyDescent="0.25"/>
    <row r="21432" customFormat="1" x14ac:dyDescent="0.25"/>
    <row r="21433" customFormat="1" x14ac:dyDescent="0.25"/>
    <row r="21434" customFormat="1" x14ac:dyDescent="0.25"/>
    <row r="21435" customFormat="1" x14ac:dyDescent="0.25"/>
    <row r="21436" customFormat="1" x14ac:dyDescent="0.25"/>
    <row r="21437" customFormat="1" x14ac:dyDescent="0.25"/>
    <row r="21438" customFormat="1" x14ac:dyDescent="0.25"/>
    <row r="21439" customFormat="1" x14ac:dyDescent="0.25"/>
    <row r="21440" customFormat="1" x14ac:dyDescent="0.25"/>
    <row r="21441" customFormat="1" x14ac:dyDescent="0.25"/>
    <row r="21442" customFormat="1" x14ac:dyDescent="0.25"/>
    <row r="21443" customFormat="1" x14ac:dyDescent="0.25"/>
    <row r="21444" customFormat="1" x14ac:dyDescent="0.25"/>
    <row r="21445" customFormat="1" x14ac:dyDescent="0.25"/>
    <row r="21446" customFormat="1" x14ac:dyDescent="0.25"/>
    <row r="21447" customFormat="1" x14ac:dyDescent="0.25"/>
    <row r="21448" customFormat="1" x14ac:dyDescent="0.25"/>
    <row r="21449" customFormat="1" x14ac:dyDescent="0.25"/>
    <row r="21450" customFormat="1" x14ac:dyDescent="0.25"/>
    <row r="21451" customFormat="1" x14ac:dyDescent="0.25"/>
    <row r="21452" customFormat="1" x14ac:dyDescent="0.25"/>
    <row r="21453" customFormat="1" x14ac:dyDescent="0.25"/>
    <row r="21454" customFormat="1" x14ac:dyDescent="0.25"/>
    <row r="21455" customFormat="1" x14ac:dyDescent="0.25"/>
    <row r="21456" customFormat="1" x14ac:dyDescent="0.25"/>
    <row r="21457" customFormat="1" x14ac:dyDescent="0.25"/>
    <row r="21458" customFormat="1" x14ac:dyDescent="0.25"/>
    <row r="21459" customFormat="1" x14ac:dyDescent="0.25"/>
    <row r="21460" customFormat="1" x14ac:dyDescent="0.25"/>
    <row r="21461" customFormat="1" x14ac:dyDescent="0.25"/>
    <row r="21462" customFormat="1" x14ac:dyDescent="0.25"/>
    <row r="21463" customFormat="1" x14ac:dyDescent="0.25"/>
    <row r="21464" customFormat="1" x14ac:dyDescent="0.25"/>
    <row r="21465" customFormat="1" x14ac:dyDescent="0.25"/>
    <row r="21466" customFormat="1" x14ac:dyDescent="0.25"/>
    <row r="21467" customFormat="1" x14ac:dyDescent="0.25"/>
    <row r="21468" customFormat="1" x14ac:dyDescent="0.25"/>
    <row r="21469" customFormat="1" x14ac:dyDescent="0.25"/>
    <row r="21470" customFormat="1" x14ac:dyDescent="0.25"/>
    <row r="21471" customFormat="1" x14ac:dyDescent="0.25"/>
    <row r="21472" customFormat="1" x14ac:dyDescent="0.25"/>
    <row r="21473" customFormat="1" x14ac:dyDescent="0.25"/>
    <row r="21474" customFormat="1" x14ac:dyDescent="0.25"/>
    <row r="21475" customFormat="1" x14ac:dyDescent="0.25"/>
    <row r="21476" customFormat="1" x14ac:dyDescent="0.25"/>
    <row r="21477" customFormat="1" x14ac:dyDescent="0.25"/>
    <row r="21478" customFormat="1" x14ac:dyDescent="0.25"/>
    <row r="21479" customFormat="1" x14ac:dyDescent="0.25"/>
    <row r="21480" customFormat="1" x14ac:dyDescent="0.25"/>
    <row r="21481" customFormat="1" x14ac:dyDescent="0.25"/>
    <row r="21482" customFormat="1" x14ac:dyDescent="0.25"/>
    <row r="21483" customFormat="1" x14ac:dyDescent="0.25"/>
    <row r="21484" customFormat="1" x14ac:dyDescent="0.25"/>
    <row r="21485" customFormat="1" x14ac:dyDescent="0.25"/>
    <row r="21486" customFormat="1" x14ac:dyDescent="0.25"/>
    <row r="21487" customFormat="1" x14ac:dyDescent="0.25"/>
    <row r="21488" customFormat="1" x14ac:dyDescent="0.25"/>
    <row r="21489" customFormat="1" x14ac:dyDescent="0.25"/>
    <row r="21490" customFormat="1" x14ac:dyDescent="0.25"/>
    <row r="21491" customFormat="1" x14ac:dyDescent="0.25"/>
    <row r="21492" customFormat="1" x14ac:dyDescent="0.25"/>
    <row r="21493" customFormat="1" x14ac:dyDescent="0.25"/>
    <row r="21494" customFormat="1" x14ac:dyDescent="0.25"/>
    <row r="21495" customFormat="1" x14ac:dyDescent="0.25"/>
    <row r="21496" customFormat="1" x14ac:dyDescent="0.25"/>
    <row r="21497" customFormat="1" x14ac:dyDescent="0.25"/>
    <row r="21498" customFormat="1" x14ac:dyDescent="0.25"/>
    <row r="21499" customFormat="1" x14ac:dyDescent="0.25"/>
    <row r="21500" customFormat="1" x14ac:dyDescent="0.25"/>
    <row r="21501" customFormat="1" x14ac:dyDescent="0.25"/>
    <row r="21502" customFormat="1" x14ac:dyDescent="0.25"/>
    <row r="21503" customFormat="1" x14ac:dyDescent="0.25"/>
    <row r="21504" customFormat="1" x14ac:dyDescent="0.25"/>
    <row r="21505" customFormat="1" x14ac:dyDescent="0.25"/>
    <row r="21506" customFormat="1" x14ac:dyDescent="0.25"/>
    <row r="21507" customFormat="1" x14ac:dyDescent="0.25"/>
    <row r="21508" customFormat="1" x14ac:dyDescent="0.25"/>
    <row r="21509" customFormat="1" x14ac:dyDescent="0.25"/>
    <row r="21510" customFormat="1" x14ac:dyDescent="0.25"/>
    <row r="21511" customFormat="1" x14ac:dyDescent="0.25"/>
    <row r="21512" customFormat="1" x14ac:dyDescent="0.25"/>
    <row r="21513" customFormat="1" x14ac:dyDescent="0.25"/>
    <row r="21514" customFormat="1" x14ac:dyDescent="0.25"/>
    <row r="21515" customFormat="1" x14ac:dyDescent="0.25"/>
    <row r="21516" customFormat="1" x14ac:dyDescent="0.25"/>
    <row r="21517" customFormat="1" x14ac:dyDescent="0.25"/>
    <row r="21518" customFormat="1" x14ac:dyDescent="0.25"/>
    <row r="21519" customFormat="1" x14ac:dyDescent="0.25"/>
    <row r="21520" customFormat="1" x14ac:dyDescent="0.25"/>
    <row r="21521" customFormat="1" x14ac:dyDescent="0.25"/>
    <row r="21522" customFormat="1" x14ac:dyDescent="0.25"/>
    <row r="21523" customFormat="1" x14ac:dyDescent="0.25"/>
    <row r="21524" customFormat="1" x14ac:dyDescent="0.25"/>
    <row r="21525" customFormat="1" x14ac:dyDescent="0.25"/>
    <row r="21526" customFormat="1" x14ac:dyDescent="0.25"/>
    <row r="21527" customFormat="1" x14ac:dyDescent="0.25"/>
    <row r="21528" customFormat="1" x14ac:dyDescent="0.25"/>
    <row r="21529" customFormat="1" x14ac:dyDescent="0.25"/>
    <row r="21530" customFormat="1" x14ac:dyDescent="0.25"/>
    <row r="21531" customFormat="1" x14ac:dyDescent="0.25"/>
    <row r="21532" customFormat="1" x14ac:dyDescent="0.25"/>
    <row r="21533" customFormat="1" x14ac:dyDescent="0.25"/>
    <row r="21534" customFormat="1" x14ac:dyDescent="0.25"/>
    <row r="21535" customFormat="1" x14ac:dyDescent="0.25"/>
    <row r="21536" customFormat="1" x14ac:dyDescent="0.25"/>
    <row r="21537" customFormat="1" x14ac:dyDescent="0.25"/>
    <row r="21538" customFormat="1" x14ac:dyDescent="0.25"/>
    <row r="21539" customFormat="1" x14ac:dyDescent="0.25"/>
    <row r="21540" customFormat="1" x14ac:dyDescent="0.25"/>
    <row r="21541" customFormat="1" x14ac:dyDescent="0.25"/>
    <row r="21542" customFormat="1" x14ac:dyDescent="0.25"/>
    <row r="21543" customFormat="1" x14ac:dyDescent="0.25"/>
    <row r="21544" customFormat="1" x14ac:dyDescent="0.25"/>
    <row r="21545" customFormat="1" x14ac:dyDescent="0.25"/>
    <row r="21546" customFormat="1" x14ac:dyDescent="0.25"/>
    <row r="21547" customFormat="1" x14ac:dyDescent="0.25"/>
    <row r="21548" customFormat="1" x14ac:dyDescent="0.25"/>
    <row r="21549" customFormat="1" x14ac:dyDescent="0.25"/>
    <row r="21550" customFormat="1" x14ac:dyDescent="0.25"/>
    <row r="21551" customFormat="1" x14ac:dyDescent="0.25"/>
    <row r="21552" customFormat="1" x14ac:dyDescent="0.25"/>
    <row r="21553" customFormat="1" x14ac:dyDescent="0.25"/>
    <row r="21554" customFormat="1" x14ac:dyDescent="0.25"/>
    <row r="21555" customFormat="1" x14ac:dyDescent="0.25"/>
    <row r="21556" customFormat="1" x14ac:dyDescent="0.25"/>
    <row r="21557" customFormat="1" x14ac:dyDescent="0.25"/>
    <row r="21558" customFormat="1" x14ac:dyDescent="0.25"/>
    <row r="21559" customFormat="1" x14ac:dyDescent="0.25"/>
    <row r="21560" customFormat="1" x14ac:dyDescent="0.25"/>
    <row r="21561" customFormat="1" x14ac:dyDescent="0.25"/>
    <row r="21562" customFormat="1" x14ac:dyDescent="0.25"/>
    <row r="21563" customFormat="1" x14ac:dyDescent="0.25"/>
    <row r="21564" customFormat="1" x14ac:dyDescent="0.25"/>
    <row r="21565" customFormat="1" x14ac:dyDescent="0.25"/>
    <row r="21566" customFormat="1" x14ac:dyDescent="0.25"/>
    <row r="21567" customFormat="1" x14ac:dyDescent="0.25"/>
    <row r="21568" customFormat="1" x14ac:dyDescent="0.25"/>
    <row r="21569" customFormat="1" x14ac:dyDescent="0.25"/>
    <row r="21570" customFormat="1" x14ac:dyDescent="0.25"/>
    <row r="21571" customFormat="1" x14ac:dyDescent="0.25"/>
    <row r="21572" customFormat="1" x14ac:dyDescent="0.25"/>
    <row r="21573" customFormat="1" x14ac:dyDescent="0.25"/>
    <row r="21574" customFormat="1" x14ac:dyDescent="0.25"/>
    <row r="21575" customFormat="1" x14ac:dyDescent="0.25"/>
    <row r="21576" customFormat="1" x14ac:dyDescent="0.25"/>
    <row r="21577" customFormat="1" x14ac:dyDescent="0.25"/>
    <row r="21578" customFormat="1" x14ac:dyDescent="0.25"/>
    <row r="21579" customFormat="1" x14ac:dyDescent="0.25"/>
    <row r="21580" customFormat="1" x14ac:dyDescent="0.25"/>
    <row r="21581" customFormat="1" x14ac:dyDescent="0.25"/>
    <row r="21582" customFormat="1" x14ac:dyDescent="0.25"/>
    <row r="21583" customFormat="1" x14ac:dyDescent="0.25"/>
    <row r="21584" customFormat="1" x14ac:dyDescent="0.25"/>
    <row r="21585" customFormat="1" x14ac:dyDescent="0.25"/>
    <row r="21586" customFormat="1" x14ac:dyDescent="0.25"/>
    <row r="21587" customFormat="1" x14ac:dyDescent="0.25"/>
    <row r="21588" customFormat="1" x14ac:dyDescent="0.25"/>
    <row r="21589" customFormat="1" x14ac:dyDescent="0.25"/>
    <row r="21590" customFormat="1" x14ac:dyDescent="0.25"/>
    <row r="21591" customFormat="1" x14ac:dyDescent="0.25"/>
    <row r="21592" customFormat="1" x14ac:dyDescent="0.25"/>
    <row r="21593" customFormat="1" x14ac:dyDescent="0.25"/>
    <row r="21594" customFormat="1" x14ac:dyDescent="0.25"/>
    <row r="21595" customFormat="1" x14ac:dyDescent="0.25"/>
    <row r="21596" customFormat="1" x14ac:dyDescent="0.25"/>
    <row r="21597" customFormat="1" x14ac:dyDescent="0.25"/>
    <row r="21598" customFormat="1" x14ac:dyDescent="0.25"/>
    <row r="21599" customFormat="1" x14ac:dyDescent="0.25"/>
    <row r="21600" customFormat="1" x14ac:dyDescent="0.25"/>
    <row r="21601" customFormat="1" x14ac:dyDescent="0.25"/>
    <row r="21602" customFormat="1" x14ac:dyDescent="0.25"/>
    <row r="21603" customFormat="1" x14ac:dyDescent="0.25"/>
    <row r="21604" customFormat="1" x14ac:dyDescent="0.25"/>
    <row r="21605" customFormat="1" x14ac:dyDescent="0.25"/>
    <row r="21606" customFormat="1" x14ac:dyDescent="0.25"/>
    <row r="21607" customFormat="1" x14ac:dyDescent="0.25"/>
    <row r="21608" customFormat="1" x14ac:dyDescent="0.25"/>
    <row r="21609" customFormat="1" x14ac:dyDescent="0.25"/>
    <row r="21610" customFormat="1" x14ac:dyDescent="0.25"/>
    <row r="21611" customFormat="1" x14ac:dyDescent="0.25"/>
    <row r="21612" customFormat="1" x14ac:dyDescent="0.25"/>
    <row r="21613" customFormat="1" x14ac:dyDescent="0.25"/>
    <row r="21614" customFormat="1" x14ac:dyDescent="0.25"/>
    <row r="21615" customFormat="1" x14ac:dyDescent="0.25"/>
    <row r="21616" customFormat="1" x14ac:dyDescent="0.25"/>
    <row r="21617" customFormat="1" x14ac:dyDescent="0.25"/>
    <row r="21618" customFormat="1" x14ac:dyDescent="0.25"/>
    <row r="21619" customFormat="1" x14ac:dyDescent="0.25"/>
    <row r="21620" customFormat="1" x14ac:dyDescent="0.25"/>
    <row r="21621" customFormat="1" x14ac:dyDescent="0.25"/>
    <row r="21622" customFormat="1" x14ac:dyDescent="0.25"/>
    <row r="21623" customFormat="1" x14ac:dyDescent="0.25"/>
    <row r="21624" customFormat="1" x14ac:dyDescent="0.25"/>
    <row r="21625" customFormat="1" x14ac:dyDescent="0.25"/>
    <row r="21626" customFormat="1" x14ac:dyDescent="0.25"/>
    <row r="21627" customFormat="1" x14ac:dyDescent="0.25"/>
    <row r="21628" customFormat="1" x14ac:dyDescent="0.25"/>
    <row r="21629" customFormat="1" x14ac:dyDescent="0.25"/>
    <row r="21630" customFormat="1" x14ac:dyDescent="0.25"/>
    <row r="21631" customFormat="1" x14ac:dyDescent="0.25"/>
    <row r="21632" customFormat="1" x14ac:dyDescent="0.25"/>
    <row r="21633" customFormat="1" x14ac:dyDescent="0.25"/>
    <row r="21634" customFormat="1" x14ac:dyDescent="0.25"/>
    <row r="21635" customFormat="1" x14ac:dyDescent="0.25"/>
    <row r="21636" customFormat="1" x14ac:dyDescent="0.25"/>
    <row r="21637" customFormat="1" x14ac:dyDescent="0.25"/>
    <row r="21638" customFormat="1" x14ac:dyDescent="0.25"/>
    <row r="21639" customFormat="1" x14ac:dyDescent="0.25"/>
    <row r="21640" customFormat="1" x14ac:dyDescent="0.25"/>
    <row r="21641" customFormat="1" x14ac:dyDescent="0.25"/>
    <row r="21642" customFormat="1" x14ac:dyDescent="0.25"/>
    <row r="21643" customFormat="1" x14ac:dyDescent="0.25"/>
    <row r="21644" customFormat="1" x14ac:dyDescent="0.25"/>
    <row r="21645" customFormat="1" x14ac:dyDescent="0.25"/>
    <row r="21646" customFormat="1" x14ac:dyDescent="0.25"/>
    <row r="21647" customFormat="1" x14ac:dyDescent="0.25"/>
    <row r="21648" customFormat="1" x14ac:dyDescent="0.25"/>
    <row r="21649" customFormat="1" x14ac:dyDescent="0.25"/>
    <row r="21650" customFormat="1" x14ac:dyDescent="0.25"/>
    <row r="21651" customFormat="1" x14ac:dyDescent="0.25"/>
    <row r="21652" customFormat="1" x14ac:dyDescent="0.25"/>
    <row r="21653" customFormat="1" x14ac:dyDescent="0.25"/>
    <row r="21654" customFormat="1" x14ac:dyDescent="0.25"/>
    <row r="21655" customFormat="1" x14ac:dyDescent="0.25"/>
    <row r="21656" customFormat="1" x14ac:dyDescent="0.25"/>
    <row r="21657" customFormat="1" x14ac:dyDescent="0.25"/>
    <row r="21658" customFormat="1" x14ac:dyDescent="0.25"/>
    <row r="21659" customFormat="1" x14ac:dyDescent="0.25"/>
    <row r="21660" customFormat="1" x14ac:dyDescent="0.25"/>
    <row r="21661" customFormat="1" x14ac:dyDescent="0.25"/>
    <row r="21662" customFormat="1" x14ac:dyDescent="0.25"/>
    <row r="21663" customFormat="1" x14ac:dyDescent="0.25"/>
    <row r="21664" customFormat="1" x14ac:dyDescent="0.25"/>
    <row r="21665" customFormat="1" x14ac:dyDescent="0.25"/>
    <row r="21666" customFormat="1" x14ac:dyDescent="0.25"/>
    <row r="21667" customFormat="1" x14ac:dyDescent="0.25"/>
    <row r="21668" customFormat="1" x14ac:dyDescent="0.25"/>
    <row r="21669" customFormat="1" x14ac:dyDescent="0.25"/>
    <row r="21670" customFormat="1" x14ac:dyDescent="0.25"/>
    <row r="21671" customFormat="1" x14ac:dyDescent="0.25"/>
    <row r="21672" customFormat="1" x14ac:dyDescent="0.25"/>
    <row r="21673" customFormat="1" x14ac:dyDescent="0.25"/>
    <row r="21674" customFormat="1" x14ac:dyDescent="0.25"/>
    <row r="21675" customFormat="1" x14ac:dyDescent="0.25"/>
    <row r="21676" customFormat="1" x14ac:dyDescent="0.25"/>
    <row r="21677" customFormat="1" x14ac:dyDescent="0.25"/>
    <row r="21678" customFormat="1" x14ac:dyDescent="0.25"/>
    <row r="21679" customFormat="1" x14ac:dyDescent="0.25"/>
    <row r="21680" customFormat="1" x14ac:dyDescent="0.25"/>
    <row r="21681" customFormat="1" x14ac:dyDescent="0.25"/>
    <row r="21682" customFormat="1" x14ac:dyDescent="0.25"/>
    <row r="21683" customFormat="1" x14ac:dyDescent="0.25"/>
    <row r="21684" customFormat="1" x14ac:dyDescent="0.25"/>
    <row r="21685" customFormat="1" x14ac:dyDescent="0.25"/>
    <row r="21686" customFormat="1" x14ac:dyDescent="0.25"/>
    <row r="21687" customFormat="1" x14ac:dyDescent="0.25"/>
    <row r="21688" customFormat="1" x14ac:dyDescent="0.25"/>
    <row r="21689" customFormat="1" x14ac:dyDescent="0.25"/>
    <row r="21690" customFormat="1" x14ac:dyDescent="0.25"/>
    <row r="21691" customFormat="1" x14ac:dyDescent="0.25"/>
    <row r="21692" customFormat="1" x14ac:dyDescent="0.25"/>
    <row r="21693" customFormat="1" x14ac:dyDescent="0.25"/>
    <row r="21694" customFormat="1" x14ac:dyDescent="0.25"/>
    <row r="21695" customFormat="1" x14ac:dyDescent="0.25"/>
    <row r="21696" customFormat="1" x14ac:dyDescent="0.25"/>
    <row r="21697" customFormat="1" x14ac:dyDescent="0.25"/>
    <row r="21698" customFormat="1" x14ac:dyDescent="0.25"/>
    <row r="21699" customFormat="1" x14ac:dyDescent="0.25"/>
    <row r="21700" customFormat="1" x14ac:dyDescent="0.25"/>
    <row r="21701" customFormat="1" x14ac:dyDescent="0.25"/>
    <row r="21702" customFormat="1" x14ac:dyDescent="0.25"/>
    <row r="21703" customFormat="1" x14ac:dyDescent="0.25"/>
    <row r="21704" customFormat="1" x14ac:dyDescent="0.25"/>
    <row r="21705" customFormat="1" x14ac:dyDescent="0.25"/>
    <row r="21706" customFormat="1" x14ac:dyDescent="0.25"/>
    <row r="21707" customFormat="1" x14ac:dyDescent="0.25"/>
    <row r="21708" customFormat="1" x14ac:dyDescent="0.25"/>
    <row r="21709" customFormat="1" x14ac:dyDescent="0.25"/>
    <row r="21710" customFormat="1" x14ac:dyDescent="0.25"/>
    <row r="21711" customFormat="1" x14ac:dyDescent="0.25"/>
    <row r="21712" customFormat="1" x14ac:dyDescent="0.25"/>
    <row r="21713" customFormat="1" x14ac:dyDescent="0.25"/>
    <row r="21714" customFormat="1" x14ac:dyDescent="0.25"/>
    <row r="21715" customFormat="1" x14ac:dyDescent="0.25"/>
    <row r="21716" customFormat="1" x14ac:dyDescent="0.25"/>
    <row r="21717" customFormat="1" x14ac:dyDescent="0.25"/>
    <row r="21718" customFormat="1" x14ac:dyDescent="0.25"/>
    <row r="21719" customFormat="1" x14ac:dyDescent="0.25"/>
    <row r="21720" customFormat="1" x14ac:dyDescent="0.25"/>
    <row r="21721" customFormat="1" x14ac:dyDescent="0.25"/>
    <row r="21722" customFormat="1" x14ac:dyDescent="0.25"/>
    <row r="21723" customFormat="1" x14ac:dyDescent="0.25"/>
    <row r="21724" customFormat="1" x14ac:dyDescent="0.25"/>
    <row r="21725" customFormat="1" x14ac:dyDescent="0.25"/>
    <row r="21726" customFormat="1" x14ac:dyDescent="0.25"/>
    <row r="21727" customFormat="1" x14ac:dyDescent="0.25"/>
    <row r="21728" customFormat="1" x14ac:dyDescent="0.25"/>
    <row r="21729" customFormat="1" x14ac:dyDescent="0.25"/>
    <row r="21730" customFormat="1" x14ac:dyDescent="0.25"/>
    <row r="21731" customFormat="1" x14ac:dyDescent="0.25"/>
    <row r="21732" customFormat="1" x14ac:dyDescent="0.25"/>
    <row r="21733" customFormat="1" x14ac:dyDescent="0.25"/>
    <row r="21734" customFormat="1" x14ac:dyDescent="0.25"/>
    <row r="21735" customFormat="1" x14ac:dyDescent="0.25"/>
    <row r="21736" customFormat="1" x14ac:dyDescent="0.25"/>
    <row r="21737" customFormat="1" x14ac:dyDescent="0.25"/>
    <row r="21738" customFormat="1" x14ac:dyDescent="0.25"/>
    <row r="21739" customFormat="1" x14ac:dyDescent="0.25"/>
    <row r="21740" customFormat="1" x14ac:dyDescent="0.25"/>
    <row r="21741" customFormat="1" x14ac:dyDescent="0.25"/>
    <row r="21742" customFormat="1" x14ac:dyDescent="0.25"/>
    <row r="21743" customFormat="1" x14ac:dyDescent="0.25"/>
    <row r="21744" customFormat="1" x14ac:dyDescent="0.25"/>
    <row r="21745" customFormat="1" x14ac:dyDescent="0.25"/>
    <row r="21746" customFormat="1" x14ac:dyDescent="0.25"/>
    <row r="21747" customFormat="1" x14ac:dyDescent="0.25"/>
    <row r="21748" customFormat="1" x14ac:dyDescent="0.25"/>
    <row r="21749" customFormat="1" x14ac:dyDescent="0.25"/>
    <row r="21750" customFormat="1" x14ac:dyDescent="0.25"/>
    <row r="21751" customFormat="1" x14ac:dyDescent="0.25"/>
    <row r="21752" customFormat="1" x14ac:dyDescent="0.25"/>
    <row r="21753" customFormat="1" x14ac:dyDescent="0.25"/>
    <row r="21754" customFormat="1" x14ac:dyDescent="0.25"/>
    <row r="21755" customFormat="1" x14ac:dyDescent="0.25"/>
    <row r="21756" customFormat="1" x14ac:dyDescent="0.25"/>
    <row r="21757" customFormat="1" x14ac:dyDescent="0.25"/>
    <row r="21758" customFormat="1" x14ac:dyDescent="0.25"/>
    <row r="21759" customFormat="1" x14ac:dyDescent="0.25"/>
    <row r="21760" customFormat="1" x14ac:dyDescent="0.25"/>
    <row r="21761" customFormat="1" x14ac:dyDescent="0.25"/>
    <row r="21762" customFormat="1" x14ac:dyDescent="0.25"/>
    <row r="21763" customFormat="1" x14ac:dyDescent="0.25"/>
    <row r="21764" customFormat="1" x14ac:dyDescent="0.25"/>
    <row r="21765" customFormat="1" x14ac:dyDescent="0.25"/>
    <row r="21766" customFormat="1" x14ac:dyDescent="0.25"/>
    <row r="21767" customFormat="1" x14ac:dyDescent="0.25"/>
    <row r="21768" customFormat="1" x14ac:dyDescent="0.25"/>
    <row r="21769" customFormat="1" x14ac:dyDescent="0.25"/>
    <row r="21770" customFormat="1" x14ac:dyDescent="0.25"/>
    <row r="21771" customFormat="1" x14ac:dyDescent="0.25"/>
    <row r="21772" customFormat="1" x14ac:dyDescent="0.25"/>
    <row r="21773" customFormat="1" x14ac:dyDescent="0.25"/>
    <row r="21774" customFormat="1" x14ac:dyDescent="0.25"/>
    <row r="21775" customFormat="1" x14ac:dyDescent="0.25"/>
    <row r="21776" customFormat="1" x14ac:dyDescent="0.25"/>
    <row r="21777" customFormat="1" x14ac:dyDescent="0.25"/>
    <row r="21778" customFormat="1" x14ac:dyDescent="0.25"/>
    <row r="21779" customFormat="1" x14ac:dyDescent="0.25"/>
    <row r="21780" customFormat="1" x14ac:dyDescent="0.25"/>
    <row r="21781" customFormat="1" x14ac:dyDescent="0.25"/>
    <row r="21782" customFormat="1" x14ac:dyDescent="0.25"/>
    <row r="21783" customFormat="1" x14ac:dyDescent="0.25"/>
    <row r="21784" customFormat="1" x14ac:dyDescent="0.25"/>
    <row r="21785" customFormat="1" x14ac:dyDescent="0.25"/>
    <row r="21786" customFormat="1" x14ac:dyDescent="0.25"/>
    <row r="21787" customFormat="1" x14ac:dyDescent="0.25"/>
    <row r="21788" customFormat="1" x14ac:dyDescent="0.25"/>
    <row r="21789" customFormat="1" x14ac:dyDescent="0.25"/>
    <row r="21790" customFormat="1" x14ac:dyDescent="0.25"/>
    <row r="21791" customFormat="1" x14ac:dyDescent="0.25"/>
    <row r="21792" customFormat="1" x14ac:dyDescent="0.25"/>
    <row r="21793" customFormat="1" x14ac:dyDescent="0.25"/>
    <row r="21794" customFormat="1" x14ac:dyDescent="0.25"/>
    <row r="21795" customFormat="1" x14ac:dyDescent="0.25"/>
    <row r="21796" customFormat="1" x14ac:dyDescent="0.25"/>
    <row r="21797" customFormat="1" x14ac:dyDescent="0.25"/>
    <row r="21798" customFormat="1" x14ac:dyDescent="0.25"/>
    <row r="21799" customFormat="1" x14ac:dyDescent="0.25"/>
    <row r="21800" customFormat="1" x14ac:dyDescent="0.25"/>
    <row r="21801" customFormat="1" x14ac:dyDescent="0.25"/>
    <row r="21802" customFormat="1" x14ac:dyDescent="0.25"/>
    <row r="21803" customFormat="1" x14ac:dyDescent="0.25"/>
    <row r="21804" customFormat="1" x14ac:dyDescent="0.25"/>
    <row r="21805" customFormat="1" x14ac:dyDescent="0.25"/>
    <row r="21806" customFormat="1" x14ac:dyDescent="0.25"/>
    <row r="21807" customFormat="1" x14ac:dyDescent="0.25"/>
    <row r="21808" customFormat="1" x14ac:dyDescent="0.25"/>
    <row r="21809" customFormat="1" x14ac:dyDescent="0.25"/>
    <row r="21810" customFormat="1" x14ac:dyDescent="0.25"/>
    <row r="21811" customFormat="1" x14ac:dyDescent="0.25"/>
    <row r="21812" customFormat="1" x14ac:dyDescent="0.25"/>
    <row r="21813" customFormat="1" x14ac:dyDescent="0.25"/>
    <row r="21814" customFormat="1" x14ac:dyDescent="0.25"/>
    <row r="21815" customFormat="1" x14ac:dyDescent="0.25"/>
    <row r="21816" customFormat="1" x14ac:dyDescent="0.25"/>
    <row r="21817" customFormat="1" x14ac:dyDescent="0.25"/>
    <row r="21818" customFormat="1" x14ac:dyDescent="0.25"/>
    <row r="21819" customFormat="1" x14ac:dyDescent="0.25"/>
    <row r="21820" customFormat="1" x14ac:dyDescent="0.25"/>
    <row r="21821" customFormat="1" x14ac:dyDescent="0.25"/>
    <row r="21822" customFormat="1" x14ac:dyDescent="0.25"/>
    <row r="21823" customFormat="1" x14ac:dyDescent="0.25"/>
    <row r="21824" customFormat="1" x14ac:dyDescent="0.25"/>
    <row r="21825" customFormat="1" x14ac:dyDescent="0.25"/>
    <row r="21826" customFormat="1" x14ac:dyDescent="0.25"/>
    <row r="21827" customFormat="1" x14ac:dyDescent="0.25"/>
    <row r="21828" customFormat="1" x14ac:dyDescent="0.25"/>
    <row r="21829" customFormat="1" x14ac:dyDescent="0.25"/>
    <row r="21830" customFormat="1" x14ac:dyDescent="0.25"/>
    <row r="21831" customFormat="1" x14ac:dyDescent="0.25"/>
    <row r="21832" customFormat="1" x14ac:dyDescent="0.25"/>
    <row r="21833" customFormat="1" x14ac:dyDescent="0.25"/>
    <row r="21834" customFormat="1" x14ac:dyDescent="0.25"/>
    <row r="21835" customFormat="1" x14ac:dyDescent="0.25"/>
    <row r="21836" customFormat="1" x14ac:dyDescent="0.25"/>
    <row r="21837" customFormat="1" x14ac:dyDescent="0.25"/>
    <row r="21838" customFormat="1" x14ac:dyDescent="0.25"/>
    <row r="21839" customFormat="1" x14ac:dyDescent="0.25"/>
    <row r="21840" customFormat="1" x14ac:dyDescent="0.25"/>
    <row r="21841" customFormat="1" x14ac:dyDescent="0.25"/>
    <row r="21842" customFormat="1" x14ac:dyDescent="0.25"/>
    <row r="21843" customFormat="1" x14ac:dyDescent="0.25"/>
    <row r="21844" customFormat="1" x14ac:dyDescent="0.25"/>
    <row r="21845" customFormat="1" x14ac:dyDescent="0.25"/>
    <row r="21846" customFormat="1" x14ac:dyDescent="0.25"/>
    <row r="21847" customFormat="1" x14ac:dyDescent="0.25"/>
    <row r="21848" customFormat="1" x14ac:dyDescent="0.25"/>
    <row r="21849" customFormat="1" x14ac:dyDescent="0.25"/>
    <row r="21850" customFormat="1" x14ac:dyDescent="0.25"/>
    <row r="21851" customFormat="1" x14ac:dyDescent="0.25"/>
    <row r="21852" customFormat="1" x14ac:dyDescent="0.25"/>
    <row r="21853" customFormat="1" x14ac:dyDescent="0.25"/>
    <row r="21854" customFormat="1" x14ac:dyDescent="0.25"/>
    <row r="21855" customFormat="1" x14ac:dyDescent="0.25"/>
    <row r="21856" customFormat="1" x14ac:dyDescent="0.25"/>
    <row r="21857" customFormat="1" x14ac:dyDescent="0.25"/>
    <row r="21858" customFormat="1" x14ac:dyDescent="0.25"/>
    <row r="21859" customFormat="1" x14ac:dyDescent="0.25"/>
    <row r="21860" customFormat="1" x14ac:dyDescent="0.25"/>
    <row r="21861" customFormat="1" x14ac:dyDescent="0.25"/>
    <row r="21862" customFormat="1" x14ac:dyDescent="0.25"/>
    <row r="21863" customFormat="1" x14ac:dyDescent="0.25"/>
    <row r="21864" customFormat="1" x14ac:dyDescent="0.25"/>
    <row r="21865" customFormat="1" x14ac:dyDescent="0.25"/>
    <row r="21866" customFormat="1" x14ac:dyDescent="0.25"/>
    <row r="21867" customFormat="1" x14ac:dyDescent="0.25"/>
    <row r="21868" customFormat="1" x14ac:dyDescent="0.25"/>
    <row r="21869" customFormat="1" x14ac:dyDescent="0.25"/>
    <row r="21870" customFormat="1" x14ac:dyDescent="0.25"/>
    <row r="21871" customFormat="1" x14ac:dyDescent="0.25"/>
    <row r="21872" customFormat="1" x14ac:dyDescent="0.25"/>
    <row r="21873" customFormat="1" x14ac:dyDescent="0.25"/>
    <row r="21874" customFormat="1" x14ac:dyDescent="0.25"/>
    <row r="21875" customFormat="1" x14ac:dyDescent="0.25"/>
    <row r="21876" customFormat="1" x14ac:dyDescent="0.25"/>
    <row r="21877" customFormat="1" x14ac:dyDescent="0.25"/>
    <row r="21878" customFormat="1" x14ac:dyDescent="0.25"/>
    <row r="21879" customFormat="1" x14ac:dyDescent="0.25"/>
    <row r="21880" customFormat="1" x14ac:dyDescent="0.25"/>
    <row r="21881" customFormat="1" x14ac:dyDescent="0.25"/>
    <row r="21882" customFormat="1" x14ac:dyDescent="0.25"/>
    <row r="21883" customFormat="1" x14ac:dyDescent="0.25"/>
    <row r="21884" customFormat="1" x14ac:dyDescent="0.25"/>
    <row r="21885" customFormat="1" x14ac:dyDescent="0.25"/>
    <row r="21886" customFormat="1" x14ac:dyDescent="0.25"/>
    <row r="21887" customFormat="1" x14ac:dyDescent="0.25"/>
    <row r="21888" customFormat="1" x14ac:dyDescent="0.25"/>
    <row r="21889" customFormat="1" x14ac:dyDescent="0.25"/>
    <row r="21890" customFormat="1" x14ac:dyDescent="0.25"/>
    <row r="21891" customFormat="1" x14ac:dyDescent="0.25"/>
    <row r="21892" customFormat="1" x14ac:dyDescent="0.25"/>
    <row r="21893" customFormat="1" x14ac:dyDescent="0.25"/>
    <row r="21894" customFormat="1" x14ac:dyDescent="0.25"/>
    <row r="21895" customFormat="1" x14ac:dyDescent="0.25"/>
    <row r="21896" customFormat="1" x14ac:dyDescent="0.25"/>
    <row r="21897" customFormat="1" x14ac:dyDescent="0.25"/>
    <row r="21898" customFormat="1" x14ac:dyDescent="0.25"/>
    <row r="21899" customFormat="1" x14ac:dyDescent="0.25"/>
    <row r="21900" customFormat="1" x14ac:dyDescent="0.25"/>
    <row r="21901" customFormat="1" x14ac:dyDescent="0.25"/>
    <row r="21902" customFormat="1" x14ac:dyDescent="0.25"/>
    <row r="21903" customFormat="1" x14ac:dyDescent="0.25"/>
    <row r="21904" customFormat="1" x14ac:dyDescent="0.25"/>
    <row r="21905" customFormat="1" x14ac:dyDescent="0.25"/>
    <row r="21906" customFormat="1" x14ac:dyDescent="0.25"/>
    <row r="21907" customFormat="1" x14ac:dyDescent="0.25"/>
    <row r="21908" customFormat="1" x14ac:dyDescent="0.25"/>
    <row r="21909" customFormat="1" x14ac:dyDescent="0.25"/>
    <row r="21910" customFormat="1" x14ac:dyDescent="0.25"/>
    <row r="21911" customFormat="1" x14ac:dyDescent="0.25"/>
    <row r="21912" customFormat="1" x14ac:dyDescent="0.25"/>
    <row r="21913" customFormat="1" x14ac:dyDescent="0.25"/>
    <row r="21914" customFormat="1" x14ac:dyDescent="0.25"/>
    <row r="21915" customFormat="1" x14ac:dyDescent="0.25"/>
    <row r="21916" customFormat="1" x14ac:dyDescent="0.25"/>
    <row r="21917" customFormat="1" x14ac:dyDescent="0.25"/>
    <row r="21918" customFormat="1" x14ac:dyDescent="0.25"/>
    <row r="21919" customFormat="1" x14ac:dyDescent="0.25"/>
    <row r="21920" customFormat="1" x14ac:dyDescent="0.25"/>
    <row r="21921" customFormat="1" x14ac:dyDescent="0.25"/>
    <row r="21922" customFormat="1" x14ac:dyDescent="0.25"/>
    <row r="21923" customFormat="1" x14ac:dyDescent="0.25"/>
    <row r="21924" customFormat="1" x14ac:dyDescent="0.25"/>
    <row r="21925" customFormat="1" x14ac:dyDescent="0.25"/>
    <row r="21926" customFormat="1" x14ac:dyDescent="0.25"/>
    <row r="21927" customFormat="1" x14ac:dyDescent="0.25"/>
    <row r="21928" customFormat="1" x14ac:dyDescent="0.25"/>
    <row r="21929" customFormat="1" x14ac:dyDescent="0.25"/>
    <row r="21930" customFormat="1" x14ac:dyDescent="0.25"/>
    <row r="21931" customFormat="1" x14ac:dyDescent="0.25"/>
    <row r="21932" customFormat="1" x14ac:dyDescent="0.25"/>
    <row r="21933" customFormat="1" x14ac:dyDescent="0.25"/>
    <row r="21934" customFormat="1" x14ac:dyDescent="0.25"/>
    <row r="21935" customFormat="1" x14ac:dyDescent="0.25"/>
    <row r="21936" customFormat="1" x14ac:dyDescent="0.25"/>
    <row r="21937" customFormat="1" x14ac:dyDescent="0.25"/>
    <row r="21938" customFormat="1" x14ac:dyDescent="0.25"/>
    <row r="21939" customFormat="1" x14ac:dyDescent="0.25"/>
    <row r="21940" customFormat="1" x14ac:dyDescent="0.25"/>
    <row r="21941" customFormat="1" x14ac:dyDescent="0.25"/>
    <row r="21942" customFormat="1" x14ac:dyDescent="0.25"/>
    <row r="21943" customFormat="1" x14ac:dyDescent="0.25"/>
    <row r="21944" customFormat="1" x14ac:dyDescent="0.25"/>
    <row r="21945" customFormat="1" x14ac:dyDescent="0.25"/>
    <row r="21946" customFormat="1" x14ac:dyDescent="0.25"/>
    <row r="21947" customFormat="1" x14ac:dyDescent="0.25"/>
    <row r="21948" customFormat="1" x14ac:dyDescent="0.25"/>
    <row r="21949" customFormat="1" x14ac:dyDescent="0.25"/>
    <row r="21950" customFormat="1" x14ac:dyDescent="0.25"/>
    <row r="21951" customFormat="1" x14ac:dyDescent="0.25"/>
    <row r="21952" customFormat="1" x14ac:dyDescent="0.25"/>
    <row r="21953" customFormat="1" x14ac:dyDescent="0.25"/>
    <row r="21954" customFormat="1" x14ac:dyDescent="0.25"/>
    <row r="21955" customFormat="1" x14ac:dyDescent="0.25"/>
    <row r="21956" customFormat="1" x14ac:dyDescent="0.25"/>
    <row r="21957" customFormat="1" x14ac:dyDescent="0.25"/>
    <row r="21958" customFormat="1" x14ac:dyDescent="0.25"/>
    <row r="21959" customFormat="1" x14ac:dyDescent="0.25"/>
    <row r="21960" customFormat="1" x14ac:dyDescent="0.25"/>
    <row r="21961" customFormat="1" x14ac:dyDescent="0.25"/>
    <row r="21962" customFormat="1" x14ac:dyDescent="0.25"/>
    <row r="21963" customFormat="1" x14ac:dyDescent="0.25"/>
    <row r="21964" customFormat="1" x14ac:dyDescent="0.25"/>
    <row r="21965" customFormat="1" x14ac:dyDescent="0.25"/>
    <row r="21966" customFormat="1" x14ac:dyDescent="0.25"/>
    <row r="21967" customFormat="1" x14ac:dyDescent="0.25"/>
    <row r="21968" customFormat="1" x14ac:dyDescent="0.25"/>
    <row r="21969" customFormat="1" x14ac:dyDescent="0.25"/>
    <row r="21970" customFormat="1" x14ac:dyDescent="0.25"/>
    <row r="21971" customFormat="1" x14ac:dyDescent="0.25"/>
    <row r="21972" customFormat="1" x14ac:dyDescent="0.25"/>
    <row r="21973" customFormat="1" x14ac:dyDescent="0.25"/>
    <row r="21974" customFormat="1" x14ac:dyDescent="0.25"/>
    <row r="21975" customFormat="1" x14ac:dyDescent="0.25"/>
    <row r="21976" customFormat="1" x14ac:dyDescent="0.25"/>
    <row r="21977" customFormat="1" x14ac:dyDescent="0.25"/>
    <row r="21978" customFormat="1" x14ac:dyDescent="0.25"/>
    <row r="21979" customFormat="1" x14ac:dyDescent="0.25"/>
    <row r="21980" customFormat="1" x14ac:dyDescent="0.25"/>
    <row r="21981" customFormat="1" x14ac:dyDescent="0.25"/>
    <row r="21982" customFormat="1" x14ac:dyDescent="0.25"/>
    <row r="21983" customFormat="1" x14ac:dyDescent="0.25"/>
    <row r="21984" customFormat="1" x14ac:dyDescent="0.25"/>
    <row r="21985" customFormat="1" x14ac:dyDescent="0.25"/>
    <row r="21986" customFormat="1" x14ac:dyDescent="0.25"/>
    <row r="21987" customFormat="1" x14ac:dyDescent="0.25"/>
    <row r="21988" customFormat="1" x14ac:dyDescent="0.25"/>
    <row r="21989" customFormat="1" x14ac:dyDescent="0.25"/>
    <row r="21990" customFormat="1" x14ac:dyDescent="0.25"/>
    <row r="21991" customFormat="1" x14ac:dyDescent="0.25"/>
    <row r="21992" customFormat="1" x14ac:dyDescent="0.25"/>
    <row r="21993" customFormat="1" x14ac:dyDescent="0.25"/>
    <row r="21994" customFormat="1" x14ac:dyDescent="0.25"/>
    <row r="21995" customFormat="1" x14ac:dyDescent="0.25"/>
    <row r="21996" customFormat="1" x14ac:dyDescent="0.25"/>
    <row r="21997" customFormat="1" x14ac:dyDescent="0.25"/>
    <row r="21998" customFormat="1" x14ac:dyDescent="0.25"/>
    <row r="21999" customFormat="1" x14ac:dyDescent="0.25"/>
    <row r="22000" customFormat="1" x14ac:dyDescent="0.25"/>
    <row r="22001" customFormat="1" x14ac:dyDescent="0.25"/>
    <row r="22002" customFormat="1" x14ac:dyDescent="0.25"/>
    <row r="22003" customFormat="1" x14ac:dyDescent="0.25"/>
    <row r="22004" customFormat="1" x14ac:dyDescent="0.25"/>
    <row r="22005" customFormat="1" x14ac:dyDescent="0.25"/>
    <row r="22006" customFormat="1" x14ac:dyDescent="0.25"/>
    <row r="22007" customFormat="1" x14ac:dyDescent="0.25"/>
    <row r="22008" customFormat="1" x14ac:dyDescent="0.25"/>
    <row r="22009" customFormat="1" x14ac:dyDescent="0.25"/>
    <row r="22010" customFormat="1" x14ac:dyDescent="0.25"/>
    <row r="22011" customFormat="1" x14ac:dyDescent="0.25"/>
    <row r="22012" customFormat="1" x14ac:dyDescent="0.25"/>
    <row r="22013" customFormat="1" x14ac:dyDescent="0.25"/>
    <row r="22014" customFormat="1" x14ac:dyDescent="0.25"/>
    <row r="22015" customFormat="1" x14ac:dyDescent="0.25"/>
    <row r="22016" customFormat="1" x14ac:dyDescent="0.25"/>
    <row r="22017" customFormat="1" x14ac:dyDescent="0.25"/>
    <row r="22018" customFormat="1" x14ac:dyDescent="0.25"/>
    <row r="22019" customFormat="1" x14ac:dyDescent="0.25"/>
    <row r="22020" customFormat="1" x14ac:dyDescent="0.25"/>
    <row r="22021" customFormat="1" x14ac:dyDescent="0.25"/>
    <row r="22022" customFormat="1" x14ac:dyDescent="0.25"/>
    <row r="22023" customFormat="1" x14ac:dyDescent="0.25"/>
    <row r="22024" customFormat="1" x14ac:dyDescent="0.25"/>
    <row r="22025" customFormat="1" x14ac:dyDescent="0.25"/>
    <row r="22026" customFormat="1" x14ac:dyDescent="0.25"/>
    <row r="22027" customFormat="1" x14ac:dyDescent="0.25"/>
    <row r="22028" customFormat="1" x14ac:dyDescent="0.25"/>
    <row r="22029" customFormat="1" x14ac:dyDescent="0.25"/>
    <row r="22030" customFormat="1" x14ac:dyDescent="0.25"/>
    <row r="22031" customFormat="1" x14ac:dyDescent="0.25"/>
    <row r="22032" customFormat="1" x14ac:dyDescent="0.25"/>
    <row r="22033" customFormat="1" x14ac:dyDescent="0.25"/>
    <row r="22034" customFormat="1" x14ac:dyDescent="0.25"/>
    <row r="22035" customFormat="1" x14ac:dyDescent="0.25"/>
    <row r="22036" customFormat="1" x14ac:dyDescent="0.25"/>
    <row r="22037" customFormat="1" x14ac:dyDescent="0.25"/>
    <row r="22038" customFormat="1" x14ac:dyDescent="0.25"/>
    <row r="22039" customFormat="1" x14ac:dyDescent="0.25"/>
    <row r="22040" customFormat="1" x14ac:dyDescent="0.25"/>
    <row r="22041" customFormat="1" x14ac:dyDescent="0.25"/>
    <row r="22042" customFormat="1" x14ac:dyDescent="0.25"/>
    <row r="22043" customFormat="1" x14ac:dyDescent="0.25"/>
    <row r="22044" customFormat="1" x14ac:dyDescent="0.25"/>
    <row r="22045" customFormat="1" x14ac:dyDescent="0.25"/>
    <row r="22046" customFormat="1" x14ac:dyDescent="0.25"/>
    <row r="22047" customFormat="1" x14ac:dyDescent="0.25"/>
    <row r="22048" customFormat="1" x14ac:dyDescent="0.25"/>
    <row r="22049" customFormat="1" x14ac:dyDescent="0.25"/>
    <row r="22050" customFormat="1" x14ac:dyDescent="0.25"/>
    <row r="22051" customFormat="1" x14ac:dyDescent="0.25"/>
    <row r="22052" customFormat="1" x14ac:dyDescent="0.25"/>
    <row r="22053" customFormat="1" x14ac:dyDescent="0.25"/>
    <row r="22054" customFormat="1" x14ac:dyDescent="0.25"/>
    <row r="22055" customFormat="1" x14ac:dyDescent="0.25"/>
    <row r="22056" customFormat="1" x14ac:dyDescent="0.25"/>
    <row r="22057" customFormat="1" x14ac:dyDescent="0.25"/>
    <row r="22058" customFormat="1" x14ac:dyDescent="0.25"/>
    <row r="22059" customFormat="1" x14ac:dyDescent="0.25"/>
    <row r="22060" customFormat="1" x14ac:dyDescent="0.25"/>
    <row r="22061" customFormat="1" x14ac:dyDescent="0.25"/>
    <row r="22062" customFormat="1" x14ac:dyDescent="0.25"/>
    <row r="22063" customFormat="1" x14ac:dyDescent="0.25"/>
    <row r="22064" customFormat="1" x14ac:dyDescent="0.25"/>
    <row r="22065" customFormat="1" x14ac:dyDescent="0.25"/>
    <row r="22066" customFormat="1" x14ac:dyDescent="0.25"/>
    <row r="22067" customFormat="1" x14ac:dyDescent="0.25"/>
    <row r="22068" customFormat="1" x14ac:dyDescent="0.25"/>
    <row r="22069" customFormat="1" x14ac:dyDescent="0.25"/>
    <row r="22070" customFormat="1" x14ac:dyDescent="0.25"/>
    <row r="22071" customFormat="1" x14ac:dyDescent="0.25"/>
    <row r="22072" customFormat="1" x14ac:dyDescent="0.25"/>
    <row r="22073" customFormat="1" x14ac:dyDescent="0.25"/>
    <row r="22074" customFormat="1" x14ac:dyDescent="0.25"/>
    <row r="22075" customFormat="1" x14ac:dyDescent="0.25"/>
    <row r="22076" customFormat="1" x14ac:dyDescent="0.25"/>
    <row r="22077" customFormat="1" x14ac:dyDescent="0.25"/>
    <row r="22078" customFormat="1" x14ac:dyDescent="0.25"/>
    <row r="22079" customFormat="1" x14ac:dyDescent="0.25"/>
    <row r="22080" customFormat="1" x14ac:dyDescent="0.25"/>
    <row r="22081" customFormat="1" x14ac:dyDescent="0.25"/>
    <row r="22082" customFormat="1" x14ac:dyDescent="0.25"/>
    <row r="22083" customFormat="1" x14ac:dyDescent="0.25"/>
    <row r="22084" customFormat="1" x14ac:dyDescent="0.25"/>
    <row r="22085" customFormat="1" x14ac:dyDescent="0.25"/>
    <row r="22086" customFormat="1" x14ac:dyDescent="0.25"/>
    <row r="22087" customFormat="1" x14ac:dyDescent="0.25"/>
    <row r="22088" customFormat="1" x14ac:dyDescent="0.25"/>
    <row r="22089" customFormat="1" x14ac:dyDescent="0.25"/>
    <row r="22090" customFormat="1" x14ac:dyDescent="0.25"/>
    <row r="22091" customFormat="1" x14ac:dyDescent="0.25"/>
    <row r="22092" customFormat="1" x14ac:dyDescent="0.25"/>
    <row r="22093" customFormat="1" x14ac:dyDescent="0.25"/>
    <row r="22094" customFormat="1" x14ac:dyDescent="0.25"/>
    <row r="22095" customFormat="1" x14ac:dyDescent="0.25"/>
    <row r="22096" customFormat="1" x14ac:dyDescent="0.25"/>
    <row r="22097" customFormat="1" x14ac:dyDescent="0.25"/>
    <row r="22098" customFormat="1" x14ac:dyDescent="0.25"/>
    <row r="22099" customFormat="1" x14ac:dyDescent="0.25"/>
    <row r="22100" customFormat="1" x14ac:dyDescent="0.25"/>
    <row r="22101" customFormat="1" x14ac:dyDescent="0.25"/>
    <row r="22102" customFormat="1" x14ac:dyDescent="0.25"/>
    <row r="22103" customFormat="1" x14ac:dyDescent="0.25"/>
    <row r="22104" customFormat="1" x14ac:dyDescent="0.25"/>
    <row r="22105" customFormat="1" x14ac:dyDescent="0.25"/>
    <row r="22106" customFormat="1" x14ac:dyDescent="0.25"/>
    <row r="22107" customFormat="1" x14ac:dyDescent="0.25"/>
    <row r="22108" customFormat="1" x14ac:dyDescent="0.25"/>
    <row r="22109" customFormat="1" x14ac:dyDescent="0.25"/>
    <row r="22110" customFormat="1" x14ac:dyDescent="0.25"/>
    <row r="22111" customFormat="1" x14ac:dyDescent="0.25"/>
    <row r="22112" customFormat="1" x14ac:dyDescent="0.25"/>
    <row r="22113" customFormat="1" x14ac:dyDescent="0.25"/>
    <row r="22114" customFormat="1" x14ac:dyDescent="0.25"/>
    <row r="22115" customFormat="1" x14ac:dyDescent="0.25"/>
    <row r="22116" customFormat="1" x14ac:dyDescent="0.25"/>
    <row r="22117" customFormat="1" x14ac:dyDescent="0.25"/>
    <row r="22118" customFormat="1" x14ac:dyDescent="0.25"/>
    <row r="22119" customFormat="1" x14ac:dyDescent="0.25"/>
    <row r="22120" customFormat="1" x14ac:dyDescent="0.25"/>
    <row r="22121" customFormat="1" x14ac:dyDescent="0.25"/>
    <row r="22122" customFormat="1" x14ac:dyDescent="0.25"/>
    <row r="22123" customFormat="1" x14ac:dyDescent="0.25"/>
    <row r="22124" customFormat="1" x14ac:dyDescent="0.25"/>
    <row r="22125" customFormat="1" x14ac:dyDescent="0.25"/>
    <row r="22126" customFormat="1" x14ac:dyDescent="0.25"/>
    <row r="22127" customFormat="1" x14ac:dyDescent="0.25"/>
    <row r="22128" customFormat="1" x14ac:dyDescent="0.25"/>
    <row r="22129" customFormat="1" x14ac:dyDescent="0.25"/>
    <row r="22130" customFormat="1" x14ac:dyDescent="0.25"/>
    <row r="22131" customFormat="1" x14ac:dyDescent="0.25"/>
    <row r="22132" customFormat="1" x14ac:dyDescent="0.25"/>
    <row r="22133" customFormat="1" x14ac:dyDescent="0.25"/>
    <row r="22134" customFormat="1" x14ac:dyDescent="0.25"/>
    <row r="22135" customFormat="1" x14ac:dyDescent="0.25"/>
    <row r="22136" customFormat="1" x14ac:dyDescent="0.25"/>
    <row r="22137" customFormat="1" x14ac:dyDescent="0.25"/>
    <row r="22138" customFormat="1" x14ac:dyDescent="0.25"/>
    <row r="22139" customFormat="1" x14ac:dyDescent="0.25"/>
    <row r="22140" customFormat="1" x14ac:dyDescent="0.25"/>
    <row r="22141" customFormat="1" x14ac:dyDescent="0.25"/>
    <row r="22142" customFormat="1" x14ac:dyDescent="0.25"/>
    <row r="22143" customFormat="1" x14ac:dyDescent="0.25"/>
    <row r="22144" customFormat="1" x14ac:dyDescent="0.25"/>
    <row r="22145" customFormat="1" x14ac:dyDescent="0.25"/>
    <row r="22146" customFormat="1" x14ac:dyDescent="0.25"/>
    <row r="22147" customFormat="1" x14ac:dyDescent="0.25"/>
    <row r="22148" customFormat="1" x14ac:dyDescent="0.25"/>
    <row r="22149" customFormat="1" x14ac:dyDescent="0.25"/>
    <row r="22150" customFormat="1" x14ac:dyDescent="0.25"/>
    <row r="22151" customFormat="1" x14ac:dyDescent="0.25"/>
    <row r="22152" customFormat="1" x14ac:dyDescent="0.25"/>
    <row r="22153" customFormat="1" x14ac:dyDescent="0.25"/>
    <row r="22154" customFormat="1" x14ac:dyDescent="0.25"/>
    <row r="22155" customFormat="1" x14ac:dyDescent="0.25"/>
    <row r="22156" customFormat="1" x14ac:dyDescent="0.25"/>
    <row r="22157" customFormat="1" x14ac:dyDescent="0.25"/>
    <row r="22158" customFormat="1" x14ac:dyDescent="0.25"/>
    <row r="22159" customFormat="1" x14ac:dyDescent="0.25"/>
    <row r="22160" customFormat="1" x14ac:dyDescent="0.25"/>
    <row r="22161" customFormat="1" x14ac:dyDescent="0.25"/>
    <row r="22162" customFormat="1" x14ac:dyDescent="0.25"/>
    <row r="22163" customFormat="1" x14ac:dyDescent="0.25"/>
    <row r="22164" customFormat="1" x14ac:dyDescent="0.25"/>
    <row r="22165" customFormat="1" x14ac:dyDescent="0.25"/>
    <row r="22166" customFormat="1" x14ac:dyDescent="0.25"/>
    <row r="22167" customFormat="1" x14ac:dyDescent="0.25"/>
    <row r="22168" customFormat="1" x14ac:dyDescent="0.25"/>
    <row r="22169" customFormat="1" x14ac:dyDescent="0.25"/>
    <row r="22170" customFormat="1" x14ac:dyDescent="0.25"/>
    <row r="22171" customFormat="1" x14ac:dyDescent="0.25"/>
    <row r="22172" customFormat="1" x14ac:dyDescent="0.25"/>
    <row r="22173" customFormat="1" x14ac:dyDescent="0.25"/>
    <row r="22174" customFormat="1" x14ac:dyDescent="0.25"/>
    <row r="22175" customFormat="1" x14ac:dyDescent="0.25"/>
    <row r="22176" customFormat="1" x14ac:dyDescent="0.25"/>
    <row r="22177" customFormat="1" x14ac:dyDescent="0.25"/>
    <row r="22178" customFormat="1" x14ac:dyDescent="0.25"/>
    <row r="22179" customFormat="1" x14ac:dyDescent="0.25"/>
    <row r="22180" customFormat="1" x14ac:dyDescent="0.25"/>
    <row r="22181" customFormat="1" x14ac:dyDescent="0.25"/>
    <row r="22182" customFormat="1" x14ac:dyDescent="0.25"/>
    <row r="22183" customFormat="1" x14ac:dyDescent="0.25"/>
    <row r="22184" customFormat="1" x14ac:dyDescent="0.25"/>
    <row r="22185" customFormat="1" x14ac:dyDescent="0.25"/>
    <row r="22186" customFormat="1" x14ac:dyDescent="0.25"/>
    <row r="22187" customFormat="1" x14ac:dyDescent="0.25"/>
    <row r="22188" customFormat="1" x14ac:dyDescent="0.25"/>
    <row r="22189" customFormat="1" x14ac:dyDescent="0.25"/>
    <row r="22190" customFormat="1" x14ac:dyDescent="0.25"/>
    <row r="22191" customFormat="1" x14ac:dyDescent="0.25"/>
    <row r="22192" customFormat="1" x14ac:dyDescent="0.25"/>
    <row r="22193" customFormat="1" x14ac:dyDescent="0.25"/>
    <row r="22194" customFormat="1" x14ac:dyDescent="0.25"/>
    <row r="22195" customFormat="1" x14ac:dyDescent="0.25"/>
    <row r="22196" customFormat="1" x14ac:dyDescent="0.25"/>
    <row r="22197" customFormat="1" x14ac:dyDescent="0.25"/>
    <row r="22198" customFormat="1" x14ac:dyDescent="0.25"/>
    <row r="22199" customFormat="1" x14ac:dyDescent="0.25"/>
    <row r="22200" customFormat="1" x14ac:dyDescent="0.25"/>
    <row r="22201" customFormat="1" x14ac:dyDescent="0.25"/>
    <row r="22202" customFormat="1" x14ac:dyDescent="0.25"/>
    <row r="22203" customFormat="1" x14ac:dyDescent="0.25"/>
    <row r="22204" customFormat="1" x14ac:dyDescent="0.25"/>
    <row r="22205" customFormat="1" x14ac:dyDescent="0.25"/>
    <row r="22206" customFormat="1" x14ac:dyDescent="0.25"/>
    <row r="22207" customFormat="1" x14ac:dyDescent="0.25"/>
    <row r="22208" customFormat="1" x14ac:dyDescent="0.25"/>
    <row r="22209" customFormat="1" x14ac:dyDescent="0.25"/>
    <row r="22210" customFormat="1" x14ac:dyDescent="0.25"/>
    <row r="22211" customFormat="1" x14ac:dyDescent="0.25"/>
    <row r="22212" customFormat="1" x14ac:dyDescent="0.25"/>
    <row r="22213" customFormat="1" x14ac:dyDescent="0.25"/>
    <row r="22214" customFormat="1" x14ac:dyDescent="0.25"/>
    <row r="22215" customFormat="1" x14ac:dyDescent="0.25"/>
    <row r="22216" customFormat="1" x14ac:dyDescent="0.25"/>
    <row r="22217" customFormat="1" x14ac:dyDescent="0.25"/>
    <row r="22218" customFormat="1" x14ac:dyDescent="0.25"/>
    <row r="22219" customFormat="1" x14ac:dyDescent="0.25"/>
    <row r="22220" customFormat="1" x14ac:dyDescent="0.25"/>
    <row r="22221" customFormat="1" x14ac:dyDescent="0.25"/>
    <row r="22222" customFormat="1" x14ac:dyDescent="0.25"/>
    <row r="22223" customFormat="1" x14ac:dyDescent="0.25"/>
    <row r="22224" customFormat="1" x14ac:dyDescent="0.25"/>
    <row r="22225" customFormat="1" x14ac:dyDescent="0.25"/>
    <row r="22226" customFormat="1" x14ac:dyDescent="0.25"/>
    <row r="22227" customFormat="1" x14ac:dyDescent="0.25"/>
    <row r="22228" customFormat="1" x14ac:dyDescent="0.25"/>
    <row r="22229" customFormat="1" x14ac:dyDescent="0.25"/>
    <row r="22230" customFormat="1" x14ac:dyDescent="0.25"/>
    <row r="22231" customFormat="1" x14ac:dyDescent="0.25"/>
    <row r="22232" customFormat="1" x14ac:dyDescent="0.25"/>
    <row r="22233" customFormat="1" x14ac:dyDescent="0.25"/>
    <row r="22234" customFormat="1" x14ac:dyDescent="0.25"/>
    <row r="22235" customFormat="1" x14ac:dyDescent="0.25"/>
    <row r="22236" customFormat="1" x14ac:dyDescent="0.25"/>
    <row r="22237" customFormat="1" x14ac:dyDescent="0.25"/>
    <row r="22238" customFormat="1" x14ac:dyDescent="0.25"/>
    <row r="22239" customFormat="1" x14ac:dyDescent="0.25"/>
    <row r="22240" customFormat="1" x14ac:dyDescent="0.25"/>
    <row r="22241" customFormat="1" x14ac:dyDescent="0.25"/>
    <row r="22242" customFormat="1" x14ac:dyDescent="0.25"/>
    <row r="22243" customFormat="1" x14ac:dyDescent="0.25"/>
    <row r="22244" customFormat="1" x14ac:dyDescent="0.25"/>
    <row r="22245" customFormat="1" x14ac:dyDescent="0.25"/>
    <row r="22246" customFormat="1" x14ac:dyDescent="0.25"/>
    <row r="22247" customFormat="1" x14ac:dyDescent="0.25"/>
    <row r="22248" customFormat="1" x14ac:dyDescent="0.25"/>
    <row r="22249" customFormat="1" x14ac:dyDescent="0.25"/>
    <row r="22250" customFormat="1" x14ac:dyDescent="0.25"/>
    <row r="22251" customFormat="1" x14ac:dyDescent="0.25"/>
    <row r="22252" customFormat="1" x14ac:dyDescent="0.25"/>
    <row r="22253" customFormat="1" x14ac:dyDescent="0.25"/>
    <row r="22254" customFormat="1" x14ac:dyDescent="0.25"/>
    <row r="22255" customFormat="1" x14ac:dyDescent="0.25"/>
    <row r="22256" customFormat="1" x14ac:dyDescent="0.25"/>
    <row r="22257" customFormat="1" x14ac:dyDescent="0.25"/>
    <row r="22258" customFormat="1" x14ac:dyDescent="0.25"/>
    <row r="22259" customFormat="1" x14ac:dyDescent="0.25"/>
    <row r="22260" customFormat="1" x14ac:dyDescent="0.25"/>
    <row r="22261" customFormat="1" x14ac:dyDescent="0.25"/>
    <row r="22262" customFormat="1" x14ac:dyDescent="0.25"/>
    <row r="22263" customFormat="1" x14ac:dyDescent="0.25"/>
    <row r="22264" customFormat="1" x14ac:dyDescent="0.25"/>
    <row r="22265" customFormat="1" x14ac:dyDescent="0.25"/>
    <row r="22266" customFormat="1" x14ac:dyDescent="0.25"/>
    <row r="22267" customFormat="1" x14ac:dyDescent="0.25"/>
    <row r="22268" customFormat="1" x14ac:dyDescent="0.25"/>
    <row r="22269" customFormat="1" x14ac:dyDescent="0.25"/>
    <row r="22270" customFormat="1" x14ac:dyDescent="0.25"/>
    <row r="22271" customFormat="1" x14ac:dyDescent="0.25"/>
    <row r="22272" customFormat="1" x14ac:dyDescent="0.25"/>
    <row r="22273" customFormat="1" x14ac:dyDescent="0.25"/>
    <row r="22274" customFormat="1" x14ac:dyDescent="0.25"/>
    <row r="22275" customFormat="1" x14ac:dyDescent="0.25"/>
    <row r="22276" customFormat="1" x14ac:dyDescent="0.25"/>
    <row r="22277" customFormat="1" x14ac:dyDescent="0.25"/>
    <row r="22278" customFormat="1" x14ac:dyDescent="0.25"/>
    <row r="22279" customFormat="1" x14ac:dyDescent="0.25"/>
    <row r="22280" customFormat="1" x14ac:dyDescent="0.25"/>
    <row r="22281" customFormat="1" x14ac:dyDescent="0.25"/>
    <row r="22282" customFormat="1" x14ac:dyDescent="0.25"/>
    <row r="22283" customFormat="1" x14ac:dyDescent="0.25"/>
    <row r="22284" customFormat="1" x14ac:dyDescent="0.25"/>
    <row r="22285" customFormat="1" x14ac:dyDescent="0.25"/>
    <row r="22286" customFormat="1" x14ac:dyDescent="0.25"/>
    <row r="22287" customFormat="1" x14ac:dyDescent="0.25"/>
    <row r="22288" customFormat="1" x14ac:dyDescent="0.25"/>
    <row r="22289" customFormat="1" x14ac:dyDescent="0.25"/>
    <row r="22290" customFormat="1" x14ac:dyDescent="0.25"/>
    <row r="22291" customFormat="1" x14ac:dyDescent="0.25"/>
    <row r="22292" customFormat="1" x14ac:dyDescent="0.25"/>
    <row r="22293" customFormat="1" x14ac:dyDescent="0.25"/>
    <row r="22294" customFormat="1" x14ac:dyDescent="0.25"/>
    <row r="22295" customFormat="1" x14ac:dyDescent="0.25"/>
    <row r="22296" customFormat="1" x14ac:dyDescent="0.25"/>
    <row r="22297" customFormat="1" x14ac:dyDescent="0.25"/>
    <row r="22298" customFormat="1" x14ac:dyDescent="0.25"/>
    <row r="22299" customFormat="1" x14ac:dyDescent="0.25"/>
    <row r="22300" customFormat="1" x14ac:dyDescent="0.25"/>
    <row r="22301" customFormat="1" x14ac:dyDescent="0.25"/>
    <row r="22302" customFormat="1" x14ac:dyDescent="0.25"/>
    <row r="22303" customFormat="1" x14ac:dyDescent="0.25"/>
    <row r="22304" customFormat="1" x14ac:dyDescent="0.25"/>
    <row r="22305" customFormat="1" x14ac:dyDescent="0.25"/>
    <row r="22306" customFormat="1" x14ac:dyDescent="0.25"/>
    <row r="22307" customFormat="1" x14ac:dyDescent="0.25"/>
    <row r="22308" customFormat="1" x14ac:dyDescent="0.25"/>
    <row r="22309" customFormat="1" x14ac:dyDescent="0.25"/>
    <row r="22310" customFormat="1" x14ac:dyDescent="0.25"/>
    <row r="22311" customFormat="1" x14ac:dyDescent="0.25"/>
    <row r="22312" customFormat="1" x14ac:dyDescent="0.25"/>
    <row r="22313" customFormat="1" x14ac:dyDescent="0.25"/>
    <row r="22314" customFormat="1" x14ac:dyDescent="0.25"/>
    <row r="22315" customFormat="1" x14ac:dyDescent="0.25"/>
    <row r="22316" customFormat="1" x14ac:dyDescent="0.25"/>
    <row r="22317" customFormat="1" x14ac:dyDescent="0.25"/>
    <row r="22318" customFormat="1" x14ac:dyDescent="0.25"/>
    <row r="22319" customFormat="1" x14ac:dyDescent="0.25"/>
    <row r="22320" customFormat="1" x14ac:dyDescent="0.25"/>
    <row r="22321" customFormat="1" x14ac:dyDescent="0.25"/>
    <row r="22322" customFormat="1" x14ac:dyDescent="0.25"/>
    <row r="22323" customFormat="1" x14ac:dyDescent="0.25"/>
    <row r="22324" customFormat="1" x14ac:dyDescent="0.25"/>
    <row r="22325" customFormat="1" x14ac:dyDescent="0.25"/>
    <row r="22326" customFormat="1" x14ac:dyDescent="0.25"/>
    <row r="22327" customFormat="1" x14ac:dyDescent="0.25"/>
    <row r="22328" customFormat="1" x14ac:dyDescent="0.25"/>
    <row r="22329" customFormat="1" x14ac:dyDescent="0.25"/>
    <row r="22330" customFormat="1" x14ac:dyDescent="0.25"/>
    <row r="22331" customFormat="1" x14ac:dyDescent="0.25"/>
    <row r="22332" customFormat="1" x14ac:dyDescent="0.25"/>
    <row r="22333" customFormat="1" x14ac:dyDescent="0.25"/>
    <row r="22334" customFormat="1" x14ac:dyDescent="0.25"/>
    <row r="22335" customFormat="1" x14ac:dyDescent="0.25"/>
    <row r="22336" customFormat="1" x14ac:dyDescent="0.25"/>
    <row r="22337" customFormat="1" x14ac:dyDescent="0.25"/>
    <row r="22338" customFormat="1" x14ac:dyDescent="0.25"/>
    <row r="22339" customFormat="1" x14ac:dyDescent="0.25"/>
    <row r="22340" customFormat="1" x14ac:dyDescent="0.25"/>
    <row r="22341" customFormat="1" x14ac:dyDescent="0.25"/>
    <row r="22342" customFormat="1" x14ac:dyDescent="0.25"/>
    <row r="22343" customFormat="1" x14ac:dyDescent="0.25"/>
    <row r="22344" customFormat="1" x14ac:dyDescent="0.25"/>
    <row r="22345" customFormat="1" x14ac:dyDescent="0.25"/>
    <row r="22346" customFormat="1" x14ac:dyDescent="0.25"/>
    <row r="22347" customFormat="1" x14ac:dyDescent="0.25"/>
    <row r="22348" customFormat="1" x14ac:dyDescent="0.25"/>
    <row r="22349" customFormat="1" x14ac:dyDescent="0.25"/>
    <row r="22350" customFormat="1" x14ac:dyDescent="0.25"/>
    <row r="22351" customFormat="1" x14ac:dyDescent="0.25"/>
    <row r="22352" customFormat="1" x14ac:dyDescent="0.25"/>
    <row r="22353" customFormat="1" x14ac:dyDescent="0.25"/>
    <row r="22354" customFormat="1" x14ac:dyDescent="0.25"/>
    <row r="22355" customFormat="1" x14ac:dyDescent="0.25"/>
    <row r="22356" customFormat="1" x14ac:dyDescent="0.25"/>
    <row r="22357" customFormat="1" x14ac:dyDescent="0.25"/>
    <row r="22358" customFormat="1" x14ac:dyDescent="0.25"/>
    <row r="22359" customFormat="1" x14ac:dyDescent="0.25"/>
    <row r="22360" customFormat="1" x14ac:dyDescent="0.25"/>
    <row r="22361" customFormat="1" x14ac:dyDescent="0.25"/>
    <row r="22362" customFormat="1" x14ac:dyDescent="0.25"/>
    <row r="22363" customFormat="1" x14ac:dyDescent="0.25"/>
    <row r="22364" customFormat="1" x14ac:dyDescent="0.25"/>
    <row r="22365" customFormat="1" x14ac:dyDescent="0.25"/>
    <row r="22366" customFormat="1" x14ac:dyDescent="0.25"/>
    <row r="22367" customFormat="1" x14ac:dyDescent="0.25"/>
    <row r="22368" customFormat="1" x14ac:dyDescent="0.25"/>
    <row r="22369" customFormat="1" x14ac:dyDescent="0.25"/>
    <row r="22370" customFormat="1" x14ac:dyDescent="0.25"/>
    <row r="22371" customFormat="1" x14ac:dyDescent="0.25"/>
    <row r="22372" customFormat="1" x14ac:dyDescent="0.25"/>
    <row r="22373" customFormat="1" x14ac:dyDescent="0.25"/>
    <row r="22374" customFormat="1" x14ac:dyDescent="0.25"/>
    <row r="22375" customFormat="1" x14ac:dyDescent="0.25"/>
    <row r="22376" customFormat="1" x14ac:dyDescent="0.25"/>
    <row r="22377" customFormat="1" x14ac:dyDescent="0.25"/>
    <row r="22378" customFormat="1" x14ac:dyDescent="0.25"/>
    <row r="22379" customFormat="1" x14ac:dyDescent="0.25"/>
    <row r="22380" customFormat="1" x14ac:dyDescent="0.25"/>
    <row r="22381" customFormat="1" x14ac:dyDescent="0.25"/>
    <row r="22382" customFormat="1" x14ac:dyDescent="0.25"/>
    <row r="22383" customFormat="1" x14ac:dyDescent="0.25"/>
    <row r="22384" customFormat="1" x14ac:dyDescent="0.25"/>
    <row r="22385" customFormat="1" x14ac:dyDescent="0.25"/>
    <row r="22386" customFormat="1" x14ac:dyDescent="0.25"/>
    <row r="22387" customFormat="1" x14ac:dyDescent="0.25"/>
    <row r="22388" customFormat="1" x14ac:dyDescent="0.25"/>
    <row r="22389" customFormat="1" x14ac:dyDescent="0.25"/>
    <row r="22390" customFormat="1" x14ac:dyDescent="0.25"/>
    <row r="22391" customFormat="1" x14ac:dyDescent="0.25"/>
    <row r="22392" customFormat="1" x14ac:dyDescent="0.25"/>
    <row r="22393" customFormat="1" x14ac:dyDescent="0.25"/>
    <row r="22394" customFormat="1" x14ac:dyDescent="0.25"/>
    <row r="22395" customFormat="1" x14ac:dyDescent="0.25"/>
    <row r="22396" customFormat="1" x14ac:dyDescent="0.25"/>
    <row r="22397" customFormat="1" x14ac:dyDescent="0.25"/>
    <row r="22398" customFormat="1" x14ac:dyDescent="0.25"/>
    <row r="22399" customFormat="1" x14ac:dyDescent="0.25"/>
    <row r="22400" customFormat="1" x14ac:dyDescent="0.25"/>
    <row r="22401" customFormat="1" x14ac:dyDescent="0.25"/>
    <row r="22402" customFormat="1" x14ac:dyDescent="0.25"/>
    <row r="22403" customFormat="1" x14ac:dyDescent="0.25"/>
    <row r="22404" customFormat="1" x14ac:dyDescent="0.25"/>
    <row r="22405" customFormat="1" x14ac:dyDescent="0.25"/>
    <row r="22406" customFormat="1" x14ac:dyDescent="0.25"/>
    <row r="22407" customFormat="1" x14ac:dyDescent="0.25"/>
    <row r="22408" customFormat="1" x14ac:dyDescent="0.25"/>
    <row r="22409" customFormat="1" x14ac:dyDescent="0.25"/>
    <row r="22410" customFormat="1" x14ac:dyDescent="0.25"/>
    <row r="22411" customFormat="1" x14ac:dyDescent="0.25"/>
    <row r="22412" customFormat="1" x14ac:dyDescent="0.25"/>
    <row r="22413" customFormat="1" x14ac:dyDescent="0.25"/>
    <row r="22414" customFormat="1" x14ac:dyDescent="0.25"/>
    <row r="22415" customFormat="1" x14ac:dyDescent="0.25"/>
    <row r="22416" customFormat="1" x14ac:dyDescent="0.25"/>
    <row r="22417" customFormat="1" x14ac:dyDescent="0.25"/>
    <row r="22418" customFormat="1" x14ac:dyDescent="0.25"/>
    <row r="22419" customFormat="1" x14ac:dyDescent="0.25"/>
    <row r="22420" customFormat="1" x14ac:dyDescent="0.25"/>
    <row r="22421" customFormat="1" x14ac:dyDescent="0.25"/>
    <row r="22422" customFormat="1" x14ac:dyDescent="0.25"/>
    <row r="22423" customFormat="1" x14ac:dyDescent="0.25"/>
    <row r="22424" customFormat="1" x14ac:dyDescent="0.25"/>
    <row r="22425" customFormat="1" x14ac:dyDescent="0.25"/>
    <row r="22426" customFormat="1" x14ac:dyDescent="0.25"/>
    <row r="22427" customFormat="1" x14ac:dyDescent="0.25"/>
    <row r="22428" customFormat="1" x14ac:dyDescent="0.25"/>
    <row r="22429" customFormat="1" x14ac:dyDescent="0.25"/>
    <row r="22430" customFormat="1" x14ac:dyDescent="0.25"/>
    <row r="22431" customFormat="1" x14ac:dyDescent="0.25"/>
    <row r="22432" customFormat="1" x14ac:dyDescent="0.25"/>
    <row r="22433" customFormat="1" x14ac:dyDescent="0.25"/>
    <row r="22434" customFormat="1" x14ac:dyDescent="0.25"/>
    <row r="22435" customFormat="1" x14ac:dyDescent="0.25"/>
    <row r="22436" customFormat="1" x14ac:dyDescent="0.25"/>
    <row r="22437" customFormat="1" x14ac:dyDescent="0.25"/>
    <row r="22438" customFormat="1" x14ac:dyDescent="0.25"/>
    <row r="22439" customFormat="1" x14ac:dyDescent="0.25"/>
    <row r="22440" customFormat="1" x14ac:dyDescent="0.25"/>
    <row r="22441" customFormat="1" x14ac:dyDescent="0.25"/>
    <row r="22442" customFormat="1" x14ac:dyDescent="0.25"/>
    <row r="22443" customFormat="1" x14ac:dyDescent="0.25"/>
    <row r="22444" customFormat="1" x14ac:dyDescent="0.25"/>
    <row r="22445" customFormat="1" x14ac:dyDescent="0.25"/>
    <row r="22446" customFormat="1" x14ac:dyDescent="0.25"/>
    <row r="22447" customFormat="1" x14ac:dyDescent="0.25"/>
    <row r="22448" customFormat="1" x14ac:dyDescent="0.25"/>
    <row r="22449" customFormat="1" x14ac:dyDescent="0.25"/>
    <row r="22450" customFormat="1" x14ac:dyDescent="0.25"/>
    <row r="22451" customFormat="1" x14ac:dyDescent="0.25"/>
    <row r="22452" customFormat="1" x14ac:dyDescent="0.25"/>
    <row r="22453" customFormat="1" x14ac:dyDescent="0.25"/>
    <row r="22454" customFormat="1" x14ac:dyDescent="0.25"/>
    <row r="22455" customFormat="1" x14ac:dyDescent="0.25"/>
    <row r="22456" customFormat="1" x14ac:dyDescent="0.25"/>
    <row r="22457" customFormat="1" x14ac:dyDescent="0.25"/>
    <row r="22458" customFormat="1" x14ac:dyDescent="0.25"/>
    <row r="22459" customFormat="1" x14ac:dyDescent="0.25"/>
    <row r="22460" customFormat="1" x14ac:dyDescent="0.25"/>
    <row r="22461" customFormat="1" x14ac:dyDescent="0.25"/>
    <row r="22462" customFormat="1" x14ac:dyDescent="0.25"/>
    <row r="22463" customFormat="1" x14ac:dyDescent="0.25"/>
    <row r="22464" customFormat="1" x14ac:dyDescent="0.25"/>
    <row r="22465" customFormat="1" x14ac:dyDescent="0.25"/>
    <row r="22466" customFormat="1" x14ac:dyDescent="0.25"/>
    <row r="22467" customFormat="1" x14ac:dyDescent="0.25"/>
    <row r="22468" customFormat="1" x14ac:dyDescent="0.25"/>
    <row r="22469" customFormat="1" x14ac:dyDescent="0.25"/>
    <row r="22470" customFormat="1" x14ac:dyDescent="0.25"/>
    <row r="22471" customFormat="1" x14ac:dyDescent="0.25"/>
    <row r="22472" customFormat="1" x14ac:dyDescent="0.25"/>
    <row r="22473" customFormat="1" x14ac:dyDescent="0.25"/>
    <row r="22474" customFormat="1" x14ac:dyDescent="0.25"/>
    <row r="22475" customFormat="1" x14ac:dyDescent="0.25"/>
    <row r="22476" customFormat="1" x14ac:dyDescent="0.25"/>
    <row r="22477" customFormat="1" x14ac:dyDescent="0.25"/>
    <row r="22478" customFormat="1" x14ac:dyDescent="0.25"/>
    <row r="22479" customFormat="1" x14ac:dyDescent="0.25"/>
    <row r="22480" customFormat="1" x14ac:dyDescent="0.25"/>
    <row r="22481" customFormat="1" x14ac:dyDescent="0.25"/>
    <row r="22482" customFormat="1" x14ac:dyDescent="0.25"/>
    <row r="22483" customFormat="1" x14ac:dyDescent="0.25"/>
    <row r="22484" customFormat="1" x14ac:dyDescent="0.25"/>
    <row r="22485" customFormat="1" x14ac:dyDescent="0.25"/>
    <row r="22486" customFormat="1" x14ac:dyDescent="0.25"/>
    <row r="22487" customFormat="1" x14ac:dyDescent="0.25"/>
    <row r="22488" customFormat="1" x14ac:dyDescent="0.25"/>
    <row r="22489" customFormat="1" x14ac:dyDescent="0.25"/>
    <row r="22490" customFormat="1" x14ac:dyDescent="0.25"/>
    <row r="22491" customFormat="1" x14ac:dyDescent="0.25"/>
    <row r="22492" customFormat="1" x14ac:dyDescent="0.25"/>
    <row r="22493" customFormat="1" x14ac:dyDescent="0.25"/>
    <row r="22494" customFormat="1" x14ac:dyDescent="0.25"/>
    <row r="22495" customFormat="1" x14ac:dyDescent="0.25"/>
    <row r="22496" customFormat="1" x14ac:dyDescent="0.25"/>
    <row r="22497" customFormat="1" x14ac:dyDescent="0.25"/>
    <row r="22498" customFormat="1" x14ac:dyDescent="0.25"/>
    <row r="22499" customFormat="1" x14ac:dyDescent="0.25"/>
    <row r="22500" customFormat="1" x14ac:dyDescent="0.25"/>
    <row r="22501" customFormat="1" x14ac:dyDescent="0.25"/>
    <row r="22502" customFormat="1" x14ac:dyDescent="0.25"/>
    <row r="22503" customFormat="1" x14ac:dyDescent="0.25"/>
    <row r="22504" customFormat="1" x14ac:dyDescent="0.25"/>
    <row r="22505" customFormat="1" x14ac:dyDescent="0.25"/>
    <row r="22506" customFormat="1" x14ac:dyDescent="0.25"/>
    <row r="22507" customFormat="1" x14ac:dyDescent="0.25"/>
    <row r="22508" customFormat="1" x14ac:dyDescent="0.25"/>
    <row r="22509" customFormat="1" x14ac:dyDescent="0.25"/>
    <row r="22510" customFormat="1" x14ac:dyDescent="0.25"/>
    <row r="22511" customFormat="1" x14ac:dyDescent="0.25"/>
    <row r="22512" customFormat="1" x14ac:dyDescent="0.25"/>
    <row r="22513" customFormat="1" x14ac:dyDescent="0.25"/>
    <row r="22514" customFormat="1" x14ac:dyDescent="0.25"/>
    <row r="22515" customFormat="1" x14ac:dyDescent="0.25"/>
    <row r="22516" customFormat="1" x14ac:dyDescent="0.25"/>
    <row r="22517" customFormat="1" x14ac:dyDescent="0.25"/>
    <row r="22518" customFormat="1" x14ac:dyDescent="0.25"/>
    <row r="22519" customFormat="1" x14ac:dyDescent="0.25"/>
    <row r="22520" customFormat="1" x14ac:dyDescent="0.25"/>
    <row r="22521" customFormat="1" x14ac:dyDescent="0.25"/>
    <row r="22522" customFormat="1" x14ac:dyDescent="0.25"/>
    <row r="22523" customFormat="1" x14ac:dyDescent="0.25"/>
    <row r="22524" customFormat="1" x14ac:dyDescent="0.25"/>
    <row r="22525" customFormat="1" x14ac:dyDescent="0.25"/>
    <row r="22526" customFormat="1" x14ac:dyDescent="0.25"/>
    <row r="22527" customFormat="1" x14ac:dyDescent="0.25"/>
    <row r="22528" customFormat="1" x14ac:dyDescent="0.25"/>
    <row r="22529" customFormat="1" x14ac:dyDescent="0.25"/>
    <row r="22530" customFormat="1" x14ac:dyDescent="0.25"/>
    <row r="22531" customFormat="1" x14ac:dyDescent="0.25"/>
    <row r="22532" customFormat="1" x14ac:dyDescent="0.25"/>
    <row r="22533" customFormat="1" x14ac:dyDescent="0.25"/>
    <row r="22534" customFormat="1" x14ac:dyDescent="0.25"/>
    <row r="22535" customFormat="1" x14ac:dyDescent="0.25"/>
    <row r="22536" customFormat="1" x14ac:dyDescent="0.25"/>
    <row r="22537" customFormat="1" x14ac:dyDescent="0.25"/>
    <row r="22538" customFormat="1" x14ac:dyDescent="0.25"/>
    <row r="22539" customFormat="1" x14ac:dyDescent="0.25"/>
    <row r="22540" customFormat="1" x14ac:dyDescent="0.25"/>
    <row r="22541" customFormat="1" x14ac:dyDescent="0.25"/>
    <row r="22542" customFormat="1" x14ac:dyDescent="0.25"/>
    <row r="22543" customFormat="1" x14ac:dyDescent="0.25"/>
    <row r="22544" customFormat="1" x14ac:dyDescent="0.25"/>
    <row r="22545" customFormat="1" x14ac:dyDescent="0.25"/>
    <row r="22546" customFormat="1" x14ac:dyDescent="0.25"/>
    <row r="22547" customFormat="1" x14ac:dyDescent="0.25"/>
    <row r="22548" customFormat="1" x14ac:dyDescent="0.25"/>
    <row r="22549" customFormat="1" x14ac:dyDescent="0.25"/>
    <row r="22550" customFormat="1" x14ac:dyDescent="0.25"/>
    <row r="22551" customFormat="1" x14ac:dyDescent="0.25"/>
    <row r="22552" customFormat="1" x14ac:dyDescent="0.25"/>
    <row r="22553" customFormat="1" x14ac:dyDescent="0.25"/>
    <row r="22554" customFormat="1" x14ac:dyDescent="0.25"/>
    <row r="22555" customFormat="1" x14ac:dyDescent="0.25"/>
    <row r="22556" customFormat="1" x14ac:dyDescent="0.25"/>
    <row r="22557" customFormat="1" x14ac:dyDescent="0.25"/>
    <row r="22558" customFormat="1" x14ac:dyDescent="0.25"/>
    <row r="22559" customFormat="1" x14ac:dyDescent="0.25"/>
    <row r="22560" customFormat="1" x14ac:dyDescent="0.25"/>
    <row r="22561" customFormat="1" x14ac:dyDescent="0.25"/>
    <row r="22562" customFormat="1" x14ac:dyDescent="0.25"/>
    <row r="22563" customFormat="1" x14ac:dyDescent="0.25"/>
    <row r="22564" customFormat="1" x14ac:dyDescent="0.25"/>
    <row r="22565" customFormat="1" x14ac:dyDescent="0.25"/>
    <row r="22566" customFormat="1" x14ac:dyDescent="0.25"/>
    <row r="22567" customFormat="1" x14ac:dyDescent="0.25"/>
    <row r="22568" customFormat="1" x14ac:dyDescent="0.25"/>
    <row r="22569" customFormat="1" x14ac:dyDescent="0.25"/>
    <row r="22570" customFormat="1" x14ac:dyDescent="0.25"/>
    <row r="22571" customFormat="1" x14ac:dyDescent="0.25"/>
    <row r="22572" customFormat="1" x14ac:dyDescent="0.25"/>
    <row r="22573" customFormat="1" x14ac:dyDescent="0.25"/>
    <row r="22574" customFormat="1" x14ac:dyDescent="0.25"/>
    <row r="22575" customFormat="1" x14ac:dyDescent="0.25"/>
    <row r="22576" customFormat="1" x14ac:dyDescent="0.25"/>
    <row r="22577" customFormat="1" x14ac:dyDescent="0.25"/>
    <row r="22578" customFormat="1" x14ac:dyDescent="0.25"/>
    <row r="22579" customFormat="1" x14ac:dyDescent="0.25"/>
    <row r="22580" customFormat="1" x14ac:dyDescent="0.25"/>
    <row r="22581" customFormat="1" x14ac:dyDescent="0.25"/>
    <row r="22582" customFormat="1" x14ac:dyDescent="0.25"/>
    <row r="22583" customFormat="1" x14ac:dyDescent="0.25"/>
    <row r="22584" customFormat="1" x14ac:dyDescent="0.25"/>
    <row r="22585" customFormat="1" x14ac:dyDescent="0.25"/>
    <row r="22586" customFormat="1" x14ac:dyDescent="0.25"/>
    <row r="22587" customFormat="1" x14ac:dyDescent="0.25"/>
    <row r="22588" customFormat="1" x14ac:dyDescent="0.25"/>
    <row r="22589" customFormat="1" x14ac:dyDescent="0.25"/>
    <row r="22590" customFormat="1" x14ac:dyDescent="0.25"/>
    <row r="22591" customFormat="1" x14ac:dyDescent="0.25"/>
    <row r="22592" customFormat="1" x14ac:dyDescent="0.25"/>
    <row r="22593" customFormat="1" x14ac:dyDescent="0.25"/>
    <row r="22594" customFormat="1" x14ac:dyDescent="0.25"/>
    <row r="22595" customFormat="1" x14ac:dyDescent="0.25"/>
    <row r="22596" customFormat="1" x14ac:dyDescent="0.25"/>
    <row r="22597" customFormat="1" x14ac:dyDescent="0.25"/>
    <row r="22598" customFormat="1" x14ac:dyDescent="0.25"/>
    <row r="22599" customFormat="1" x14ac:dyDescent="0.25"/>
    <row r="22600" customFormat="1" x14ac:dyDescent="0.25"/>
    <row r="22601" customFormat="1" x14ac:dyDescent="0.25"/>
    <row r="22602" customFormat="1" x14ac:dyDescent="0.25"/>
    <row r="22603" customFormat="1" x14ac:dyDescent="0.25"/>
    <row r="22604" customFormat="1" x14ac:dyDescent="0.25"/>
    <row r="22605" customFormat="1" x14ac:dyDescent="0.25"/>
    <row r="22606" customFormat="1" x14ac:dyDescent="0.25"/>
    <row r="22607" customFormat="1" x14ac:dyDescent="0.25"/>
    <row r="22608" customFormat="1" x14ac:dyDescent="0.25"/>
    <row r="22609" customFormat="1" x14ac:dyDescent="0.25"/>
    <row r="22610" customFormat="1" x14ac:dyDescent="0.25"/>
    <row r="22611" customFormat="1" x14ac:dyDescent="0.25"/>
    <row r="22612" customFormat="1" x14ac:dyDescent="0.25"/>
    <row r="22613" customFormat="1" x14ac:dyDescent="0.25"/>
    <row r="22614" customFormat="1" x14ac:dyDescent="0.25"/>
    <row r="22615" customFormat="1" x14ac:dyDescent="0.25"/>
    <row r="22616" customFormat="1" x14ac:dyDescent="0.25"/>
    <row r="22617" customFormat="1" x14ac:dyDescent="0.25"/>
    <row r="22618" customFormat="1" x14ac:dyDescent="0.25"/>
    <row r="22619" customFormat="1" x14ac:dyDescent="0.25"/>
    <row r="22620" customFormat="1" x14ac:dyDescent="0.25"/>
    <row r="22621" customFormat="1" x14ac:dyDescent="0.25"/>
    <row r="22622" customFormat="1" x14ac:dyDescent="0.25"/>
    <row r="22623" customFormat="1" x14ac:dyDescent="0.25"/>
    <row r="22624" customFormat="1" x14ac:dyDescent="0.25"/>
    <row r="22625" customFormat="1" x14ac:dyDescent="0.25"/>
    <row r="22626" customFormat="1" x14ac:dyDescent="0.25"/>
    <row r="22627" customFormat="1" x14ac:dyDescent="0.25"/>
    <row r="22628" customFormat="1" x14ac:dyDescent="0.25"/>
    <row r="22629" customFormat="1" x14ac:dyDescent="0.25"/>
    <row r="22630" customFormat="1" x14ac:dyDescent="0.25"/>
    <row r="22631" customFormat="1" x14ac:dyDescent="0.25"/>
    <row r="22632" customFormat="1" x14ac:dyDescent="0.25"/>
    <row r="22633" customFormat="1" x14ac:dyDescent="0.25"/>
    <row r="22634" customFormat="1" x14ac:dyDescent="0.25"/>
    <row r="22635" customFormat="1" x14ac:dyDescent="0.25"/>
    <row r="22636" customFormat="1" x14ac:dyDescent="0.25"/>
    <row r="22637" customFormat="1" x14ac:dyDescent="0.25"/>
    <row r="22638" customFormat="1" x14ac:dyDescent="0.25"/>
    <row r="22639" customFormat="1" x14ac:dyDescent="0.25"/>
    <row r="22640" customFormat="1" x14ac:dyDescent="0.25"/>
    <row r="22641" customFormat="1" x14ac:dyDescent="0.25"/>
    <row r="22642" customFormat="1" x14ac:dyDescent="0.25"/>
    <row r="22643" customFormat="1" x14ac:dyDescent="0.25"/>
    <row r="22644" customFormat="1" x14ac:dyDescent="0.25"/>
    <row r="22645" customFormat="1" x14ac:dyDescent="0.25"/>
    <row r="22646" customFormat="1" x14ac:dyDescent="0.25"/>
    <row r="22647" customFormat="1" x14ac:dyDescent="0.25"/>
    <row r="22648" customFormat="1" x14ac:dyDescent="0.25"/>
    <row r="22649" customFormat="1" x14ac:dyDescent="0.25"/>
    <row r="22650" customFormat="1" x14ac:dyDescent="0.25"/>
    <row r="22651" customFormat="1" x14ac:dyDescent="0.25"/>
    <row r="22652" customFormat="1" x14ac:dyDescent="0.25"/>
    <row r="22653" customFormat="1" x14ac:dyDescent="0.25"/>
    <row r="22654" customFormat="1" x14ac:dyDescent="0.25"/>
    <row r="22655" customFormat="1" x14ac:dyDescent="0.25"/>
    <row r="22656" customFormat="1" x14ac:dyDescent="0.25"/>
    <row r="22657" customFormat="1" x14ac:dyDescent="0.25"/>
    <row r="22658" customFormat="1" x14ac:dyDescent="0.25"/>
    <row r="22659" customFormat="1" x14ac:dyDescent="0.25"/>
    <row r="22660" customFormat="1" x14ac:dyDescent="0.25"/>
    <row r="22661" customFormat="1" x14ac:dyDescent="0.25"/>
    <row r="22662" customFormat="1" x14ac:dyDescent="0.25"/>
    <row r="22663" customFormat="1" x14ac:dyDescent="0.25"/>
    <row r="22664" customFormat="1" x14ac:dyDescent="0.25"/>
    <row r="22665" customFormat="1" x14ac:dyDescent="0.25"/>
    <row r="22666" customFormat="1" x14ac:dyDescent="0.25"/>
    <row r="22667" customFormat="1" x14ac:dyDescent="0.25"/>
    <row r="22668" customFormat="1" x14ac:dyDescent="0.25"/>
    <row r="22669" customFormat="1" x14ac:dyDescent="0.25"/>
    <row r="22670" customFormat="1" x14ac:dyDescent="0.25"/>
    <row r="22671" customFormat="1" x14ac:dyDescent="0.25"/>
    <row r="22672" customFormat="1" x14ac:dyDescent="0.25"/>
    <row r="22673" customFormat="1" x14ac:dyDescent="0.25"/>
    <row r="22674" customFormat="1" x14ac:dyDescent="0.25"/>
    <row r="22675" customFormat="1" x14ac:dyDescent="0.25"/>
    <row r="22676" customFormat="1" x14ac:dyDescent="0.25"/>
    <row r="22677" customFormat="1" x14ac:dyDescent="0.25"/>
    <row r="22678" customFormat="1" x14ac:dyDescent="0.25"/>
    <row r="22679" customFormat="1" x14ac:dyDescent="0.25"/>
    <row r="22680" customFormat="1" x14ac:dyDescent="0.25"/>
    <row r="22681" customFormat="1" x14ac:dyDescent="0.25"/>
    <row r="22682" customFormat="1" x14ac:dyDescent="0.25"/>
    <row r="22683" customFormat="1" x14ac:dyDescent="0.25"/>
    <row r="22684" customFormat="1" x14ac:dyDescent="0.25"/>
    <row r="22685" customFormat="1" x14ac:dyDescent="0.25"/>
    <row r="22686" customFormat="1" x14ac:dyDescent="0.25"/>
    <row r="22687" customFormat="1" x14ac:dyDescent="0.25"/>
    <row r="22688" customFormat="1" x14ac:dyDescent="0.25"/>
    <row r="22689" customFormat="1" x14ac:dyDescent="0.25"/>
    <row r="22690" customFormat="1" x14ac:dyDescent="0.25"/>
    <row r="22691" customFormat="1" x14ac:dyDescent="0.25"/>
    <row r="22692" customFormat="1" x14ac:dyDescent="0.25"/>
    <row r="22693" customFormat="1" x14ac:dyDescent="0.25"/>
    <row r="22694" customFormat="1" x14ac:dyDescent="0.25"/>
    <row r="22695" customFormat="1" x14ac:dyDescent="0.25"/>
    <row r="22696" customFormat="1" x14ac:dyDescent="0.25"/>
    <row r="22697" customFormat="1" x14ac:dyDescent="0.25"/>
    <row r="22698" customFormat="1" x14ac:dyDescent="0.25"/>
    <row r="22699" customFormat="1" x14ac:dyDescent="0.25"/>
    <row r="22700" customFormat="1" x14ac:dyDescent="0.25"/>
    <row r="22701" customFormat="1" x14ac:dyDescent="0.25"/>
    <row r="22702" customFormat="1" x14ac:dyDescent="0.25"/>
    <row r="22703" customFormat="1" x14ac:dyDescent="0.25"/>
    <row r="22704" customFormat="1" x14ac:dyDescent="0.25"/>
    <row r="22705" customFormat="1" x14ac:dyDescent="0.25"/>
    <row r="22706" customFormat="1" x14ac:dyDescent="0.25"/>
    <row r="22707" customFormat="1" x14ac:dyDescent="0.25"/>
    <row r="22708" customFormat="1" x14ac:dyDescent="0.25"/>
    <row r="22709" customFormat="1" x14ac:dyDescent="0.25"/>
    <row r="22710" customFormat="1" x14ac:dyDescent="0.25"/>
    <row r="22711" customFormat="1" x14ac:dyDescent="0.25"/>
    <row r="22712" customFormat="1" x14ac:dyDescent="0.25"/>
    <row r="22713" customFormat="1" x14ac:dyDescent="0.25"/>
    <row r="22714" customFormat="1" x14ac:dyDescent="0.25"/>
    <row r="22715" customFormat="1" x14ac:dyDescent="0.25"/>
    <row r="22716" customFormat="1" x14ac:dyDescent="0.25"/>
    <row r="22717" customFormat="1" x14ac:dyDescent="0.25"/>
    <row r="22718" customFormat="1" x14ac:dyDescent="0.25"/>
    <row r="22719" customFormat="1" x14ac:dyDescent="0.25"/>
    <row r="22720" customFormat="1" x14ac:dyDescent="0.25"/>
    <row r="22721" customFormat="1" x14ac:dyDescent="0.25"/>
    <row r="22722" customFormat="1" x14ac:dyDescent="0.25"/>
    <row r="22723" customFormat="1" x14ac:dyDescent="0.25"/>
    <row r="22724" customFormat="1" x14ac:dyDescent="0.25"/>
    <row r="22725" customFormat="1" x14ac:dyDescent="0.25"/>
    <row r="22726" customFormat="1" x14ac:dyDescent="0.25"/>
    <row r="22727" customFormat="1" x14ac:dyDescent="0.25"/>
    <row r="22728" customFormat="1" x14ac:dyDescent="0.25"/>
    <row r="22729" customFormat="1" x14ac:dyDescent="0.25"/>
    <row r="22730" customFormat="1" x14ac:dyDescent="0.25"/>
    <row r="22731" customFormat="1" x14ac:dyDescent="0.25"/>
    <row r="22732" customFormat="1" x14ac:dyDescent="0.25"/>
    <row r="22733" customFormat="1" x14ac:dyDescent="0.25"/>
    <row r="22734" customFormat="1" x14ac:dyDescent="0.25"/>
    <row r="22735" customFormat="1" x14ac:dyDescent="0.25"/>
    <row r="22736" customFormat="1" x14ac:dyDescent="0.25"/>
    <row r="22737" customFormat="1" x14ac:dyDescent="0.25"/>
    <row r="22738" customFormat="1" x14ac:dyDescent="0.25"/>
    <row r="22739" customFormat="1" x14ac:dyDescent="0.25"/>
    <row r="22740" customFormat="1" x14ac:dyDescent="0.25"/>
    <row r="22741" customFormat="1" x14ac:dyDescent="0.25"/>
    <row r="22742" customFormat="1" x14ac:dyDescent="0.25"/>
    <row r="22743" customFormat="1" x14ac:dyDescent="0.25"/>
    <row r="22744" customFormat="1" x14ac:dyDescent="0.25"/>
    <row r="22745" customFormat="1" x14ac:dyDescent="0.25"/>
    <row r="22746" customFormat="1" x14ac:dyDescent="0.25"/>
    <row r="22747" customFormat="1" x14ac:dyDescent="0.25"/>
    <row r="22748" customFormat="1" x14ac:dyDescent="0.25"/>
    <row r="22749" customFormat="1" x14ac:dyDescent="0.25"/>
    <row r="22750" customFormat="1" x14ac:dyDescent="0.25"/>
    <row r="22751" customFormat="1" x14ac:dyDescent="0.25"/>
    <row r="22752" customFormat="1" x14ac:dyDescent="0.25"/>
    <row r="22753" customFormat="1" x14ac:dyDescent="0.25"/>
    <row r="22754" customFormat="1" x14ac:dyDescent="0.25"/>
    <row r="22755" customFormat="1" x14ac:dyDescent="0.25"/>
    <row r="22756" customFormat="1" x14ac:dyDescent="0.25"/>
    <row r="22757" customFormat="1" x14ac:dyDescent="0.25"/>
    <row r="22758" customFormat="1" x14ac:dyDescent="0.25"/>
    <row r="22759" customFormat="1" x14ac:dyDescent="0.25"/>
    <row r="22760" customFormat="1" x14ac:dyDescent="0.25"/>
    <row r="22761" customFormat="1" x14ac:dyDescent="0.25"/>
    <row r="22762" customFormat="1" x14ac:dyDescent="0.25"/>
    <row r="22763" customFormat="1" x14ac:dyDescent="0.25"/>
    <row r="22764" customFormat="1" x14ac:dyDescent="0.25"/>
    <row r="22765" customFormat="1" x14ac:dyDescent="0.25"/>
    <row r="22766" customFormat="1" x14ac:dyDescent="0.25"/>
    <row r="22767" customFormat="1" x14ac:dyDescent="0.25"/>
    <row r="22768" customFormat="1" x14ac:dyDescent="0.25"/>
    <row r="22769" customFormat="1" x14ac:dyDescent="0.25"/>
    <row r="22770" customFormat="1" x14ac:dyDescent="0.25"/>
    <row r="22771" customFormat="1" x14ac:dyDescent="0.25"/>
    <row r="22772" customFormat="1" x14ac:dyDescent="0.25"/>
    <row r="22773" customFormat="1" x14ac:dyDescent="0.25"/>
    <row r="22774" customFormat="1" x14ac:dyDescent="0.25"/>
    <row r="22775" customFormat="1" x14ac:dyDescent="0.25"/>
    <row r="22776" customFormat="1" x14ac:dyDescent="0.25"/>
    <row r="22777" customFormat="1" x14ac:dyDescent="0.25"/>
    <row r="22778" customFormat="1" x14ac:dyDescent="0.25"/>
    <row r="22779" customFormat="1" x14ac:dyDescent="0.25"/>
    <row r="22780" customFormat="1" x14ac:dyDescent="0.25"/>
    <row r="22781" customFormat="1" x14ac:dyDescent="0.25"/>
    <row r="22782" customFormat="1" x14ac:dyDescent="0.25"/>
    <row r="22783" customFormat="1" x14ac:dyDescent="0.25"/>
    <row r="22784" customFormat="1" x14ac:dyDescent="0.25"/>
    <row r="22785" customFormat="1" x14ac:dyDescent="0.25"/>
    <row r="22786" customFormat="1" x14ac:dyDescent="0.25"/>
    <row r="22787" customFormat="1" x14ac:dyDescent="0.25"/>
    <row r="22788" customFormat="1" x14ac:dyDescent="0.25"/>
    <row r="22789" customFormat="1" x14ac:dyDescent="0.25"/>
    <row r="22790" customFormat="1" x14ac:dyDescent="0.25"/>
    <row r="22791" customFormat="1" x14ac:dyDescent="0.25"/>
    <row r="22792" customFormat="1" x14ac:dyDescent="0.25"/>
    <row r="22793" customFormat="1" x14ac:dyDescent="0.25"/>
    <row r="22794" customFormat="1" x14ac:dyDescent="0.25"/>
    <row r="22795" customFormat="1" x14ac:dyDescent="0.25"/>
    <row r="22796" customFormat="1" x14ac:dyDescent="0.25"/>
    <row r="22797" customFormat="1" x14ac:dyDescent="0.25"/>
    <row r="22798" customFormat="1" x14ac:dyDescent="0.25"/>
    <row r="22799" customFormat="1" x14ac:dyDescent="0.25"/>
    <row r="22800" customFormat="1" x14ac:dyDescent="0.25"/>
    <row r="22801" customFormat="1" x14ac:dyDescent="0.25"/>
    <row r="22802" customFormat="1" x14ac:dyDescent="0.25"/>
    <row r="22803" customFormat="1" x14ac:dyDescent="0.25"/>
    <row r="22804" customFormat="1" x14ac:dyDescent="0.25"/>
    <row r="22805" customFormat="1" x14ac:dyDescent="0.25"/>
    <row r="22806" customFormat="1" x14ac:dyDescent="0.25"/>
    <row r="22807" customFormat="1" x14ac:dyDescent="0.25"/>
    <row r="22808" customFormat="1" x14ac:dyDescent="0.25"/>
    <row r="22809" customFormat="1" x14ac:dyDescent="0.25"/>
    <row r="22810" customFormat="1" x14ac:dyDescent="0.25"/>
    <row r="22811" customFormat="1" x14ac:dyDescent="0.25"/>
    <row r="22812" customFormat="1" x14ac:dyDescent="0.25"/>
    <row r="22813" customFormat="1" x14ac:dyDescent="0.25"/>
    <row r="22814" customFormat="1" x14ac:dyDescent="0.25"/>
    <row r="22815" customFormat="1" x14ac:dyDescent="0.25"/>
    <row r="22816" customFormat="1" x14ac:dyDescent="0.25"/>
    <row r="22817" customFormat="1" x14ac:dyDescent="0.25"/>
    <row r="22818" customFormat="1" x14ac:dyDescent="0.25"/>
    <row r="22819" customFormat="1" x14ac:dyDescent="0.25"/>
    <row r="22820" customFormat="1" x14ac:dyDescent="0.25"/>
    <row r="22821" customFormat="1" x14ac:dyDescent="0.25"/>
    <row r="22822" customFormat="1" x14ac:dyDescent="0.25"/>
    <row r="22823" customFormat="1" x14ac:dyDescent="0.25"/>
    <row r="22824" customFormat="1" x14ac:dyDescent="0.25"/>
    <row r="22825" customFormat="1" x14ac:dyDescent="0.25"/>
    <row r="22826" customFormat="1" x14ac:dyDescent="0.25"/>
    <row r="22827" customFormat="1" x14ac:dyDescent="0.25"/>
    <row r="22828" customFormat="1" x14ac:dyDescent="0.25"/>
    <row r="22829" customFormat="1" x14ac:dyDescent="0.25"/>
    <row r="22830" customFormat="1" x14ac:dyDescent="0.25"/>
    <row r="22831" customFormat="1" x14ac:dyDescent="0.25"/>
    <row r="22832" customFormat="1" x14ac:dyDescent="0.25"/>
    <row r="22833" customFormat="1" x14ac:dyDescent="0.25"/>
    <row r="22834" customFormat="1" x14ac:dyDescent="0.25"/>
    <row r="22835" customFormat="1" x14ac:dyDescent="0.25"/>
    <row r="22836" customFormat="1" x14ac:dyDescent="0.25"/>
    <row r="22837" customFormat="1" x14ac:dyDescent="0.25"/>
    <row r="22838" customFormat="1" x14ac:dyDescent="0.25"/>
    <row r="22839" customFormat="1" x14ac:dyDescent="0.25"/>
    <row r="22840" customFormat="1" x14ac:dyDescent="0.25"/>
    <row r="22841" customFormat="1" x14ac:dyDescent="0.25"/>
    <row r="22842" customFormat="1" x14ac:dyDescent="0.25"/>
    <row r="22843" customFormat="1" x14ac:dyDescent="0.25"/>
    <row r="22844" customFormat="1" x14ac:dyDescent="0.25"/>
    <row r="22845" customFormat="1" x14ac:dyDescent="0.25"/>
    <row r="22846" customFormat="1" x14ac:dyDescent="0.25"/>
    <row r="22847" customFormat="1" x14ac:dyDescent="0.25"/>
    <row r="22848" customFormat="1" x14ac:dyDescent="0.25"/>
    <row r="22849" customFormat="1" x14ac:dyDescent="0.25"/>
    <row r="22850" customFormat="1" x14ac:dyDescent="0.25"/>
    <row r="22851" customFormat="1" x14ac:dyDescent="0.25"/>
    <row r="22852" customFormat="1" x14ac:dyDescent="0.25"/>
    <row r="22853" customFormat="1" x14ac:dyDescent="0.25"/>
    <row r="22854" customFormat="1" x14ac:dyDescent="0.25"/>
    <row r="22855" customFormat="1" x14ac:dyDescent="0.25"/>
    <row r="22856" customFormat="1" x14ac:dyDescent="0.25"/>
    <row r="22857" customFormat="1" x14ac:dyDescent="0.25"/>
    <row r="22858" customFormat="1" x14ac:dyDescent="0.25"/>
    <row r="22859" customFormat="1" x14ac:dyDescent="0.25"/>
    <row r="22860" customFormat="1" x14ac:dyDescent="0.25"/>
    <row r="22861" customFormat="1" x14ac:dyDescent="0.25"/>
    <row r="22862" customFormat="1" x14ac:dyDescent="0.25"/>
    <row r="22863" customFormat="1" x14ac:dyDescent="0.25"/>
    <row r="22864" customFormat="1" x14ac:dyDescent="0.25"/>
    <row r="22865" customFormat="1" x14ac:dyDescent="0.25"/>
    <row r="22866" customFormat="1" x14ac:dyDescent="0.25"/>
    <row r="22867" customFormat="1" x14ac:dyDescent="0.25"/>
    <row r="22868" customFormat="1" x14ac:dyDescent="0.25"/>
    <row r="22869" customFormat="1" x14ac:dyDescent="0.25"/>
    <row r="22870" customFormat="1" x14ac:dyDescent="0.25"/>
    <row r="22871" customFormat="1" x14ac:dyDescent="0.25"/>
    <row r="22872" customFormat="1" x14ac:dyDescent="0.25"/>
    <row r="22873" customFormat="1" x14ac:dyDescent="0.25"/>
    <row r="22874" customFormat="1" x14ac:dyDescent="0.25"/>
    <row r="22875" customFormat="1" x14ac:dyDescent="0.25"/>
    <row r="22876" customFormat="1" x14ac:dyDescent="0.25"/>
    <row r="22877" customFormat="1" x14ac:dyDescent="0.25"/>
    <row r="22878" customFormat="1" x14ac:dyDescent="0.25"/>
    <row r="22879" customFormat="1" x14ac:dyDescent="0.25"/>
    <row r="22880" customFormat="1" x14ac:dyDescent="0.25"/>
    <row r="22881" customFormat="1" x14ac:dyDescent="0.25"/>
    <row r="22882" customFormat="1" x14ac:dyDescent="0.25"/>
    <row r="22883" customFormat="1" x14ac:dyDescent="0.25"/>
    <row r="22884" customFormat="1" x14ac:dyDescent="0.25"/>
    <row r="22885" customFormat="1" x14ac:dyDescent="0.25"/>
    <row r="22886" customFormat="1" x14ac:dyDescent="0.25"/>
    <row r="22887" customFormat="1" x14ac:dyDescent="0.25"/>
    <row r="22888" customFormat="1" x14ac:dyDescent="0.25"/>
    <row r="22889" customFormat="1" x14ac:dyDescent="0.25"/>
    <row r="22890" customFormat="1" x14ac:dyDescent="0.25"/>
    <row r="22891" customFormat="1" x14ac:dyDescent="0.25"/>
    <row r="22892" customFormat="1" x14ac:dyDescent="0.25"/>
    <row r="22893" customFormat="1" x14ac:dyDescent="0.25"/>
    <row r="22894" customFormat="1" x14ac:dyDescent="0.25"/>
    <row r="22895" customFormat="1" x14ac:dyDescent="0.25"/>
    <row r="22896" customFormat="1" x14ac:dyDescent="0.25"/>
    <row r="22897" customFormat="1" x14ac:dyDescent="0.25"/>
    <row r="22898" customFormat="1" x14ac:dyDescent="0.25"/>
    <row r="22899" customFormat="1" x14ac:dyDescent="0.25"/>
    <row r="22900" customFormat="1" x14ac:dyDescent="0.25"/>
    <row r="22901" customFormat="1" x14ac:dyDescent="0.25"/>
    <row r="22902" customFormat="1" x14ac:dyDescent="0.25"/>
    <row r="22903" customFormat="1" x14ac:dyDescent="0.25"/>
    <row r="22904" customFormat="1" x14ac:dyDescent="0.25"/>
    <row r="22905" customFormat="1" x14ac:dyDescent="0.25"/>
    <row r="22906" customFormat="1" x14ac:dyDescent="0.25"/>
    <row r="22907" customFormat="1" x14ac:dyDescent="0.25"/>
    <row r="22908" customFormat="1" x14ac:dyDescent="0.25"/>
    <row r="22909" customFormat="1" x14ac:dyDescent="0.25"/>
    <row r="22910" customFormat="1" x14ac:dyDescent="0.25"/>
    <row r="22911" customFormat="1" x14ac:dyDescent="0.25"/>
    <row r="22912" customFormat="1" x14ac:dyDescent="0.25"/>
    <row r="22913" customFormat="1" x14ac:dyDescent="0.25"/>
    <row r="22914" customFormat="1" x14ac:dyDescent="0.25"/>
    <row r="22915" customFormat="1" x14ac:dyDescent="0.25"/>
    <row r="22916" customFormat="1" x14ac:dyDescent="0.25"/>
    <row r="22917" customFormat="1" x14ac:dyDescent="0.25"/>
    <row r="22918" customFormat="1" x14ac:dyDescent="0.25"/>
    <row r="22919" customFormat="1" x14ac:dyDescent="0.25"/>
    <row r="22920" customFormat="1" x14ac:dyDescent="0.25"/>
    <row r="22921" customFormat="1" x14ac:dyDescent="0.25"/>
    <row r="22922" customFormat="1" x14ac:dyDescent="0.25"/>
    <row r="22923" customFormat="1" x14ac:dyDescent="0.25"/>
    <row r="22924" customFormat="1" x14ac:dyDescent="0.25"/>
    <row r="22925" customFormat="1" x14ac:dyDescent="0.25"/>
    <row r="22926" customFormat="1" x14ac:dyDescent="0.25"/>
    <row r="22927" customFormat="1" x14ac:dyDescent="0.25"/>
    <row r="22928" customFormat="1" x14ac:dyDescent="0.25"/>
    <row r="22929" customFormat="1" x14ac:dyDescent="0.25"/>
    <row r="22930" customFormat="1" x14ac:dyDescent="0.25"/>
    <row r="22931" customFormat="1" x14ac:dyDescent="0.25"/>
    <row r="22932" customFormat="1" x14ac:dyDescent="0.25"/>
    <row r="22933" customFormat="1" x14ac:dyDescent="0.25"/>
    <row r="22934" customFormat="1" x14ac:dyDescent="0.25"/>
    <row r="22935" customFormat="1" x14ac:dyDescent="0.25"/>
    <row r="22936" customFormat="1" x14ac:dyDescent="0.25"/>
    <row r="22937" customFormat="1" x14ac:dyDescent="0.25"/>
    <row r="22938" customFormat="1" x14ac:dyDescent="0.25"/>
    <row r="22939" customFormat="1" x14ac:dyDescent="0.25"/>
    <row r="22940" customFormat="1" x14ac:dyDescent="0.25"/>
    <row r="22941" customFormat="1" x14ac:dyDescent="0.25"/>
    <row r="22942" customFormat="1" x14ac:dyDescent="0.25"/>
    <row r="22943" customFormat="1" x14ac:dyDescent="0.25"/>
    <row r="22944" customFormat="1" x14ac:dyDescent="0.25"/>
    <row r="22945" customFormat="1" x14ac:dyDescent="0.25"/>
    <row r="22946" customFormat="1" x14ac:dyDescent="0.25"/>
    <row r="22947" customFormat="1" x14ac:dyDescent="0.25"/>
    <row r="22948" customFormat="1" x14ac:dyDescent="0.25"/>
    <row r="22949" customFormat="1" x14ac:dyDescent="0.25"/>
    <row r="22950" customFormat="1" x14ac:dyDescent="0.25"/>
    <row r="22951" customFormat="1" x14ac:dyDescent="0.25"/>
    <row r="22952" customFormat="1" x14ac:dyDescent="0.25"/>
    <row r="22953" customFormat="1" x14ac:dyDescent="0.25"/>
    <row r="22954" customFormat="1" x14ac:dyDescent="0.25"/>
    <row r="22955" customFormat="1" x14ac:dyDescent="0.25"/>
    <row r="22956" customFormat="1" x14ac:dyDescent="0.25"/>
    <row r="22957" customFormat="1" x14ac:dyDescent="0.25"/>
    <row r="22958" customFormat="1" x14ac:dyDescent="0.25"/>
    <row r="22959" customFormat="1" x14ac:dyDescent="0.25"/>
    <row r="22960" customFormat="1" x14ac:dyDescent="0.25"/>
    <row r="22961" customFormat="1" x14ac:dyDescent="0.25"/>
    <row r="22962" customFormat="1" x14ac:dyDescent="0.25"/>
    <row r="22963" customFormat="1" x14ac:dyDescent="0.25"/>
    <row r="22964" customFormat="1" x14ac:dyDescent="0.25"/>
    <row r="22965" customFormat="1" x14ac:dyDescent="0.25"/>
    <row r="22966" customFormat="1" x14ac:dyDescent="0.25"/>
    <row r="22967" customFormat="1" x14ac:dyDescent="0.25"/>
    <row r="22968" customFormat="1" x14ac:dyDescent="0.25"/>
    <row r="22969" customFormat="1" x14ac:dyDescent="0.25"/>
    <row r="22970" customFormat="1" x14ac:dyDescent="0.25"/>
    <row r="22971" customFormat="1" x14ac:dyDescent="0.25"/>
    <row r="22972" customFormat="1" x14ac:dyDescent="0.25"/>
    <row r="22973" customFormat="1" x14ac:dyDescent="0.25"/>
    <row r="22974" customFormat="1" x14ac:dyDescent="0.25"/>
    <row r="22975" customFormat="1" x14ac:dyDescent="0.25"/>
    <row r="22976" customFormat="1" x14ac:dyDescent="0.25"/>
    <row r="22977" customFormat="1" x14ac:dyDescent="0.25"/>
    <row r="22978" customFormat="1" x14ac:dyDescent="0.25"/>
    <row r="22979" customFormat="1" x14ac:dyDescent="0.25"/>
    <row r="22980" customFormat="1" x14ac:dyDescent="0.25"/>
    <row r="22981" customFormat="1" x14ac:dyDescent="0.25"/>
    <row r="22982" customFormat="1" x14ac:dyDescent="0.25"/>
    <row r="22983" customFormat="1" x14ac:dyDescent="0.25"/>
    <row r="22984" customFormat="1" x14ac:dyDescent="0.25"/>
    <row r="22985" customFormat="1" x14ac:dyDescent="0.25"/>
    <row r="22986" customFormat="1" x14ac:dyDescent="0.25"/>
    <row r="22987" customFormat="1" x14ac:dyDescent="0.25"/>
    <row r="22988" customFormat="1" x14ac:dyDescent="0.25"/>
    <row r="22989" customFormat="1" x14ac:dyDescent="0.25"/>
    <row r="22990" customFormat="1" x14ac:dyDescent="0.25"/>
    <row r="22991" customFormat="1" x14ac:dyDescent="0.25"/>
    <row r="22992" customFormat="1" x14ac:dyDescent="0.25"/>
    <row r="22993" customFormat="1" x14ac:dyDescent="0.25"/>
    <row r="22994" customFormat="1" x14ac:dyDescent="0.25"/>
    <row r="22995" customFormat="1" x14ac:dyDescent="0.25"/>
    <row r="22996" customFormat="1" x14ac:dyDescent="0.25"/>
    <row r="22997" customFormat="1" x14ac:dyDescent="0.25"/>
    <row r="22998" customFormat="1" x14ac:dyDescent="0.25"/>
    <row r="22999" customFormat="1" x14ac:dyDescent="0.25"/>
    <row r="23000" customFormat="1" x14ac:dyDescent="0.25"/>
    <row r="23001" customFormat="1" x14ac:dyDescent="0.25"/>
    <row r="23002" customFormat="1" x14ac:dyDescent="0.25"/>
    <row r="23003" customFormat="1" x14ac:dyDescent="0.25"/>
    <row r="23004" customFormat="1" x14ac:dyDescent="0.25"/>
    <row r="23005" customFormat="1" x14ac:dyDescent="0.25"/>
    <row r="23006" customFormat="1" x14ac:dyDescent="0.25"/>
    <row r="23007" customFormat="1" x14ac:dyDescent="0.25"/>
    <row r="23008" customFormat="1" x14ac:dyDescent="0.25"/>
    <row r="23009" customFormat="1" x14ac:dyDescent="0.25"/>
    <row r="23010" customFormat="1" x14ac:dyDescent="0.25"/>
    <row r="23011" customFormat="1" x14ac:dyDescent="0.25"/>
    <row r="23012" customFormat="1" x14ac:dyDescent="0.25"/>
    <row r="23013" customFormat="1" x14ac:dyDescent="0.25"/>
    <row r="23014" customFormat="1" x14ac:dyDescent="0.25"/>
    <row r="23015" customFormat="1" x14ac:dyDescent="0.25"/>
    <row r="23016" customFormat="1" x14ac:dyDescent="0.25"/>
    <row r="23017" customFormat="1" x14ac:dyDescent="0.25"/>
    <row r="23018" customFormat="1" x14ac:dyDescent="0.25"/>
    <row r="23019" customFormat="1" x14ac:dyDescent="0.25"/>
    <row r="23020" customFormat="1" x14ac:dyDescent="0.25"/>
    <row r="23021" customFormat="1" x14ac:dyDescent="0.25"/>
    <row r="23022" customFormat="1" x14ac:dyDescent="0.25"/>
    <row r="23023" customFormat="1" x14ac:dyDescent="0.25"/>
    <row r="23024" customFormat="1" x14ac:dyDescent="0.25"/>
    <row r="23025" customFormat="1" x14ac:dyDescent="0.25"/>
    <row r="23026" customFormat="1" x14ac:dyDescent="0.25"/>
    <row r="23027" customFormat="1" x14ac:dyDescent="0.25"/>
    <row r="23028" customFormat="1" x14ac:dyDescent="0.25"/>
    <row r="23029" customFormat="1" x14ac:dyDescent="0.25"/>
    <row r="23030" customFormat="1" x14ac:dyDescent="0.25"/>
    <row r="23031" customFormat="1" x14ac:dyDescent="0.25"/>
    <row r="23032" customFormat="1" x14ac:dyDescent="0.25"/>
    <row r="23033" customFormat="1" x14ac:dyDescent="0.25"/>
    <row r="23034" customFormat="1" x14ac:dyDescent="0.25"/>
    <row r="23035" customFormat="1" x14ac:dyDescent="0.25"/>
    <row r="23036" customFormat="1" x14ac:dyDescent="0.25"/>
    <row r="23037" customFormat="1" x14ac:dyDescent="0.25"/>
    <row r="23038" customFormat="1" x14ac:dyDescent="0.25"/>
    <row r="23039" customFormat="1" x14ac:dyDescent="0.25"/>
    <row r="23040" customFormat="1" x14ac:dyDescent="0.25"/>
    <row r="23041" customFormat="1" x14ac:dyDescent="0.25"/>
    <row r="23042" customFormat="1" x14ac:dyDescent="0.25"/>
    <row r="23043" customFormat="1" x14ac:dyDescent="0.25"/>
    <row r="23044" customFormat="1" x14ac:dyDescent="0.25"/>
    <row r="23045" customFormat="1" x14ac:dyDescent="0.25"/>
    <row r="23046" customFormat="1" x14ac:dyDescent="0.25"/>
    <row r="23047" customFormat="1" x14ac:dyDescent="0.25"/>
    <row r="23048" customFormat="1" x14ac:dyDescent="0.25"/>
    <row r="23049" customFormat="1" x14ac:dyDescent="0.25"/>
    <row r="23050" customFormat="1" x14ac:dyDescent="0.25"/>
    <row r="23051" customFormat="1" x14ac:dyDescent="0.25"/>
    <row r="23052" customFormat="1" x14ac:dyDescent="0.25"/>
    <row r="23053" customFormat="1" x14ac:dyDescent="0.25"/>
    <row r="23054" customFormat="1" x14ac:dyDescent="0.25"/>
    <row r="23055" customFormat="1" x14ac:dyDescent="0.25"/>
    <row r="23056" customFormat="1" x14ac:dyDescent="0.25"/>
    <row r="23057" customFormat="1" x14ac:dyDescent="0.25"/>
    <row r="23058" customFormat="1" x14ac:dyDescent="0.25"/>
    <row r="23059" customFormat="1" x14ac:dyDescent="0.25"/>
    <row r="23060" customFormat="1" x14ac:dyDescent="0.25"/>
    <row r="23061" customFormat="1" x14ac:dyDescent="0.25"/>
    <row r="23062" customFormat="1" x14ac:dyDescent="0.25"/>
    <row r="23063" customFormat="1" x14ac:dyDescent="0.25"/>
    <row r="23064" customFormat="1" x14ac:dyDescent="0.25"/>
    <row r="23065" customFormat="1" x14ac:dyDescent="0.25"/>
    <row r="23066" customFormat="1" x14ac:dyDescent="0.25"/>
    <row r="23067" customFormat="1" x14ac:dyDescent="0.25"/>
    <row r="23068" customFormat="1" x14ac:dyDescent="0.25"/>
    <row r="23069" customFormat="1" x14ac:dyDescent="0.25"/>
    <row r="23070" customFormat="1" x14ac:dyDescent="0.25"/>
    <row r="23071" customFormat="1" x14ac:dyDescent="0.25"/>
    <row r="23072" customFormat="1" x14ac:dyDescent="0.25"/>
    <row r="23073" customFormat="1" x14ac:dyDescent="0.25"/>
    <row r="23074" customFormat="1" x14ac:dyDescent="0.25"/>
    <row r="23075" customFormat="1" x14ac:dyDescent="0.25"/>
    <row r="23076" customFormat="1" x14ac:dyDescent="0.25"/>
    <row r="23077" customFormat="1" x14ac:dyDescent="0.25"/>
    <row r="23078" customFormat="1" x14ac:dyDescent="0.25"/>
    <row r="23079" customFormat="1" x14ac:dyDescent="0.25"/>
    <row r="23080" customFormat="1" x14ac:dyDescent="0.25"/>
    <row r="23081" customFormat="1" x14ac:dyDescent="0.25"/>
    <row r="23082" customFormat="1" x14ac:dyDescent="0.25"/>
    <row r="23083" customFormat="1" x14ac:dyDescent="0.25"/>
    <row r="23084" customFormat="1" x14ac:dyDescent="0.25"/>
    <row r="23085" customFormat="1" x14ac:dyDescent="0.25"/>
    <row r="23086" customFormat="1" x14ac:dyDescent="0.25"/>
    <row r="23087" customFormat="1" x14ac:dyDescent="0.25"/>
    <row r="23088" customFormat="1" x14ac:dyDescent="0.25"/>
    <row r="23089" customFormat="1" x14ac:dyDescent="0.25"/>
    <row r="23090" customFormat="1" x14ac:dyDescent="0.25"/>
    <row r="23091" customFormat="1" x14ac:dyDescent="0.25"/>
    <row r="23092" customFormat="1" x14ac:dyDescent="0.25"/>
    <row r="23093" customFormat="1" x14ac:dyDescent="0.25"/>
    <row r="23094" customFormat="1" x14ac:dyDescent="0.25"/>
    <row r="23095" customFormat="1" x14ac:dyDescent="0.25"/>
    <row r="23096" customFormat="1" x14ac:dyDescent="0.25"/>
    <row r="23097" customFormat="1" x14ac:dyDescent="0.25"/>
    <row r="23098" customFormat="1" x14ac:dyDescent="0.25"/>
    <row r="23099" customFormat="1" x14ac:dyDescent="0.25"/>
    <row r="23100" customFormat="1" x14ac:dyDescent="0.25"/>
    <row r="23101" customFormat="1" x14ac:dyDescent="0.25"/>
    <row r="23102" customFormat="1" x14ac:dyDescent="0.25"/>
    <row r="23103" customFormat="1" x14ac:dyDescent="0.25"/>
    <row r="23104" customFormat="1" x14ac:dyDescent="0.25"/>
    <row r="23105" customFormat="1" x14ac:dyDescent="0.25"/>
    <row r="23106" customFormat="1" x14ac:dyDescent="0.25"/>
    <row r="23107" customFormat="1" x14ac:dyDescent="0.25"/>
    <row r="23108" customFormat="1" x14ac:dyDescent="0.25"/>
    <row r="23109" customFormat="1" x14ac:dyDescent="0.25"/>
    <row r="23110" customFormat="1" x14ac:dyDescent="0.25"/>
    <row r="23111" customFormat="1" x14ac:dyDescent="0.25"/>
    <row r="23112" customFormat="1" x14ac:dyDescent="0.25"/>
    <row r="23113" customFormat="1" x14ac:dyDescent="0.25"/>
    <row r="23114" customFormat="1" x14ac:dyDescent="0.25"/>
    <row r="23115" customFormat="1" x14ac:dyDescent="0.25"/>
    <row r="23116" customFormat="1" x14ac:dyDescent="0.25"/>
    <row r="23117" customFormat="1" x14ac:dyDescent="0.25"/>
    <row r="23118" customFormat="1" x14ac:dyDescent="0.25"/>
    <row r="23119" customFormat="1" x14ac:dyDescent="0.25"/>
    <row r="23120" customFormat="1" x14ac:dyDescent="0.25"/>
    <row r="23121" customFormat="1" x14ac:dyDescent="0.25"/>
    <row r="23122" customFormat="1" x14ac:dyDescent="0.25"/>
    <row r="23123" customFormat="1" x14ac:dyDescent="0.25"/>
    <row r="23124" customFormat="1" x14ac:dyDescent="0.25"/>
    <row r="23125" customFormat="1" x14ac:dyDescent="0.25"/>
    <row r="23126" customFormat="1" x14ac:dyDescent="0.25"/>
    <row r="23127" customFormat="1" x14ac:dyDescent="0.25"/>
    <row r="23128" customFormat="1" x14ac:dyDescent="0.25"/>
    <row r="23129" customFormat="1" x14ac:dyDescent="0.25"/>
    <row r="23130" customFormat="1" x14ac:dyDescent="0.25"/>
    <row r="23131" customFormat="1" x14ac:dyDescent="0.25"/>
    <row r="23132" customFormat="1" x14ac:dyDescent="0.25"/>
    <row r="23133" customFormat="1" x14ac:dyDescent="0.25"/>
    <row r="23134" customFormat="1" x14ac:dyDescent="0.25"/>
    <row r="23135" customFormat="1" x14ac:dyDescent="0.25"/>
    <row r="23136" customFormat="1" x14ac:dyDescent="0.25"/>
    <row r="23137" customFormat="1" x14ac:dyDescent="0.25"/>
    <row r="23138" customFormat="1" x14ac:dyDescent="0.25"/>
    <row r="23139" customFormat="1" x14ac:dyDescent="0.25"/>
    <row r="23140" customFormat="1" x14ac:dyDescent="0.25"/>
    <row r="23141" customFormat="1" x14ac:dyDescent="0.25"/>
    <row r="23142" customFormat="1" x14ac:dyDescent="0.25"/>
    <row r="23143" customFormat="1" x14ac:dyDescent="0.25"/>
    <row r="23144" customFormat="1" x14ac:dyDescent="0.25"/>
    <row r="23145" customFormat="1" x14ac:dyDescent="0.25"/>
    <row r="23146" customFormat="1" x14ac:dyDescent="0.25"/>
    <row r="23147" customFormat="1" x14ac:dyDescent="0.25"/>
    <row r="23148" customFormat="1" x14ac:dyDescent="0.25"/>
    <row r="23149" customFormat="1" x14ac:dyDescent="0.25"/>
    <row r="23150" customFormat="1" x14ac:dyDescent="0.25"/>
    <row r="23151" customFormat="1" x14ac:dyDescent="0.25"/>
    <row r="23152" customFormat="1" x14ac:dyDescent="0.25"/>
    <row r="23153" customFormat="1" x14ac:dyDescent="0.25"/>
    <row r="23154" customFormat="1" x14ac:dyDescent="0.25"/>
    <row r="23155" customFormat="1" x14ac:dyDescent="0.25"/>
    <row r="23156" customFormat="1" x14ac:dyDescent="0.25"/>
    <row r="23157" customFormat="1" x14ac:dyDescent="0.25"/>
    <row r="23158" customFormat="1" x14ac:dyDescent="0.25"/>
    <row r="23159" customFormat="1" x14ac:dyDescent="0.25"/>
    <row r="23160" customFormat="1" x14ac:dyDescent="0.25"/>
    <row r="23161" customFormat="1" x14ac:dyDescent="0.25"/>
    <row r="23162" customFormat="1" x14ac:dyDescent="0.25"/>
    <row r="23163" customFormat="1" x14ac:dyDescent="0.25"/>
    <row r="23164" customFormat="1" x14ac:dyDescent="0.25"/>
    <row r="23165" customFormat="1" x14ac:dyDescent="0.25"/>
    <row r="23166" customFormat="1" x14ac:dyDescent="0.25"/>
    <row r="23167" customFormat="1" x14ac:dyDescent="0.25"/>
    <row r="23168" customFormat="1" x14ac:dyDescent="0.25"/>
    <row r="23169" customFormat="1" x14ac:dyDescent="0.25"/>
    <row r="23170" customFormat="1" x14ac:dyDescent="0.25"/>
    <row r="23171" customFormat="1" x14ac:dyDescent="0.25"/>
    <row r="23172" customFormat="1" x14ac:dyDescent="0.25"/>
    <row r="23173" customFormat="1" x14ac:dyDescent="0.25"/>
    <row r="23174" customFormat="1" x14ac:dyDescent="0.25"/>
    <row r="23175" customFormat="1" x14ac:dyDescent="0.25"/>
    <row r="23176" customFormat="1" x14ac:dyDescent="0.25"/>
    <row r="23177" customFormat="1" x14ac:dyDescent="0.25"/>
    <row r="23178" customFormat="1" x14ac:dyDescent="0.25"/>
    <row r="23179" customFormat="1" x14ac:dyDescent="0.25"/>
    <row r="23180" customFormat="1" x14ac:dyDescent="0.25"/>
    <row r="23181" customFormat="1" x14ac:dyDescent="0.25"/>
    <row r="23182" customFormat="1" x14ac:dyDescent="0.25"/>
    <row r="23183" customFormat="1" x14ac:dyDescent="0.25"/>
    <row r="23184" customFormat="1" x14ac:dyDescent="0.25"/>
    <row r="23185" customFormat="1" x14ac:dyDescent="0.25"/>
    <row r="23186" customFormat="1" x14ac:dyDescent="0.25"/>
    <row r="23187" customFormat="1" x14ac:dyDescent="0.25"/>
    <row r="23188" customFormat="1" x14ac:dyDescent="0.25"/>
    <row r="23189" customFormat="1" x14ac:dyDescent="0.25"/>
    <row r="23190" customFormat="1" x14ac:dyDescent="0.25"/>
    <row r="23191" customFormat="1" x14ac:dyDescent="0.25"/>
    <row r="23192" customFormat="1" x14ac:dyDescent="0.25"/>
    <row r="23193" customFormat="1" x14ac:dyDescent="0.25"/>
    <row r="23194" customFormat="1" x14ac:dyDescent="0.25"/>
    <row r="23195" customFormat="1" x14ac:dyDescent="0.25"/>
    <row r="23196" customFormat="1" x14ac:dyDescent="0.25"/>
    <row r="23197" customFormat="1" x14ac:dyDescent="0.25"/>
    <row r="23198" customFormat="1" x14ac:dyDescent="0.25"/>
    <row r="23199" customFormat="1" x14ac:dyDescent="0.25"/>
    <row r="23200" customFormat="1" x14ac:dyDescent="0.25"/>
    <row r="23201" customFormat="1" x14ac:dyDescent="0.25"/>
    <row r="23202" customFormat="1" x14ac:dyDescent="0.25"/>
    <row r="23203" customFormat="1" x14ac:dyDescent="0.25"/>
    <row r="23204" customFormat="1" x14ac:dyDescent="0.25"/>
    <row r="23205" customFormat="1" x14ac:dyDescent="0.25"/>
    <row r="23206" customFormat="1" x14ac:dyDescent="0.25"/>
    <row r="23207" customFormat="1" x14ac:dyDescent="0.25"/>
    <row r="23208" customFormat="1" x14ac:dyDescent="0.25"/>
    <row r="23209" customFormat="1" x14ac:dyDescent="0.25"/>
    <row r="23210" customFormat="1" x14ac:dyDescent="0.25"/>
    <row r="23211" customFormat="1" x14ac:dyDescent="0.25"/>
    <row r="23212" customFormat="1" x14ac:dyDescent="0.25"/>
    <row r="23213" customFormat="1" x14ac:dyDescent="0.25"/>
    <row r="23214" customFormat="1" x14ac:dyDescent="0.25"/>
    <row r="23215" customFormat="1" x14ac:dyDescent="0.25"/>
    <row r="23216" customFormat="1" x14ac:dyDescent="0.25"/>
    <row r="23217" customFormat="1" x14ac:dyDescent="0.25"/>
    <row r="23218" customFormat="1" x14ac:dyDescent="0.25"/>
    <row r="23219" customFormat="1" x14ac:dyDescent="0.25"/>
    <row r="23220" customFormat="1" x14ac:dyDescent="0.25"/>
    <row r="23221" customFormat="1" x14ac:dyDescent="0.25"/>
    <row r="23222" customFormat="1" x14ac:dyDescent="0.25"/>
    <row r="23223" customFormat="1" x14ac:dyDescent="0.25"/>
    <row r="23224" customFormat="1" x14ac:dyDescent="0.25"/>
    <row r="23225" customFormat="1" x14ac:dyDescent="0.25"/>
    <row r="23226" customFormat="1" x14ac:dyDescent="0.25"/>
    <row r="23227" customFormat="1" x14ac:dyDescent="0.25"/>
    <row r="23228" customFormat="1" x14ac:dyDescent="0.25"/>
    <row r="23229" customFormat="1" x14ac:dyDescent="0.25"/>
    <row r="23230" customFormat="1" x14ac:dyDescent="0.25"/>
    <row r="23231" customFormat="1" x14ac:dyDescent="0.25"/>
    <row r="23232" customFormat="1" x14ac:dyDescent="0.25"/>
    <row r="23233" customFormat="1" x14ac:dyDescent="0.25"/>
    <row r="23234" customFormat="1" x14ac:dyDescent="0.25"/>
    <row r="23235" customFormat="1" x14ac:dyDescent="0.25"/>
    <row r="23236" customFormat="1" x14ac:dyDescent="0.25"/>
    <row r="23237" customFormat="1" x14ac:dyDescent="0.25"/>
    <row r="23238" customFormat="1" x14ac:dyDescent="0.25"/>
    <row r="23239" customFormat="1" x14ac:dyDescent="0.25"/>
    <row r="23240" customFormat="1" x14ac:dyDescent="0.25"/>
    <row r="23241" customFormat="1" x14ac:dyDescent="0.25"/>
    <row r="23242" customFormat="1" x14ac:dyDescent="0.25"/>
    <row r="23243" customFormat="1" x14ac:dyDescent="0.25"/>
    <row r="23244" customFormat="1" x14ac:dyDescent="0.25"/>
    <row r="23245" customFormat="1" x14ac:dyDescent="0.25"/>
    <row r="23246" customFormat="1" x14ac:dyDescent="0.25"/>
    <row r="23247" customFormat="1" x14ac:dyDescent="0.25"/>
    <row r="23248" customFormat="1" x14ac:dyDescent="0.25"/>
    <row r="23249" customFormat="1" x14ac:dyDescent="0.25"/>
    <row r="23250" customFormat="1" x14ac:dyDescent="0.25"/>
    <row r="23251" customFormat="1" x14ac:dyDescent="0.25"/>
    <row r="23252" customFormat="1" x14ac:dyDescent="0.25"/>
    <row r="23253" customFormat="1" x14ac:dyDescent="0.25"/>
    <row r="23254" customFormat="1" x14ac:dyDescent="0.25"/>
    <row r="23255" customFormat="1" x14ac:dyDescent="0.25"/>
    <row r="23256" customFormat="1" x14ac:dyDescent="0.25"/>
    <row r="23257" customFormat="1" x14ac:dyDescent="0.25"/>
    <row r="23258" customFormat="1" x14ac:dyDescent="0.25"/>
    <row r="23259" customFormat="1" x14ac:dyDescent="0.25"/>
    <row r="23260" customFormat="1" x14ac:dyDescent="0.25"/>
    <row r="23261" customFormat="1" x14ac:dyDescent="0.25"/>
    <row r="23262" customFormat="1" x14ac:dyDescent="0.25"/>
    <row r="23263" customFormat="1" x14ac:dyDescent="0.25"/>
    <row r="23264" customFormat="1" x14ac:dyDescent="0.25"/>
    <row r="23265" customFormat="1" x14ac:dyDescent="0.25"/>
    <row r="23266" customFormat="1" x14ac:dyDescent="0.25"/>
    <row r="23267" customFormat="1" x14ac:dyDescent="0.25"/>
    <row r="23268" customFormat="1" x14ac:dyDescent="0.25"/>
    <row r="23269" customFormat="1" x14ac:dyDescent="0.25"/>
    <row r="23270" customFormat="1" x14ac:dyDescent="0.25"/>
    <row r="23271" customFormat="1" x14ac:dyDescent="0.25"/>
    <row r="23272" customFormat="1" x14ac:dyDescent="0.25"/>
    <row r="23273" customFormat="1" x14ac:dyDescent="0.25"/>
    <row r="23274" customFormat="1" x14ac:dyDescent="0.25"/>
    <row r="23275" customFormat="1" x14ac:dyDescent="0.25"/>
    <row r="23276" customFormat="1" x14ac:dyDescent="0.25"/>
    <row r="23277" customFormat="1" x14ac:dyDescent="0.25"/>
    <row r="23278" customFormat="1" x14ac:dyDescent="0.25"/>
    <row r="23279" customFormat="1" x14ac:dyDescent="0.25"/>
    <row r="23280" customFormat="1" x14ac:dyDescent="0.25"/>
    <row r="23281" customFormat="1" x14ac:dyDescent="0.25"/>
    <row r="23282" customFormat="1" x14ac:dyDescent="0.25"/>
    <row r="23283" customFormat="1" x14ac:dyDescent="0.25"/>
    <row r="23284" customFormat="1" x14ac:dyDescent="0.25"/>
    <row r="23285" customFormat="1" x14ac:dyDescent="0.25"/>
    <row r="23286" customFormat="1" x14ac:dyDescent="0.25"/>
    <row r="23287" customFormat="1" x14ac:dyDescent="0.25"/>
    <row r="23288" customFormat="1" x14ac:dyDescent="0.25"/>
    <row r="23289" customFormat="1" x14ac:dyDescent="0.25"/>
    <row r="23290" customFormat="1" x14ac:dyDescent="0.25"/>
    <row r="23291" customFormat="1" x14ac:dyDescent="0.25"/>
    <row r="23292" customFormat="1" x14ac:dyDescent="0.25"/>
    <row r="23293" customFormat="1" x14ac:dyDescent="0.25"/>
    <row r="23294" customFormat="1" x14ac:dyDescent="0.25"/>
    <row r="23295" customFormat="1" x14ac:dyDescent="0.25"/>
    <row r="23296" customFormat="1" x14ac:dyDescent="0.25"/>
    <row r="23297" customFormat="1" x14ac:dyDescent="0.25"/>
    <row r="23298" customFormat="1" x14ac:dyDescent="0.25"/>
    <row r="23299" customFormat="1" x14ac:dyDescent="0.25"/>
    <row r="23300" customFormat="1" x14ac:dyDescent="0.25"/>
    <row r="23301" customFormat="1" x14ac:dyDescent="0.25"/>
    <row r="23302" customFormat="1" x14ac:dyDescent="0.25"/>
    <row r="23303" customFormat="1" x14ac:dyDescent="0.25"/>
    <row r="23304" customFormat="1" x14ac:dyDescent="0.25"/>
    <row r="23305" customFormat="1" x14ac:dyDescent="0.25"/>
    <row r="23306" customFormat="1" x14ac:dyDescent="0.25"/>
    <row r="23307" customFormat="1" x14ac:dyDescent="0.25"/>
    <row r="23308" customFormat="1" x14ac:dyDescent="0.25"/>
    <row r="23309" customFormat="1" x14ac:dyDescent="0.25"/>
    <row r="23310" customFormat="1" x14ac:dyDescent="0.25"/>
    <row r="23311" customFormat="1" x14ac:dyDescent="0.25"/>
    <row r="23312" customFormat="1" x14ac:dyDescent="0.25"/>
    <row r="23313" customFormat="1" x14ac:dyDescent="0.25"/>
    <row r="23314" customFormat="1" x14ac:dyDescent="0.25"/>
    <row r="23315" customFormat="1" x14ac:dyDescent="0.25"/>
    <row r="23316" customFormat="1" x14ac:dyDescent="0.25"/>
    <row r="23317" customFormat="1" x14ac:dyDescent="0.25"/>
    <row r="23318" customFormat="1" x14ac:dyDescent="0.25"/>
    <row r="23319" customFormat="1" x14ac:dyDescent="0.25"/>
    <row r="23320" customFormat="1" x14ac:dyDescent="0.25"/>
    <row r="23321" customFormat="1" x14ac:dyDescent="0.25"/>
    <row r="23322" customFormat="1" x14ac:dyDescent="0.25"/>
    <row r="23323" customFormat="1" x14ac:dyDescent="0.25"/>
    <row r="23324" customFormat="1" x14ac:dyDescent="0.25"/>
    <row r="23325" customFormat="1" x14ac:dyDescent="0.25"/>
    <row r="23326" customFormat="1" x14ac:dyDescent="0.25"/>
    <row r="23327" customFormat="1" x14ac:dyDescent="0.25"/>
    <row r="23328" customFormat="1" x14ac:dyDescent="0.25"/>
    <row r="23329" customFormat="1" x14ac:dyDescent="0.25"/>
    <row r="23330" customFormat="1" x14ac:dyDescent="0.25"/>
    <row r="23331" customFormat="1" x14ac:dyDescent="0.25"/>
    <row r="23332" customFormat="1" x14ac:dyDescent="0.25"/>
    <row r="23333" customFormat="1" x14ac:dyDescent="0.25"/>
    <row r="23334" customFormat="1" x14ac:dyDescent="0.25"/>
    <row r="23335" customFormat="1" x14ac:dyDescent="0.25"/>
    <row r="23336" customFormat="1" x14ac:dyDescent="0.25"/>
    <row r="23337" customFormat="1" x14ac:dyDescent="0.25"/>
    <row r="23338" customFormat="1" x14ac:dyDescent="0.25"/>
    <row r="23339" customFormat="1" x14ac:dyDescent="0.25"/>
    <row r="23340" customFormat="1" x14ac:dyDescent="0.25"/>
    <row r="23341" customFormat="1" x14ac:dyDescent="0.25"/>
    <row r="23342" customFormat="1" x14ac:dyDescent="0.25"/>
    <row r="23343" customFormat="1" x14ac:dyDescent="0.25"/>
    <row r="23344" customFormat="1" x14ac:dyDescent="0.25"/>
    <row r="23345" customFormat="1" x14ac:dyDescent="0.25"/>
    <row r="23346" customFormat="1" x14ac:dyDescent="0.25"/>
    <row r="23347" customFormat="1" x14ac:dyDescent="0.25"/>
    <row r="23348" customFormat="1" x14ac:dyDescent="0.25"/>
    <row r="23349" customFormat="1" x14ac:dyDescent="0.25"/>
    <row r="23350" customFormat="1" x14ac:dyDescent="0.25"/>
    <row r="23351" customFormat="1" x14ac:dyDescent="0.25"/>
    <row r="23352" customFormat="1" x14ac:dyDescent="0.25"/>
    <row r="23353" customFormat="1" x14ac:dyDescent="0.25"/>
    <row r="23354" customFormat="1" x14ac:dyDescent="0.25"/>
    <row r="23355" customFormat="1" x14ac:dyDescent="0.25"/>
    <row r="23356" customFormat="1" x14ac:dyDescent="0.25"/>
    <row r="23357" customFormat="1" x14ac:dyDescent="0.25"/>
    <row r="23358" customFormat="1" x14ac:dyDescent="0.25"/>
    <row r="23359" customFormat="1" x14ac:dyDescent="0.25"/>
    <row r="23360" customFormat="1" x14ac:dyDescent="0.25"/>
    <row r="23361" customFormat="1" x14ac:dyDescent="0.25"/>
    <row r="23362" customFormat="1" x14ac:dyDescent="0.25"/>
    <row r="23363" customFormat="1" x14ac:dyDescent="0.25"/>
    <row r="23364" customFormat="1" x14ac:dyDescent="0.25"/>
    <row r="23365" customFormat="1" x14ac:dyDescent="0.25"/>
    <row r="23366" customFormat="1" x14ac:dyDescent="0.25"/>
    <row r="23367" customFormat="1" x14ac:dyDescent="0.25"/>
    <row r="23368" customFormat="1" x14ac:dyDescent="0.25"/>
    <row r="23369" customFormat="1" x14ac:dyDescent="0.25"/>
    <row r="23370" customFormat="1" x14ac:dyDescent="0.25"/>
    <row r="23371" customFormat="1" x14ac:dyDescent="0.25"/>
    <row r="23372" customFormat="1" x14ac:dyDescent="0.25"/>
    <row r="23373" customFormat="1" x14ac:dyDescent="0.25"/>
    <row r="23374" customFormat="1" x14ac:dyDescent="0.25"/>
    <row r="23375" customFormat="1" x14ac:dyDescent="0.25"/>
    <row r="23376" customFormat="1" x14ac:dyDescent="0.25"/>
    <row r="23377" customFormat="1" x14ac:dyDescent="0.25"/>
    <row r="23378" customFormat="1" x14ac:dyDescent="0.25"/>
    <row r="23379" customFormat="1" x14ac:dyDescent="0.25"/>
    <row r="23380" customFormat="1" x14ac:dyDescent="0.25"/>
    <row r="23381" customFormat="1" x14ac:dyDescent="0.25"/>
    <row r="23382" customFormat="1" x14ac:dyDescent="0.25"/>
    <row r="23383" customFormat="1" x14ac:dyDescent="0.25"/>
    <row r="23384" customFormat="1" x14ac:dyDescent="0.25"/>
    <row r="23385" customFormat="1" x14ac:dyDescent="0.25"/>
    <row r="23386" customFormat="1" x14ac:dyDescent="0.25"/>
    <row r="23387" customFormat="1" x14ac:dyDescent="0.25"/>
    <row r="23388" customFormat="1" x14ac:dyDescent="0.25"/>
    <row r="23389" customFormat="1" x14ac:dyDescent="0.25"/>
    <row r="23390" customFormat="1" x14ac:dyDescent="0.25"/>
    <row r="23391" customFormat="1" x14ac:dyDescent="0.25"/>
    <row r="23392" customFormat="1" x14ac:dyDescent="0.25"/>
    <row r="23393" customFormat="1" x14ac:dyDescent="0.25"/>
    <row r="23394" customFormat="1" x14ac:dyDescent="0.25"/>
    <row r="23395" customFormat="1" x14ac:dyDescent="0.25"/>
    <row r="23396" customFormat="1" x14ac:dyDescent="0.25"/>
    <row r="23397" customFormat="1" x14ac:dyDescent="0.25"/>
    <row r="23398" customFormat="1" x14ac:dyDescent="0.25"/>
    <row r="23399" customFormat="1" x14ac:dyDescent="0.25"/>
    <row r="23400" customFormat="1" x14ac:dyDescent="0.25"/>
    <row r="23401" customFormat="1" x14ac:dyDescent="0.25"/>
    <row r="23402" customFormat="1" x14ac:dyDescent="0.25"/>
    <row r="23403" customFormat="1" x14ac:dyDescent="0.25"/>
    <row r="23404" customFormat="1" x14ac:dyDescent="0.25"/>
    <row r="23405" customFormat="1" x14ac:dyDescent="0.25"/>
    <row r="23406" customFormat="1" x14ac:dyDescent="0.25"/>
    <row r="23407" customFormat="1" x14ac:dyDescent="0.25"/>
    <row r="23408" customFormat="1" x14ac:dyDescent="0.25"/>
    <row r="23409" customFormat="1" x14ac:dyDescent="0.25"/>
    <row r="23410" customFormat="1" x14ac:dyDescent="0.25"/>
    <row r="23411" customFormat="1" x14ac:dyDescent="0.25"/>
    <row r="23412" customFormat="1" x14ac:dyDescent="0.25"/>
    <row r="23413" customFormat="1" x14ac:dyDescent="0.25"/>
    <row r="23414" customFormat="1" x14ac:dyDescent="0.25"/>
    <row r="23415" customFormat="1" x14ac:dyDescent="0.25"/>
    <row r="23416" customFormat="1" x14ac:dyDescent="0.25"/>
    <row r="23417" customFormat="1" x14ac:dyDescent="0.25"/>
    <row r="23418" customFormat="1" x14ac:dyDescent="0.25"/>
    <row r="23419" customFormat="1" x14ac:dyDescent="0.25"/>
    <row r="23420" customFormat="1" x14ac:dyDescent="0.25"/>
    <row r="23421" customFormat="1" x14ac:dyDescent="0.25"/>
    <row r="23422" customFormat="1" x14ac:dyDescent="0.25"/>
    <row r="23423" customFormat="1" x14ac:dyDescent="0.25"/>
    <row r="23424" customFormat="1" x14ac:dyDescent="0.25"/>
    <row r="23425" customFormat="1" x14ac:dyDescent="0.25"/>
    <row r="23426" customFormat="1" x14ac:dyDescent="0.25"/>
    <row r="23427" customFormat="1" x14ac:dyDescent="0.25"/>
    <row r="23428" customFormat="1" x14ac:dyDescent="0.25"/>
    <row r="23429" customFormat="1" x14ac:dyDescent="0.25"/>
    <row r="23430" customFormat="1" x14ac:dyDescent="0.25"/>
    <row r="23431" customFormat="1" x14ac:dyDescent="0.25"/>
    <row r="23432" customFormat="1" x14ac:dyDescent="0.25"/>
    <row r="23433" customFormat="1" x14ac:dyDescent="0.25"/>
    <row r="23434" customFormat="1" x14ac:dyDescent="0.25"/>
    <row r="23435" customFormat="1" x14ac:dyDescent="0.25"/>
    <row r="23436" customFormat="1" x14ac:dyDescent="0.25"/>
    <row r="23437" customFormat="1" x14ac:dyDescent="0.25"/>
    <row r="23438" customFormat="1" x14ac:dyDescent="0.25"/>
    <row r="23439" customFormat="1" x14ac:dyDescent="0.25"/>
    <row r="23440" customFormat="1" x14ac:dyDescent="0.25"/>
    <row r="23441" customFormat="1" x14ac:dyDescent="0.25"/>
    <row r="23442" customFormat="1" x14ac:dyDescent="0.25"/>
    <row r="23443" customFormat="1" x14ac:dyDescent="0.25"/>
    <row r="23444" customFormat="1" x14ac:dyDescent="0.25"/>
    <row r="23445" customFormat="1" x14ac:dyDescent="0.25"/>
    <row r="23446" customFormat="1" x14ac:dyDescent="0.25"/>
    <row r="23447" customFormat="1" x14ac:dyDescent="0.25"/>
    <row r="23448" customFormat="1" x14ac:dyDescent="0.25"/>
    <row r="23449" customFormat="1" x14ac:dyDescent="0.25"/>
    <row r="23450" customFormat="1" x14ac:dyDescent="0.25"/>
    <row r="23451" customFormat="1" x14ac:dyDescent="0.25"/>
    <row r="23452" customFormat="1" x14ac:dyDescent="0.25"/>
    <row r="23453" customFormat="1" x14ac:dyDescent="0.25"/>
    <row r="23454" customFormat="1" x14ac:dyDescent="0.25"/>
    <row r="23455" customFormat="1" x14ac:dyDescent="0.25"/>
    <row r="23456" customFormat="1" x14ac:dyDescent="0.25"/>
    <row r="23457" customFormat="1" x14ac:dyDescent="0.25"/>
    <row r="23458" customFormat="1" x14ac:dyDescent="0.25"/>
    <row r="23459" customFormat="1" x14ac:dyDescent="0.25"/>
    <row r="23460" customFormat="1" x14ac:dyDescent="0.25"/>
    <row r="23461" customFormat="1" x14ac:dyDescent="0.25"/>
    <row r="23462" customFormat="1" x14ac:dyDescent="0.25"/>
    <row r="23463" customFormat="1" x14ac:dyDescent="0.25"/>
    <row r="23464" customFormat="1" x14ac:dyDescent="0.25"/>
    <row r="23465" customFormat="1" x14ac:dyDescent="0.25"/>
    <row r="23466" customFormat="1" x14ac:dyDescent="0.25"/>
    <row r="23467" customFormat="1" x14ac:dyDescent="0.25"/>
    <row r="23468" customFormat="1" x14ac:dyDescent="0.25"/>
    <row r="23469" customFormat="1" x14ac:dyDescent="0.25"/>
    <row r="23470" customFormat="1" x14ac:dyDescent="0.25"/>
    <row r="23471" customFormat="1" x14ac:dyDescent="0.25"/>
    <row r="23472" customFormat="1" x14ac:dyDescent="0.25"/>
    <row r="23473" customFormat="1" x14ac:dyDescent="0.25"/>
    <row r="23474" customFormat="1" x14ac:dyDescent="0.25"/>
    <row r="23475" customFormat="1" x14ac:dyDescent="0.25"/>
    <row r="23476" customFormat="1" x14ac:dyDescent="0.25"/>
    <row r="23477" customFormat="1" x14ac:dyDescent="0.25"/>
    <row r="23478" customFormat="1" x14ac:dyDescent="0.25"/>
    <row r="23479" customFormat="1" x14ac:dyDescent="0.25"/>
    <row r="23480" customFormat="1" x14ac:dyDescent="0.25"/>
    <row r="23481" customFormat="1" x14ac:dyDescent="0.25"/>
    <row r="23482" customFormat="1" x14ac:dyDescent="0.25"/>
    <row r="23483" customFormat="1" x14ac:dyDescent="0.25"/>
    <row r="23484" customFormat="1" x14ac:dyDescent="0.25"/>
    <row r="23485" customFormat="1" x14ac:dyDescent="0.25"/>
    <row r="23486" customFormat="1" x14ac:dyDescent="0.25"/>
    <row r="23487" customFormat="1" x14ac:dyDescent="0.25"/>
    <row r="23488" customFormat="1" x14ac:dyDescent="0.25"/>
    <row r="23489" customFormat="1" x14ac:dyDescent="0.25"/>
    <row r="23490" customFormat="1" x14ac:dyDescent="0.25"/>
    <row r="23491" customFormat="1" x14ac:dyDescent="0.25"/>
    <row r="23492" customFormat="1" x14ac:dyDescent="0.25"/>
    <row r="23493" customFormat="1" x14ac:dyDescent="0.25"/>
    <row r="23494" customFormat="1" x14ac:dyDescent="0.25"/>
    <row r="23495" customFormat="1" x14ac:dyDescent="0.25"/>
    <row r="23496" customFormat="1" x14ac:dyDescent="0.25"/>
    <row r="23497" customFormat="1" x14ac:dyDescent="0.25"/>
    <row r="23498" customFormat="1" x14ac:dyDescent="0.25"/>
    <row r="23499" customFormat="1" x14ac:dyDescent="0.25"/>
    <row r="23500" customFormat="1" x14ac:dyDescent="0.25"/>
    <row r="23501" customFormat="1" x14ac:dyDescent="0.25"/>
    <row r="23502" customFormat="1" x14ac:dyDescent="0.25"/>
    <row r="23503" customFormat="1" x14ac:dyDescent="0.25"/>
    <row r="23504" customFormat="1" x14ac:dyDescent="0.25"/>
    <row r="23505" customFormat="1" x14ac:dyDescent="0.25"/>
    <row r="23506" customFormat="1" x14ac:dyDescent="0.25"/>
    <row r="23507" customFormat="1" x14ac:dyDescent="0.25"/>
    <row r="23508" customFormat="1" x14ac:dyDescent="0.25"/>
    <row r="23509" customFormat="1" x14ac:dyDescent="0.25"/>
    <row r="23510" customFormat="1" x14ac:dyDescent="0.25"/>
    <row r="23511" customFormat="1" x14ac:dyDescent="0.25"/>
    <row r="23512" customFormat="1" x14ac:dyDescent="0.25"/>
    <row r="23513" customFormat="1" x14ac:dyDescent="0.25"/>
    <row r="23514" customFormat="1" x14ac:dyDescent="0.25"/>
    <row r="23515" customFormat="1" x14ac:dyDescent="0.25"/>
    <row r="23516" customFormat="1" x14ac:dyDescent="0.25"/>
    <row r="23517" customFormat="1" x14ac:dyDescent="0.25"/>
    <row r="23518" customFormat="1" x14ac:dyDescent="0.25"/>
    <row r="23519" customFormat="1" x14ac:dyDescent="0.25"/>
    <row r="23520" customFormat="1" x14ac:dyDescent="0.25"/>
    <row r="23521" customFormat="1" x14ac:dyDescent="0.25"/>
    <row r="23522" customFormat="1" x14ac:dyDescent="0.25"/>
    <row r="23523" customFormat="1" x14ac:dyDescent="0.25"/>
    <row r="23524" customFormat="1" x14ac:dyDescent="0.25"/>
    <row r="23525" customFormat="1" x14ac:dyDescent="0.25"/>
    <row r="23526" customFormat="1" x14ac:dyDescent="0.25"/>
    <row r="23527" customFormat="1" x14ac:dyDescent="0.25"/>
    <row r="23528" customFormat="1" x14ac:dyDescent="0.25"/>
    <row r="23529" customFormat="1" x14ac:dyDescent="0.25"/>
    <row r="23530" customFormat="1" x14ac:dyDescent="0.25"/>
    <row r="23531" customFormat="1" x14ac:dyDescent="0.25"/>
    <row r="23532" customFormat="1" x14ac:dyDescent="0.25"/>
    <row r="23533" customFormat="1" x14ac:dyDescent="0.25"/>
    <row r="23534" customFormat="1" x14ac:dyDescent="0.25"/>
    <row r="23535" customFormat="1" x14ac:dyDescent="0.25"/>
    <row r="23536" customFormat="1" x14ac:dyDescent="0.25"/>
    <row r="23537" customFormat="1" x14ac:dyDescent="0.25"/>
    <row r="23538" customFormat="1" x14ac:dyDescent="0.25"/>
    <row r="23539" customFormat="1" x14ac:dyDescent="0.25"/>
    <row r="23540" customFormat="1" x14ac:dyDescent="0.25"/>
    <row r="23541" customFormat="1" x14ac:dyDescent="0.25"/>
    <row r="23542" customFormat="1" x14ac:dyDescent="0.25"/>
    <row r="23543" customFormat="1" x14ac:dyDescent="0.25"/>
    <row r="23544" customFormat="1" x14ac:dyDescent="0.25"/>
    <row r="23545" customFormat="1" x14ac:dyDescent="0.25"/>
    <row r="23546" customFormat="1" x14ac:dyDescent="0.25"/>
    <row r="23547" customFormat="1" x14ac:dyDescent="0.25"/>
    <row r="23548" customFormat="1" x14ac:dyDescent="0.25"/>
    <row r="23549" customFormat="1" x14ac:dyDescent="0.25"/>
    <row r="23550" customFormat="1" x14ac:dyDescent="0.25"/>
    <row r="23551" customFormat="1" x14ac:dyDescent="0.25"/>
    <row r="23552" customFormat="1" x14ac:dyDescent="0.25"/>
    <row r="23553" customFormat="1" x14ac:dyDescent="0.25"/>
    <row r="23554" customFormat="1" x14ac:dyDescent="0.25"/>
    <row r="23555" customFormat="1" x14ac:dyDescent="0.25"/>
    <row r="23556" customFormat="1" x14ac:dyDescent="0.25"/>
    <row r="23557" customFormat="1" x14ac:dyDescent="0.25"/>
    <row r="23558" customFormat="1" x14ac:dyDescent="0.25"/>
    <row r="23559" customFormat="1" x14ac:dyDescent="0.25"/>
    <row r="23560" customFormat="1" x14ac:dyDescent="0.25"/>
    <row r="23561" customFormat="1" x14ac:dyDescent="0.25"/>
    <row r="23562" customFormat="1" x14ac:dyDescent="0.25"/>
    <row r="23563" customFormat="1" x14ac:dyDescent="0.25"/>
    <row r="23564" customFormat="1" x14ac:dyDescent="0.25"/>
    <row r="23565" customFormat="1" x14ac:dyDescent="0.25"/>
    <row r="23566" customFormat="1" x14ac:dyDescent="0.25"/>
    <row r="23567" customFormat="1" x14ac:dyDescent="0.25"/>
    <row r="23568" customFormat="1" x14ac:dyDescent="0.25"/>
    <row r="23569" customFormat="1" x14ac:dyDescent="0.25"/>
    <row r="23570" customFormat="1" x14ac:dyDescent="0.25"/>
    <row r="23571" customFormat="1" x14ac:dyDescent="0.25"/>
    <row r="23572" customFormat="1" x14ac:dyDescent="0.25"/>
    <row r="23573" customFormat="1" x14ac:dyDescent="0.25"/>
    <row r="23574" customFormat="1" x14ac:dyDescent="0.25"/>
    <row r="23575" customFormat="1" x14ac:dyDescent="0.25"/>
    <row r="23576" customFormat="1" x14ac:dyDescent="0.25"/>
    <row r="23577" customFormat="1" x14ac:dyDescent="0.25"/>
    <row r="23578" customFormat="1" x14ac:dyDescent="0.25"/>
    <row r="23579" customFormat="1" x14ac:dyDescent="0.25"/>
    <row r="23580" customFormat="1" x14ac:dyDescent="0.25"/>
    <row r="23581" customFormat="1" x14ac:dyDescent="0.25"/>
    <row r="23582" customFormat="1" x14ac:dyDescent="0.25"/>
    <row r="23583" customFormat="1" x14ac:dyDescent="0.25"/>
    <row r="23584" customFormat="1" x14ac:dyDescent="0.25"/>
    <row r="23585" customFormat="1" x14ac:dyDescent="0.25"/>
    <row r="23586" customFormat="1" x14ac:dyDescent="0.25"/>
    <row r="23587" customFormat="1" x14ac:dyDescent="0.25"/>
    <row r="23588" customFormat="1" x14ac:dyDescent="0.25"/>
    <row r="23589" customFormat="1" x14ac:dyDescent="0.25"/>
    <row r="23590" customFormat="1" x14ac:dyDescent="0.25"/>
    <row r="23591" customFormat="1" x14ac:dyDescent="0.25"/>
    <row r="23592" customFormat="1" x14ac:dyDescent="0.25"/>
    <row r="23593" customFormat="1" x14ac:dyDescent="0.25"/>
    <row r="23594" customFormat="1" x14ac:dyDescent="0.25"/>
    <row r="23595" customFormat="1" x14ac:dyDescent="0.25"/>
    <row r="23596" customFormat="1" x14ac:dyDescent="0.25"/>
    <row r="23597" customFormat="1" x14ac:dyDescent="0.25"/>
    <row r="23598" customFormat="1" x14ac:dyDescent="0.25"/>
    <row r="23599" customFormat="1" x14ac:dyDescent="0.25"/>
    <row r="23600" customFormat="1" x14ac:dyDescent="0.25"/>
    <row r="23601" customFormat="1" x14ac:dyDescent="0.25"/>
    <row r="23602" customFormat="1" x14ac:dyDescent="0.25"/>
    <row r="23603" customFormat="1" x14ac:dyDescent="0.25"/>
    <row r="23604" customFormat="1" x14ac:dyDescent="0.25"/>
    <row r="23605" customFormat="1" x14ac:dyDescent="0.25"/>
    <row r="23606" customFormat="1" x14ac:dyDescent="0.25"/>
    <row r="23607" customFormat="1" x14ac:dyDescent="0.25"/>
    <row r="23608" customFormat="1" x14ac:dyDescent="0.25"/>
    <row r="23609" customFormat="1" x14ac:dyDescent="0.25"/>
    <row r="23610" customFormat="1" x14ac:dyDescent="0.25"/>
    <row r="23611" customFormat="1" x14ac:dyDescent="0.25"/>
    <row r="23612" customFormat="1" x14ac:dyDescent="0.25"/>
    <row r="23613" customFormat="1" x14ac:dyDescent="0.25"/>
    <row r="23614" customFormat="1" x14ac:dyDescent="0.25"/>
    <row r="23615" customFormat="1" x14ac:dyDescent="0.25"/>
    <row r="23616" customFormat="1" x14ac:dyDescent="0.25"/>
    <row r="23617" customFormat="1" x14ac:dyDescent="0.25"/>
    <row r="23618" customFormat="1" x14ac:dyDescent="0.25"/>
    <row r="23619" customFormat="1" x14ac:dyDescent="0.25"/>
    <row r="23620" customFormat="1" x14ac:dyDescent="0.25"/>
    <row r="23621" customFormat="1" x14ac:dyDescent="0.25"/>
    <row r="23622" customFormat="1" x14ac:dyDescent="0.25"/>
    <row r="23623" customFormat="1" x14ac:dyDescent="0.25"/>
    <row r="23624" customFormat="1" x14ac:dyDescent="0.25"/>
    <row r="23625" customFormat="1" x14ac:dyDescent="0.25"/>
    <row r="23626" customFormat="1" x14ac:dyDescent="0.25"/>
    <row r="23627" customFormat="1" x14ac:dyDescent="0.25"/>
    <row r="23628" customFormat="1" x14ac:dyDescent="0.25"/>
    <row r="23629" customFormat="1" x14ac:dyDescent="0.25"/>
    <row r="23630" customFormat="1" x14ac:dyDescent="0.25"/>
    <row r="23631" customFormat="1" x14ac:dyDescent="0.25"/>
    <row r="23632" customFormat="1" x14ac:dyDescent="0.25"/>
    <row r="23633" customFormat="1" x14ac:dyDescent="0.25"/>
    <row r="23634" customFormat="1" x14ac:dyDescent="0.25"/>
    <row r="23635" customFormat="1" x14ac:dyDescent="0.25"/>
    <row r="23636" customFormat="1" x14ac:dyDescent="0.25"/>
    <row r="23637" customFormat="1" x14ac:dyDescent="0.25"/>
    <row r="23638" customFormat="1" x14ac:dyDescent="0.25"/>
    <row r="23639" customFormat="1" x14ac:dyDescent="0.25"/>
    <row r="23640" customFormat="1" x14ac:dyDescent="0.25"/>
    <row r="23641" customFormat="1" x14ac:dyDescent="0.25"/>
    <row r="23642" customFormat="1" x14ac:dyDescent="0.25"/>
    <row r="23643" customFormat="1" x14ac:dyDescent="0.25"/>
    <row r="23644" customFormat="1" x14ac:dyDescent="0.25"/>
    <row r="23645" customFormat="1" x14ac:dyDescent="0.25"/>
    <row r="23646" customFormat="1" x14ac:dyDescent="0.25"/>
    <row r="23647" customFormat="1" x14ac:dyDescent="0.25"/>
    <row r="23648" customFormat="1" x14ac:dyDescent="0.25"/>
    <row r="23649" customFormat="1" x14ac:dyDescent="0.25"/>
    <row r="23650" customFormat="1" x14ac:dyDescent="0.25"/>
    <row r="23651" customFormat="1" x14ac:dyDescent="0.25"/>
    <row r="23652" customFormat="1" x14ac:dyDescent="0.25"/>
    <row r="23653" customFormat="1" x14ac:dyDescent="0.25"/>
    <row r="23654" customFormat="1" x14ac:dyDescent="0.25"/>
    <row r="23655" customFormat="1" x14ac:dyDescent="0.25"/>
    <row r="23656" customFormat="1" x14ac:dyDescent="0.25"/>
    <row r="23657" customFormat="1" x14ac:dyDescent="0.25"/>
    <row r="23658" customFormat="1" x14ac:dyDescent="0.25"/>
    <row r="23659" customFormat="1" x14ac:dyDescent="0.25"/>
    <row r="23660" customFormat="1" x14ac:dyDescent="0.25"/>
    <row r="23661" customFormat="1" x14ac:dyDescent="0.25"/>
    <row r="23662" customFormat="1" x14ac:dyDescent="0.25"/>
    <row r="23663" customFormat="1" x14ac:dyDescent="0.25"/>
    <row r="23664" customFormat="1" x14ac:dyDescent="0.25"/>
    <row r="23665" customFormat="1" x14ac:dyDescent="0.25"/>
    <row r="23666" customFormat="1" x14ac:dyDescent="0.25"/>
    <row r="23667" customFormat="1" x14ac:dyDescent="0.25"/>
    <row r="23668" customFormat="1" x14ac:dyDescent="0.25"/>
    <row r="23669" customFormat="1" x14ac:dyDescent="0.25"/>
    <row r="23670" customFormat="1" x14ac:dyDescent="0.25"/>
    <row r="23671" customFormat="1" x14ac:dyDescent="0.25"/>
    <row r="23672" customFormat="1" x14ac:dyDescent="0.25"/>
    <row r="23673" customFormat="1" x14ac:dyDescent="0.25"/>
    <row r="23674" customFormat="1" x14ac:dyDescent="0.25"/>
    <row r="23675" customFormat="1" x14ac:dyDescent="0.25"/>
    <row r="23676" customFormat="1" x14ac:dyDescent="0.25"/>
    <row r="23677" customFormat="1" x14ac:dyDescent="0.25"/>
    <row r="23678" customFormat="1" x14ac:dyDescent="0.25"/>
    <row r="23679" customFormat="1" x14ac:dyDescent="0.25"/>
    <row r="23680" customFormat="1" x14ac:dyDescent="0.25"/>
    <row r="23681" customFormat="1" x14ac:dyDescent="0.25"/>
    <row r="23682" customFormat="1" x14ac:dyDescent="0.25"/>
    <row r="23683" customFormat="1" x14ac:dyDescent="0.25"/>
    <row r="23684" customFormat="1" x14ac:dyDescent="0.25"/>
    <row r="23685" customFormat="1" x14ac:dyDescent="0.25"/>
    <row r="23686" customFormat="1" x14ac:dyDescent="0.25"/>
    <row r="23687" customFormat="1" x14ac:dyDescent="0.25"/>
    <row r="23688" customFormat="1" x14ac:dyDescent="0.25"/>
    <row r="23689" customFormat="1" x14ac:dyDescent="0.25"/>
    <row r="23690" customFormat="1" x14ac:dyDescent="0.25"/>
    <row r="23691" customFormat="1" x14ac:dyDescent="0.25"/>
    <row r="23692" customFormat="1" x14ac:dyDescent="0.25"/>
    <row r="23693" customFormat="1" x14ac:dyDescent="0.25"/>
    <row r="23694" customFormat="1" x14ac:dyDescent="0.25"/>
    <row r="23695" customFormat="1" x14ac:dyDescent="0.25"/>
    <row r="23696" customFormat="1" x14ac:dyDescent="0.25"/>
    <row r="23697" customFormat="1" x14ac:dyDescent="0.25"/>
    <row r="23698" customFormat="1" x14ac:dyDescent="0.25"/>
    <row r="23699" customFormat="1" x14ac:dyDescent="0.25"/>
    <row r="23700" customFormat="1" x14ac:dyDescent="0.25"/>
    <row r="23701" customFormat="1" x14ac:dyDescent="0.25"/>
    <row r="23702" customFormat="1" x14ac:dyDescent="0.25"/>
    <row r="23703" customFormat="1" x14ac:dyDescent="0.25"/>
    <row r="23704" customFormat="1" x14ac:dyDescent="0.25"/>
    <row r="23705" customFormat="1" x14ac:dyDescent="0.25"/>
    <row r="23706" customFormat="1" x14ac:dyDescent="0.25"/>
    <row r="23707" customFormat="1" x14ac:dyDescent="0.25"/>
    <row r="23708" customFormat="1" x14ac:dyDescent="0.25"/>
    <row r="23709" customFormat="1" x14ac:dyDescent="0.25"/>
    <row r="23710" customFormat="1" x14ac:dyDescent="0.25"/>
    <row r="23711" customFormat="1" x14ac:dyDescent="0.25"/>
    <row r="23712" customFormat="1" x14ac:dyDescent="0.25"/>
    <row r="23713" customFormat="1" x14ac:dyDescent="0.25"/>
    <row r="23714" customFormat="1" x14ac:dyDescent="0.25"/>
    <row r="23715" customFormat="1" x14ac:dyDescent="0.25"/>
    <row r="23716" customFormat="1" x14ac:dyDescent="0.25"/>
    <row r="23717" customFormat="1" x14ac:dyDescent="0.25"/>
    <row r="23718" customFormat="1" x14ac:dyDescent="0.25"/>
    <row r="23719" customFormat="1" x14ac:dyDescent="0.25"/>
    <row r="23720" customFormat="1" x14ac:dyDescent="0.25"/>
    <row r="23721" customFormat="1" x14ac:dyDescent="0.25"/>
    <row r="23722" customFormat="1" x14ac:dyDescent="0.25"/>
    <row r="23723" customFormat="1" x14ac:dyDescent="0.25"/>
    <row r="23724" customFormat="1" x14ac:dyDescent="0.25"/>
    <row r="23725" customFormat="1" x14ac:dyDescent="0.25"/>
    <row r="23726" customFormat="1" x14ac:dyDescent="0.25"/>
    <row r="23727" customFormat="1" x14ac:dyDescent="0.25"/>
    <row r="23728" customFormat="1" x14ac:dyDescent="0.25"/>
    <row r="23729" customFormat="1" x14ac:dyDescent="0.25"/>
    <row r="23730" customFormat="1" x14ac:dyDescent="0.25"/>
    <row r="23731" customFormat="1" x14ac:dyDescent="0.25"/>
    <row r="23732" customFormat="1" x14ac:dyDescent="0.25"/>
    <row r="23733" customFormat="1" x14ac:dyDescent="0.25"/>
    <row r="23734" customFormat="1" x14ac:dyDescent="0.25"/>
    <row r="23735" customFormat="1" x14ac:dyDescent="0.25"/>
    <row r="23736" customFormat="1" x14ac:dyDescent="0.25"/>
    <row r="23737" customFormat="1" x14ac:dyDescent="0.25"/>
    <row r="23738" customFormat="1" x14ac:dyDescent="0.25"/>
    <row r="23739" customFormat="1" x14ac:dyDescent="0.25"/>
    <row r="23740" customFormat="1" x14ac:dyDescent="0.25"/>
    <row r="23741" customFormat="1" x14ac:dyDescent="0.25"/>
    <row r="23742" customFormat="1" x14ac:dyDescent="0.25"/>
    <row r="23743" customFormat="1" x14ac:dyDescent="0.25"/>
    <row r="23744" customFormat="1" x14ac:dyDescent="0.25"/>
    <row r="23745" customFormat="1" x14ac:dyDescent="0.25"/>
    <row r="23746" customFormat="1" x14ac:dyDescent="0.25"/>
    <row r="23747" customFormat="1" x14ac:dyDescent="0.25"/>
    <row r="23748" customFormat="1" x14ac:dyDescent="0.25"/>
    <row r="23749" customFormat="1" x14ac:dyDescent="0.25"/>
    <row r="23750" customFormat="1" x14ac:dyDescent="0.25"/>
    <row r="23751" customFormat="1" x14ac:dyDescent="0.25"/>
    <row r="23752" customFormat="1" x14ac:dyDescent="0.25"/>
    <row r="23753" customFormat="1" x14ac:dyDescent="0.25"/>
    <row r="23754" customFormat="1" x14ac:dyDescent="0.25"/>
    <row r="23755" customFormat="1" x14ac:dyDescent="0.25"/>
    <row r="23756" customFormat="1" x14ac:dyDescent="0.25"/>
    <row r="23757" customFormat="1" x14ac:dyDescent="0.25"/>
    <row r="23758" customFormat="1" x14ac:dyDescent="0.25"/>
    <row r="23759" customFormat="1" x14ac:dyDescent="0.25"/>
    <row r="23760" customFormat="1" x14ac:dyDescent="0.25"/>
    <row r="23761" customFormat="1" x14ac:dyDescent="0.25"/>
    <row r="23762" customFormat="1" x14ac:dyDescent="0.25"/>
    <row r="23763" customFormat="1" x14ac:dyDescent="0.25"/>
    <row r="23764" customFormat="1" x14ac:dyDescent="0.25"/>
    <row r="23765" customFormat="1" x14ac:dyDescent="0.25"/>
    <row r="23766" customFormat="1" x14ac:dyDescent="0.25"/>
    <row r="23767" customFormat="1" x14ac:dyDescent="0.25"/>
    <row r="23768" customFormat="1" x14ac:dyDescent="0.25"/>
    <row r="23769" customFormat="1" x14ac:dyDescent="0.25"/>
    <row r="23770" customFormat="1" x14ac:dyDescent="0.25"/>
    <row r="23771" customFormat="1" x14ac:dyDescent="0.25"/>
    <row r="23772" customFormat="1" x14ac:dyDescent="0.25"/>
    <row r="23773" customFormat="1" x14ac:dyDescent="0.25"/>
    <row r="23774" customFormat="1" x14ac:dyDescent="0.25"/>
    <row r="23775" customFormat="1" x14ac:dyDescent="0.25"/>
    <row r="23776" customFormat="1" x14ac:dyDescent="0.25"/>
    <row r="23777" customFormat="1" x14ac:dyDescent="0.25"/>
    <row r="23778" customFormat="1" x14ac:dyDescent="0.25"/>
    <row r="23779" customFormat="1" x14ac:dyDescent="0.25"/>
    <row r="23780" customFormat="1" x14ac:dyDescent="0.25"/>
    <row r="23781" customFormat="1" x14ac:dyDescent="0.25"/>
    <row r="23782" customFormat="1" x14ac:dyDescent="0.25"/>
    <row r="23783" customFormat="1" x14ac:dyDescent="0.25"/>
    <row r="23784" customFormat="1" x14ac:dyDescent="0.25"/>
    <row r="23785" customFormat="1" x14ac:dyDescent="0.25"/>
    <row r="23786" customFormat="1" x14ac:dyDescent="0.25"/>
    <row r="23787" customFormat="1" x14ac:dyDescent="0.25"/>
    <row r="23788" customFormat="1" x14ac:dyDescent="0.25"/>
    <row r="23789" customFormat="1" x14ac:dyDescent="0.25"/>
    <row r="23790" customFormat="1" x14ac:dyDescent="0.25"/>
    <row r="23791" customFormat="1" x14ac:dyDescent="0.25"/>
    <row r="23792" customFormat="1" x14ac:dyDescent="0.25"/>
    <row r="23793" customFormat="1" x14ac:dyDescent="0.25"/>
    <row r="23794" customFormat="1" x14ac:dyDescent="0.25"/>
    <row r="23795" customFormat="1" x14ac:dyDescent="0.25"/>
    <row r="23796" customFormat="1" x14ac:dyDescent="0.25"/>
    <row r="23797" customFormat="1" x14ac:dyDescent="0.25"/>
    <row r="23798" customFormat="1" x14ac:dyDescent="0.25"/>
    <row r="23799" customFormat="1" x14ac:dyDescent="0.25"/>
    <row r="23800" customFormat="1" x14ac:dyDescent="0.25"/>
    <row r="23801" customFormat="1" x14ac:dyDescent="0.25"/>
    <row r="23802" customFormat="1" x14ac:dyDescent="0.25"/>
    <row r="23803" customFormat="1" x14ac:dyDescent="0.25"/>
    <row r="23804" customFormat="1" x14ac:dyDescent="0.25"/>
    <row r="23805" customFormat="1" x14ac:dyDescent="0.25"/>
    <row r="23806" customFormat="1" x14ac:dyDescent="0.25"/>
    <row r="23807" customFormat="1" x14ac:dyDescent="0.25"/>
    <row r="23808" customFormat="1" x14ac:dyDescent="0.25"/>
    <row r="23809" customFormat="1" x14ac:dyDescent="0.25"/>
    <row r="23810" customFormat="1" x14ac:dyDescent="0.25"/>
    <row r="23811" customFormat="1" x14ac:dyDescent="0.25"/>
    <row r="23812" customFormat="1" x14ac:dyDescent="0.25"/>
    <row r="23813" customFormat="1" x14ac:dyDescent="0.25"/>
    <row r="23814" customFormat="1" x14ac:dyDescent="0.25"/>
    <row r="23815" customFormat="1" x14ac:dyDescent="0.25"/>
    <row r="23816" customFormat="1" x14ac:dyDescent="0.25"/>
    <row r="23817" customFormat="1" x14ac:dyDescent="0.25"/>
    <row r="23818" customFormat="1" x14ac:dyDescent="0.25"/>
    <row r="23819" customFormat="1" x14ac:dyDescent="0.25"/>
    <row r="23820" customFormat="1" x14ac:dyDescent="0.25"/>
    <row r="23821" customFormat="1" x14ac:dyDescent="0.25"/>
    <row r="23822" customFormat="1" x14ac:dyDescent="0.25"/>
    <row r="23823" customFormat="1" x14ac:dyDescent="0.25"/>
    <row r="23824" customFormat="1" x14ac:dyDescent="0.25"/>
    <row r="23825" customFormat="1" x14ac:dyDescent="0.25"/>
    <row r="23826" customFormat="1" x14ac:dyDescent="0.25"/>
    <row r="23827" customFormat="1" x14ac:dyDescent="0.25"/>
    <row r="23828" customFormat="1" x14ac:dyDescent="0.25"/>
    <row r="23829" customFormat="1" x14ac:dyDescent="0.25"/>
    <row r="23830" customFormat="1" x14ac:dyDescent="0.25"/>
    <row r="23831" customFormat="1" x14ac:dyDescent="0.25"/>
    <row r="23832" customFormat="1" x14ac:dyDescent="0.25"/>
    <row r="23833" customFormat="1" x14ac:dyDescent="0.25"/>
    <row r="23834" customFormat="1" x14ac:dyDescent="0.25"/>
    <row r="23835" customFormat="1" x14ac:dyDescent="0.25"/>
    <row r="23836" customFormat="1" x14ac:dyDescent="0.25"/>
    <row r="23837" customFormat="1" x14ac:dyDescent="0.25"/>
    <row r="23838" customFormat="1" x14ac:dyDescent="0.25"/>
    <row r="23839" customFormat="1" x14ac:dyDescent="0.25"/>
    <row r="23840" customFormat="1" x14ac:dyDescent="0.25"/>
    <row r="23841" customFormat="1" x14ac:dyDescent="0.25"/>
    <row r="23842" customFormat="1" x14ac:dyDescent="0.25"/>
    <row r="23843" customFormat="1" x14ac:dyDescent="0.25"/>
    <row r="23844" customFormat="1" x14ac:dyDescent="0.25"/>
    <row r="23845" customFormat="1" x14ac:dyDescent="0.25"/>
    <row r="23846" customFormat="1" x14ac:dyDescent="0.25"/>
    <row r="23847" customFormat="1" x14ac:dyDescent="0.25"/>
    <row r="23848" customFormat="1" x14ac:dyDescent="0.25"/>
    <row r="23849" customFormat="1" x14ac:dyDescent="0.25"/>
    <row r="23850" customFormat="1" x14ac:dyDescent="0.25"/>
    <row r="23851" customFormat="1" x14ac:dyDescent="0.25"/>
    <row r="23852" customFormat="1" x14ac:dyDescent="0.25"/>
    <row r="23853" customFormat="1" x14ac:dyDescent="0.25"/>
    <row r="23854" customFormat="1" x14ac:dyDescent="0.25"/>
    <row r="23855" customFormat="1" x14ac:dyDescent="0.25"/>
    <row r="23856" customFormat="1" x14ac:dyDescent="0.25"/>
    <row r="23857" customFormat="1" x14ac:dyDescent="0.25"/>
    <row r="23858" customFormat="1" x14ac:dyDescent="0.25"/>
    <row r="23859" customFormat="1" x14ac:dyDescent="0.25"/>
    <row r="23860" customFormat="1" x14ac:dyDescent="0.25"/>
    <row r="23861" customFormat="1" x14ac:dyDescent="0.25"/>
    <row r="23862" customFormat="1" x14ac:dyDescent="0.25"/>
    <row r="23863" customFormat="1" x14ac:dyDescent="0.25"/>
    <row r="23864" customFormat="1" x14ac:dyDescent="0.25"/>
    <row r="23865" customFormat="1" x14ac:dyDescent="0.25"/>
    <row r="23866" customFormat="1" x14ac:dyDescent="0.25"/>
    <row r="23867" customFormat="1" x14ac:dyDescent="0.25"/>
    <row r="23868" customFormat="1" x14ac:dyDescent="0.25"/>
    <row r="23869" customFormat="1" x14ac:dyDescent="0.25"/>
    <row r="23870" customFormat="1" x14ac:dyDescent="0.25"/>
    <row r="23871" customFormat="1" x14ac:dyDescent="0.25"/>
    <row r="23872" customFormat="1" x14ac:dyDescent="0.25"/>
    <row r="23873" customFormat="1" x14ac:dyDescent="0.25"/>
    <row r="23874" customFormat="1" x14ac:dyDescent="0.25"/>
    <row r="23875" customFormat="1" x14ac:dyDescent="0.25"/>
    <row r="23876" customFormat="1" x14ac:dyDescent="0.25"/>
    <row r="23877" customFormat="1" x14ac:dyDescent="0.25"/>
    <row r="23878" customFormat="1" x14ac:dyDescent="0.25"/>
    <row r="23879" customFormat="1" x14ac:dyDescent="0.25"/>
    <row r="23880" customFormat="1" x14ac:dyDescent="0.25"/>
    <row r="23881" customFormat="1" x14ac:dyDescent="0.25"/>
    <row r="23882" customFormat="1" x14ac:dyDescent="0.25"/>
    <row r="23883" customFormat="1" x14ac:dyDescent="0.25"/>
    <row r="23884" customFormat="1" x14ac:dyDescent="0.25"/>
    <row r="23885" customFormat="1" x14ac:dyDescent="0.25"/>
    <row r="23886" customFormat="1" x14ac:dyDescent="0.25"/>
    <row r="23887" customFormat="1" x14ac:dyDescent="0.25"/>
    <row r="23888" customFormat="1" x14ac:dyDescent="0.25"/>
    <row r="23889" customFormat="1" x14ac:dyDescent="0.25"/>
    <row r="23890" customFormat="1" x14ac:dyDescent="0.25"/>
    <row r="23891" customFormat="1" x14ac:dyDescent="0.25"/>
    <row r="23892" customFormat="1" x14ac:dyDescent="0.25"/>
    <row r="23893" customFormat="1" x14ac:dyDescent="0.25"/>
    <row r="23894" customFormat="1" x14ac:dyDescent="0.25"/>
    <row r="23895" customFormat="1" x14ac:dyDescent="0.25"/>
    <row r="23896" customFormat="1" x14ac:dyDescent="0.25"/>
    <row r="23897" customFormat="1" x14ac:dyDescent="0.25"/>
    <row r="23898" customFormat="1" x14ac:dyDescent="0.25"/>
    <row r="23899" customFormat="1" x14ac:dyDescent="0.25"/>
    <row r="23900" customFormat="1" x14ac:dyDescent="0.25"/>
    <row r="23901" customFormat="1" x14ac:dyDescent="0.25"/>
    <row r="23902" customFormat="1" x14ac:dyDescent="0.25"/>
    <row r="23903" customFormat="1" x14ac:dyDescent="0.25"/>
    <row r="23904" customFormat="1" x14ac:dyDescent="0.25"/>
    <row r="23905" customFormat="1" x14ac:dyDescent="0.25"/>
    <row r="23906" customFormat="1" x14ac:dyDescent="0.25"/>
    <row r="23907" customFormat="1" x14ac:dyDescent="0.25"/>
    <row r="23908" customFormat="1" x14ac:dyDescent="0.25"/>
    <row r="23909" customFormat="1" x14ac:dyDescent="0.25"/>
    <row r="23910" customFormat="1" x14ac:dyDescent="0.25"/>
    <row r="23911" customFormat="1" x14ac:dyDescent="0.25"/>
    <row r="23912" customFormat="1" x14ac:dyDescent="0.25"/>
    <row r="23913" customFormat="1" x14ac:dyDescent="0.25"/>
    <row r="23914" customFormat="1" x14ac:dyDescent="0.25"/>
    <row r="23915" customFormat="1" x14ac:dyDescent="0.25"/>
    <row r="23916" customFormat="1" x14ac:dyDescent="0.25"/>
    <row r="23917" customFormat="1" x14ac:dyDescent="0.25"/>
    <row r="23918" customFormat="1" x14ac:dyDescent="0.25"/>
    <row r="23919" customFormat="1" x14ac:dyDescent="0.25"/>
    <row r="23920" customFormat="1" x14ac:dyDescent="0.25"/>
    <row r="23921" customFormat="1" x14ac:dyDescent="0.25"/>
    <row r="23922" customFormat="1" x14ac:dyDescent="0.25"/>
    <row r="23923" customFormat="1" x14ac:dyDescent="0.25"/>
    <row r="23924" customFormat="1" x14ac:dyDescent="0.25"/>
    <row r="23925" customFormat="1" x14ac:dyDescent="0.25"/>
    <row r="23926" customFormat="1" x14ac:dyDescent="0.25"/>
    <row r="23927" customFormat="1" x14ac:dyDescent="0.25"/>
    <row r="23928" customFormat="1" x14ac:dyDescent="0.25"/>
    <row r="23929" customFormat="1" x14ac:dyDescent="0.25"/>
    <row r="23930" customFormat="1" x14ac:dyDescent="0.25"/>
    <row r="23931" customFormat="1" x14ac:dyDescent="0.25"/>
    <row r="23932" customFormat="1" x14ac:dyDescent="0.25"/>
    <row r="23933" customFormat="1" x14ac:dyDescent="0.25"/>
    <row r="23934" customFormat="1" x14ac:dyDescent="0.25"/>
    <row r="23935" customFormat="1" x14ac:dyDescent="0.25"/>
    <row r="23936" customFormat="1" x14ac:dyDescent="0.25"/>
    <row r="23937" customFormat="1" x14ac:dyDescent="0.25"/>
    <row r="23938" customFormat="1" x14ac:dyDescent="0.25"/>
    <row r="23939" customFormat="1" x14ac:dyDescent="0.25"/>
    <row r="23940" customFormat="1" x14ac:dyDescent="0.25"/>
    <row r="23941" customFormat="1" x14ac:dyDescent="0.25"/>
    <row r="23942" customFormat="1" x14ac:dyDescent="0.25"/>
    <row r="23943" customFormat="1" x14ac:dyDescent="0.25"/>
    <row r="23944" customFormat="1" x14ac:dyDescent="0.25"/>
    <row r="23945" customFormat="1" x14ac:dyDescent="0.25"/>
    <row r="23946" customFormat="1" x14ac:dyDescent="0.25"/>
    <row r="23947" customFormat="1" x14ac:dyDescent="0.25"/>
    <row r="23948" customFormat="1" x14ac:dyDescent="0.25"/>
    <row r="23949" customFormat="1" x14ac:dyDescent="0.25"/>
    <row r="23950" customFormat="1" x14ac:dyDescent="0.25"/>
    <row r="23951" customFormat="1" x14ac:dyDescent="0.25"/>
    <row r="23952" customFormat="1" x14ac:dyDescent="0.25"/>
    <row r="23953" customFormat="1" x14ac:dyDescent="0.25"/>
    <row r="23954" customFormat="1" x14ac:dyDescent="0.25"/>
    <row r="23955" customFormat="1" x14ac:dyDescent="0.25"/>
    <row r="23956" customFormat="1" x14ac:dyDescent="0.25"/>
    <row r="23957" customFormat="1" x14ac:dyDescent="0.25"/>
    <row r="23958" customFormat="1" x14ac:dyDescent="0.25"/>
    <row r="23959" customFormat="1" x14ac:dyDescent="0.25"/>
    <row r="23960" customFormat="1" x14ac:dyDescent="0.25"/>
    <row r="23961" customFormat="1" x14ac:dyDescent="0.25"/>
    <row r="23962" customFormat="1" x14ac:dyDescent="0.25"/>
    <row r="23963" customFormat="1" x14ac:dyDescent="0.25"/>
    <row r="23964" customFormat="1" x14ac:dyDescent="0.25"/>
    <row r="23965" customFormat="1" x14ac:dyDescent="0.25"/>
    <row r="23966" customFormat="1" x14ac:dyDescent="0.25"/>
    <row r="23967" customFormat="1" x14ac:dyDescent="0.25"/>
    <row r="23968" customFormat="1" x14ac:dyDescent="0.25"/>
    <row r="23969" customFormat="1" x14ac:dyDescent="0.25"/>
    <row r="23970" customFormat="1" x14ac:dyDescent="0.25"/>
    <row r="23971" customFormat="1" x14ac:dyDescent="0.25"/>
    <row r="23972" customFormat="1" x14ac:dyDescent="0.25"/>
    <row r="23973" customFormat="1" x14ac:dyDescent="0.25"/>
    <row r="23974" customFormat="1" x14ac:dyDescent="0.25"/>
    <row r="23975" customFormat="1" x14ac:dyDescent="0.25"/>
    <row r="23976" customFormat="1" x14ac:dyDescent="0.25"/>
    <row r="23977" customFormat="1" x14ac:dyDescent="0.25"/>
    <row r="23978" customFormat="1" x14ac:dyDescent="0.25"/>
    <row r="23979" customFormat="1" x14ac:dyDescent="0.25"/>
    <row r="23980" customFormat="1" x14ac:dyDescent="0.25"/>
    <row r="23981" customFormat="1" x14ac:dyDescent="0.25"/>
    <row r="23982" customFormat="1" x14ac:dyDescent="0.25"/>
    <row r="23983" customFormat="1" x14ac:dyDescent="0.25"/>
    <row r="23984" customFormat="1" x14ac:dyDescent="0.25"/>
    <row r="23985" customFormat="1" x14ac:dyDescent="0.25"/>
    <row r="23986" customFormat="1" x14ac:dyDescent="0.25"/>
    <row r="23987" customFormat="1" x14ac:dyDescent="0.25"/>
    <row r="23988" customFormat="1" x14ac:dyDescent="0.25"/>
    <row r="23989" customFormat="1" x14ac:dyDescent="0.25"/>
    <row r="23990" customFormat="1" x14ac:dyDescent="0.25"/>
    <row r="23991" customFormat="1" x14ac:dyDescent="0.25"/>
    <row r="23992" customFormat="1" x14ac:dyDescent="0.25"/>
    <row r="23993" customFormat="1" x14ac:dyDescent="0.25"/>
    <row r="23994" customFormat="1" x14ac:dyDescent="0.25"/>
    <row r="23995" customFormat="1" x14ac:dyDescent="0.25"/>
    <row r="23996" customFormat="1" x14ac:dyDescent="0.25"/>
    <row r="23997" customFormat="1" x14ac:dyDescent="0.25"/>
    <row r="23998" customFormat="1" x14ac:dyDescent="0.25"/>
    <row r="23999" customFormat="1" x14ac:dyDescent="0.25"/>
    <row r="24000" customFormat="1" x14ac:dyDescent="0.25"/>
    <row r="24001" customFormat="1" x14ac:dyDescent="0.25"/>
    <row r="24002" customFormat="1" x14ac:dyDescent="0.25"/>
    <row r="24003" customFormat="1" x14ac:dyDescent="0.25"/>
    <row r="24004" customFormat="1" x14ac:dyDescent="0.25"/>
    <row r="24005" customFormat="1" x14ac:dyDescent="0.25"/>
    <row r="24006" customFormat="1" x14ac:dyDescent="0.25"/>
    <row r="24007" customFormat="1" x14ac:dyDescent="0.25"/>
    <row r="24008" customFormat="1" x14ac:dyDescent="0.25"/>
    <row r="24009" customFormat="1" x14ac:dyDescent="0.25"/>
    <row r="24010" customFormat="1" x14ac:dyDescent="0.25"/>
    <row r="24011" customFormat="1" x14ac:dyDescent="0.25"/>
    <row r="24012" customFormat="1" x14ac:dyDescent="0.25"/>
    <row r="24013" customFormat="1" x14ac:dyDescent="0.25"/>
    <row r="24014" customFormat="1" x14ac:dyDescent="0.25"/>
    <row r="24015" customFormat="1" x14ac:dyDescent="0.25"/>
    <row r="24016" customFormat="1" x14ac:dyDescent="0.25"/>
    <row r="24017" customFormat="1" x14ac:dyDescent="0.25"/>
    <row r="24018" customFormat="1" x14ac:dyDescent="0.25"/>
    <row r="24019" customFormat="1" x14ac:dyDescent="0.25"/>
    <row r="24020" customFormat="1" x14ac:dyDescent="0.25"/>
    <row r="24021" customFormat="1" x14ac:dyDescent="0.25"/>
    <row r="24022" customFormat="1" x14ac:dyDescent="0.25"/>
    <row r="24023" customFormat="1" x14ac:dyDescent="0.25"/>
    <row r="24024" customFormat="1" x14ac:dyDescent="0.25"/>
    <row r="24025" customFormat="1" x14ac:dyDescent="0.25"/>
    <row r="24026" customFormat="1" x14ac:dyDescent="0.25"/>
    <row r="24027" customFormat="1" x14ac:dyDescent="0.25"/>
    <row r="24028" customFormat="1" x14ac:dyDescent="0.25"/>
    <row r="24029" customFormat="1" x14ac:dyDescent="0.25"/>
    <row r="24030" customFormat="1" x14ac:dyDescent="0.25"/>
    <row r="24031" customFormat="1" x14ac:dyDescent="0.25"/>
    <row r="24032" customFormat="1" x14ac:dyDescent="0.25"/>
    <row r="24033" customFormat="1" x14ac:dyDescent="0.25"/>
    <row r="24034" customFormat="1" x14ac:dyDescent="0.25"/>
    <row r="24035" customFormat="1" x14ac:dyDescent="0.25"/>
    <row r="24036" customFormat="1" x14ac:dyDescent="0.25"/>
    <row r="24037" customFormat="1" x14ac:dyDescent="0.25"/>
    <row r="24038" customFormat="1" x14ac:dyDescent="0.25"/>
    <row r="24039" customFormat="1" x14ac:dyDescent="0.25"/>
    <row r="24040" customFormat="1" x14ac:dyDescent="0.25"/>
    <row r="24041" customFormat="1" x14ac:dyDescent="0.25"/>
    <row r="24042" customFormat="1" x14ac:dyDescent="0.25"/>
    <row r="24043" customFormat="1" x14ac:dyDescent="0.25"/>
    <row r="24044" customFormat="1" x14ac:dyDescent="0.25"/>
    <row r="24045" customFormat="1" x14ac:dyDescent="0.25"/>
    <row r="24046" customFormat="1" x14ac:dyDescent="0.25"/>
    <row r="24047" customFormat="1" x14ac:dyDescent="0.25"/>
    <row r="24048" customFormat="1" x14ac:dyDescent="0.25"/>
    <row r="24049" customFormat="1" x14ac:dyDescent="0.25"/>
    <row r="24050" customFormat="1" x14ac:dyDescent="0.25"/>
    <row r="24051" customFormat="1" x14ac:dyDescent="0.25"/>
    <row r="24052" customFormat="1" x14ac:dyDescent="0.25"/>
    <row r="24053" customFormat="1" x14ac:dyDescent="0.25"/>
    <row r="24054" customFormat="1" x14ac:dyDescent="0.25"/>
    <row r="24055" customFormat="1" x14ac:dyDescent="0.25"/>
    <row r="24056" customFormat="1" x14ac:dyDescent="0.25"/>
    <row r="24057" customFormat="1" x14ac:dyDescent="0.25"/>
    <row r="24058" customFormat="1" x14ac:dyDescent="0.25"/>
    <row r="24059" customFormat="1" x14ac:dyDescent="0.25"/>
    <row r="24060" customFormat="1" x14ac:dyDescent="0.25"/>
    <row r="24061" customFormat="1" x14ac:dyDescent="0.25"/>
    <row r="24062" customFormat="1" x14ac:dyDescent="0.25"/>
    <row r="24063" customFormat="1" x14ac:dyDescent="0.25"/>
    <row r="24064" customFormat="1" x14ac:dyDescent="0.25"/>
    <row r="24065" customFormat="1" x14ac:dyDescent="0.25"/>
    <row r="24066" customFormat="1" x14ac:dyDescent="0.25"/>
    <row r="24067" customFormat="1" x14ac:dyDescent="0.25"/>
    <row r="24068" customFormat="1" x14ac:dyDescent="0.25"/>
    <row r="24069" customFormat="1" x14ac:dyDescent="0.25"/>
    <row r="24070" customFormat="1" x14ac:dyDescent="0.25"/>
    <row r="24071" customFormat="1" x14ac:dyDescent="0.25"/>
    <row r="24072" customFormat="1" x14ac:dyDescent="0.25"/>
    <row r="24073" customFormat="1" x14ac:dyDescent="0.25"/>
    <row r="24074" customFormat="1" x14ac:dyDescent="0.25"/>
    <row r="24075" customFormat="1" x14ac:dyDescent="0.25"/>
    <row r="24076" customFormat="1" x14ac:dyDescent="0.25"/>
    <row r="24077" customFormat="1" x14ac:dyDescent="0.25"/>
    <row r="24078" customFormat="1" x14ac:dyDescent="0.25"/>
    <row r="24079" customFormat="1" x14ac:dyDescent="0.25"/>
    <row r="24080" customFormat="1" x14ac:dyDescent="0.25"/>
    <row r="24081" customFormat="1" x14ac:dyDescent="0.25"/>
    <row r="24082" customFormat="1" x14ac:dyDescent="0.25"/>
    <row r="24083" customFormat="1" x14ac:dyDescent="0.25"/>
    <row r="24084" customFormat="1" x14ac:dyDescent="0.25"/>
    <row r="24085" customFormat="1" x14ac:dyDescent="0.25"/>
    <row r="24086" customFormat="1" x14ac:dyDescent="0.25"/>
    <row r="24087" customFormat="1" x14ac:dyDescent="0.25"/>
    <row r="24088" customFormat="1" x14ac:dyDescent="0.25"/>
    <row r="24089" customFormat="1" x14ac:dyDescent="0.25"/>
    <row r="24090" customFormat="1" x14ac:dyDescent="0.25"/>
    <row r="24091" customFormat="1" x14ac:dyDescent="0.25"/>
    <row r="24092" customFormat="1" x14ac:dyDescent="0.25"/>
    <row r="24093" customFormat="1" x14ac:dyDescent="0.25"/>
    <row r="24094" customFormat="1" x14ac:dyDescent="0.25"/>
    <row r="24095" customFormat="1" x14ac:dyDescent="0.25"/>
    <row r="24096" customFormat="1" x14ac:dyDescent="0.25"/>
    <row r="24097" customFormat="1" x14ac:dyDescent="0.25"/>
    <row r="24098" customFormat="1" x14ac:dyDescent="0.25"/>
    <row r="24099" customFormat="1" x14ac:dyDescent="0.25"/>
    <row r="24100" customFormat="1" x14ac:dyDescent="0.25"/>
    <row r="24101" customFormat="1" x14ac:dyDescent="0.25"/>
    <row r="24102" customFormat="1" x14ac:dyDescent="0.25"/>
    <row r="24103" customFormat="1" x14ac:dyDescent="0.25"/>
    <row r="24104" customFormat="1" x14ac:dyDescent="0.25"/>
    <row r="24105" customFormat="1" x14ac:dyDescent="0.25"/>
    <row r="24106" customFormat="1" x14ac:dyDescent="0.25"/>
    <row r="24107" customFormat="1" x14ac:dyDescent="0.25"/>
    <row r="24108" customFormat="1" x14ac:dyDescent="0.25"/>
    <row r="24109" customFormat="1" x14ac:dyDescent="0.25"/>
    <row r="24110" customFormat="1" x14ac:dyDescent="0.25"/>
    <row r="24111" customFormat="1" x14ac:dyDescent="0.25"/>
    <row r="24112" customFormat="1" x14ac:dyDescent="0.25"/>
    <row r="24113" customFormat="1" x14ac:dyDescent="0.25"/>
    <row r="24114" customFormat="1" x14ac:dyDescent="0.25"/>
    <row r="24115" customFormat="1" x14ac:dyDescent="0.25"/>
    <row r="24116" customFormat="1" x14ac:dyDescent="0.25"/>
    <row r="24117" customFormat="1" x14ac:dyDescent="0.25"/>
    <row r="24118" customFormat="1" x14ac:dyDescent="0.25"/>
    <row r="24119" customFormat="1" x14ac:dyDescent="0.25"/>
    <row r="24120" customFormat="1" x14ac:dyDescent="0.25"/>
    <row r="24121" customFormat="1" x14ac:dyDescent="0.25"/>
    <row r="24122" customFormat="1" x14ac:dyDescent="0.25"/>
    <row r="24123" customFormat="1" x14ac:dyDescent="0.25"/>
    <row r="24124" customFormat="1" x14ac:dyDescent="0.25"/>
    <row r="24125" customFormat="1" x14ac:dyDescent="0.25"/>
    <row r="24126" customFormat="1" x14ac:dyDescent="0.25"/>
    <row r="24127" customFormat="1" x14ac:dyDescent="0.25"/>
    <row r="24128" customFormat="1" x14ac:dyDescent="0.25"/>
    <row r="24129" customFormat="1" x14ac:dyDescent="0.25"/>
    <row r="24130" customFormat="1" x14ac:dyDescent="0.25"/>
    <row r="24131" customFormat="1" x14ac:dyDescent="0.25"/>
    <row r="24132" customFormat="1" x14ac:dyDescent="0.25"/>
    <row r="24133" customFormat="1" x14ac:dyDescent="0.25"/>
    <row r="24134" customFormat="1" x14ac:dyDescent="0.25"/>
    <row r="24135" customFormat="1" x14ac:dyDescent="0.25"/>
    <row r="24136" customFormat="1" x14ac:dyDescent="0.25"/>
    <row r="24137" customFormat="1" x14ac:dyDescent="0.25"/>
    <row r="24138" customFormat="1" x14ac:dyDescent="0.25"/>
    <row r="24139" customFormat="1" x14ac:dyDescent="0.25"/>
    <row r="24140" customFormat="1" x14ac:dyDescent="0.25"/>
    <row r="24141" customFormat="1" x14ac:dyDescent="0.25"/>
    <row r="24142" customFormat="1" x14ac:dyDescent="0.25"/>
    <row r="24143" customFormat="1" x14ac:dyDescent="0.25"/>
    <row r="24144" customFormat="1" x14ac:dyDescent="0.25"/>
    <row r="24145" customFormat="1" x14ac:dyDescent="0.25"/>
    <row r="24146" customFormat="1" x14ac:dyDescent="0.25"/>
    <row r="24147" customFormat="1" x14ac:dyDescent="0.25"/>
    <row r="24148" customFormat="1" x14ac:dyDescent="0.25"/>
    <row r="24149" customFormat="1" x14ac:dyDescent="0.25"/>
    <row r="24150" customFormat="1" x14ac:dyDescent="0.25"/>
    <row r="24151" customFormat="1" x14ac:dyDescent="0.25"/>
    <row r="24152" customFormat="1" x14ac:dyDescent="0.25"/>
    <row r="24153" customFormat="1" x14ac:dyDescent="0.25"/>
    <row r="24154" customFormat="1" x14ac:dyDescent="0.25"/>
    <row r="24155" customFormat="1" x14ac:dyDescent="0.25"/>
    <row r="24156" customFormat="1" x14ac:dyDescent="0.25"/>
    <row r="24157" customFormat="1" x14ac:dyDescent="0.25"/>
    <row r="24158" customFormat="1" x14ac:dyDescent="0.25"/>
    <row r="24159" customFormat="1" x14ac:dyDescent="0.25"/>
    <row r="24160" customFormat="1" x14ac:dyDescent="0.25"/>
    <row r="24161" customFormat="1" x14ac:dyDescent="0.25"/>
    <row r="24162" customFormat="1" x14ac:dyDescent="0.25"/>
    <row r="24163" customFormat="1" x14ac:dyDescent="0.25"/>
    <row r="24164" customFormat="1" x14ac:dyDescent="0.25"/>
    <row r="24165" customFormat="1" x14ac:dyDescent="0.25"/>
    <row r="24166" customFormat="1" x14ac:dyDescent="0.25"/>
    <row r="24167" customFormat="1" x14ac:dyDescent="0.25"/>
    <row r="24168" customFormat="1" x14ac:dyDescent="0.25"/>
    <row r="24169" customFormat="1" x14ac:dyDescent="0.25"/>
    <row r="24170" customFormat="1" x14ac:dyDescent="0.25"/>
    <row r="24171" customFormat="1" x14ac:dyDescent="0.25"/>
    <row r="24172" customFormat="1" x14ac:dyDescent="0.25"/>
    <row r="24173" customFormat="1" x14ac:dyDescent="0.25"/>
    <row r="24174" customFormat="1" x14ac:dyDescent="0.25"/>
    <row r="24175" customFormat="1" x14ac:dyDescent="0.25"/>
    <row r="24176" customFormat="1" x14ac:dyDescent="0.25"/>
    <row r="24177" customFormat="1" x14ac:dyDescent="0.25"/>
    <row r="24178" customFormat="1" x14ac:dyDescent="0.25"/>
    <row r="24179" customFormat="1" x14ac:dyDescent="0.25"/>
    <row r="24180" customFormat="1" x14ac:dyDescent="0.25"/>
    <row r="24181" customFormat="1" x14ac:dyDescent="0.25"/>
    <row r="24182" customFormat="1" x14ac:dyDescent="0.25"/>
    <row r="24183" customFormat="1" x14ac:dyDescent="0.25"/>
    <row r="24184" customFormat="1" x14ac:dyDescent="0.25"/>
    <row r="24185" customFormat="1" x14ac:dyDescent="0.25"/>
    <row r="24186" customFormat="1" x14ac:dyDescent="0.25"/>
    <row r="24187" customFormat="1" x14ac:dyDescent="0.25"/>
    <row r="24188" customFormat="1" x14ac:dyDescent="0.25"/>
    <row r="24189" customFormat="1" x14ac:dyDescent="0.25"/>
    <row r="24190" customFormat="1" x14ac:dyDescent="0.25"/>
    <row r="24191" customFormat="1" x14ac:dyDescent="0.25"/>
    <row r="24192" customFormat="1" x14ac:dyDescent="0.25"/>
    <row r="24193" customFormat="1" x14ac:dyDescent="0.25"/>
    <row r="24194" customFormat="1" x14ac:dyDescent="0.25"/>
    <row r="24195" customFormat="1" x14ac:dyDescent="0.25"/>
    <row r="24196" customFormat="1" x14ac:dyDescent="0.25"/>
    <row r="24197" customFormat="1" x14ac:dyDescent="0.25"/>
    <row r="24198" customFormat="1" x14ac:dyDescent="0.25"/>
    <row r="24199" customFormat="1" x14ac:dyDescent="0.25"/>
    <row r="24200" customFormat="1" x14ac:dyDescent="0.25"/>
    <row r="24201" customFormat="1" x14ac:dyDescent="0.25"/>
    <row r="24202" customFormat="1" x14ac:dyDescent="0.25"/>
    <row r="24203" customFormat="1" x14ac:dyDescent="0.25"/>
    <row r="24204" customFormat="1" x14ac:dyDescent="0.25"/>
    <row r="24205" customFormat="1" x14ac:dyDescent="0.25"/>
    <row r="24206" customFormat="1" x14ac:dyDescent="0.25"/>
    <row r="24207" customFormat="1" x14ac:dyDescent="0.25"/>
    <row r="24208" customFormat="1" x14ac:dyDescent="0.25"/>
    <row r="24209" customFormat="1" x14ac:dyDescent="0.25"/>
    <row r="24210" customFormat="1" x14ac:dyDescent="0.25"/>
    <row r="24211" customFormat="1" x14ac:dyDescent="0.25"/>
    <row r="24212" customFormat="1" x14ac:dyDescent="0.25"/>
    <row r="24213" customFormat="1" x14ac:dyDescent="0.25"/>
    <row r="24214" customFormat="1" x14ac:dyDescent="0.25"/>
    <row r="24215" customFormat="1" x14ac:dyDescent="0.25"/>
    <row r="24216" customFormat="1" x14ac:dyDescent="0.25"/>
    <row r="24217" customFormat="1" x14ac:dyDescent="0.25"/>
    <row r="24218" customFormat="1" x14ac:dyDescent="0.25"/>
    <row r="24219" customFormat="1" x14ac:dyDescent="0.25"/>
    <row r="24220" customFormat="1" x14ac:dyDescent="0.25"/>
    <row r="24221" customFormat="1" x14ac:dyDescent="0.25"/>
    <row r="24222" customFormat="1" x14ac:dyDescent="0.25"/>
    <row r="24223" customFormat="1" x14ac:dyDescent="0.25"/>
    <row r="24224" customFormat="1" x14ac:dyDescent="0.25"/>
    <row r="24225" customFormat="1" x14ac:dyDescent="0.25"/>
    <row r="24226" customFormat="1" x14ac:dyDescent="0.25"/>
    <row r="24227" customFormat="1" x14ac:dyDescent="0.25"/>
    <row r="24228" customFormat="1" x14ac:dyDescent="0.25"/>
    <row r="24229" customFormat="1" x14ac:dyDescent="0.25"/>
    <row r="24230" customFormat="1" x14ac:dyDescent="0.25"/>
    <row r="24231" customFormat="1" x14ac:dyDescent="0.25"/>
    <row r="24232" customFormat="1" x14ac:dyDescent="0.25"/>
    <row r="24233" customFormat="1" x14ac:dyDescent="0.25"/>
    <row r="24234" customFormat="1" x14ac:dyDescent="0.25"/>
    <row r="24235" customFormat="1" x14ac:dyDescent="0.25"/>
    <row r="24236" customFormat="1" x14ac:dyDescent="0.25"/>
    <row r="24237" customFormat="1" x14ac:dyDescent="0.25"/>
    <row r="24238" customFormat="1" x14ac:dyDescent="0.25"/>
    <row r="24239" customFormat="1" x14ac:dyDescent="0.25"/>
    <row r="24240" customFormat="1" x14ac:dyDescent="0.25"/>
    <row r="24241" customFormat="1" x14ac:dyDescent="0.25"/>
    <row r="24242" customFormat="1" x14ac:dyDescent="0.25"/>
    <row r="24243" customFormat="1" x14ac:dyDescent="0.25"/>
    <row r="24244" customFormat="1" x14ac:dyDescent="0.25"/>
    <row r="24245" customFormat="1" x14ac:dyDescent="0.25"/>
    <row r="24246" customFormat="1" x14ac:dyDescent="0.25"/>
    <row r="24247" customFormat="1" x14ac:dyDescent="0.25"/>
    <row r="24248" customFormat="1" x14ac:dyDescent="0.25"/>
    <row r="24249" customFormat="1" x14ac:dyDescent="0.25"/>
    <row r="24250" customFormat="1" x14ac:dyDescent="0.25"/>
    <row r="24251" customFormat="1" x14ac:dyDescent="0.25"/>
    <row r="24252" customFormat="1" x14ac:dyDescent="0.25"/>
    <row r="24253" customFormat="1" x14ac:dyDescent="0.25"/>
    <row r="24254" customFormat="1" x14ac:dyDescent="0.25"/>
    <row r="24255" customFormat="1" x14ac:dyDescent="0.25"/>
    <row r="24256" customFormat="1" x14ac:dyDescent="0.25"/>
    <row r="24257" customFormat="1" x14ac:dyDescent="0.25"/>
    <row r="24258" customFormat="1" x14ac:dyDescent="0.25"/>
    <row r="24259" customFormat="1" x14ac:dyDescent="0.25"/>
    <row r="24260" customFormat="1" x14ac:dyDescent="0.25"/>
    <row r="24261" customFormat="1" x14ac:dyDescent="0.25"/>
    <row r="24262" customFormat="1" x14ac:dyDescent="0.25"/>
    <row r="24263" customFormat="1" x14ac:dyDescent="0.25"/>
    <row r="24264" customFormat="1" x14ac:dyDescent="0.25"/>
    <row r="24265" customFormat="1" x14ac:dyDescent="0.25"/>
    <row r="24266" customFormat="1" x14ac:dyDescent="0.25"/>
    <row r="24267" customFormat="1" x14ac:dyDescent="0.25"/>
    <row r="24268" customFormat="1" x14ac:dyDescent="0.25"/>
    <row r="24269" customFormat="1" x14ac:dyDescent="0.25"/>
    <row r="24270" customFormat="1" x14ac:dyDescent="0.25"/>
    <row r="24271" customFormat="1" x14ac:dyDescent="0.25"/>
    <row r="24272" customFormat="1" x14ac:dyDescent="0.25"/>
    <row r="24273" customFormat="1" x14ac:dyDescent="0.25"/>
    <row r="24274" customFormat="1" x14ac:dyDescent="0.25"/>
    <row r="24275" customFormat="1" x14ac:dyDescent="0.25"/>
    <row r="24276" customFormat="1" x14ac:dyDescent="0.25"/>
    <row r="24277" customFormat="1" x14ac:dyDescent="0.25"/>
    <row r="24278" customFormat="1" x14ac:dyDescent="0.25"/>
    <row r="24279" customFormat="1" x14ac:dyDescent="0.25"/>
    <row r="24280" customFormat="1" x14ac:dyDescent="0.25"/>
    <row r="24281" customFormat="1" x14ac:dyDescent="0.25"/>
    <row r="24282" customFormat="1" x14ac:dyDescent="0.25"/>
    <row r="24283" customFormat="1" x14ac:dyDescent="0.25"/>
    <row r="24284" customFormat="1" x14ac:dyDescent="0.25"/>
    <row r="24285" customFormat="1" x14ac:dyDescent="0.25"/>
    <row r="24286" customFormat="1" x14ac:dyDescent="0.25"/>
    <row r="24287" customFormat="1" x14ac:dyDescent="0.25"/>
    <row r="24288" customFormat="1" x14ac:dyDescent="0.25"/>
    <row r="24289" customFormat="1" x14ac:dyDescent="0.25"/>
    <row r="24290" customFormat="1" x14ac:dyDescent="0.25"/>
    <row r="24291" customFormat="1" x14ac:dyDescent="0.25"/>
    <row r="24292" customFormat="1" x14ac:dyDescent="0.25"/>
    <row r="24293" customFormat="1" x14ac:dyDescent="0.25"/>
    <row r="24294" customFormat="1" x14ac:dyDescent="0.25"/>
    <row r="24295" customFormat="1" x14ac:dyDescent="0.25"/>
    <row r="24296" customFormat="1" x14ac:dyDescent="0.25"/>
    <row r="24297" customFormat="1" x14ac:dyDescent="0.25"/>
    <row r="24298" customFormat="1" x14ac:dyDescent="0.25"/>
    <row r="24299" customFormat="1" x14ac:dyDescent="0.25"/>
    <row r="24300" customFormat="1" x14ac:dyDescent="0.25"/>
    <row r="24301" customFormat="1" x14ac:dyDescent="0.25"/>
    <row r="24302" customFormat="1" x14ac:dyDescent="0.25"/>
    <row r="24303" customFormat="1" x14ac:dyDescent="0.25"/>
    <row r="24304" customFormat="1" x14ac:dyDescent="0.25"/>
    <row r="24305" customFormat="1" x14ac:dyDescent="0.25"/>
    <row r="24306" customFormat="1" x14ac:dyDescent="0.25"/>
    <row r="24307" customFormat="1" x14ac:dyDescent="0.25"/>
    <row r="24308" customFormat="1" x14ac:dyDescent="0.25"/>
    <row r="24309" customFormat="1" x14ac:dyDescent="0.25"/>
    <row r="24310" customFormat="1" x14ac:dyDescent="0.25"/>
    <row r="24311" customFormat="1" x14ac:dyDescent="0.25"/>
    <row r="24312" customFormat="1" x14ac:dyDescent="0.25"/>
    <row r="24313" customFormat="1" x14ac:dyDescent="0.25"/>
    <row r="24314" customFormat="1" x14ac:dyDescent="0.25"/>
    <row r="24315" customFormat="1" x14ac:dyDescent="0.25"/>
    <row r="24316" customFormat="1" x14ac:dyDescent="0.25"/>
    <row r="24317" customFormat="1" x14ac:dyDescent="0.25"/>
    <row r="24318" customFormat="1" x14ac:dyDescent="0.25"/>
    <row r="24319" customFormat="1" x14ac:dyDescent="0.25"/>
    <row r="24320" customFormat="1" x14ac:dyDescent="0.25"/>
    <row r="24321" customFormat="1" x14ac:dyDescent="0.25"/>
    <row r="24322" customFormat="1" x14ac:dyDescent="0.25"/>
    <row r="24323" customFormat="1" x14ac:dyDescent="0.25"/>
    <row r="24324" customFormat="1" x14ac:dyDescent="0.25"/>
    <row r="24325" customFormat="1" x14ac:dyDescent="0.25"/>
    <row r="24326" customFormat="1" x14ac:dyDescent="0.25"/>
    <row r="24327" customFormat="1" x14ac:dyDescent="0.25"/>
    <row r="24328" customFormat="1" x14ac:dyDescent="0.25"/>
    <row r="24329" customFormat="1" x14ac:dyDescent="0.25"/>
    <row r="24330" customFormat="1" x14ac:dyDescent="0.25"/>
    <row r="24331" customFormat="1" x14ac:dyDescent="0.25"/>
    <row r="24332" customFormat="1" x14ac:dyDescent="0.25"/>
    <row r="24333" customFormat="1" x14ac:dyDescent="0.25"/>
    <row r="24334" customFormat="1" x14ac:dyDescent="0.25"/>
    <row r="24335" customFormat="1" x14ac:dyDescent="0.25"/>
    <row r="24336" customFormat="1" x14ac:dyDescent="0.25"/>
    <row r="24337" customFormat="1" x14ac:dyDescent="0.25"/>
    <row r="24338" customFormat="1" x14ac:dyDescent="0.25"/>
    <row r="24339" customFormat="1" x14ac:dyDescent="0.25"/>
    <row r="24340" customFormat="1" x14ac:dyDescent="0.25"/>
    <row r="24341" customFormat="1" x14ac:dyDescent="0.25"/>
    <row r="24342" customFormat="1" x14ac:dyDescent="0.25"/>
    <row r="24343" customFormat="1" x14ac:dyDescent="0.25"/>
    <row r="24344" customFormat="1" x14ac:dyDescent="0.25"/>
    <row r="24345" customFormat="1" x14ac:dyDescent="0.25"/>
    <row r="24346" customFormat="1" x14ac:dyDescent="0.25"/>
    <row r="24347" customFormat="1" x14ac:dyDescent="0.25"/>
    <row r="24348" customFormat="1" x14ac:dyDescent="0.25"/>
    <row r="24349" customFormat="1" x14ac:dyDescent="0.25"/>
    <row r="24350" customFormat="1" x14ac:dyDescent="0.25"/>
    <row r="24351" customFormat="1" x14ac:dyDescent="0.25"/>
    <row r="24352" customFormat="1" x14ac:dyDescent="0.25"/>
    <row r="24353" customFormat="1" x14ac:dyDescent="0.25"/>
    <row r="24354" customFormat="1" x14ac:dyDescent="0.25"/>
    <row r="24355" customFormat="1" x14ac:dyDescent="0.25"/>
    <row r="24356" customFormat="1" x14ac:dyDescent="0.25"/>
    <row r="24357" customFormat="1" x14ac:dyDescent="0.25"/>
    <row r="24358" customFormat="1" x14ac:dyDescent="0.25"/>
    <row r="24359" customFormat="1" x14ac:dyDescent="0.25"/>
    <row r="24360" customFormat="1" x14ac:dyDescent="0.25"/>
    <row r="24361" customFormat="1" x14ac:dyDescent="0.25"/>
    <row r="24362" customFormat="1" x14ac:dyDescent="0.25"/>
    <row r="24363" customFormat="1" x14ac:dyDescent="0.25"/>
    <row r="24364" customFormat="1" x14ac:dyDescent="0.25"/>
    <row r="24365" customFormat="1" x14ac:dyDescent="0.25"/>
    <row r="24366" customFormat="1" x14ac:dyDescent="0.25"/>
    <row r="24367" customFormat="1" x14ac:dyDescent="0.25"/>
    <row r="24368" customFormat="1" x14ac:dyDescent="0.25"/>
    <row r="24369" customFormat="1" x14ac:dyDescent="0.25"/>
    <row r="24370" customFormat="1" x14ac:dyDescent="0.25"/>
    <row r="24371" customFormat="1" x14ac:dyDescent="0.25"/>
    <row r="24372" customFormat="1" x14ac:dyDescent="0.25"/>
    <row r="24373" customFormat="1" x14ac:dyDescent="0.25"/>
    <row r="24374" customFormat="1" x14ac:dyDescent="0.25"/>
    <row r="24375" customFormat="1" x14ac:dyDescent="0.25"/>
    <row r="24376" customFormat="1" x14ac:dyDescent="0.25"/>
    <row r="24377" customFormat="1" x14ac:dyDescent="0.25"/>
    <row r="24378" customFormat="1" x14ac:dyDescent="0.25"/>
    <row r="24379" customFormat="1" x14ac:dyDescent="0.25"/>
    <row r="24380" customFormat="1" x14ac:dyDescent="0.25"/>
    <row r="24381" customFormat="1" x14ac:dyDescent="0.25"/>
    <row r="24382" customFormat="1" x14ac:dyDescent="0.25"/>
    <row r="24383" customFormat="1" x14ac:dyDescent="0.25"/>
    <row r="24384" customFormat="1" x14ac:dyDescent="0.25"/>
    <row r="24385" customFormat="1" x14ac:dyDescent="0.25"/>
    <row r="24386" customFormat="1" x14ac:dyDescent="0.25"/>
    <row r="24387" customFormat="1" x14ac:dyDescent="0.25"/>
    <row r="24388" customFormat="1" x14ac:dyDescent="0.25"/>
    <row r="24389" customFormat="1" x14ac:dyDescent="0.25"/>
    <row r="24390" customFormat="1" x14ac:dyDescent="0.25"/>
    <row r="24391" customFormat="1" x14ac:dyDescent="0.25"/>
    <row r="24392" customFormat="1" x14ac:dyDescent="0.25"/>
    <row r="24393" customFormat="1" x14ac:dyDescent="0.25"/>
    <row r="24394" customFormat="1" x14ac:dyDescent="0.25"/>
    <row r="24395" customFormat="1" x14ac:dyDescent="0.25"/>
    <row r="24396" customFormat="1" x14ac:dyDescent="0.25"/>
    <row r="24397" customFormat="1" x14ac:dyDescent="0.25"/>
    <row r="24398" customFormat="1" x14ac:dyDescent="0.25"/>
    <row r="24399" customFormat="1" x14ac:dyDescent="0.25"/>
    <row r="24400" customFormat="1" x14ac:dyDescent="0.25"/>
    <row r="24401" customFormat="1" x14ac:dyDescent="0.25"/>
    <row r="24402" customFormat="1" x14ac:dyDescent="0.25"/>
    <row r="24403" customFormat="1" x14ac:dyDescent="0.25"/>
    <row r="24404" customFormat="1" x14ac:dyDescent="0.25"/>
    <row r="24405" customFormat="1" x14ac:dyDescent="0.25"/>
    <row r="24406" customFormat="1" x14ac:dyDescent="0.25"/>
    <row r="24407" customFormat="1" x14ac:dyDescent="0.25"/>
    <row r="24408" customFormat="1" x14ac:dyDescent="0.25"/>
    <row r="24409" customFormat="1" x14ac:dyDescent="0.25"/>
    <row r="24410" customFormat="1" x14ac:dyDescent="0.25"/>
    <row r="24411" customFormat="1" x14ac:dyDescent="0.25"/>
    <row r="24412" customFormat="1" x14ac:dyDescent="0.25"/>
    <row r="24413" customFormat="1" x14ac:dyDescent="0.25"/>
    <row r="24414" customFormat="1" x14ac:dyDescent="0.25"/>
    <row r="24415" customFormat="1" x14ac:dyDescent="0.25"/>
    <row r="24416" customFormat="1" x14ac:dyDescent="0.25"/>
    <row r="24417" customFormat="1" x14ac:dyDescent="0.25"/>
    <row r="24418" customFormat="1" x14ac:dyDescent="0.25"/>
    <row r="24419" customFormat="1" x14ac:dyDescent="0.25"/>
    <row r="24420" customFormat="1" x14ac:dyDescent="0.25"/>
    <row r="24421" customFormat="1" x14ac:dyDescent="0.25"/>
    <row r="24422" customFormat="1" x14ac:dyDescent="0.25"/>
    <row r="24423" customFormat="1" x14ac:dyDescent="0.25"/>
    <row r="24424" customFormat="1" x14ac:dyDescent="0.25"/>
    <row r="24425" customFormat="1" x14ac:dyDescent="0.25"/>
    <row r="24426" customFormat="1" x14ac:dyDescent="0.25"/>
    <row r="24427" customFormat="1" x14ac:dyDescent="0.25"/>
    <row r="24428" customFormat="1" x14ac:dyDescent="0.25"/>
    <row r="24429" customFormat="1" x14ac:dyDescent="0.25"/>
    <row r="24430" customFormat="1" x14ac:dyDescent="0.25"/>
    <row r="24431" customFormat="1" x14ac:dyDescent="0.25"/>
    <row r="24432" customFormat="1" x14ac:dyDescent="0.25"/>
    <row r="24433" customFormat="1" x14ac:dyDescent="0.25"/>
    <row r="24434" customFormat="1" x14ac:dyDescent="0.25"/>
    <row r="24435" customFormat="1" x14ac:dyDescent="0.25"/>
    <row r="24436" customFormat="1" x14ac:dyDescent="0.25"/>
    <row r="24437" customFormat="1" x14ac:dyDescent="0.25"/>
    <row r="24438" customFormat="1" x14ac:dyDescent="0.25"/>
    <row r="24439" customFormat="1" x14ac:dyDescent="0.25"/>
    <row r="24440" customFormat="1" x14ac:dyDescent="0.25"/>
    <row r="24441" customFormat="1" x14ac:dyDescent="0.25"/>
    <row r="24442" customFormat="1" x14ac:dyDescent="0.25"/>
    <row r="24443" customFormat="1" x14ac:dyDescent="0.25"/>
    <row r="24444" customFormat="1" x14ac:dyDescent="0.25"/>
    <row r="24445" customFormat="1" x14ac:dyDescent="0.25"/>
    <row r="24446" customFormat="1" x14ac:dyDescent="0.25"/>
    <row r="24447" customFormat="1" x14ac:dyDescent="0.25"/>
    <row r="24448" customFormat="1" x14ac:dyDescent="0.25"/>
    <row r="24449" customFormat="1" x14ac:dyDescent="0.25"/>
    <row r="24450" customFormat="1" x14ac:dyDescent="0.25"/>
    <row r="24451" customFormat="1" x14ac:dyDescent="0.25"/>
    <row r="24452" customFormat="1" x14ac:dyDescent="0.25"/>
    <row r="24453" customFormat="1" x14ac:dyDescent="0.25"/>
    <row r="24454" customFormat="1" x14ac:dyDescent="0.25"/>
    <row r="24455" customFormat="1" x14ac:dyDescent="0.25"/>
    <row r="24456" customFormat="1" x14ac:dyDescent="0.25"/>
    <row r="24457" customFormat="1" x14ac:dyDescent="0.25"/>
    <row r="24458" customFormat="1" x14ac:dyDescent="0.25"/>
    <row r="24459" customFormat="1" x14ac:dyDescent="0.25"/>
    <row r="24460" customFormat="1" x14ac:dyDescent="0.25"/>
    <row r="24461" customFormat="1" x14ac:dyDescent="0.25"/>
    <row r="24462" customFormat="1" x14ac:dyDescent="0.25"/>
    <row r="24463" customFormat="1" x14ac:dyDescent="0.25"/>
    <row r="24464" customFormat="1" x14ac:dyDescent="0.25"/>
    <row r="24465" customFormat="1" x14ac:dyDescent="0.25"/>
    <row r="24466" customFormat="1" x14ac:dyDescent="0.25"/>
    <row r="24467" customFormat="1" x14ac:dyDescent="0.25"/>
    <row r="24468" customFormat="1" x14ac:dyDescent="0.25"/>
    <row r="24469" customFormat="1" x14ac:dyDescent="0.25"/>
    <row r="24470" customFormat="1" x14ac:dyDescent="0.25"/>
    <row r="24471" customFormat="1" x14ac:dyDescent="0.25"/>
    <row r="24472" customFormat="1" x14ac:dyDescent="0.25"/>
    <row r="24473" customFormat="1" x14ac:dyDescent="0.25"/>
    <row r="24474" customFormat="1" x14ac:dyDescent="0.25"/>
    <row r="24475" customFormat="1" x14ac:dyDescent="0.25"/>
    <row r="24476" customFormat="1" x14ac:dyDescent="0.25"/>
    <row r="24477" customFormat="1" x14ac:dyDescent="0.25"/>
    <row r="24478" customFormat="1" x14ac:dyDescent="0.25"/>
    <row r="24479" customFormat="1" x14ac:dyDescent="0.25"/>
    <row r="24480" customFormat="1" x14ac:dyDescent="0.25"/>
    <row r="24481" customFormat="1" x14ac:dyDescent="0.25"/>
    <row r="24482" customFormat="1" x14ac:dyDescent="0.25"/>
    <row r="24483" customFormat="1" x14ac:dyDescent="0.25"/>
    <row r="24484" customFormat="1" x14ac:dyDescent="0.25"/>
    <row r="24485" customFormat="1" x14ac:dyDescent="0.25"/>
    <row r="24486" customFormat="1" x14ac:dyDescent="0.25"/>
    <row r="24487" customFormat="1" x14ac:dyDescent="0.25"/>
    <row r="24488" customFormat="1" x14ac:dyDescent="0.25"/>
    <row r="24489" customFormat="1" x14ac:dyDescent="0.25"/>
    <row r="24490" customFormat="1" x14ac:dyDescent="0.25"/>
    <row r="24491" customFormat="1" x14ac:dyDescent="0.25"/>
    <row r="24492" customFormat="1" x14ac:dyDescent="0.25"/>
    <row r="24493" customFormat="1" x14ac:dyDescent="0.25"/>
    <row r="24494" customFormat="1" x14ac:dyDescent="0.25"/>
    <row r="24495" customFormat="1" x14ac:dyDescent="0.25"/>
    <row r="24496" customFormat="1" x14ac:dyDescent="0.25"/>
    <row r="24497" customFormat="1" x14ac:dyDescent="0.25"/>
    <row r="24498" customFormat="1" x14ac:dyDescent="0.25"/>
    <row r="24499" customFormat="1" x14ac:dyDescent="0.25"/>
    <row r="24500" customFormat="1" x14ac:dyDescent="0.25"/>
    <row r="24501" customFormat="1" x14ac:dyDescent="0.25"/>
    <row r="24502" customFormat="1" x14ac:dyDescent="0.25"/>
    <row r="24503" customFormat="1" x14ac:dyDescent="0.25"/>
    <row r="24504" customFormat="1" x14ac:dyDescent="0.25"/>
    <row r="24505" customFormat="1" x14ac:dyDescent="0.25"/>
    <row r="24506" customFormat="1" x14ac:dyDescent="0.25"/>
    <row r="24507" customFormat="1" x14ac:dyDescent="0.25"/>
    <row r="24508" customFormat="1" x14ac:dyDescent="0.25"/>
    <row r="24509" customFormat="1" x14ac:dyDescent="0.25"/>
    <row r="24510" customFormat="1" x14ac:dyDescent="0.25"/>
    <row r="24511" customFormat="1" x14ac:dyDescent="0.25"/>
    <row r="24512" customFormat="1" x14ac:dyDescent="0.25"/>
    <row r="24513" customFormat="1" x14ac:dyDescent="0.25"/>
    <row r="24514" customFormat="1" x14ac:dyDescent="0.25"/>
    <row r="24515" customFormat="1" x14ac:dyDescent="0.25"/>
    <row r="24516" customFormat="1" x14ac:dyDescent="0.25"/>
    <row r="24517" customFormat="1" x14ac:dyDescent="0.25"/>
    <row r="24518" customFormat="1" x14ac:dyDescent="0.25"/>
    <row r="24519" customFormat="1" x14ac:dyDescent="0.25"/>
    <row r="24520" customFormat="1" x14ac:dyDescent="0.25"/>
    <row r="24521" customFormat="1" x14ac:dyDescent="0.25"/>
    <row r="24522" customFormat="1" x14ac:dyDescent="0.25"/>
    <row r="24523" customFormat="1" x14ac:dyDescent="0.25"/>
    <row r="24524" customFormat="1" x14ac:dyDescent="0.25"/>
    <row r="24525" customFormat="1" x14ac:dyDescent="0.25"/>
    <row r="24526" customFormat="1" x14ac:dyDescent="0.25"/>
    <row r="24527" customFormat="1" x14ac:dyDescent="0.25"/>
    <row r="24528" customFormat="1" x14ac:dyDescent="0.25"/>
    <row r="24529" customFormat="1" x14ac:dyDescent="0.25"/>
    <row r="24530" customFormat="1" x14ac:dyDescent="0.25"/>
    <row r="24531" customFormat="1" x14ac:dyDescent="0.25"/>
    <row r="24532" customFormat="1" x14ac:dyDescent="0.25"/>
    <row r="24533" customFormat="1" x14ac:dyDescent="0.25"/>
    <row r="24534" customFormat="1" x14ac:dyDescent="0.25"/>
    <row r="24535" customFormat="1" x14ac:dyDescent="0.25"/>
    <row r="24536" customFormat="1" x14ac:dyDescent="0.25"/>
    <row r="24537" customFormat="1" x14ac:dyDescent="0.25"/>
    <row r="24538" customFormat="1" x14ac:dyDescent="0.25"/>
    <row r="24539" customFormat="1" x14ac:dyDescent="0.25"/>
    <row r="24540" customFormat="1" x14ac:dyDescent="0.25"/>
    <row r="24541" customFormat="1" x14ac:dyDescent="0.25"/>
    <row r="24542" customFormat="1" x14ac:dyDescent="0.25"/>
    <row r="24543" customFormat="1" x14ac:dyDescent="0.25"/>
    <row r="24544" customFormat="1" x14ac:dyDescent="0.25"/>
    <row r="24545" customFormat="1" x14ac:dyDescent="0.25"/>
    <row r="24546" customFormat="1" x14ac:dyDescent="0.25"/>
    <row r="24547" customFormat="1" x14ac:dyDescent="0.25"/>
    <row r="24548" customFormat="1" x14ac:dyDescent="0.25"/>
    <row r="24549" customFormat="1" x14ac:dyDescent="0.25"/>
    <row r="24550" customFormat="1" x14ac:dyDescent="0.25"/>
    <row r="24551" customFormat="1" x14ac:dyDescent="0.25"/>
    <row r="24552" customFormat="1" x14ac:dyDescent="0.25"/>
    <row r="24553" customFormat="1" x14ac:dyDescent="0.25"/>
    <row r="24554" customFormat="1" x14ac:dyDescent="0.25"/>
    <row r="24555" customFormat="1" x14ac:dyDescent="0.25"/>
    <row r="24556" customFormat="1" x14ac:dyDescent="0.25"/>
    <row r="24557" customFormat="1" x14ac:dyDescent="0.25"/>
    <row r="24558" customFormat="1" x14ac:dyDescent="0.25"/>
    <row r="24559" customFormat="1" x14ac:dyDescent="0.25"/>
    <row r="24560" customFormat="1" x14ac:dyDescent="0.25"/>
    <row r="24561" customFormat="1" x14ac:dyDescent="0.25"/>
    <row r="24562" customFormat="1" x14ac:dyDescent="0.25"/>
    <row r="24563" customFormat="1" x14ac:dyDescent="0.25"/>
    <row r="24564" customFormat="1" x14ac:dyDescent="0.25"/>
    <row r="24565" customFormat="1" x14ac:dyDescent="0.25"/>
    <row r="24566" customFormat="1" x14ac:dyDescent="0.25"/>
    <row r="24567" customFormat="1" x14ac:dyDescent="0.25"/>
    <row r="24568" customFormat="1" x14ac:dyDescent="0.25"/>
    <row r="24569" customFormat="1" x14ac:dyDescent="0.25"/>
    <row r="24570" customFormat="1" x14ac:dyDescent="0.25"/>
    <row r="24571" customFormat="1" x14ac:dyDescent="0.25"/>
    <row r="24572" customFormat="1" x14ac:dyDescent="0.25"/>
    <row r="24573" customFormat="1" x14ac:dyDescent="0.25"/>
    <row r="24574" customFormat="1" x14ac:dyDescent="0.25"/>
    <row r="24575" customFormat="1" x14ac:dyDescent="0.25"/>
    <row r="24576" customFormat="1" x14ac:dyDescent="0.25"/>
    <row r="24577" customFormat="1" x14ac:dyDescent="0.25"/>
    <row r="24578" customFormat="1" x14ac:dyDescent="0.25"/>
    <row r="24579" customFormat="1" x14ac:dyDescent="0.25"/>
    <row r="24580" customFormat="1" x14ac:dyDescent="0.25"/>
    <row r="24581" customFormat="1" x14ac:dyDescent="0.25"/>
    <row r="24582" customFormat="1" x14ac:dyDescent="0.25"/>
    <row r="24583" customFormat="1" x14ac:dyDescent="0.25"/>
    <row r="24584" customFormat="1" x14ac:dyDescent="0.25"/>
    <row r="24585" customFormat="1" x14ac:dyDescent="0.25"/>
    <row r="24586" customFormat="1" x14ac:dyDescent="0.25"/>
    <row r="24587" customFormat="1" x14ac:dyDescent="0.25"/>
    <row r="24588" customFormat="1" x14ac:dyDescent="0.25"/>
    <row r="24589" customFormat="1" x14ac:dyDescent="0.25"/>
    <row r="24590" customFormat="1" x14ac:dyDescent="0.25"/>
    <row r="24591" customFormat="1" x14ac:dyDescent="0.25"/>
    <row r="24592" customFormat="1" x14ac:dyDescent="0.25"/>
    <row r="24593" customFormat="1" x14ac:dyDescent="0.25"/>
    <row r="24594" customFormat="1" x14ac:dyDescent="0.25"/>
    <row r="24595" customFormat="1" x14ac:dyDescent="0.25"/>
    <row r="24596" customFormat="1" x14ac:dyDescent="0.25"/>
    <row r="24597" customFormat="1" x14ac:dyDescent="0.25"/>
    <row r="24598" customFormat="1" x14ac:dyDescent="0.25"/>
    <row r="24599" customFormat="1" x14ac:dyDescent="0.25"/>
    <row r="24600" customFormat="1" x14ac:dyDescent="0.25"/>
    <row r="24601" customFormat="1" x14ac:dyDescent="0.25"/>
    <row r="24602" customFormat="1" x14ac:dyDescent="0.25"/>
    <row r="24603" customFormat="1" x14ac:dyDescent="0.25"/>
    <row r="24604" customFormat="1" x14ac:dyDescent="0.25"/>
    <row r="24605" customFormat="1" x14ac:dyDescent="0.25"/>
    <row r="24606" customFormat="1" x14ac:dyDescent="0.25"/>
    <row r="24607" customFormat="1" x14ac:dyDescent="0.25"/>
    <row r="24608" customFormat="1" x14ac:dyDescent="0.25"/>
    <row r="24609" customFormat="1" x14ac:dyDescent="0.25"/>
    <row r="24610" customFormat="1" x14ac:dyDescent="0.25"/>
    <row r="24611" customFormat="1" x14ac:dyDescent="0.25"/>
    <row r="24612" customFormat="1" x14ac:dyDescent="0.25"/>
    <row r="24613" customFormat="1" x14ac:dyDescent="0.25"/>
    <row r="24614" customFormat="1" x14ac:dyDescent="0.25"/>
    <row r="24615" customFormat="1" x14ac:dyDescent="0.25"/>
    <row r="24616" customFormat="1" x14ac:dyDescent="0.25"/>
    <row r="24617" customFormat="1" x14ac:dyDescent="0.25"/>
    <row r="24618" customFormat="1" x14ac:dyDescent="0.25"/>
    <row r="24619" customFormat="1" x14ac:dyDescent="0.25"/>
    <row r="24620" customFormat="1" x14ac:dyDescent="0.25"/>
    <row r="24621" customFormat="1" x14ac:dyDescent="0.25"/>
    <row r="24622" customFormat="1" x14ac:dyDescent="0.25"/>
    <row r="24623" customFormat="1" x14ac:dyDescent="0.25"/>
    <row r="24624" customFormat="1" x14ac:dyDescent="0.25"/>
    <row r="24625" customFormat="1" x14ac:dyDescent="0.25"/>
    <row r="24626" customFormat="1" x14ac:dyDescent="0.25"/>
    <row r="24627" customFormat="1" x14ac:dyDescent="0.25"/>
    <row r="24628" customFormat="1" x14ac:dyDescent="0.25"/>
    <row r="24629" customFormat="1" x14ac:dyDescent="0.25"/>
    <row r="24630" customFormat="1" x14ac:dyDescent="0.25"/>
    <row r="24631" customFormat="1" x14ac:dyDescent="0.25"/>
    <row r="24632" customFormat="1" x14ac:dyDescent="0.25"/>
    <row r="24633" customFormat="1" x14ac:dyDescent="0.25"/>
    <row r="24634" customFormat="1" x14ac:dyDescent="0.25"/>
    <row r="24635" customFormat="1" x14ac:dyDescent="0.25"/>
    <row r="24636" customFormat="1" x14ac:dyDescent="0.25"/>
    <row r="24637" customFormat="1" x14ac:dyDescent="0.25"/>
    <row r="24638" customFormat="1" x14ac:dyDescent="0.25"/>
    <row r="24639" customFormat="1" x14ac:dyDescent="0.25"/>
    <row r="24640" customFormat="1" x14ac:dyDescent="0.25"/>
    <row r="24641" customFormat="1" x14ac:dyDescent="0.25"/>
    <row r="24642" customFormat="1" x14ac:dyDescent="0.25"/>
    <row r="24643" customFormat="1" x14ac:dyDescent="0.25"/>
    <row r="24644" customFormat="1" x14ac:dyDescent="0.25"/>
    <row r="24645" customFormat="1" x14ac:dyDescent="0.25"/>
    <row r="24646" customFormat="1" x14ac:dyDescent="0.25"/>
    <row r="24647" customFormat="1" x14ac:dyDescent="0.25"/>
    <row r="24648" customFormat="1" x14ac:dyDescent="0.25"/>
    <row r="24649" customFormat="1" x14ac:dyDescent="0.25"/>
    <row r="24650" customFormat="1" x14ac:dyDescent="0.25"/>
    <row r="24651" customFormat="1" x14ac:dyDescent="0.25"/>
    <row r="24652" customFormat="1" x14ac:dyDescent="0.25"/>
    <row r="24653" customFormat="1" x14ac:dyDescent="0.25"/>
    <row r="24654" customFormat="1" x14ac:dyDescent="0.25"/>
    <row r="24655" customFormat="1" x14ac:dyDescent="0.25"/>
    <row r="24656" customFormat="1" x14ac:dyDescent="0.25"/>
    <row r="24657" customFormat="1" x14ac:dyDescent="0.25"/>
    <row r="24658" customFormat="1" x14ac:dyDescent="0.25"/>
    <row r="24659" customFormat="1" x14ac:dyDescent="0.25"/>
    <row r="24660" customFormat="1" x14ac:dyDescent="0.25"/>
    <row r="24661" customFormat="1" x14ac:dyDescent="0.25"/>
    <row r="24662" customFormat="1" x14ac:dyDescent="0.25"/>
    <row r="24663" customFormat="1" x14ac:dyDescent="0.25"/>
    <row r="24664" customFormat="1" x14ac:dyDescent="0.25"/>
    <row r="24665" customFormat="1" x14ac:dyDescent="0.25"/>
    <row r="24666" customFormat="1" x14ac:dyDescent="0.25"/>
    <row r="24667" customFormat="1" x14ac:dyDescent="0.25"/>
    <row r="24668" customFormat="1" x14ac:dyDescent="0.25"/>
    <row r="24669" customFormat="1" x14ac:dyDescent="0.25"/>
    <row r="24670" customFormat="1" x14ac:dyDescent="0.25"/>
    <row r="24671" customFormat="1" x14ac:dyDescent="0.25"/>
    <row r="24672" customFormat="1" x14ac:dyDescent="0.25"/>
    <row r="24673" customFormat="1" x14ac:dyDescent="0.25"/>
    <row r="24674" customFormat="1" x14ac:dyDescent="0.25"/>
    <row r="24675" customFormat="1" x14ac:dyDescent="0.25"/>
    <row r="24676" customFormat="1" x14ac:dyDescent="0.25"/>
    <row r="24677" customFormat="1" x14ac:dyDescent="0.25"/>
    <row r="24678" customFormat="1" x14ac:dyDescent="0.25"/>
    <row r="24679" customFormat="1" x14ac:dyDescent="0.25"/>
    <row r="24680" customFormat="1" x14ac:dyDescent="0.25"/>
    <row r="24681" customFormat="1" x14ac:dyDescent="0.25"/>
    <row r="24682" customFormat="1" x14ac:dyDescent="0.25"/>
    <row r="24683" customFormat="1" x14ac:dyDescent="0.25"/>
    <row r="24684" customFormat="1" x14ac:dyDescent="0.25"/>
    <row r="24685" customFormat="1" x14ac:dyDescent="0.25"/>
    <row r="24686" customFormat="1" x14ac:dyDescent="0.25"/>
    <row r="24687" customFormat="1" x14ac:dyDescent="0.25"/>
    <row r="24688" customFormat="1" x14ac:dyDescent="0.25"/>
    <row r="24689" customFormat="1" x14ac:dyDescent="0.25"/>
    <row r="24690" customFormat="1" x14ac:dyDescent="0.25"/>
    <row r="24691" customFormat="1" x14ac:dyDescent="0.25"/>
    <row r="24692" customFormat="1" x14ac:dyDescent="0.25"/>
    <row r="24693" customFormat="1" x14ac:dyDescent="0.25"/>
    <row r="24694" customFormat="1" x14ac:dyDescent="0.25"/>
    <row r="24695" customFormat="1" x14ac:dyDescent="0.25"/>
    <row r="24696" customFormat="1" x14ac:dyDescent="0.25"/>
    <row r="24697" customFormat="1" x14ac:dyDescent="0.25"/>
    <row r="24698" customFormat="1" x14ac:dyDescent="0.25"/>
    <row r="24699" customFormat="1" x14ac:dyDescent="0.25"/>
    <row r="24700" customFormat="1" x14ac:dyDescent="0.25"/>
    <row r="24701" customFormat="1" x14ac:dyDescent="0.25"/>
    <row r="24702" customFormat="1" x14ac:dyDescent="0.25"/>
    <row r="24703" customFormat="1" x14ac:dyDescent="0.25"/>
    <row r="24704" customFormat="1" x14ac:dyDescent="0.25"/>
    <row r="24705" customFormat="1" x14ac:dyDescent="0.25"/>
    <row r="24706" customFormat="1" x14ac:dyDescent="0.25"/>
    <row r="24707" customFormat="1" x14ac:dyDescent="0.25"/>
    <row r="24708" customFormat="1" x14ac:dyDescent="0.25"/>
    <row r="24709" customFormat="1" x14ac:dyDescent="0.25"/>
    <row r="24710" customFormat="1" x14ac:dyDescent="0.25"/>
    <row r="24711" customFormat="1" x14ac:dyDescent="0.25"/>
    <row r="24712" customFormat="1" x14ac:dyDescent="0.25"/>
    <row r="24713" customFormat="1" x14ac:dyDescent="0.25"/>
    <row r="24714" customFormat="1" x14ac:dyDescent="0.25"/>
    <row r="24715" customFormat="1" x14ac:dyDescent="0.25"/>
    <row r="24716" customFormat="1" x14ac:dyDescent="0.25"/>
    <row r="24717" customFormat="1" x14ac:dyDescent="0.25"/>
    <row r="24718" customFormat="1" x14ac:dyDescent="0.25"/>
    <row r="24719" customFormat="1" x14ac:dyDescent="0.25"/>
    <row r="24720" customFormat="1" x14ac:dyDescent="0.25"/>
    <row r="24721" customFormat="1" x14ac:dyDescent="0.25"/>
    <row r="24722" customFormat="1" x14ac:dyDescent="0.25"/>
    <row r="24723" customFormat="1" x14ac:dyDescent="0.25"/>
    <row r="24724" customFormat="1" x14ac:dyDescent="0.25"/>
    <row r="24725" customFormat="1" x14ac:dyDescent="0.25"/>
    <row r="24726" customFormat="1" x14ac:dyDescent="0.25"/>
    <row r="24727" customFormat="1" x14ac:dyDescent="0.25"/>
    <row r="24728" customFormat="1" x14ac:dyDescent="0.25"/>
    <row r="24729" customFormat="1" x14ac:dyDescent="0.25"/>
    <row r="24730" customFormat="1" x14ac:dyDescent="0.25"/>
    <row r="24731" customFormat="1" x14ac:dyDescent="0.25"/>
    <row r="24732" customFormat="1" x14ac:dyDescent="0.25"/>
    <row r="24733" customFormat="1" x14ac:dyDescent="0.25"/>
    <row r="24734" customFormat="1" x14ac:dyDescent="0.25"/>
    <row r="24735" customFormat="1" x14ac:dyDescent="0.25"/>
    <row r="24736" customFormat="1" x14ac:dyDescent="0.25"/>
    <row r="24737" customFormat="1" x14ac:dyDescent="0.25"/>
    <row r="24738" customFormat="1" x14ac:dyDescent="0.25"/>
    <row r="24739" customFormat="1" x14ac:dyDescent="0.25"/>
    <row r="24740" customFormat="1" x14ac:dyDescent="0.25"/>
    <row r="24741" customFormat="1" x14ac:dyDescent="0.25"/>
    <row r="24742" customFormat="1" x14ac:dyDescent="0.25"/>
    <row r="24743" customFormat="1" x14ac:dyDescent="0.25"/>
    <row r="24744" customFormat="1" x14ac:dyDescent="0.25"/>
    <row r="24745" customFormat="1" x14ac:dyDescent="0.25"/>
    <row r="24746" customFormat="1" x14ac:dyDescent="0.25"/>
    <row r="24747" customFormat="1" x14ac:dyDescent="0.25"/>
    <row r="24748" customFormat="1" x14ac:dyDescent="0.25"/>
    <row r="24749" customFormat="1" x14ac:dyDescent="0.25"/>
    <row r="24750" customFormat="1" x14ac:dyDescent="0.25"/>
    <row r="24751" customFormat="1" x14ac:dyDescent="0.25"/>
    <row r="24752" customFormat="1" x14ac:dyDescent="0.25"/>
    <row r="24753" customFormat="1" x14ac:dyDescent="0.25"/>
    <row r="24754" customFormat="1" x14ac:dyDescent="0.25"/>
    <row r="24755" customFormat="1" x14ac:dyDescent="0.25"/>
    <row r="24756" customFormat="1" x14ac:dyDescent="0.25"/>
    <row r="24757" customFormat="1" x14ac:dyDescent="0.25"/>
    <row r="24758" customFormat="1" x14ac:dyDescent="0.25"/>
    <row r="24759" customFormat="1" x14ac:dyDescent="0.25"/>
    <row r="24760" customFormat="1" x14ac:dyDescent="0.25"/>
    <row r="24761" customFormat="1" x14ac:dyDescent="0.25"/>
    <row r="24762" customFormat="1" x14ac:dyDescent="0.25"/>
    <row r="24763" customFormat="1" x14ac:dyDescent="0.25"/>
    <row r="24764" customFormat="1" x14ac:dyDescent="0.25"/>
    <row r="24765" customFormat="1" x14ac:dyDescent="0.25"/>
    <row r="24766" customFormat="1" x14ac:dyDescent="0.25"/>
    <row r="24767" customFormat="1" x14ac:dyDescent="0.25"/>
    <row r="24768" customFormat="1" x14ac:dyDescent="0.25"/>
    <row r="24769" customFormat="1" x14ac:dyDescent="0.25"/>
    <row r="24770" customFormat="1" x14ac:dyDescent="0.25"/>
    <row r="24771" customFormat="1" x14ac:dyDescent="0.25"/>
    <row r="24772" customFormat="1" x14ac:dyDescent="0.25"/>
    <row r="24773" customFormat="1" x14ac:dyDescent="0.25"/>
    <row r="24774" customFormat="1" x14ac:dyDescent="0.25"/>
    <row r="24775" customFormat="1" x14ac:dyDescent="0.25"/>
    <row r="24776" customFormat="1" x14ac:dyDescent="0.25"/>
    <row r="24777" customFormat="1" x14ac:dyDescent="0.25"/>
    <row r="24778" customFormat="1" x14ac:dyDescent="0.25"/>
    <row r="24779" customFormat="1" x14ac:dyDescent="0.25"/>
    <row r="24780" customFormat="1" x14ac:dyDescent="0.25"/>
    <row r="24781" customFormat="1" x14ac:dyDescent="0.25"/>
    <row r="24782" customFormat="1" x14ac:dyDescent="0.25"/>
    <row r="24783" customFormat="1" x14ac:dyDescent="0.25"/>
    <row r="24784" customFormat="1" x14ac:dyDescent="0.25"/>
    <row r="24785" customFormat="1" x14ac:dyDescent="0.25"/>
    <row r="24786" customFormat="1" x14ac:dyDescent="0.25"/>
    <row r="24787" customFormat="1" x14ac:dyDescent="0.25"/>
    <row r="24788" customFormat="1" x14ac:dyDescent="0.25"/>
    <row r="24789" customFormat="1" x14ac:dyDescent="0.25"/>
    <row r="24790" customFormat="1" x14ac:dyDescent="0.25"/>
    <row r="24791" customFormat="1" x14ac:dyDescent="0.25"/>
    <row r="24792" customFormat="1" x14ac:dyDescent="0.25"/>
    <row r="24793" customFormat="1" x14ac:dyDescent="0.25"/>
    <row r="24794" customFormat="1" x14ac:dyDescent="0.25"/>
    <row r="24795" customFormat="1" x14ac:dyDescent="0.25"/>
    <row r="24796" customFormat="1" x14ac:dyDescent="0.25"/>
    <row r="24797" customFormat="1" x14ac:dyDescent="0.25"/>
    <row r="24798" customFormat="1" x14ac:dyDescent="0.25"/>
    <row r="24799" customFormat="1" x14ac:dyDescent="0.25"/>
    <row r="24800" customFormat="1" x14ac:dyDescent="0.25"/>
    <row r="24801" customFormat="1" x14ac:dyDescent="0.25"/>
    <row r="24802" customFormat="1" x14ac:dyDescent="0.25"/>
    <row r="24803" customFormat="1" x14ac:dyDescent="0.25"/>
    <row r="24804" customFormat="1" x14ac:dyDescent="0.25"/>
    <row r="24805" customFormat="1" x14ac:dyDescent="0.25"/>
    <row r="24806" customFormat="1" x14ac:dyDescent="0.25"/>
    <row r="24807" customFormat="1" x14ac:dyDescent="0.25"/>
    <row r="24808" customFormat="1" x14ac:dyDescent="0.25"/>
    <row r="24809" customFormat="1" x14ac:dyDescent="0.25"/>
    <row r="24810" customFormat="1" x14ac:dyDescent="0.25"/>
    <row r="24811" customFormat="1" x14ac:dyDescent="0.25"/>
    <row r="24812" customFormat="1" x14ac:dyDescent="0.25"/>
    <row r="24813" customFormat="1" x14ac:dyDescent="0.25"/>
    <row r="24814" customFormat="1" x14ac:dyDescent="0.25"/>
    <row r="24815" customFormat="1" x14ac:dyDescent="0.25"/>
    <row r="24816" customFormat="1" x14ac:dyDescent="0.25"/>
    <row r="24817" customFormat="1" x14ac:dyDescent="0.25"/>
    <row r="24818" customFormat="1" x14ac:dyDescent="0.25"/>
    <row r="24819" customFormat="1" x14ac:dyDescent="0.25"/>
    <row r="24820" customFormat="1" x14ac:dyDescent="0.25"/>
    <row r="24821" customFormat="1" x14ac:dyDescent="0.25"/>
    <row r="24822" customFormat="1" x14ac:dyDescent="0.25"/>
    <row r="24823" customFormat="1" x14ac:dyDescent="0.25"/>
    <row r="24824" customFormat="1" x14ac:dyDescent="0.25"/>
    <row r="24825" customFormat="1" x14ac:dyDescent="0.25"/>
    <row r="24826" customFormat="1" x14ac:dyDescent="0.25"/>
    <row r="24827" customFormat="1" x14ac:dyDescent="0.25"/>
    <row r="24828" customFormat="1" x14ac:dyDescent="0.25"/>
    <row r="24829" customFormat="1" x14ac:dyDescent="0.25"/>
    <row r="24830" customFormat="1" x14ac:dyDescent="0.25"/>
    <row r="24831" customFormat="1" x14ac:dyDescent="0.25"/>
    <row r="24832" customFormat="1" x14ac:dyDescent="0.25"/>
    <row r="24833" customFormat="1" x14ac:dyDescent="0.25"/>
    <row r="24834" customFormat="1" x14ac:dyDescent="0.25"/>
    <row r="24835" customFormat="1" x14ac:dyDescent="0.25"/>
    <row r="24836" customFormat="1" x14ac:dyDescent="0.25"/>
    <row r="24837" customFormat="1" x14ac:dyDescent="0.25"/>
    <row r="24838" customFormat="1" x14ac:dyDescent="0.25"/>
    <row r="24839" customFormat="1" x14ac:dyDescent="0.25"/>
    <row r="24840" customFormat="1" x14ac:dyDescent="0.25"/>
    <row r="24841" customFormat="1" x14ac:dyDescent="0.25"/>
    <row r="24842" customFormat="1" x14ac:dyDescent="0.25"/>
    <row r="24843" customFormat="1" x14ac:dyDescent="0.25"/>
    <row r="24844" customFormat="1" x14ac:dyDescent="0.25"/>
    <row r="24845" customFormat="1" x14ac:dyDescent="0.25"/>
    <row r="24846" customFormat="1" x14ac:dyDescent="0.25"/>
    <row r="24847" customFormat="1" x14ac:dyDescent="0.25"/>
    <row r="24848" customFormat="1" x14ac:dyDescent="0.25"/>
    <row r="24849" customFormat="1" x14ac:dyDescent="0.25"/>
    <row r="24850" customFormat="1" x14ac:dyDescent="0.25"/>
    <row r="24851" customFormat="1" x14ac:dyDescent="0.25"/>
    <row r="24852" customFormat="1" x14ac:dyDescent="0.25"/>
    <row r="24853" customFormat="1" x14ac:dyDescent="0.25"/>
    <row r="24854" customFormat="1" x14ac:dyDescent="0.25"/>
    <row r="24855" customFormat="1" x14ac:dyDescent="0.25"/>
    <row r="24856" customFormat="1" x14ac:dyDescent="0.25"/>
    <row r="24857" customFormat="1" x14ac:dyDescent="0.25"/>
    <row r="24858" customFormat="1" x14ac:dyDescent="0.25"/>
    <row r="24859" customFormat="1" x14ac:dyDescent="0.25"/>
    <row r="24860" customFormat="1" x14ac:dyDescent="0.25"/>
    <row r="24861" customFormat="1" x14ac:dyDescent="0.25"/>
    <row r="24862" customFormat="1" x14ac:dyDescent="0.25"/>
    <row r="24863" customFormat="1" x14ac:dyDescent="0.25"/>
    <row r="24864" customFormat="1" x14ac:dyDescent="0.25"/>
    <row r="24865" customFormat="1" x14ac:dyDescent="0.25"/>
    <row r="24866" customFormat="1" x14ac:dyDescent="0.25"/>
    <row r="24867" customFormat="1" x14ac:dyDescent="0.25"/>
    <row r="24868" customFormat="1" x14ac:dyDescent="0.25"/>
    <row r="24869" customFormat="1" x14ac:dyDescent="0.25"/>
    <row r="24870" customFormat="1" x14ac:dyDescent="0.25"/>
    <row r="24871" customFormat="1" x14ac:dyDescent="0.25"/>
    <row r="24872" customFormat="1" x14ac:dyDescent="0.25"/>
    <row r="24873" customFormat="1" x14ac:dyDescent="0.25"/>
    <row r="24874" customFormat="1" x14ac:dyDescent="0.25"/>
    <row r="24875" customFormat="1" x14ac:dyDescent="0.25"/>
    <row r="24876" customFormat="1" x14ac:dyDescent="0.25"/>
    <row r="24877" customFormat="1" x14ac:dyDescent="0.25"/>
    <row r="24878" customFormat="1" x14ac:dyDescent="0.25"/>
    <row r="24879" customFormat="1" x14ac:dyDescent="0.25"/>
    <row r="24880" customFormat="1" x14ac:dyDescent="0.25"/>
    <row r="24881" customFormat="1" x14ac:dyDescent="0.25"/>
    <row r="24882" customFormat="1" x14ac:dyDescent="0.25"/>
    <row r="24883" customFormat="1" x14ac:dyDescent="0.25"/>
    <row r="24884" customFormat="1" x14ac:dyDescent="0.25"/>
    <row r="24885" customFormat="1" x14ac:dyDescent="0.25"/>
    <row r="24886" customFormat="1" x14ac:dyDescent="0.25"/>
    <row r="24887" customFormat="1" x14ac:dyDescent="0.25"/>
    <row r="24888" customFormat="1" x14ac:dyDescent="0.25"/>
    <row r="24889" customFormat="1" x14ac:dyDescent="0.25"/>
    <row r="24890" customFormat="1" x14ac:dyDescent="0.25"/>
    <row r="24891" customFormat="1" x14ac:dyDescent="0.25"/>
    <row r="24892" customFormat="1" x14ac:dyDescent="0.25"/>
    <row r="24893" customFormat="1" x14ac:dyDescent="0.25"/>
    <row r="24894" customFormat="1" x14ac:dyDescent="0.25"/>
    <row r="24895" customFormat="1" x14ac:dyDescent="0.25"/>
    <row r="24896" customFormat="1" x14ac:dyDescent="0.25"/>
    <row r="24897" customFormat="1" x14ac:dyDescent="0.25"/>
    <row r="24898" customFormat="1" x14ac:dyDescent="0.25"/>
    <row r="24899" customFormat="1" x14ac:dyDescent="0.25"/>
    <row r="24900" customFormat="1" x14ac:dyDescent="0.25"/>
    <row r="24901" customFormat="1" x14ac:dyDescent="0.25"/>
    <row r="24902" customFormat="1" x14ac:dyDescent="0.25"/>
    <row r="24903" customFormat="1" x14ac:dyDescent="0.25"/>
    <row r="24904" customFormat="1" x14ac:dyDescent="0.25"/>
    <row r="24905" customFormat="1" x14ac:dyDescent="0.25"/>
    <row r="24906" customFormat="1" x14ac:dyDescent="0.25"/>
    <row r="24907" customFormat="1" x14ac:dyDescent="0.25"/>
    <row r="24908" customFormat="1" x14ac:dyDescent="0.25"/>
    <row r="24909" customFormat="1" x14ac:dyDescent="0.25"/>
    <row r="24910" customFormat="1" x14ac:dyDescent="0.25"/>
    <row r="24911" customFormat="1" x14ac:dyDescent="0.25"/>
    <row r="24912" customFormat="1" x14ac:dyDescent="0.25"/>
    <row r="24913" customFormat="1" x14ac:dyDescent="0.25"/>
    <row r="24914" customFormat="1" x14ac:dyDescent="0.25"/>
    <row r="24915" customFormat="1" x14ac:dyDescent="0.25"/>
    <row r="24916" customFormat="1" x14ac:dyDescent="0.25"/>
    <row r="24917" customFormat="1" x14ac:dyDescent="0.25"/>
    <row r="24918" customFormat="1" x14ac:dyDescent="0.25"/>
    <row r="24919" customFormat="1" x14ac:dyDescent="0.25"/>
    <row r="24920" customFormat="1" x14ac:dyDescent="0.25"/>
    <row r="24921" customFormat="1" x14ac:dyDescent="0.25"/>
    <row r="24922" customFormat="1" x14ac:dyDescent="0.25"/>
    <row r="24923" customFormat="1" x14ac:dyDescent="0.25"/>
    <row r="24924" customFormat="1" x14ac:dyDescent="0.25"/>
    <row r="24925" customFormat="1" x14ac:dyDescent="0.25"/>
    <row r="24926" customFormat="1" x14ac:dyDescent="0.25"/>
    <row r="24927" customFormat="1" x14ac:dyDescent="0.25"/>
    <row r="24928" customFormat="1" x14ac:dyDescent="0.25"/>
    <row r="24929" customFormat="1" x14ac:dyDescent="0.25"/>
    <row r="24930" customFormat="1" x14ac:dyDescent="0.25"/>
    <row r="24931" customFormat="1" x14ac:dyDescent="0.25"/>
    <row r="24932" customFormat="1" x14ac:dyDescent="0.25"/>
    <row r="24933" customFormat="1" x14ac:dyDescent="0.25"/>
    <row r="24934" customFormat="1" x14ac:dyDescent="0.25"/>
    <row r="24935" customFormat="1" x14ac:dyDescent="0.25"/>
    <row r="24936" customFormat="1" x14ac:dyDescent="0.25"/>
    <row r="24937" customFormat="1" x14ac:dyDescent="0.25"/>
    <row r="24938" customFormat="1" x14ac:dyDescent="0.25"/>
    <row r="24939" customFormat="1" x14ac:dyDescent="0.25"/>
    <row r="24940" customFormat="1" x14ac:dyDescent="0.25"/>
    <row r="24941" customFormat="1" x14ac:dyDescent="0.25"/>
    <row r="24942" customFormat="1" x14ac:dyDescent="0.25"/>
    <row r="24943" customFormat="1" x14ac:dyDescent="0.25"/>
    <row r="24944" customFormat="1" x14ac:dyDescent="0.25"/>
    <row r="24945" customFormat="1" x14ac:dyDescent="0.25"/>
    <row r="24946" customFormat="1" x14ac:dyDescent="0.25"/>
    <row r="24947" customFormat="1" x14ac:dyDescent="0.25"/>
    <row r="24948" customFormat="1" x14ac:dyDescent="0.25"/>
    <row r="24949" customFormat="1" x14ac:dyDescent="0.25"/>
    <row r="24950" customFormat="1" x14ac:dyDescent="0.25"/>
    <row r="24951" customFormat="1" x14ac:dyDescent="0.25"/>
    <row r="24952" customFormat="1" x14ac:dyDescent="0.25"/>
    <row r="24953" customFormat="1" x14ac:dyDescent="0.25"/>
    <row r="24954" customFormat="1" x14ac:dyDescent="0.25"/>
    <row r="24955" customFormat="1" x14ac:dyDescent="0.25"/>
    <row r="24956" customFormat="1" x14ac:dyDescent="0.25"/>
    <row r="24957" customFormat="1" x14ac:dyDescent="0.25"/>
    <row r="24958" customFormat="1" x14ac:dyDescent="0.25"/>
    <row r="24959" customFormat="1" x14ac:dyDescent="0.25"/>
    <row r="24960" customFormat="1" x14ac:dyDescent="0.25"/>
    <row r="24961" customFormat="1" x14ac:dyDescent="0.25"/>
    <row r="24962" customFormat="1" x14ac:dyDescent="0.25"/>
    <row r="24963" customFormat="1" x14ac:dyDescent="0.25"/>
    <row r="24964" customFormat="1" x14ac:dyDescent="0.25"/>
    <row r="24965" customFormat="1" x14ac:dyDescent="0.25"/>
    <row r="24966" customFormat="1" x14ac:dyDescent="0.25"/>
    <row r="24967" customFormat="1" x14ac:dyDescent="0.25"/>
    <row r="24968" customFormat="1" x14ac:dyDescent="0.25"/>
    <row r="24969" customFormat="1" x14ac:dyDescent="0.25"/>
    <row r="24970" customFormat="1" x14ac:dyDescent="0.25"/>
    <row r="24971" customFormat="1" x14ac:dyDescent="0.25"/>
    <row r="24972" customFormat="1" x14ac:dyDescent="0.25"/>
    <row r="24973" customFormat="1" x14ac:dyDescent="0.25"/>
    <row r="24974" customFormat="1" x14ac:dyDescent="0.25"/>
    <row r="24975" customFormat="1" x14ac:dyDescent="0.25"/>
    <row r="24976" customFormat="1" x14ac:dyDescent="0.25"/>
    <row r="24977" customFormat="1" x14ac:dyDescent="0.25"/>
    <row r="24978" customFormat="1" x14ac:dyDescent="0.25"/>
    <row r="24979" customFormat="1" x14ac:dyDescent="0.25"/>
    <row r="24980" customFormat="1" x14ac:dyDescent="0.25"/>
    <row r="24981" customFormat="1" x14ac:dyDescent="0.25"/>
    <row r="24982" customFormat="1" x14ac:dyDescent="0.25"/>
    <row r="24983" customFormat="1" x14ac:dyDescent="0.25"/>
    <row r="24984" customFormat="1" x14ac:dyDescent="0.25"/>
    <row r="24985" customFormat="1" x14ac:dyDescent="0.25"/>
    <row r="24986" customFormat="1" x14ac:dyDescent="0.25"/>
    <row r="24987" customFormat="1" x14ac:dyDescent="0.25"/>
    <row r="24988" customFormat="1" x14ac:dyDescent="0.25"/>
    <row r="24989" customFormat="1" x14ac:dyDescent="0.25"/>
    <row r="24990" customFormat="1" x14ac:dyDescent="0.25"/>
    <row r="24991" customFormat="1" x14ac:dyDescent="0.25"/>
    <row r="24992" customFormat="1" x14ac:dyDescent="0.25"/>
    <row r="24993" customFormat="1" x14ac:dyDescent="0.25"/>
    <row r="24994" customFormat="1" x14ac:dyDescent="0.25"/>
    <row r="24995" customFormat="1" x14ac:dyDescent="0.25"/>
    <row r="24996" customFormat="1" x14ac:dyDescent="0.25"/>
    <row r="24997" customFormat="1" x14ac:dyDescent="0.25"/>
    <row r="24998" customFormat="1" x14ac:dyDescent="0.25"/>
    <row r="24999" customFormat="1" x14ac:dyDescent="0.25"/>
    <row r="25000" customFormat="1" x14ac:dyDescent="0.25"/>
    <row r="25001" customFormat="1" x14ac:dyDescent="0.25"/>
    <row r="25002" customFormat="1" x14ac:dyDescent="0.25"/>
    <row r="25003" customFormat="1" x14ac:dyDescent="0.25"/>
    <row r="25004" customFormat="1" x14ac:dyDescent="0.25"/>
    <row r="25005" customFormat="1" x14ac:dyDescent="0.25"/>
    <row r="25006" customFormat="1" x14ac:dyDescent="0.25"/>
    <row r="25007" customFormat="1" x14ac:dyDescent="0.25"/>
    <row r="25008" customFormat="1" x14ac:dyDescent="0.25"/>
    <row r="25009" customFormat="1" x14ac:dyDescent="0.25"/>
    <row r="25010" customFormat="1" x14ac:dyDescent="0.25"/>
    <row r="25011" customFormat="1" x14ac:dyDescent="0.25"/>
    <row r="25012" customFormat="1" x14ac:dyDescent="0.25"/>
    <row r="25013" customFormat="1" x14ac:dyDescent="0.25"/>
    <row r="25014" customFormat="1" x14ac:dyDescent="0.25"/>
    <row r="25015" customFormat="1" x14ac:dyDescent="0.25"/>
    <row r="25016" customFormat="1" x14ac:dyDescent="0.25"/>
    <row r="25017" customFormat="1" x14ac:dyDescent="0.25"/>
    <row r="25018" customFormat="1" x14ac:dyDescent="0.25"/>
    <row r="25019" customFormat="1" x14ac:dyDescent="0.25"/>
    <row r="25020" customFormat="1" x14ac:dyDescent="0.25"/>
    <row r="25021" customFormat="1" x14ac:dyDescent="0.25"/>
    <row r="25022" customFormat="1" x14ac:dyDescent="0.25"/>
    <row r="25023" customFormat="1" x14ac:dyDescent="0.25"/>
    <row r="25024" customFormat="1" x14ac:dyDescent="0.25"/>
    <row r="25025" customFormat="1" x14ac:dyDescent="0.25"/>
    <row r="25026" customFormat="1" x14ac:dyDescent="0.25"/>
    <row r="25027" customFormat="1" x14ac:dyDescent="0.25"/>
    <row r="25028" customFormat="1" x14ac:dyDescent="0.25"/>
    <row r="25029" customFormat="1" x14ac:dyDescent="0.25"/>
    <row r="25030" customFormat="1" x14ac:dyDescent="0.25"/>
    <row r="25031" customFormat="1" x14ac:dyDescent="0.25"/>
    <row r="25032" customFormat="1" x14ac:dyDescent="0.25"/>
    <row r="25033" customFormat="1" x14ac:dyDescent="0.25"/>
    <row r="25034" customFormat="1" x14ac:dyDescent="0.25"/>
    <row r="25035" customFormat="1" x14ac:dyDescent="0.25"/>
    <row r="25036" customFormat="1" x14ac:dyDescent="0.25"/>
    <row r="25037" customFormat="1" x14ac:dyDescent="0.25"/>
    <row r="25038" customFormat="1" x14ac:dyDescent="0.25"/>
    <row r="25039" customFormat="1" x14ac:dyDescent="0.25"/>
    <row r="25040" customFormat="1" x14ac:dyDescent="0.25"/>
    <row r="25041" customFormat="1" x14ac:dyDescent="0.25"/>
    <row r="25042" customFormat="1" x14ac:dyDescent="0.25"/>
    <row r="25043" customFormat="1" x14ac:dyDescent="0.25"/>
    <row r="25044" customFormat="1" x14ac:dyDescent="0.25"/>
    <row r="25045" customFormat="1" x14ac:dyDescent="0.25"/>
    <row r="25046" customFormat="1" x14ac:dyDescent="0.25"/>
    <row r="25047" customFormat="1" x14ac:dyDescent="0.25"/>
    <row r="25048" customFormat="1" x14ac:dyDescent="0.25"/>
    <row r="25049" customFormat="1" x14ac:dyDescent="0.25"/>
    <row r="25050" customFormat="1" x14ac:dyDescent="0.25"/>
    <row r="25051" customFormat="1" x14ac:dyDescent="0.25"/>
    <row r="25052" customFormat="1" x14ac:dyDescent="0.25"/>
    <row r="25053" customFormat="1" x14ac:dyDescent="0.25"/>
    <row r="25054" customFormat="1" x14ac:dyDescent="0.25"/>
    <row r="25055" customFormat="1" x14ac:dyDescent="0.25"/>
    <row r="25056" customFormat="1" x14ac:dyDescent="0.25"/>
    <row r="25057" customFormat="1" x14ac:dyDescent="0.25"/>
    <row r="25058" customFormat="1" x14ac:dyDescent="0.25"/>
    <row r="25059" customFormat="1" x14ac:dyDescent="0.25"/>
    <row r="25060" customFormat="1" x14ac:dyDescent="0.25"/>
    <row r="25061" customFormat="1" x14ac:dyDescent="0.25"/>
    <row r="25062" customFormat="1" x14ac:dyDescent="0.25"/>
    <row r="25063" customFormat="1" x14ac:dyDescent="0.25"/>
    <row r="25064" customFormat="1" x14ac:dyDescent="0.25"/>
    <row r="25065" customFormat="1" x14ac:dyDescent="0.25"/>
    <row r="25066" customFormat="1" x14ac:dyDescent="0.25"/>
    <row r="25067" customFormat="1" x14ac:dyDescent="0.25"/>
    <row r="25068" customFormat="1" x14ac:dyDescent="0.25"/>
    <row r="25069" customFormat="1" x14ac:dyDescent="0.25"/>
    <row r="25070" customFormat="1" x14ac:dyDescent="0.25"/>
    <row r="25071" customFormat="1" x14ac:dyDescent="0.25"/>
    <row r="25072" customFormat="1" x14ac:dyDescent="0.25"/>
    <row r="25073" customFormat="1" x14ac:dyDescent="0.25"/>
    <row r="25074" customFormat="1" x14ac:dyDescent="0.25"/>
    <row r="25075" customFormat="1" x14ac:dyDescent="0.25"/>
    <row r="25076" customFormat="1" x14ac:dyDescent="0.25"/>
    <row r="25077" customFormat="1" x14ac:dyDescent="0.25"/>
    <row r="25078" customFormat="1" x14ac:dyDescent="0.25"/>
    <row r="25079" customFormat="1" x14ac:dyDescent="0.25"/>
    <row r="25080" customFormat="1" x14ac:dyDescent="0.25"/>
    <row r="25081" customFormat="1" x14ac:dyDescent="0.25"/>
    <row r="25082" customFormat="1" x14ac:dyDescent="0.25"/>
    <row r="25083" customFormat="1" x14ac:dyDescent="0.25"/>
    <row r="25084" customFormat="1" x14ac:dyDescent="0.25"/>
    <row r="25085" customFormat="1" x14ac:dyDescent="0.25"/>
    <row r="25086" customFormat="1" x14ac:dyDescent="0.25"/>
    <row r="25087" customFormat="1" x14ac:dyDescent="0.25"/>
    <row r="25088" customFormat="1" x14ac:dyDescent="0.25"/>
    <row r="25089" customFormat="1" x14ac:dyDescent="0.25"/>
    <row r="25090" customFormat="1" x14ac:dyDescent="0.25"/>
    <row r="25091" customFormat="1" x14ac:dyDescent="0.25"/>
    <row r="25092" customFormat="1" x14ac:dyDescent="0.25"/>
    <row r="25093" customFormat="1" x14ac:dyDescent="0.25"/>
    <row r="25094" customFormat="1" x14ac:dyDescent="0.25"/>
    <row r="25095" customFormat="1" x14ac:dyDescent="0.25"/>
    <row r="25096" customFormat="1" x14ac:dyDescent="0.25"/>
    <row r="25097" customFormat="1" x14ac:dyDescent="0.25"/>
    <row r="25098" customFormat="1" x14ac:dyDescent="0.25"/>
    <row r="25099" customFormat="1" x14ac:dyDescent="0.25"/>
    <row r="25100" customFormat="1" x14ac:dyDescent="0.25"/>
    <row r="25101" customFormat="1" x14ac:dyDescent="0.25"/>
    <row r="25102" customFormat="1" x14ac:dyDescent="0.25"/>
    <row r="25103" customFormat="1" x14ac:dyDescent="0.25"/>
    <row r="25104" customFormat="1" x14ac:dyDescent="0.25"/>
    <row r="25105" customFormat="1" x14ac:dyDescent="0.25"/>
    <row r="25106" customFormat="1" x14ac:dyDescent="0.25"/>
    <row r="25107" customFormat="1" x14ac:dyDescent="0.25"/>
    <row r="25108" customFormat="1" x14ac:dyDescent="0.25"/>
    <row r="25109" customFormat="1" x14ac:dyDescent="0.25"/>
    <row r="25110" customFormat="1" x14ac:dyDescent="0.25"/>
    <row r="25111" customFormat="1" x14ac:dyDescent="0.25"/>
    <row r="25112" customFormat="1" x14ac:dyDescent="0.25"/>
    <row r="25113" customFormat="1" x14ac:dyDescent="0.25"/>
    <row r="25114" customFormat="1" x14ac:dyDescent="0.25"/>
    <row r="25115" customFormat="1" x14ac:dyDescent="0.25"/>
    <row r="25116" customFormat="1" x14ac:dyDescent="0.25"/>
    <row r="25117" customFormat="1" x14ac:dyDescent="0.25"/>
    <row r="25118" customFormat="1" x14ac:dyDescent="0.25"/>
    <row r="25119" customFormat="1" x14ac:dyDescent="0.25"/>
    <row r="25120" customFormat="1" x14ac:dyDescent="0.25"/>
    <row r="25121" customFormat="1" x14ac:dyDescent="0.25"/>
    <row r="25122" customFormat="1" x14ac:dyDescent="0.25"/>
    <row r="25123" customFormat="1" x14ac:dyDescent="0.25"/>
    <row r="25124" customFormat="1" x14ac:dyDescent="0.25"/>
    <row r="25125" customFormat="1" x14ac:dyDescent="0.25"/>
    <row r="25126" customFormat="1" x14ac:dyDescent="0.25"/>
    <row r="25127" customFormat="1" x14ac:dyDescent="0.25"/>
    <row r="25128" customFormat="1" x14ac:dyDescent="0.25"/>
    <row r="25129" customFormat="1" x14ac:dyDescent="0.25"/>
    <row r="25130" customFormat="1" x14ac:dyDescent="0.25"/>
    <row r="25131" customFormat="1" x14ac:dyDescent="0.25"/>
    <row r="25132" customFormat="1" x14ac:dyDescent="0.25"/>
    <row r="25133" customFormat="1" x14ac:dyDescent="0.25"/>
    <row r="25134" customFormat="1" x14ac:dyDescent="0.25"/>
    <row r="25135" customFormat="1" x14ac:dyDescent="0.25"/>
    <row r="25136" customFormat="1" x14ac:dyDescent="0.25"/>
    <row r="25137" customFormat="1" x14ac:dyDescent="0.25"/>
    <row r="25138" customFormat="1" x14ac:dyDescent="0.25"/>
    <row r="25139" customFormat="1" x14ac:dyDescent="0.25"/>
    <row r="25140" customFormat="1" x14ac:dyDescent="0.25"/>
    <row r="25141" customFormat="1" x14ac:dyDescent="0.25"/>
    <row r="25142" customFormat="1" x14ac:dyDescent="0.25"/>
    <row r="25143" customFormat="1" x14ac:dyDescent="0.25"/>
    <row r="25144" customFormat="1" x14ac:dyDescent="0.25"/>
    <row r="25145" customFormat="1" x14ac:dyDescent="0.25"/>
    <row r="25146" customFormat="1" x14ac:dyDescent="0.25"/>
    <row r="25147" customFormat="1" x14ac:dyDescent="0.25"/>
    <row r="25148" customFormat="1" x14ac:dyDescent="0.25"/>
    <row r="25149" customFormat="1" x14ac:dyDescent="0.25"/>
    <row r="25150" customFormat="1" x14ac:dyDescent="0.25"/>
    <row r="25151" customFormat="1" x14ac:dyDescent="0.25"/>
    <row r="25152" customFormat="1" x14ac:dyDescent="0.25"/>
    <row r="25153" customFormat="1" x14ac:dyDescent="0.25"/>
    <row r="25154" customFormat="1" x14ac:dyDescent="0.25"/>
    <row r="25155" customFormat="1" x14ac:dyDescent="0.25"/>
    <row r="25156" customFormat="1" x14ac:dyDescent="0.25"/>
    <row r="25157" customFormat="1" x14ac:dyDescent="0.25"/>
    <row r="25158" customFormat="1" x14ac:dyDescent="0.25"/>
    <row r="25159" customFormat="1" x14ac:dyDescent="0.25"/>
    <row r="25160" customFormat="1" x14ac:dyDescent="0.25"/>
    <row r="25161" customFormat="1" x14ac:dyDescent="0.25"/>
    <row r="25162" customFormat="1" x14ac:dyDescent="0.25"/>
    <row r="25163" customFormat="1" x14ac:dyDescent="0.25"/>
    <row r="25164" customFormat="1" x14ac:dyDescent="0.25"/>
    <row r="25165" customFormat="1" x14ac:dyDescent="0.25"/>
    <row r="25166" customFormat="1" x14ac:dyDescent="0.25"/>
    <row r="25167" customFormat="1" x14ac:dyDescent="0.25"/>
    <row r="25168" customFormat="1" x14ac:dyDescent="0.25"/>
    <row r="25169" customFormat="1" x14ac:dyDescent="0.25"/>
    <row r="25170" customFormat="1" x14ac:dyDescent="0.25"/>
    <row r="25171" customFormat="1" x14ac:dyDescent="0.25"/>
    <row r="25172" customFormat="1" x14ac:dyDescent="0.25"/>
    <row r="25173" customFormat="1" x14ac:dyDescent="0.25"/>
    <row r="25174" customFormat="1" x14ac:dyDescent="0.25"/>
    <row r="25175" customFormat="1" x14ac:dyDescent="0.25"/>
    <row r="25176" customFormat="1" x14ac:dyDescent="0.25"/>
    <row r="25177" customFormat="1" x14ac:dyDescent="0.25"/>
    <row r="25178" customFormat="1" x14ac:dyDescent="0.25"/>
    <row r="25179" customFormat="1" x14ac:dyDescent="0.25"/>
    <row r="25180" customFormat="1" x14ac:dyDescent="0.25"/>
    <row r="25181" customFormat="1" x14ac:dyDescent="0.25"/>
    <row r="25182" customFormat="1" x14ac:dyDescent="0.25"/>
    <row r="25183" customFormat="1" x14ac:dyDescent="0.25"/>
    <row r="25184" customFormat="1" x14ac:dyDescent="0.25"/>
    <row r="25185" customFormat="1" x14ac:dyDescent="0.25"/>
    <row r="25186" customFormat="1" x14ac:dyDescent="0.25"/>
    <row r="25187" customFormat="1" x14ac:dyDescent="0.25"/>
    <row r="25188" customFormat="1" x14ac:dyDescent="0.25"/>
    <row r="25189" customFormat="1" x14ac:dyDescent="0.25"/>
    <row r="25190" customFormat="1" x14ac:dyDescent="0.25"/>
    <row r="25191" customFormat="1" x14ac:dyDescent="0.25"/>
    <row r="25192" customFormat="1" x14ac:dyDescent="0.25"/>
    <row r="25193" customFormat="1" x14ac:dyDescent="0.25"/>
    <row r="25194" customFormat="1" x14ac:dyDescent="0.25"/>
    <row r="25195" customFormat="1" x14ac:dyDescent="0.25"/>
    <row r="25196" customFormat="1" x14ac:dyDescent="0.25"/>
    <row r="25197" customFormat="1" x14ac:dyDescent="0.25"/>
    <row r="25198" customFormat="1" x14ac:dyDescent="0.25"/>
    <row r="25199" customFormat="1" x14ac:dyDescent="0.25"/>
    <row r="25200" customFormat="1" x14ac:dyDescent="0.25"/>
    <row r="25201" customFormat="1" x14ac:dyDescent="0.25"/>
    <row r="25202" customFormat="1" x14ac:dyDescent="0.25"/>
    <row r="25203" customFormat="1" x14ac:dyDescent="0.25"/>
    <row r="25204" customFormat="1" x14ac:dyDescent="0.25"/>
    <row r="25205" customFormat="1" x14ac:dyDescent="0.25"/>
    <row r="25206" customFormat="1" x14ac:dyDescent="0.25"/>
    <row r="25207" customFormat="1" x14ac:dyDescent="0.25"/>
    <row r="25208" customFormat="1" x14ac:dyDescent="0.25"/>
    <row r="25209" customFormat="1" x14ac:dyDescent="0.25"/>
    <row r="25210" customFormat="1" x14ac:dyDescent="0.25"/>
    <row r="25211" customFormat="1" x14ac:dyDescent="0.25"/>
    <row r="25212" customFormat="1" x14ac:dyDescent="0.25"/>
    <row r="25213" customFormat="1" x14ac:dyDescent="0.25"/>
    <row r="25214" customFormat="1" x14ac:dyDescent="0.25"/>
    <row r="25215" customFormat="1" x14ac:dyDescent="0.25"/>
    <row r="25216" customFormat="1" x14ac:dyDescent="0.25"/>
    <row r="25217" customFormat="1" x14ac:dyDescent="0.25"/>
    <row r="25218" customFormat="1" x14ac:dyDescent="0.25"/>
    <row r="25219" customFormat="1" x14ac:dyDescent="0.25"/>
    <row r="25220" customFormat="1" x14ac:dyDescent="0.25"/>
    <row r="25221" customFormat="1" x14ac:dyDescent="0.25"/>
    <row r="25222" customFormat="1" x14ac:dyDescent="0.25"/>
    <row r="25223" customFormat="1" x14ac:dyDescent="0.25"/>
    <row r="25224" customFormat="1" x14ac:dyDescent="0.25"/>
    <row r="25225" customFormat="1" x14ac:dyDescent="0.25"/>
    <row r="25226" customFormat="1" x14ac:dyDescent="0.25"/>
    <row r="25227" customFormat="1" x14ac:dyDescent="0.25"/>
    <row r="25228" customFormat="1" x14ac:dyDescent="0.25"/>
    <row r="25229" customFormat="1" x14ac:dyDescent="0.25"/>
    <row r="25230" customFormat="1" x14ac:dyDescent="0.25"/>
    <row r="25231" customFormat="1" x14ac:dyDescent="0.25"/>
    <row r="25232" customFormat="1" x14ac:dyDescent="0.25"/>
    <row r="25233" customFormat="1" x14ac:dyDescent="0.25"/>
    <row r="25234" customFormat="1" x14ac:dyDescent="0.25"/>
    <row r="25235" customFormat="1" x14ac:dyDescent="0.25"/>
    <row r="25236" customFormat="1" x14ac:dyDescent="0.25"/>
    <row r="25237" customFormat="1" x14ac:dyDescent="0.25"/>
    <row r="25238" customFormat="1" x14ac:dyDescent="0.25"/>
    <row r="25239" customFormat="1" x14ac:dyDescent="0.25"/>
    <row r="25240" customFormat="1" x14ac:dyDescent="0.25"/>
    <row r="25241" customFormat="1" x14ac:dyDescent="0.25"/>
    <row r="25242" customFormat="1" x14ac:dyDescent="0.25"/>
    <row r="25243" customFormat="1" x14ac:dyDescent="0.25"/>
    <row r="25244" customFormat="1" x14ac:dyDescent="0.25"/>
    <row r="25245" customFormat="1" x14ac:dyDescent="0.25"/>
    <row r="25246" customFormat="1" x14ac:dyDescent="0.25"/>
    <row r="25247" customFormat="1" x14ac:dyDescent="0.25"/>
    <row r="25248" customFormat="1" x14ac:dyDescent="0.25"/>
    <row r="25249" customFormat="1" x14ac:dyDescent="0.25"/>
    <row r="25250" customFormat="1" x14ac:dyDescent="0.25"/>
    <row r="25251" customFormat="1" x14ac:dyDescent="0.25"/>
    <row r="25252" customFormat="1" x14ac:dyDescent="0.25"/>
    <row r="25253" customFormat="1" x14ac:dyDescent="0.25"/>
    <row r="25254" customFormat="1" x14ac:dyDescent="0.25"/>
    <row r="25255" customFormat="1" x14ac:dyDescent="0.25"/>
    <row r="25256" customFormat="1" x14ac:dyDescent="0.25"/>
    <row r="25257" customFormat="1" x14ac:dyDescent="0.25"/>
    <row r="25258" customFormat="1" x14ac:dyDescent="0.25"/>
    <row r="25259" customFormat="1" x14ac:dyDescent="0.25"/>
    <row r="25260" customFormat="1" x14ac:dyDescent="0.25"/>
    <row r="25261" customFormat="1" x14ac:dyDescent="0.25"/>
    <row r="25262" customFormat="1" x14ac:dyDescent="0.25"/>
    <row r="25263" customFormat="1" x14ac:dyDescent="0.25"/>
    <row r="25264" customFormat="1" x14ac:dyDescent="0.25"/>
    <row r="25265" customFormat="1" x14ac:dyDescent="0.25"/>
    <row r="25266" customFormat="1" x14ac:dyDescent="0.25"/>
    <row r="25267" customFormat="1" x14ac:dyDescent="0.25"/>
    <row r="25268" customFormat="1" x14ac:dyDescent="0.25"/>
    <row r="25269" customFormat="1" x14ac:dyDescent="0.25"/>
    <row r="25270" customFormat="1" x14ac:dyDescent="0.25"/>
    <row r="25271" customFormat="1" x14ac:dyDescent="0.25"/>
    <row r="25272" customFormat="1" x14ac:dyDescent="0.25"/>
    <row r="25273" customFormat="1" x14ac:dyDescent="0.25"/>
    <row r="25274" customFormat="1" x14ac:dyDescent="0.25"/>
    <row r="25275" customFormat="1" x14ac:dyDescent="0.25"/>
    <row r="25276" customFormat="1" x14ac:dyDescent="0.25"/>
    <row r="25277" customFormat="1" x14ac:dyDescent="0.25"/>
    <row r="25278" customFormat="1" x14ac:dyDescent="0.25"/>
    <row r="25279" customFormat="1" x14ac:dyDescent="0.25"/>
    <row r="25280" customFormat="1" x14ac:dyDescent="0.25"/>
    <row r="25281" customFormat="1" x14ac:dyDescent="0.25"/>
    <row r="25282" customFormat="1" x14ac:dyDescent="0.25"/>
    <row r="25283" customFormat="1" x14ac:dyDescent="0.25"/>
    <row r="25284" customFormat="1" x14ac:dyDescent="0.25"/>
    <row r="25285" customFormat="1" x14ac:dyDescent="0.25"/>
    <row r="25286" customFormat="1" x14ac:dyDescent="0.25"/>
    <row r="25287" customFormat="1" x14ac:dyDescent="0.25"/>
    <row r="25288" customFormat="1" x14ac:dyDescent="0.25"/>
    <row r="25289" customFormat="1" x14ac:dyDescent="0.25"/>
    <row r="25290" customFormat="1" x14ac:dyDescent="0.25"/>
    <row r="25291" customFormat="1" x14ac:dyDescent="0.25"/>
    <row r="25292" customFormat="1" x14ac:dyDescent="0.25"/>
    <row r="25293" customFormat="1" x14ac:dyDescent="0.25"/>
    <row r="25294" customFormat="1" x14ac:dyDescent="0.25"/>
    <row r="25295" customFormat="1" x14ac:dyDescent="0.25"/>
    <row r="25296" customFormat="1" x14ac:dyDescent="0.25"/>
    <row r="25297" customFormat="1" x14ac:dyDescent="0.25"/>
    <row r="25298" customFormat="1" x14ac:dyDescent="0.25"/>
    <row r="25299" customFormat="1" x14ac:dyDescent="0.25"/>
    <row r="25300" customFormat="1" x14ac:dyDescent="0.25"/>
    <row r="25301" customFormat="1" x14ac:dyDescent="0.25"/>
    <row r="25302" customFormat="1" x14ac:dyDescent="0.25"/>
    <row r="25303" customFormat="1" x14ac:dyDescent="0.25"/>
    <row r="25304" customFormat="1" x14ac:dyDescent="0.25"/>
    <row r="25305" customFormat="1" x14ac:dyDescent="0.25"/>
    <row r="25306" customFormat="1" x14ac:dyDescent="0.25"/>
    <row r="25307" customFormat="1" x14ac:dyDescent="0.25"/>
    <row r="25308" customFormat="1" x14ac:dyDescent="0.25"/>
    <row r="25309" customFormat="1" x14ac:dyDescent="0.25"/>
    <row r="25310" customFormat="1" x14ac:dyDescent="0.25"/>
    <row r="25311" customFormat="1" x14ac:dyDescent="0.25"/>
    <row r="25312" customFormat="1" x14ac:dyDescent="0.25"/>
    <row r="25313" customFormat="1" x14ac:dyDescent="0.25"/>
    <row r="25314" customFormat="1" x14ac:dyDescent="0.25"/>
    <row r="25315" customFormat="1" x14ac:dyDescent="0.25"/>
    <row r="25316" customFormat="1" x14ac:dyDescent="0.25"/>
    <row r="25317" customFormat="1" x14ac:dyDescent="0.25"/>
    <row r="25318" customFormat="1" x14ac:dyDescent="0.25"/>
    <row r="25319" customFormat="1" x14ac:dyDescent="0.25"/>
    <row r="25320" customFormat="1" x14ac:dyDescent="0.25"/>
    <row r="25321" customFormat="1" x14ac:dyDescent="0.25"/>
    <row r="25322" customFormat="1" x14ac:dyDescent="0.25"/>
    <row r="25323" customFormat="1" x14ac:dyDescent="0.25"/>
    <row r="25324" customFormat="1" x14ac:dyDescent="0.25"/>
    <row r="25325" customFormat="1" x14ac:dyDescent="0.25"/>
    <row r="25326" customFormat="1" x14ac:dyDescent="0.25"/>
    <row r="25327" customFormat="1" x14ac:dyDescent="0.25"/>
    <row r="25328" customFormat="1" x14ac:dyDescent="0.25"/>
    <row r="25329" customFormat="1" x14ac:dyDescent="0.25"/>
    <row r="25330" customFormat="1" x14ac:dyDescent="0.25"/>
    <row r="25331" customFormat="1" x14ac:dyDescent="0.25"/>
    <row r="25332" customFormat="1" x14ac:dyDescent="0.25"/>
    <row r="25333" customFormat="1" x14ac:dyDescent="0.25"/>
    <row r="25334" customFormat="1" x14ac:dyDescent="0.25"/>
    <row r="25335" customFormat="1" x14ac:dyDescent="0.25"/>
    <row r="25336" customFormat="1" x14ac:dyDescent="0.25"/>
    <row r="25337" customFormat="1" x14ac:dyDescent="0.25"/>
    <row r="25338" customFormat="1" x14ac:dyDescent="0.25"/>
    <row r="25339" customFormat="1" x14ac:dyDescent="0.25"/>
    <row r="25340" customFormat="1" x14ac:dyDescent="0.25"/>
    <row r="25341" customFormat="1" x14ac:dyDescent="0.25"/>
    <row r="25342" customFormat="1" x14ac:dyDescent="0.25"/>
    <row r="25343" customFormat="1" x14ac:dyDescent="0.25"/>
    <row r="25344" customFormat="1" x14ac:dyDescent="0.25"/>
    <row r="25345" customFormat="1" x14ac:dyDescent="0.25"/>
    <row r="25346" customFormat="1" x14ac:dyDescent="0.25"/>
    <row r="25347" customFormat="1" x14ac:dyDescent="0.25"/>
    <row r="25348" customFormat="1" x14ac:dyDescent="0.25"/>
    <row r="25349" customFormat="1" x14ac:dyDescent="0.25"/>
    <row r="25350" customFormat="1" x14ac:dyDescent="0.25"/>
    <row r="25351" customFormat="1" x14ac:dyDescent="0.25"/>
    <row r="25352" customFormat="1" x14ac:dyDescent="0.25"/>
    <row r="25353" customFormat="1" x14ac:dyDescent="0.25"/>
    <row r="25354" customFormat="1" x14ac:dyDescent="0.25"/>
    <row r="25355" customFormat="1" x14ac:dyDescent="0.25"/>
    <row r="25356" customFormat="1" x14ac:dyDescent="0.25"/>
    <row r="25357" customFormat="1" x14ac:dyDescent="0.25"/>
    <row r="25358" customFormat="1" x14ac:dyDescent="0.25"/>
    <row r="25359" customFormat="1" x14ac:dyDescent="0.25"/>
    <row r="25360" customFormat="1" x14ac:dyDescent="0.25"/>
    <row r="25361" customFormat="1" x14ac:dyDescent="0.25"/>
    <row r="25362" customFormat="1" x14ac:dyDescent="0.25"/>
    <row r="25363" customFormat="1" x14ac:dyDescent="0.25"/>
    <row r="25364" customFormat="1" x14ac:dyDescent="0.25"/>
    <row r="25365" customFormat="1" x14ac:dyDescent="0.25"/>
    <row r="25366" customFormat="1" x14ac:dyDescent="0.25"/>
    <row r="25367" customFormat="1" x14ac:dyDescent="0.25"/>
    <row r="25368" customFormat="1" x14ac:dyDescent="0.25"/>
    <row r="25369" customFormat="1" x14ac:dyDescent="0.25"/>
    <row r="25370" customFormat="1" x14ac:dyDescent="0.25"/>
    <row r="25371" customFormat="1" x14ac:dyDescent="0.25"/>
    <row r="25372" customFormat="1" x14ac:dyDescent="0.25"/>
    <row r="25373" customFormat="1" x14ac:dyDescent="0.25"/>
    <row r="25374" customFormat="1" x14ac:dyDescent="0.25"/>
    <row r="25375" customFormat="1" x14ac:dyDescent="0.25"/>
    <row r="25376" customFormat="1" x14ac:dyDescent="0.25"/>
    <row r="25377" customFormat="1" x14ac:dyDescent="0.25"/>
    <row r="25378" customFormat="1" x14ac:dyDescent="0.25"/>
    <row r="25379" customFormat="1" x14ac:dyDescent="0.25"/>
    <row r="25380" customFormat="1" x14ac:dyDescent="0.25"/>
    <row r="25381" customFormat="1" x14ac:dyDescent="0.25"/>
    <row r="25382" customFormat="1" x14ac:dyDescent="0.25"/>
    <row r="25383" customFormat="1" x14ac:dyDescent="0.25"/>
    <row r="25384" customFormat="1" x14ac:dyDescent="0.25"/>
    <row r="25385" customFormat="1" x14ac:dyDescent="0.25"/>
    <row r="25386" customFormat="1" x14ac:dyDescent="0.25"/>
    <row r="25387" customFormat="1" x14ac:dyDescent="0.25"/>
    <row r="25388" customFormat="1" x14ac:dyDescent="0.25"/>
    <row r="25389" customFormat="1" x14ac:dyDescent="0.25"/>
    <row r="25390" customFormat="1" x14ac:dyDescent="0.25"/>
    <row r="25391" customFormat="1" x14ac:dyDescent="0.25"/>
    <row r="25392" customFormat="1" x14ac:dyDescent="0.25"/>
    <row r="25393" customFormat="1" x14ac:dyDescent="0.25"/>
    <row r="25394" customFormat="1" x14ac:dyDescent="0.25"/>
    <row r="25395" customFormat="1" x14ac:dyDescent="0.25"/>
    <row r="25396" customFormat="1" x14ac:dyDescent="0.25"/>
    <row r="25397" customFormat="1" x14ac:dyDescent="0.25"/>
    <row r="25398" customFormat="1" x14ac:dyDescent="0.25"/>
    <row r="25399" customFormat="1" x14ac:dyDescent="0.25"/>
    <row r="25400" customFormat="1" x14ac:dyDescent="0.25"/>
    <row r="25401" customFormat="1" x14ac:dyDescent="0.25"/>
    <row r="25402" customFormat="1" x14ac:dyDescent="0.25"/>
    <row r="25403" customFormat="1" x14ac:dyDescent="0.25"/>
    <row r="25404" customFormat="1" x14ac:dyDescent="0.25"/>
    <row r="25405" customFormat="1" x14ac:dyDescent="0.25"/>
    <row r="25406" customFormat="1" x14ac:dyDescent="0.25"/>
    <row r="25407" customFormat="1" x14ac:dyDescent="0.25"/>
    <row r="25408" customFormat="1" x14ac:dyDescent="0.25"/>
    <row r="25409" customFormat="1" x14ac:dyDescent="0.25"/>
    <row r="25410" customFormat="1" x14ac:dyDescent="0.25"/>
    <row r="25411" customFormat="1" x14ac:dyDescent="0.25"/>
    <row r="25412" customFormat="1" x14ac:dyDescent="0.25"/>
    <row r="25413" customFormat="1" x14ac:dyDescent="0.25"/>
    <row r="25414" customFormat="1" x14ac:dyDescent="0.25"/>
    <row r="25415" customFormat="1" x14ac:dyDescent="0.25"/>
    <row r="25416" customFormat="1" x14ac:dyDescent="0.25"/>
    <row r="25417" customFormat="1" x14ac:dyDescent="0.25"/>
    <row r="25418" customFormat="1" x14ac:dyDescent="0.25"/>
    <row r="25419" customFormat="1" x14ac:dyDescent="0.25"/>
    <row r="25420" customFormat="1" x14ac:dyDescent="0.25"/>
    <row r="25421" customFormat="1" x14ac:dyDescent="0.25"/>
    <row r="25422" customFormat="1" x14ac:dyDescent="0.25"/>
    <row r="25423" customFormat="1" x14ac:dyDescent="0.25"/>
    <row r="25424" customFormat="1" x14ac:dyDescent="0.25"/>
    <row r="25425" customFormat="1" x14ac:dyDescent="0.25"/>
    <row r="25426" customFormat="1" x14ac:dyDescent="0.25"/>
    <row r="25427" customFormat="1" x14ac:dyDescent="0.25"/>
    <row r="25428" customFormat="1" x14ac:dyDescent="0.25"/>
    <row r="25429" customFormat="1" x14ac:dyDescent="0.25"/>
    <row r="25430" customFormat="1" x14ac:dyDescent="0.25"/>
    <row r="25431" customFormat="1" x14ac:dyDescent="0.25"/>
    <row r="25432" customFormat="1" x14ac:dyDescent="0.25"/>
    <row r="25433" customFormat="1" x14ac:dyDescent="0.25"/>
    <row r="25434" customFormat="1" x14ac:dyDescent="0.25"/>
    <row r="25435" customFormat="1" x14ac:dyDescent="0.25"/>
    <row r="25436" customFormat="1" x14ac:dyDescent="0.25"/>
    <row r="25437" customFormat="1" x14ac:dyDescent="0.25"/>
    <row r="25438" customFormat="1" x14ac:dyDescent="0.25"/>
    <row r="25439" customFormat="1" x14ac:dyDescent="0.25"/>
    <row r="25440" customFormat="1" x14ac:dyDescent="0.25"/>
    <row r="25441" customFormat="1" x14ac:dyDescent="0.25"/>
    <row r="25442" customFormat="1" x14ac:dyDescent="0.25"/>
    <row r="25443" customFormat="1" x14ac:dyDescent="0.25"/>
    <row r="25444" customFormat="1" x14ac:dyDescent="0.25"/>
    <row r="25445" customFormat="1" x14ac:dyDescent="0.25"/>
    <row r="25446" customFormat="1" x14ac:dyDescent="0.25"/>
    <row r="25447" customFormat="1" x14ac:dyDescent="0.25"/>
    <row r="25448" customFormat="1" x14ac:dyDescent="0.25"/>
    <row r="25449" customFormat="1" x14ac:dyDescent="0.25"/>
    <row r="25450" customFormat="1" x14ac:dyDescent="0.25"/>
    <row r="25451" customFormat="1" x14ac:dyDescent="0.25"/>
    <row r="25452" customFormat="1" x14ac:dyDescent="0.25"/>
    <row r="25453" customFormat="1" x14ac:dyDescent="0.25"/>
    <row r="25454" customFormat="1" x14ac:dyDescent="0.25"/>
    <row r="25455" customFormat="1" x14ac:dyDescent="0.25"/>
    <row r="25456" customFormat="1" x14ac:dyDescent="0.25"/>
    <row r="25457" customFormat="1" x14ac:dyDescent="0.25"/>
    <row r="25458" customFormat="1" x14ac:dyDescent="0.25"/>
    <row r="25459" customFormat="1" x14ac:dyDescent="0.25"/>
    <row r="25460" customFormat="1" x14ac:dyDescent="0.25"/>
    <row r="25461" customFormat="1" x14ac:dyDescent="0.25"/>
    <row r="25462" customFormat="1" x14ac:dyDescent="0.25"/>
    <row r="25463" customFormat="1" x14ac:dyDescent="0.25"/>
    <row r="25464" customFormat="1" x14ac:dyDescent="0.25"/>
    <row r="25465" customFormat="1" x14ac:dyDescent="0.25"/>
    <row r="25466" customFormat="1" x14ac:dyDescent="0.25"/>
    <row r="25467" customFormat="1" x14ac:dyDescent="0.25"/>
    <row r="25468" customFormat="1" x14ac:dyDescent="0.25"/>
    <row r="25469" customFormat="1" x14ac:dyDescent="0.25"/>
    <row r="25470" customFormat="1" x14ac:dyDescent="0.25"/>
    <row r="25471" customFormat="1" x14ac:dyDescent="0.25"/>
    <row r="25472" customFormat="1" x14ac:dyDescent="0.25"/>
    <row r="25473" customFormat="1" x14ac:dyDescent="0.25"/>
    <row r="25474" customFormat="1" x14ac:dyDescent="0.25"/>
    <row r="25475" customFormat="1" x14ac:dyDescent="0.25"/>
    <row r="25476" customFormat="1" x14ac:dyDescent="0.25"/>
    <row r="25477" customFormat="1" x14ac:dyDescent="0.25"/>
    <row r="25478" customFormat="1" x14ac:dyDescent="0.25"/>
    <row r="25479" customFormat="1" x14ac:dyDescent="0.25"/>
    <row r="25480" customFormat="1" x14ac:dyDescent="0.25"/>
    <row r="25481" customFormat="1" x14ac:dyDescent="0.25"/>
    <row r="25482" customFormat="1" x14ac:dyDescent="0.25"/>
    <row r="25483" customFormat="1" x14ac:dyDescent="0.25"/>
    <row r="25484" customFormat="1" x14ac:dyDescent="0.25"/>
    <row r="25485" customFormat="1" x14ac:dyDescent="0.25"/>
    <row r="25486" customFormat="1" x14ac:dyDescent="0.25"/>
    <row r="25487" customFormat="1" x14ac:dyDescent="0.25"/>
    <row r="25488" customFormat="1" x14ac:dyDescent="0.25"/>
    <row r="25489" customFormat="1" x14ac:dyDescent="0.25"/>
    <row r="25490" customFormat="1" x14ac:dyDescent="0.25"/>
    <row r="25491" customFormat="1" x14ac:dyDescent="0.25"/>
    <row r="25492" customFormat="1" x14ac:dyDescent="0.25"/>
    <row r="25493" customFormat="1" x14ac:dyDescent="0.25"/>
    <row r="25494" customFormat="1" x14ac:dyDescent="0.25"/>
    <row r="25495" customFormat="1" x14ac:dyDescent="0.25"/>
    <row r="25496" customFormat="1" x14ac:dyDescent="0.25"/>
    <row r="25497" customFormat="1" x14ac:dyDescent="0.25"/>
    <row r="25498" customFormat="1" x14ac:dyDescent="0.25"/>
    <row r="25499" customFormat="1" x14ac:dyDescent="0.25"/>
    <row r="25500" customFormat="1" x14ac:dyDescent="0.25"/>
    <row r="25501" customFormat="1" x14ac:dyDescent="0.25"/>
    <row r="25502" customFormat="1" x14ac:dyDescent="0.25"/>
    <row r="25503" customFormat="1" x14ac:dyDescent="0.25"/>
    <row r="25504" customFormat="1" x14ac:dyDescent="0.25"/>
    <row r="25505" customFormat="1" x14ac:dyDescent="0.25"/>
    <row r="25506" customFormat="1" x14ac:dyDescent="0.25"/>
    <row r="25507" customFormat="1" x14ac:dyDescent="0.25"/>
    <row r="25508" customFormat="1" x14ac:dyDescent="0.25"/>
    <row r="25509" customFormat="1" x14ac:dyDescent="0.25"/>
    <row r="25510" customFormat="1" x14ac:dyDescent="0.25"/>
    <row r="25511" customFormat="1" x14ac:dyDescent="0.25"/>
    <row r="25512" customFormat="1" x14ac:dyDescent="0.25"/>
    <row r="25513" customFormat="1" x14ac:dyDescent="0.25"/>
    <row r="25514" customFormat="1" x14ac:dyDescent="0.25"/>
    <row r="25515" customFormat="1" x14ac:dyDescent="0.25"/>
    <row r="25516" customFormat="1" x14ac:dyDescent="0.25"/>
    <row r="25517" customFormat="1" x14ac:dyDescent="0.25"/>
    <row r="25518" customFormat="1" x14ac:dyDescent="0.25"/>
    <row r="25519" customFormat="1" x14ac:dyDescent="0.25"/>
    <row r="25520" customFormat="1" x14ac:dyDescent="0.25"/>
    <row r="25521" customFormat="1" x14ac:dyDescent="0.25"/>
    <row r="25522" customFormat="1" x14ac:dyDescent="0.25"/>
    <row r="25523" customFormat="1" x14ac:dyDescent="0.25"/>
    <row r="25524" customFormat="1" x14ac:dyDescent="0.25"/>
    <row r="25525" customFormat="1" x14ac:dyDescent="0.25"/>
    <row r="25526" customFormat="1" x14ac:dyDescent="0.25"/>
    <row r="25527" customFormat="1" x14ac:dyDescent="0.25"/>
    <row r="25528" customFormat="1" x14ac:dyDescent="0.25"/>
    <row r="25529" customFormat="1" x14ac:dyDescent="0.25"/>
    <row r="25530" customFormat="1" x14ac:dyDescent="0.25"/>
    <row r="25531" customFormat="1" x14ac:dyDescent="0.25"/>
    <row r="25532" customFormat="1" x14ac:dyDescent="0.25"/>
    <row r="25533" customFormat="1" x14ac:dyDescent="0.25"/>
    <row r="25534" customFormat="1" x14ac:dyDescent="0.25"/>
    <row r="25535" customFormat="1" x14ac:dyDescent="0.25"/>
    <row r="25536" customFormat="1" x14ac:dyDescent="0.25"/>
    <row r="25537" customFormat="1" x14ac:dyDescent="0.25"/>
    <row r="25538" customFormat="1" x14ac:dyDescent="0.25"/>
    <row r="25539" customFormat="1" x14ac:dyDescent="0.25"/>
    <row r="25540" customFormat="1" x14ac:dyDescent="0.25"/>
    <row r="25541" customFormat="1" x14ac:dyDescent="0.25"/>
    <row r="25542" customFormat="1" x14ac:dyDescent="0.25"/>
    <row r="25543" customFormat="1" x14ac:dyDescent="0.25"/>
    <row r="25544" customFormat="1" x14ac:dyDescent="0.25"/>
    <row r="25545" customFormat="1" x14ac:dyDescent="0.25"/>
    <row r="25546" customFormat="1" x14ac:dyDescent="0.25"/>
    <row r="25547" customFormat="1" x14ac:dyDescent="0.25"/>
    <row r="25548" customFormat="1" x14ac:dyDescent="0.25"/>
    <row r="25549" customFormat="1" x14ac:dyDescent="0.25"/>
    <row r="25550" customFormat="1" x14ac:dyDescent="0.25"/>
    <row r="25551" customFormat="1" x14ac:dyDescent="0.25"/>
    <row r="25552" customFormat="1" x14ac:dyDescent="0.25"/>
    <row r="25553" customFormat="1" x14ac:dyDescent="0.25"/>
    <row r="25554" customFormat="1" x14ac:dyDescent="0.25"/>
    <row r="25555" customFormat="1" x14ac:dyDescent="0.25"/>
    <row r="25556" customFormat="1" x14ac:dyDescent="0.25"/>
    <row r="25557" customFormat="1" x14ac:dyDescent="0.25"/>
    <row r="25558" customFormat="1" x14ac:dyDescent="0.25"/>
    <row r="25559" customFormat="1" x14ac:dyDescent="0.25"/>
    <row r="25560" customFormat="1" x14ac:dyDescent="0.25"/>
    <row r="25561" customFormat="1" x14ac:dyDescent="0.25"/>
    <row r="25562" customFormat="1" x14ac:dyDescent="0.25"/>
    <row r="25563" customFormat="1" x14ac:dyDescent="0.25"/>
    <row r="25564" customFormat="1" x14ac:dyDescent="0.25"/>
    <row r="25565" customFormat="1" x14ac:dyDescent="0.25"/>
    <row r="25566" customFormat="1" x14ac:dyDescent="0.25"/>
    <row r="25567" customFormat="1" x14ac:dyDescent="0.25"/>
    <row r="25568" customFormat="1" x14ac:dyDescent="0.25"/>
    <row r="25569" customFormat="1" x14ac:dyDescent="0.25"/>
    <row r="25570" customFormat="1" x14ac:dyDescent="0.25"/>
    <row r="25571" customFormat="1" x14ac:dyDescent="0.25"/>
    <row r="25572" customFormat="1" x14ac:dyDescent="0.25"/>
    <row r="25573" customFormat="1" x14ac:dyDescent="0.25"/>
    <row r="25574" customFormat="1" x14ac:dyDescent="0.25"/>
    <row r="25575" customFormat="1" x14ac:dyDescent="0.25"/>
    <row r="25576" customFormat="1" x14ac:dyDescent="0.25"/>
    <row r="25577" customFormat="1" x14ac:dyDescent="0.25"/>
    <row r="25578" customFormat="1" x14ac:dyDescent="0.25"/>
    <row r="25579" customFormat="1" x14ac:dyDescent="0.25"/>
    <row r="25580" customFormat="1" x14ac:dyDescent="0.25"/>
    <row r="25581" customFormat="1" x14ac:dyDescent="0.25"/>
    <row r="25582" customFormat="1" x14ac:dyDescent="0.25"/>
    <row r="25583" customFormat="1" x14ac:dyDescent="0.25"/>
    <row r="25584" customFormat="1" x14ac:dyDescent="0.25"/>
    <row r="25585" customFormat="1" x14ac:dyDescent="0.25"/>
    <row r="25586" customFormat="1" x14ac:dyDescent="0.25"/>
    <row r="25587" customFormat="1" x14ac:dyDescent="0.25"/>
    <row r="25588" customFormat="1" x14ac:dyDescent="0.25"/>
    <row r="25589" customFormat="1" x14ac:dyDescent="0.25"/>
    <row r="25590" customFormat="1" x14ac:dyDescent="0.25"/>
    <row r="25591" customFormat="1" x14ac:dyDescent="0.25"/>
    <row r="25592" customFormat="1" x14ac:dyDescent="0.25"/>
    <row r="25593" customFormat="1" x14ac:dyDescent="0.25"/>
    <row r="25594" customFormat="1" x14ac:dyDescent="0.25"/>
    <row r="25595" customFormat="1" x14ac:dyDescent="0.25"/>
    <row r="25596" customFormat="1" x14ac:dyDescent="0.25"/>
    <row r="25597" customFormat="1" x14ac:dyDescent="0.25"/>
    <row r="25598" customFormat="1" x14ac:dyDescent="0.25"/>
    <row r="25599" customFormat="1" x14ac:dyDescent="0.25"/>
    <row r="25600" customFormat="1" x14ac:dyDescent="0.25"/>
    <row r="25601" customFormat="1" x14ac:dyDescent="0.25"/>
    <row r="25602" customFormat="1" x14ac:dyDescent="0.25"/>
    <row r="25603" customFormat="1" x14ac:dyDescent="0.25"/>
    <row r="25604" customFormat="1" x14ac:dyDescent="0.25"/>
    <row r="25605" customFormat="1" x14ac:dyDescent="0.25"/>
    <row r="25606" customFormat="1" x14ac:dyDescent="0.25"/>
    <row r="25607" customFormat="1" x14ac:dyDescent="0.25"/>
    <row r="25608" customFormat="1" x14ac:dyDescent="0.25"/>
    <row r="25609" customFormat="1" x14ac:dyDescent="0.25"/>
    <row r="25610" customFormat="1" x14ac:dyDescent="0.25"/>
    <row r="25611" customFormat="1" x14ac:dyDescent="0.25"/>
    <row r="25612" customFormat="1" x14ac:dyDescent="0.25"/>
    <row r="25613" customFormat="1" x14ac:dyDescent="0.25"/>
    <row r="25614" customFormat="1" x14ac:dyDescent="0.25"/>
    <row r="25615" customFormat="1" x14ac:dyDescent="0.25"/>
    <row r="25616" customFormat="1" x14ac:dyDescent="0.25"/>
    <row r="25617" customFormat="1" x14ac:dyDescent="0.25"/>
    <row r="25618" customFormat="1" x14ac:dyDescent="0.25"/>
    <row r="25619" customFormat="1" x14ac:dyDescent="0.25"/>
    <row r="25620" customFormat="1" x14ac:dyDescent="0.25"/>
    <row r="25621" customFormat="1" x14ac:dyDescent="0.25"/>
    <row r="25622" customFormat="1" x14ac:dyDescent="0.25"/>
    <row r="25623" customFormat="1" x14ac:dyDescent="0.25"/>
    <row r="25624" customFormat="1" x14ac:dyDescent="0.25"/>
    <row r="25625" customFormat="1" x14ac:dyDescent="0.25"/>
    <row r="25626" customFormat="1" x14ac:dyDescent="0.25"/>
    <row r="25627" customFormat="1" x14ac:dyDescent="0.25"/>
    <row r="25628" customFormat="1" x14ac:dyDescent="0.25"/>
    <row r="25629" customFormat="1" x14ac:dyDescent="0.25"/>
    <row r="25630" customFormat="1" x14ac:dyDescent="0.25"/>
    <row r="25631" customFormat="1" x14ac:dyDescent="0.25"/>
    <row r="25632" customFormat="1" x14ac:dyDescent="0.25"/>
    <row r="25633" customFormat="1" x14ac:dyDescent="0.25"/>
    <row r="25634" customFormat="1" x14ac:dyDescent="0.25"/>
    <row r="25635" customFormat="1" x14ac:dyDescent="0.25"/>
    <row r="25636" customFormat="1" x14ac:dyDescent="0.25"/>
    <row r="25637" customFormat="1" x14ac:dyDescent="0.25"/>
    <row r="25638" customFormat="1" x14ac:dyDescent="0.25"/>
    <row r="25639" customFormat="1" x14ac:dyDescent="0.25"/>
    <row r="25640" customFormat="1" x14ac:dyDescent="0.25"/>
    <row r="25641" customFormat="1" x14ac:dyDescent="0.25"/>
    <row r="25642" customFormat="1" x14ac:dyDescent="0.25"/>
    <row r="25643" customFormat="1" x14ac:dyDescent="0.25"/>
    <row r="25644" customFormat="1" x14ac:dyDescent="0.25"/>
    <row r="25645" customFormat="1" x14ac:dyDescent="0.25"/>
    <row r="25646" customFormat="1" x14ac:dyDescent="0.25"/>
    <row r="25647" customFormat="1" x14ac:dyDescent="0.25"/>
    <row r="25648" customFormat="1" x14ac:dyDescent="0.25"/>
    <row r="25649" customFormat="1" x14ac:dyDescent="0.25"/>
    <row r="25650" customFormat="1" x14ac:dyDescent="0.25"/>
    <row r="25651" customFormat="1" x14ac:dyDescent="0.25"/>
    <row r="25652" customFormat="1" x14ac:dyDescent="0.25"/>
    <row r="25653" customFormat="1" x14ac:dyDescent="0.25"/>
    <row r="25654" customFormat="1" x14ac:dyDescent="0.25"/>
    <row r="25655" customFormat="1" x14ac:dyDescent="0.25"/>
    <row r="25656" customFormat="1" x14ac:dyDescent="0.25"/>
    <row r="25657" customFormat="1" x14ac:dyDescent="0.25"/>
    <row r="25658" customFormat="1" x14ac:dyDescent="0.25"/>
    <row r="25659" customFormat="1" x14ac:dyDescent="0.25"/>
    <row r="25660" customFormat="1" x14ac:dyDescent="0.25"/>
    <row r="25661" customFormat="1" x14ac:dyDescent="0.25"/>
    <row r="25662" customFormat="1" x14ac:dyDescent="0.25"/>
    <row r="25663" customFormat="1" x14ac:dyDescent="0.25"/>
    <row r="25664" customFormat="1" x14ac:dyDescent="0.25"/>
    <row r="25665" customFormat="1" x14ac:dyDescent="0.25"/>
    <row r="25666" customFormat="1" x14ac:dyDescent="0.25"/>
    <row r="25667" customFormat="1" x14ac:dyDescent="0.25"/>
    <row r="25668" customFormat="1" x14ac:dyDescent="0.25"/>
    <row r="25669" customFormat="1" x14ac:dyDescent="0.25"/>
    <row r="25670" customFormat="1" x14ac:dyDescent="0.25"/>
    <row r="25671" customFormat="1" x14ac:dyDescent="0.25"/>
    <row r="25672" customFormat="1" x14ac:dyDescent="0.25"/>
    <row r="25673" customFormat="1" x14ac:dyDescent="0.25"/>
    <row r="25674" customFormat="1" x14ac:dyDescent="0.25"/>
    <row r="25675" customFormat="1" x14ac:dyDescent="0.25"/>
    <row r="25676" customFormat="1" x14ac:dyDescent="0.25"/>
    <row r="25677" customFormat="1" x14ac:dyDescent="0.25"/>
    <row r="25678" customFormat="1" x14ac:dyDescent="0.25"/>
    <row r="25679" customFormat="1" x14ac:dyDescent="0.25"/>
    <row r="25680" customFormat="1" x14ac:dyDescent="0.25"/>
    <row r="25681" customFormat="1" x14ac:dyDescent="0.25"/>
    <row r="25682" customFormat="1" x14ac:dyDescent="0.25"/>
    <row r="25683" customFormat="1" x14ac:dyDescent="0.25"/>
    <row r="25684" customFormat="1" x14ac:dyDescent="0.25"/>
    <row r="25685" customFormat="1" x14ac:dyDescent="0.25"/>
    <row r="25686" customFormat="1" x14ac:dyDescent="0.25"/>
    <row r="25687" customFormat="1" x14ac:dyDescent="0.25"/>
    <row r="25688" customFormat="1" x14ac:dyDescent="0.25"/>
    <row r="25689" customFormat="1" x14ac:dyDescent="0.25"/>
    <row r="25690" customFormat="1" x14ac:dyDescent="0.25"/>
    <row r="25691" customFormat="1" x14ac:dyDescent="0.25"/>
    <row r="25692" customFormat="1" x14ac:dyDescent="0.25"/>
    <row r="25693" customFormat="1" x14ac:dyDescent="0.25"/>
    <row r="25694" customFormat="1" x14ac:dyDescent="0.25"/>
    <row r="25695" customFormat="1" x14ac:dyDescent="0.25"/>
    <row r="25696" customFormat="1" x14ac:dyDescent="0.25"/>
    <row r="25697" customFormat="1" x14ac:dyDescent="0.25"/>
    <row r="25698" customFormat="1" x14ac:dyDescent="0.25"/>
    <row r="25699" customFormat="1" x14ac:dyDescent="0.25"/>
    <row r="25700" customFormat="1" x14ac:dyDescent="0.25"/>
    <row r="25701" customFormat="1" x14ac:dyDescent="0.25"/>
    <row r="25702" customFormat="1" x14ac:dyDescent="0.25"/>
    <row r="25703" customFormat="1" x14ac:dyDescent="0.25"/>
    <row r="25704" customFormat="1" x14ac:dyDescent="0.25"/>
    <row r="25705" customFormat="1" x14ac:dyDescent="0.25"/>
    <row r="25706" customFormat="1" x14ac:dyDescent="0.25"/>
    <row r="25707" customFormat="1" x14ac:dyDescent="0.25"/>
    <row r="25708" customFormat="1" x14ac:dyDescent="0.25"/>
    <row r="25709" customFormat="1" x14ac:dyDescent="0.25"/>
    <row r="25710" customFormat="1" x14ac:dyDescent="0.25"/>
    <row r="25711" customFormat="1" x14ac:dyDescent="0.25"/>
    <row r="25712" customFormat="1" x14ac:dyDescent="0.25"/>
    <row r="25713" customFormat="1" x14ac:dyDescent="0.25"/>
    <row r="25714" customFormat="1" x14ac:dyDescent="0.25"/>
    <row r="25715" customFormat="1" x14ac:dyDescent="0.25"/>
    <row r="25716" customFormat="1" x14ac:dyDescent="0.25"/>
    <row r="25717" customFormat="1" x14ac:dyDescent="0.25"/>
    <row r="25718" customFormat="1" x14ac:dyDescent="0.25"/>
    <row r="25719" customFormat="1" x14ac:dyDescent="0.25"/>
    <row r="25720" customFormat="1" x14ac:dyDescent="0.25"/>
    <row r="25721" customFormat="1" x14ac:dyDescent="0.25"/>
    <row r="25722" customFormat="1" x14ac:dyDescent="0.25"/>
    <row r="25723" customFormat="1" x14ac:dyDescent="0.25"/>
    <row r="25724" customFormat="1" x14ac:dyDescent="0.25"/>
    <row r="25725" customFormat="1" x14ac:dyDescent="0.25"/>
    <row r="25726" customFormat="1" x14ac:dyDescent="0.25"/>
    <row r="25727" customFormat="1" x14ac:dyDescent="0.25"/>
    <row r="25728" customFormat="1" x14ac:dyDescent="0.25"/>
    <row r="25729" customFormat="1" x14ac:dyDescent="0.25"/>
    <row r="25730" customFormat="1" x14ac:dyDescent="0.25"/>
    <row r="25731" customFormat="1" x14ac:dyDescent="0.25"/>
    <row r="25732" customFormat="1" x14ac:dyDescent="0.25"/>
    <row r="25733" customFormat="1" x14ac:dyDescent="0.25"/>
    <row r="25734" customFormat="1" x14ac:dyDescent="0.25"/>
    <row r="25735" customFormat="1" x14ac:dyDescent="0.25"/>
    <row r="25736" customFormat="1" x14ac:dyDescent="0.25"/>
    <row r="25737" customFormat="1" x14ac:dyDescent="0.25"/>
    <row r="25738" customFormat="1" x14ac:dyDescent="0.25"/>
    <row r="25739" customFormat="1" x14ac:dyDescent="0.25"/>
    <row r="25740" customFormat="1" x14ac:dyDescent="0.25"/>
    <row r="25741" customFormat="1" x14ac:dyDescent="0.25"/>
    <row r="25742" customFormat="1" x14ac:dyDescent="0.25"/>
    <row r="25743" customFormat="1" x14ac:dyDescent="0.25"/>
    <row r="25744" customFormat="1" x14ac:dyDescent="0.25"/>
    <row r="25745" customFormat="1" x14ac:dyDescent="0.25"/>
    <row r="25746" customFormat="1" x14ac:dyDescent="0.25"/>
    <row r="25747" customFormat="1" x14ac:dyDescent="0.25"/>
    <row r="25748" customFormat="1" x14ac:dyDescent="0.25"/>
    <row r="25749" customFormat="1" x14ac:dyDescent="0.25"/>
    <row r="25750" customFormat="1" x14ac:dyDescent="0.25"/>
    <row r="25751" customFormat="1" x14ac:dyDescent="0.25"/>
    <row r="25752" customFormat="1" x14ac:dyDescent="0.25"/>
    <row r="25753" customFormat="1" x14ac:dyDescent="0.25"/>
    <row r="25754" customFormat="1" x14ac:dyDescent="0.25"/>
    <row r="25755" customFormat="1" x14ac:dyDescent="0.25"/>
    <row r="25756" customFormat="1" x14ac:dyDescent="0.25"/>
    <row r="25757" customFormat="1" x14ac:dyDescent="0.25"/>
    <row r="25758" customFormat="1" x14ac:dyDescent="0.25"/>
    <row r="25759" customFormat="1" x14ac:dyDescent="0.25"/>
    <row r="25760" customFormat="1" x14ac:dyDescent="0.25"/>
    <row r="25761" customFormat="1" x14ac:dyDescent="0.25"/>
    <row r="25762" customFormat="1" x14ac:dyDescent="0.25"/>
    <row r="25763" customFormat="1" x14ac:dyDescent="0.25"/>
    <row r="25764" customFormat="1" x14ac:dyDescent="0.25"/>
    <row r="25765" customFormat="1" x14ac:dyDescent="0.25"/>
    <row r="25766" customFormat="1" x14ac:dyDescent="0.25"/>
    <row r="25767" customFormat="1" x14ac:dyDescent="0.25"/>
    <row r="25768" customFormat="1" x14ac:dyDescent="0.25"/>
    <row r="25769" customFormat="1" x14ac:dyDescent="0.25"/>
    <row r="25770" customFormat="1" x14ac:dyDescent="0.25"/>
    <row r="25771" customFormat="1" x14ac:dyDescent="0.25"/>
    <row r="25772" customFormat="1" x14ac:dyDescent="0.25"/>
    <row r="25773" customFormat="1" x14ac:dyDescent="0.25"/>
    <row r="25774" customFormat="1" x14ac:dyDescent="0.25"/>
    <row r="25775" customFormat="1" x14ac:dyDescent="0.25"/>
    <row r="25776" customFormat="1" x14ac:dyDescent="0.25"/>
    <row r="25777" customFormat="1" x14ac:dyDescent="0.25"/>
    <row r="25778" customFormat="1" x14ac:dyDescent="0.25"/>
    <row r="25779" customFormat="1" x14ac:dyDescent="0.25"/>
    <row r="25780" customFormat="1" x14ac:dyDescent="0.25"/>
    <row r="25781" customFormat="1" x14ac:dyDescent="0.25"/>
    <row r="25782" customFormat="1" x14ac:dyDescent="0.25"/>
    <row r="25783" customFormat="1" x14ac:dyDescent="0.25"/>
    <row r="25784" customFormat="1" x14ac:dyDescent="0.25"/>
    <row r="25785" customFormat="1" x14ac:dyDescent="0.25"/>
    <row r="25786" customFormat="1" x14ac:dyDescent="0.25"/>
    <row r="25787" customFormat="1" x14ac:dyDescent="0.25"/>
    <row r="25788" customFormat="1" x14ac:dyDescent="0.25"/>
    <row r="25789" customFormat="1" x14ac:dyDescent="0.25"/>
    <row r="25790" customFormat="1" x14ac:dyDescent="0.25"/>
    <row r="25791" customFormat="1" x14ac:dyDescent="0.25"/>
    <row r="25792" customFormat="1" x14ac:dyDescent="0.25"/>
    <row r="25793" customFormat="1" x14ac:dyDescent="0.25"/>
    <row r="25794" customFormat="1" x14ac:dyDescent="0.25"/>
    <row r="25795" customFormat="1" x14ac:dyDescent="0.25"/>
    <row r="25796" customFormat="1" x14ac:dyDescent="0.25"/>
    <row r="25797" customFormat="1" x14ac:dyDescent="0.25"/>
    <row r="25798" customFormat="1" x14ac:dyDescent="0.25"/>
    <row r="25799" customFormat="1" x14ac:dyDescent="0.25"/>
    <row r="25800" customFormat="1" x14ac:dyDescent="0.25"/>
    <row r="25801" customFormat="1" x14ac:dyDescent="0.25"/>
    <row r="25802" customFormat="1" x14ac:dyDescent="0.25"/>
    <row r="25803" customFormat="1" x14ac:dyDescent="0.25"/>
    <row r="25804" customFormat="1" x14ac:dyDescent="0.25"/>
    <row r="25805" customFormat="1" x14ac:dyDescent="0.25"/>
    <row r="25806" customFormat="1" x14ac:dyDescent="0.25"/>
    <row r="25807" customFormat="1" x14ac:dyDescent="0.25"/>
    <row r="25808" customFormat="1" x14ac:dyDescent="0.25"/>
    <row r="25809" customFormat="1" x14ac:dyDescent="0.25"/>
    <row r="25810" customFormat="1" x14ac:dyDescent="0.25"/>
    <row r="25811" customFormat="1" x14ac:dyDescent="0.25"/>
    <row r="25812" customFormat="1" x14ac:dyDescent="0.25"/>
    <row r="25813" customFormat="1" x14ac:dyDescent="0.25"/>
    <row r="25814" customFormat="1" x14ac:dyDescent="0.25"/>
    <row r="25815" customFormat="1" x14ac:dyDescent="0.25"/>
    <row r="25816" customFormat="1" x14ac:dyDescent="0.25"/>
    <row r="25817" customFormat="1" x14ac:dyDescent="0.25"/>
    <row r="25818" customFormat="1" x14ac:dyDescent="0.25"/>
    <row r="25819" customFormat="1" x14ac:dyDescent="0.25"/>
    <row r="25820" customFormat="1" x14ac:dyDescent="0.25"/>
    <row r="25821" customFormat="1" x14ac:dyDescent="0.25"/>
    <row r="25822" customFormat="1" x14ac:dyDescent="0.25"/>
    <row r="25823" customFormat="1" x14ac:dyDescent="0.25"/>
    <row r="25824" customFormat="1" x14ac:dyDescent="0.25"/>
    <row r="25825" customFormat="1" x14ac:dyDescent="0.25"/>
    <row r="25826" customFormat="1" x14ac:dyDescent="0.25"/>
    <row r="25827" customFormat="1" x14ac:dyDescent="0.25"/>
    <row r="25828" customFormat="1" x14ac:dyDescent="0.25"/>
    <row r="25829" customFormat="1" x14ac:dyDescent="0.25"/>
    <row r="25830" customFormat="1" x14ac:dyDescent="0.25"/>
    <row r="25831" customFormat="1" x14ac:dyDescent="0.25"/>
    <row r="25832" customFormat="1" x14ac:dyDescent="0.25"/>
    <row r="25833" customFormat="1" x14ac:dyDescent="0.25"/>
    <row r="25834" customFormat="1" x14ac:dyDescent="0.25"/>
    <row r="25835" customFormat="1" x14ac:dyDescent="0.25"/>
    <row r="25836" customFormat="1" x14ac:dyDescent="0.25"/>
    <row r="25837" customFormat="1" x14ac:dyDescent="0.25"/>
    <row r="25838" customFormat="1" x14ac:dyDescent="0.25"/>
    <row r="25839" customFormat="1" x14ac:dyDescent="0.25"/>
    <row r="25840" customFormat="1" x14ac:dyDescent="0.25"/>
    <row r="25841" customFormat="1" x14ac:dyDescent="0.25"/>
    <row r="25842" customFormat="1" x14ac:dyDescent="0.25"/>
    <row r="25843" customFormat="1" x14ac:dyDescent="0.25"/>
    <row r="25844" customFormat="1" x14ac:dyDescent="0.25"/>
    <row r="25845" customFormat="1" x14ac:dyDescent="0.25"/>
    <row r="25846" customFormat="1" x14ac:dyDescent="0.25"/>
    <row r="25847" customFormat="1" x14ac:dyDescent="0.25"/>
    <row r="25848" customFormat="1" x14ac:dyDescent="0.25"/>
    <row r="25849" customFormat="1" x14ac:dyDescent="0.25"/>
    <row r="25850" customFormat="1" x14ac:dyDescent="0.25"/>
    <row r="25851" customFormat="1" x14ac:dyDescent="0.25"/>
    <row r="25852" customFormat="1" x14ac:dyDescent="0.25"/>
    <row r="25853" customFormat="1" x14ac:dyDescent="0.25"/>
    <row r="25854" customFormat="1" x14ac:dyDescent="0.25"/>
    <row r="25855" customFormat="1" x14ac:dyDescent="0.25"/>
    <row r="25856" customFormat="1" x14ac:dyDescent="0.25"/>
    <row r="25857" customFormat="1" x14ac:dyDescent="0.25"/>
    <row r="25858" customFormat="1" x14ac:dyDescent="0.25"/>
    <row r="25859" customFormat="1" x14ac:dyDescent="0.25"/>
    <row r="25860" customFormat="1" x14ac:dyDescent="0.25"/>
    <row r="25861" customFormat="1" x14ac:dyDescent="0.25"/>
    <row r="25862" customFormat="1" x14ac:dyDescent="0.25"/>
    <row r="25863" customFormat="1" x14ac:dyDescent="0.25"/>
    <row r="25864" customFormat="1" x14ac:dyDescent="0.25"/>
    <row r="25865" customFormat="1" x14ac:dyDescent="0.25"/>
    <row r="25866" customFormat="1" x14ac:dyDescent="0.25"/>
    <row r="25867" customFormat="1" x14ac:dyDescent="0.25"/>
    <row r="25868" customFormat="1" x14ac:dyDescent="0.25"/>
    <row r="25869" customFormat="1" x14ac:dyDescent="0.25"/>
    <row r="25870" customFormat="1" x14ac:dyDescent="0.25"/>
    <row r="25871" customFormat="1" x14ac:dyDescent="0.25"/>
    <row r="25872" customFormat="1" x14ac:dyDescent="0.25"/>
    <row r="25873" customFormat="1" x14ac:dyDescent="0.25"/>
    <row r="25874" customFormat="1" x14ac:dyDescent="0.25"/>
    <row r="25875" customFormat="1" x14ac:dyDescent="0.25"/>
    <row r="25876" customFormat="1" x14ac:dyDescent="0.25"/>
    <row r="25877" customFormat="1" x14ac:dyDescent="0.25"/>
    <row r="25878" customFormat="1" x14ac:dyDescent="0.25"/>
    <row r="25879" customFormat="1" x14ac:dyDescent="0.25"/>
    <row r="25880" customFormat="1" x14ac:dyDescent="0.25"/>
    <row r="25881" customFormat="1" x14ac:dyDescent="0.25"/>
    <row r="25882" customFormat="1" x14ac:dyDescent="0.25"/>
    <row r="25883" customFormat="1" x14ac:dyDescent="0.25"/>
    <row r="25884" customFormat="1" x14ac:dyDescent="0.25"/>
    <row r="25885" customFormat="1" x14ac:dyDescent="0.25"/>
    <row r="25886" customFormat="1" x14ac:dyDescent="0.25"/>
    <row r="25887" customFormat="1" x14ac:dyDescent="0.25"/>
    <row r="25888" customFormat="1" x14ac:dyDescent="0.25"/>
    <row r="25889" customFormat="1" x14ac:dyDescent="0.25"/>
    <row r="25890" customFormat="1" x14ac:dyDescent="0.25"/>
    <row r="25891" customFormat="1" x14ac:dyDescent="0.25"/>
    <row r="25892" customFormat="1" x14ac:dyDescent="0.25"/>
    <row r="25893" customFormat="1" x14ac:dyDescent="0.25"/>
    <row r="25894" customFormat="1" x14ac:dyDescent="0.25"/>
    <row r="25895" customFormat="1" x14ac:dyDescent="0.25"/>
    <row r="25896" customFormat="1" x14ac:dyDescent="0.25"/>
    <row r="25897" customFormat="1" x14ac:dyDescent="0.25"/>
    <row r="25898" customFormat="1" x14ac:dyDescent="0.25"/>
    <row r="25899" customFormat="1" x14ac:dyDescent="0.25"/>
    <row r="25900" customFormat="1" x14ac:dyDescent="0.25"/>
    <row r="25901" customFormat="1" x14ac:dyDescent="0.25"/>
    <row r="25902" customFormat="1" x14ac:dyDescent="0.25"/>
    <row r="25903" customFormat="1" x14ac:dyDescent="0.25"/>
    <row r="25904" customFormat="1" x14ac:dyDescent="0.25"/>
    <row r="25905" customFormat="1" x14ac:dyDescent="0.25"/>
    <row r="25906" customFormat="1" x14ac:dyDescent="0.25"/>
    <row r="25907" customFormat="1" x14ac:dyDescent="0.25"/>
    <row r="25908" customFormat="1" x14ac:dyDescent="0.25"/>
    <row r="25909" customFormat="1" x14ac:dyDescent="0.25"/>
    <row r="25910" customFormat="1" x14ac:dyDescent="0.25"/>
    <row r="25911" customFormat="1" x14ac:dyDescent="0.25"/>
    <row r="25912" customFormat="1" x14ac:dyDescent="0.25"/>
    <row r="25913" customFormat="1" x14ac:dyDescent="0.25"/>
    <row r="25914" customFormat="1" x14ac:dyDescent="0.25"/>
    <row r="25915" customFormat="1" x14ac:dyDescent="0.25"/>
    <row r="25916" customFormat="1" x14ac:dyDescent="0.25"/>
    <row r="25917" customFormat="1" x14ac:dyDescent="0.25"/>
    <row r="25918" customFormat="1" x14ac:dyDescent="0.25"/>
    <row r="25919" customFormat="1" x14ac:dyDescent="0.25"/>
    <row r="25920" customFormat="1" x14ac:dyDescent="0.25"/>
    <row r="25921" customFormat="1" x14ac:dyDescent="0.25"/>
    <row r="25922" customFormat="1" x14ac:dyDescent="0.25"/>
    <row r="25923" customFormat="1" x14ac:dyDescent="0.25"/>
    <row r="25924" customFormat="1" x14ac:dyDescent="0.25"/>
    <row r="25925" customFormat="1" x14ac:dyDescent="0.25"/>
    <row r="25926" customFormat="1" x14ac:dyDescent="0.25"/>
    <row r="25927" customFormat="1" x14ac:dyDescent="0.25"/>
    <row r="25928" customFormat="1" x14ac:dyDescent="0.25"/>
    <row r="25929" customFormat="1" x14ac:dyDescent="0.25"/>
    <row r="25930" customFormat="1" x14ac:dyDescent="0.25"/>
    <row r="25931" customFormat="1" x14ac:dyDescent="0.25"/>
    <row r="25932" customFormat="1" x14ac:dyDescent="0.25"/>
    <row r="25933" customFormat="1" x14ac:dyDescent="0.25"/>
    <row r="25934" customFormat="1" x14ac:dyDescent="0.25"/>
    <row r="25935" customFormat="1" x14ac:dyDescent="0.25"/>
    <row r="25936" customFormat="1" x14ac:dyDescent="0.25"/>
    <row r="25937" customFormat="1" x14ac:dyDescent="0.25"/>
    <row r="25938" customFormat="1" x14ac:dyDescent="0.25"/>
    <row r="25939" customFormat="1" x14ac:dyDescent="0.25"/>
    <row r="25940" customFormat="1" x14ac:dyDescent="0.25"/>
    <row r="25941" customFormat="1" x14ac:dyDescent="0.25"/>
    <row r="25942" customFormat="1" x14ac:dyDescent="0.25"/>
    <row r="25943" customFormat="1" x14ac:dyDescent="0.25"/>
    <row r="25944" customFormat="1" x14ac:dyDescent="0.25"/>
    <row r="25945" customFormat="1" x14ac:dyDescent="0.25"/>
    <row r="25946" customFormat="1" x14ac:dyDescent="0.25"/>
    <row r="25947" customFormat="1" x14ac:dyDescent="0.25"/>
    <row r="25948" customFormat="1" x14ac:dyDescent="0.25"/>
    <row r="25949" customFormat="1" x14ac:dyDescent="0.25"/>
    <row r="25950" customFormat="1" x14ac:dyDescent="0.25"/>
    <row r="25951" customFormat="1" x14ac:dyDescent="0.25"/>
    <row r="25952" customFormat="1" x14ac:dyDescent="0.25"/>
    <row r="25953" customFormat="1" x14ac:dyDescent="0.25"/>
    <row r="25954" customFormat="1" x14ac:dyDescent="0.25"/>
    <row r="25955" customFormat="1" x14ac:dyDescent="0.25"/>
    <row r="25956" customFormat="1" x14ac:dyDescent="0.25"/>
    <row r="25957" customFormat="1" x14ac:dyDescent="0.25"/>
    <row r="25958" customFormat="1" x14ac:dyDescent="0.25"/>
    <row r="25959" customFormat="1" x14ac:dyDescent="0.25"/>
    <row r="25960" customFormat="1" x14ac:dyDescent="0.25"/>
    <row r="25961" customFormat="1" x14ac:dyDescent="0.25"/>
    <row r="25962" customFormat="1" x14ac:dyDescent="0.25"/>
    <row r="25963" customFormat="1" x14ac:dyDescent="0.25"/>
    <row r="25964" customFormat="1" x14ac:dyDescent="0.25"/>
    <row r="25965" customFormat="1" x14ac:dyDescent="0.25"/>
    <row r="25966" customFormat="1" x14ac:dyDescent="0.25"/>
    <row r="25967" customFormat="1" x14ac:dyDescent="0.25"/>
    <row r="25968" customFormat="1" x14ac:dyDescent="0.25"/>
    <row r="25969" customFormat="1" x14ac:dyDescent="0.25"/>
    <row r="25970" customFormat="1" x14ac:dyDescent="0.25"/>
    <row r="25971" customFormat="1" x14ac:dyDescent="0.25"/>
    <row r="25972" customFormat="1" x14ac:dyDescent="0.25"/>
    <row r="25973" customFormat="1" x14ac:dyDescent="0.25"/>
    <row r="25974" customFormat="1" x14ac:dyDescent="0.25"/>
    <row r="25975" customFormat="1" x14ac:dyDescent="0.25"/>
    <row r="25976" customFormat="1" x14ac:dyDescent="0.25"/>
    <row r="25977" customFormat="1" x14ac:dyDescent="0.25"/>
    <row r="25978" customFormat="1" x14ac:dyDescent="0.25"/>
    <row r="25979" customFormat="1" x14ac:dyDescent="0.25"/>
    <row r="25980" customFormat="1" x14ac:dyDescent="0.25"/>
    <row r="25981" customFormat="1" x14ac:dyDescent="0.25"/>
    <row r="25982" customFormat="1" x14ac:dyDescent="0.25"/>
    <row r="25983" customFormat="1" x14ac:dyDescent="0.25"/>
    <row r="25984" customFormat="1" x14ac:dyDescent="0.25"/>
    <row r="25985" customFormat="1" x14ac:dyDescent="0.25"/>
    <row r="25986" customFormat="1" x14ac:dyDescent="0.25"/>
    <row r="25987" customFormat="1" x14ac:dyDescent="0.25"/>
    <row r="25988" customFormat="1" x14ac:dyDescent="0.25"/>
    <row r="25989" customFormat="1" x14ac:dyDescent="0.25"/>
    <row r="25990" customFormat="1" x14ac:dyDescent="0.25"/>
    <row r="25991" customFormat="1" x14ac:dyDescent="0.25"/>
    <row r="25992" customFormat="1" x14ac:dyDescent="0.25"/>
    <row r="25993" customFormat="1" x14ac:dyDescent="0.25"/>
    <row r="25994" customFormat="1" x14ac:dyDescent="0.25"/>
    <row r="25995" customFormat="1" x14ac:dyDescent="0.25"/>
    <row r="25996" customFormat="1" x14ac:dyDescent="0.25"/>
    <row r="25997" customFormat="1" x14ac:dyDescent="0.25"/>
    <row r="25998" customFormat="1" x14ac:dyDescent="0.25"/>
    <row r="25999" customFormat="1" x14ac:dyDescent="0.25"/>
    <row r="26000" customFormat="1" x14ac:dyDescent="0.25"/>
    <row r="26001" customFormat="1" x14ac:dyDescent="0.25"/>
    <row r="26002" customFormat="1" x14ac:dyDescent="0.25"/>
    <row r="26003" customFormat="1" x14ac:dyDescent="0.25"/>
    <row r="26004" customFormat="1" x14ac:dyDescent="0.25"/>
    <row r="26005" customFormat="1" x14ac:dyDescent="0.25"/>
    <row r="26006" customFormat="1" x14ac:dyDescent="0.25"/>
    <row r="26007" customFormat="1" x14ac:dyDescent="0.25"/>
    <row r="26008" customFormat="1" x14ac:dyDescent="0.25"/>
    <row r="26009" customFormat="1" x14ac:dyDescent="0.25"/>
    <row r="26010" customFormat="1" x14ac:dyDescent="0.25"/>
    <row r="26011" customFormat="1" x14ac:dyDescent="0.25"/>
    <row r="26012" customFormat="1" x14ac:dyDescent="0.25"/>
    <row r="26013" customFormat="1" x14ac:dyDescent="0.25"/>
    <row r="26014" customFormat="1" x14ac:dyDescent="0.25"/>
    <row r="26015" customFormat="1" x14ac:dyDescent="0.25"/>
    <row r="26016" customFormat="1" x14ac:dyDescent="0.25"/>
    <row r="26017" customFormat="1" x14ac:dyDescent="0.25"/>
    <row r="26018" customFormat="1" x14ac:dyDescent="0.25"/>
    <row r="26019" customFormat="1" x14ac:dyDescent="0.25"/>
    <row r="26020" customFormat="1" x14ac:dyDescent="0.25"/>
    <row r="26021" customFormat="1" x14ac:dyDescent="0.25"/>
    <row r="26022" customFormat="1" x14ac:dyDescent="0.25"/>
    <row r="26023" customFormat="1" x14ac:dyDescent="0.25"/>
    <row r="26024" customFormat="1" x14ac:dyDescent="0.25"/>
    <row r="26025" customFormat="1" x14ac:dyDescent="0.25"/>
    <row r="26026" customFormat="1" x14ac:dyDescent="0.25"/>
    <row r="26027" customFormat="1" x14ac:dyDescent="0.25"/>
    <row r="26028" customFormat="1" x14ac:dyDescent="0.25"/>
    <row r="26029" customFormat="1" x14ac:dyDescent="0.25"/>
    <row r="26030" customFormat="1" x14ac:dyDescent="0.25"/>
    <row r="26031" customFormat="1" x14ac:dyDescent="0.25"/>
    <row r="26032" customFormat="1" x14ac:dyDescent="0.25"/>
    <row r="26033" customFormat="1" x14ac:dyDescent="0.25"/>
    <row r="26034" customFormat="1" x14ac:dyDescent="0.25"/>
    <row r="26035" customFormat="1" x14ac:dyDescent="0.25"/>
    <row r="26036" customFormat="1" x14ac:dyDescent="0.25"/>
    <row r="26037" customFormat="1" x14ac:dyDescent="0.25"/>
    <row r="26038" customFormat="1" x14ac:dyDescent="0.25"/>
    <row r="26039" customFormat="1" x14ac:dyDescent="0.25"/>
    <row r="26040" customFormat="1" x14ac:dyDescent="0.25"/>
    <row r="26041" customFormat="1" x14ac:dyDescent="0.25"/>
    <row r="26042" customFormat="1" x14ac:dyDescent="0.25"/>
    <row r="26043" customFormat="1" x14ac:dyDescent="0.25"/>
    <row r="26044" customFormat="1" x14ac:dyDescent="0.25"/>
    <row r="26045" customFormat="1" x14ac:dyDescent="0.25"/>
    <row r="26046" customFormat="1" x14ac:dyDescent="0.25"/>
    <row r="26047" customFormat="1" x14ac:dyDescent="0.25"/>
    <row r="26048" customFormat="1" x14ac:dyDescent="0.25"/>
    <row r="26049" customFormat="1" x14ac:dyDescent="0.25"/>
    <row r="26050" customFormat="1" x14ac:dyDescent="0.25"/>
    <row r="26051" customFormat="1" x14ac:dyDescent="0.25"/>
    <row r="26052" customFormat="1" x14ac:dyDescent="0.25"/>
    <row r="26053" customFormat="1" x14ac:dyDescent="0.25"/>
    <row r="26054" customFormat="1" x14ac:dyDescent="0.25"/>
    <row r="26055" customFormat="1" x14ac:dyDescent="0.25"/>
    <row r="26056" customFormat="1" x14ac:dyDescent="0.25"/>
    <row r="26057" customFormat="1" x14ac:dyDescent="0.25"/>
    <row r="26058" customFormat="1" x14ac:dyDescent="0.25"/>
    <row r="26059" customFormat="1" x14ac:dyDescent="0.25"/>
    <row r="26060" customFormat="1" x14ac:dyDescent="0.25"/>
    <row r="26061" customFormat="1" x14ac:dyDescent="0.25"/>
    <row r="26062" customFormat="1" x14ac:dyDescent="0.25"/>
    <row r="26063" customFormat="1" x14ac:dyDescent="0.25"/>
    <row r="26064" customFormat="1" x14ac:dyDescent="0.25"/>
    <row r="26065" customFormat="1" x14ac:dyDescent="0.25"/>
    <row r="26066" customFormat="1" x14ac:dyDescent="0.25"/>
    <row r="26067" customFormat="1" x14ac:dyDescent="0.25"/>
    <row r="26068" customFormat="1" x14ac:dyDescent="0.25"/>
    <row r="26069" customFormat="1" x14ac:dyDescent="0.25"/>
    <row r="26070" customFormat="1" x14ac:dyDescent="0.25"/>
    <row r="26071" customFormat="1" x14ac:dyDescent="0.25"/>
    <row r="26072" customFormat="1" x14ac:dyDescent="0.25"/>
    <row r="26073" customFormat="1" x14ac:dyDescent="0.25"/>
    <row r="26074" customFormat="1" x14ac:dyDescent="0.25"/>
    <row r="26075" customFormat="1" x14ac:dyDescent="0.25"/>
    <row r="26076" customFormat="1" x14ac:dyDescent="0.25"/>
    <row r="26077" customFormat="1" x14ac:dyDescent="0.25"/>
    <row r="26078" customFormat="1" x14ac:dyDescent="0.25"/>
    <row r="26079" customFormat="1" x14ac:dyDescent="0.25"/>
    <row r="26080" customFormat="1" x14ac:dyDescent="0.25"/>
    <row r="26081" customFormat="1" x14ac:dyDescent="0.25"/>
    <row r="26082" customFormat="1" x14ac:dyDescent="0.25"/>
    <row r="26083" customFormat="1" x14ac:dyDescent="0.25"/>
    <row r="26084" customFormat="1" x14ac:dyDescent="0.25"/>
    <row r="26085" customFormat="1" x14ac:dyDescent="0.25"/>
    <row r="26086" customFormat="1" x14ac:dyDescent="0.25"/>
    <row r="26087" customFormat="1" x14ac:dyDescent="0.25"/>
    <row r="26088" customFormat="1" x14ac:dyDescent="0.25"/>
    <row r="26089" customFormat="1" x14ac:dyDescent="0.25"/>
    <row r="26090" customFormat="1" x14ac:dyDescent="0.25"/>
    <row r="26091" customFormat="1" x14ac:dyDescent="0.25"/>
    <row r="26092" customFormat="1" x14ac:dyDescent="0.25"/>
    <row r="26093" customFormat="1" x14ac:dyDescent="0.25"/>
    <row r="26094" customFormat="1" x14ac:dyDescent="0.25"/>
    <row r="26095" customFormat="1" x14ac:dyDescent="0.25"/>
    <row r="26096" customFormat="1" x14ac:dyDescent="0.25"/>
    <row r="26097" customFormat="1" x14ac:dyDescent="0.25"/>
    <row r="26098" customFormat="1" x14ac:dyDescent="0.25"/>
    <row r="26099" customFormat="1" x14ac:dyDescent="0.25"/>
    <row r="26100" customFormat="1" x14ac:dyDescent="0.25"/>
    <row r="26101" customFormat="1" x14ac:dyDescent="0.25"/>
    <row r="26102" customFormat="1" x14ac:dyDescent="0.25"/>
    <row r="26103" customFormat="1" x14ac:dyDescent="0.25"/>
    <row r="26104" customFormat="1" x14ac:dyDescent="0.25"/>
    <row r="26105" customFormat="1" x14ac:dyDescent="0.25"/>
    <row r="26106" customFormat="1" x14ac:dyDescent="0.25"/>
    <row r="26107" customFormat="1" x14ac:dyDescent="0.25"/>
    <row r="26108" customFormat="1" x14ac:dyDescent="0.25"/>
    <row r="26109" customFormat="1" x14ac:dyDescent="0.25"/>
    <row r="26110" customFormat="1" x14ac:dyDescent="0.25"/>
    <row r="26111" customFormat="1" x14ac:dyDescent="0.25"/>
    <row r="26112" customFormat="1" x14ac:dyDescent="0.25"/>
    <row r="26113" customFormat="1" x14ac:dyDescent="0.25"/>
    <row r="26114" customFormat="1" x14ac:dyDescent="0.25"/>
    <row r="26115" customFormat="1" x14ac:dyDescent="0.25"/>
    <row r="26116" customFormat="1" x14ac:dyDescent="0.25"/>
    <row r="26117" customFormat="1" x14ac:dyDescent="0.25"/>
    <row r="26118" customFormat="1" x14ac:dyDescent="0.25"/>
    <row r="26119" customFormat="1" x14ac:dyDescent="0.25"/>
    <row r="26120" customFormat="1" x14ac:dyDescent="0.25"/>
    <row r="26121" customFormat="1" x14ac:dyDescent="0.25"/>
    <row r="26122" customFormat="1" x14ac:dyDescent="0.25"/>
    <row r="26123" customFormat="1" x14ac:dyDescent="0.25"/>
    <row r="26124" customFormat="1" x14ac:dyDescent="0.25"/>
    <row r="26125" customFormat="1" x14ac:dyDescent="0.25"/>
    <row r="26126" customFormat="1" x14ac:dyDescent="0.25"/>
    <row r="26127" customFormat="1" x14ac:dyDescent="0.25"/>
    <row r="26128" customFormat="1" x14ac:dyDescent="0.25"/>
    <row r="26129" customFormat="1" x14ac:dyDescent="0.25"/>
    <row r="26130" customFormat="1" x14ac:dyDescent="0.25"/>
    <row r="26131" customFormat="1" x14ac:dyDescent="0.25"/>
    <row r="26132" customFormat="1" x14ac:dyDescent="0.25"/>
    <row r="26133" customFormat="1" x14ac:dyDescent="0.25"/>
    <row r="26134" customFormat="1" x14ac:dyDescent="0.25"/>
    <row r="26135" customFormat="1" x14ac:dyDescent="0.25"/>
    <row r="26136" customFormat="1" x14ac:dyDescent="0.25"/>
    <row r="26137" customFormat="1" x14ac:dyDescent="0.25"/>
    <row r="26138" customFormat="1" x14ac:dyDescent="0.25"/>
    <row r="26139" customFormat="1" x14ac:dyDescent="0.25"/>
    <row r="26140" customFormat="1" x14ac:dyDescent="0.25"/>
    <row r="26141" customFormat="1" x14ac:dyDescent="0.25"/>
    <row r="26142" customFormat="1" x14ac:dyDescent="0.25"/>
    <row r="26143" customFormat="1" x14ac:dyDescent="0.25"/>
    <row r="26144" customFormat="1" x14ac:dyDescent="0.25"/>
    <row r="26145" customFormat="1" x14ac:dyDescent="0.25"/>
    <row r="26146" customFormat="1" x14ac:dyDescent="0.25"/>
    <row r="26147" customFormat="1" x14ac:dyDescent="0.25"/>
    <row r="26148" customFormat="1" x14ac:dyDescent="0.25"/>
    <row r="26149" customFormat="1" x14ac:dyDescent="0.25"/>
    <row r="26150" customFormat="1" x14ac:dyDescent="0.25"/>
    <row r="26151" customFormat="1" x14ac:dyDescent="0.25"/>
    <row r="26152" customFormat="1" x14ac:dyDescent="0.25"/>
    <row r="26153" customFormat="1" x14ac:dyDescent="0.25"/>
    <row r="26154" customFormat="1" x14ac:dyDescent="0.25"/>
    <row r="26155" customFormat="1" x14ac:dyDescent="0.25"/>
    <row r="26156" customFormat="1" x14ac:dyDescent="0.25"/>
    <row r="26157" customFormat="1" x14ac:dyDescent="0.25"/>
    <row r="26158" customFormat="1" x14ac:dyDescent="0.25"/>
    <row r="26159" customFormat="1" x14ac:dyDescent="0.25"/>
    <row r="26160" customFormat="1" x14ac:dyDescent="0.25"/>
    <row r="26161" customFormat="1" x14ac:dyDescent="0.25"/>
    <row r="26162" customFormat="1" x14ac:dyDescent="0.25"/>
    <row r="26163" customFormat="1" x14ac:dyDescent="0.25"/>
    <row r="26164" customFormat="1" x14ac:dyDescent="0.25"/>
    <row r="26165" customFormat="1" x14ac:dyDescent="0.25"/>
    <row r="26166" customFormat="1" x14ac:dyDescent="0.25"/>
    <row r="26167" customFormat="1" x14ac:dyDescent="0.25"/>
    <row r="26168" customFormat="1" x14ac:dyDescent="0.25"/>
    <row r="26169" customFormat="1" x14ac:dyDescent="0.25"/>
    <row r="26170" customFormat="1" x14ac:dyDescent="0.25"/>
    <row r="26171" customFormat="1" x14ac:dyDescent="0.25"/>
    <row r="26172" customFormat="1" x14ac:dyDescent="0.25"/>
    <row r="26173" customFormat="1" x14ac:dyDescent="0.25"/>
    <row r="26174" customFormat="1" x14ac:dyDescent="0.25"/>
    <row r="26175" customFormat="1" x14ac:dyDescent="0.25"/>
    <row r="26176" customFormat="1" x14ac:dyDescent="0.25"/>
    <row r="26177" customFormat="1" x14ac:dyDescent="0.25"/>
    <row r="26178" customFormat="1" x14ac:dyDescent="0.25"/>
    <row r="26179" customFormat="1" x14ac:dyDescent="0.25"/>
    <row r="26180" customFormat="1" x14ac:dyDescent="0.25"/>
    <row r="26181" customFormat="1" x14ac:dyDescent="0.25"/>
    <row r="26182" customFormat="1" x14ac:dyDescent="0.25"/>
    <row r="26183" customFormat="1" x14ac:dyDescent="0.25"/>
    <row r="26184" customFormat="1" x14ac:dyDescent="0.25"/>
    <row r="26185" customFormat="1" x14ac:dyDescent="0.25"/>
    <row r="26186" customFormat="1" x14ac:dyDescent="0.25"/>
    <row r="26187" customFormat="1" x14ac:dyDescent="0.25"/>
    <row r="26188" customFormat="1" x14ac:dyDescent="0.25"/>
    <row r="26189" customFormat="1" x14ac:dyDescent="0.25"/>
    <row r="26190" customFormat="1" x14ac:dyDescent="0.25"/>
    <row r="26191" customFormat="1" x14ac:dyDescent="0.25"/>
    <row r="26192" customFormat="1" x14ac:dyDescent="0.25"/>
    <row r="26193" customFormat="1" x14ac:dyDescent="0.25"/>
    <row r="26194" customFormat="1" x14ac:dyDescent="0.25"/>
    <row r="26195" customFormat="1" x14ac:dyDescent="0.25"/>
    <row r="26196" customFormat="1" x14ac:dyDescent="0.25"/>
    <row r="26197" customFormat="1" x14ac:dyDescent="0.25"/>
    <row r="26198" customFormat="1" x14ac:dyDescent="0.25"/>
    <row r="26199" customFormat="1" x14ac:dyDescent="0.25"/>
    <row r="26200" customFormat="1" x14ac:dyDescent="0.25"/>
    <row r="26201" customFormat="1" x14ac:dyDescent="0.25"/>
    <row r="26202" customFormat="1" x14ac:dyDescent="0.25"/>
    <row r="26203" customFormat="1" x14ac:dyDescent="0.25"/>
    <row r="26204" customFormat="1" x14ac:dyDescent="0.25"/>
    <row r="26205" customFormat="1" x14ac:dyDescent="0.25"/>
    <row r="26206" customFormat="1" x14ac:dyDescent="0.25"/>
    <row r="26207" customFormat="1" x14ac:dyDescent="0.25"/>
    <row r="26208" customFormat="1" x14ac:dyDescent="0.25"/>
    <row r="26209" customFormat="1" x14ac:dyDescent="0.25"/>
    <row r="26210" customFormat="1" x14ac:dyDescent="0.25"/>
    <row r="26211" customFormat="1" x14ac:dyDescent="0.25"/>
    <row r="26212" customFormat="1" x14ac:dyDescent="0.25"/>
    <row r="26213" customFormat="1" x14ac:dyDescent="0.25"/>
    <row r="26214" customFormat="1" x14ac:dyDescent="0.25"/>
    <row r="26215" customFormat="1" x14ac:dyDescent="0.25"/>
    <row r="26216" customFormat="1" x14ac:dyDescent="0.25"/>
    <row r="26217" customFormat="1" x14ac:dyDescent="0.25"/>
    <row r="26218" customFormat="1" x14ac:dyDescent="0.25"/>
    <row r="26219" customFormat="1" x14ac:dyDescent="0.25"/>
    <row r="26220" customFormat="1" x14ac:dyDescent="0.25"/>
    <row r="26221" customFormat="1" x14ac:dyDescent="0.25"/>
    <row r="26222" customFormat="1" x14ac:dyDescent="0.25"/>
    <row r="26223" customFormat="1" x14ac:dyDescent="0.25"/>
    <row r="26224" customFormat="1" x14ac:dyDescent="0.25"/>
    <row r="26225" customFormat="1" x14ac:dyDescent="0.25"/>
    <row r="26226" customFormat="1" x14ac:dyDescent="0.25"/>
    <row r="26227" customFormat="1" x14ac:dyDescent="0.25"/>
    <row r="26228" customFormat="1" x14ac:dyDescent="0.25"/>
    <row r="26229" customFormat="1" x14ac:dyDescent="0.25"/>
    <row r="26230" customFormat="1" x14ac:dyDescent="0.25"/>
    <row r="26231" customFormat="1" x14ac:dyDescent="0.25"/>
    <row r="26232" customFormat="1" x14ac:dyDescent="0.25"/>
    <row r="26233" customFormat="1" x14ac:dyDescent="0.25"/>
    <row r="26234" customFormat="1" x14ac:dyDescent="0.25"/>
    <row r="26235" customFormat="1" x14ac:dyDescent="0.25"/>
    <row r="26236" customFormat="1" x14ac:dyDescent="0.25"/>
    <row r="26237" customFormat="1" x14ac:dyDescent="0.25"/>
    <row r="26238" customFormat="1" x14ac:dyDescent="0.25"/>
    <row r="26239" customFormat="1" x14ac:dyDescent="0.25"/>
    <row r="26240" customFormat="1" x14ac:dyDescent="0.25"/>
    <row r="26241" customFormat="1" x14ac:dyDescent="0.25"/>
    <row r="26242" customFormat="1" x14ac:dyDescent="0.25"/>
    <row r="26243" customFormat="1" x14ac:dyDescent="0.25"/>
    <row r="26244" customFormat="1" x14ac:dyDescent="0.25"/>
    <row r="26245" customFormat="1" x14ac:dyDescent="0.25"/>
    <row r="26246" customFormat="1" x14ac:dyDescent="0.25"/>
    <row r="26247" customFormat="1" x14ac:dyDescent="0.25"/>
    <row r="26248" customFormat="1" x14ac:dyDescent="0.25"/>
    <row r="26249" customFormat="1" x14ac:dyDescent="0.25"/>
    <row r="26250" customFormat="1" x14ac:dyDescent="0.25"/>
    <row r="26251" customFormat="1" x14ac:dyDescent="0.25"/>
    <row r="26252" customFormat="1" x14ac:dyDescent="0.25"/>
    <row r="26253" customFormat="1" x14ac:dyDescent="0.25"/>
    <row r="26254" customFormat="1" x14ac:dyDescent="0.25"/>
    <row r="26255" customFormat="1" x14ac:dyDescent="0.25"/>
    <row r="26256" customFormat="1" x14ac:dyDescent="0.25"/>
    <row r="26257" customFormat="1" x14ac:dyDescent="0.25"/>
    <row r="26258" customFormat="1" x14ac:dyDescent="0.25"/>
    <row r="26259" customFormat="1" x14ac:dyDescent="0.25"/>
    <row r="26260" customFormat="1" x14ac:dyDescent="0.25"/>
    <row r="26261" customFormat="1" x14ac:dyDescent="0.25"/>
    <row r="26262" customFormat="1" x14ac:dyDescent="0.25"/>
    <row r="26263" customFormat="1" x14ac:dyDescent="0.25"/>
    <row r="26264" customFormat="1" x14ac:dyDescent="0.25"/>
    <row r="26265" customFormat="1" x14ac:dyDescent="0.25"/>
    <row r="26266" customFormat="1" x14ac:dyDescent="0.25"/>
    <row r="26267" customFormat="1" x14ac:dyDescent="0.25"/>
    <row r="26268" customFormat="1" x14ac:dyDescent="0.25"/>
    <row r="26269" customFormat="1" x14ac:dyDescent="0.25"/>
    <row r="26270" customFormat="1" x14ac:dyDescent="0.25"/>
    <row r="26271" customFormat="1" x14ac:dyDescent="0.25"/>
    <row r="26272" customFormat="1" x14ac:dyDescent="0.25"/>
    <row r="26273" customFormat="1" x14ac:dyDescent="0.25"/>
    <row r="26274" customFormat="1" x14ac:dyDescent="0.25"/>
    <row r="26275" customFormat="1" x14ac:dyDescent="0.25"/>
    <row r="26276" customFormat="1" x14ac:dyDescent="0.25"/>
    <row r="26277" customFormat="1" x14ac:dyDescent="0.25"/>
    <row r="26278" customFormat="1" x14ac:dyDescent="0.25"/>
    <row r="26279" customFormat="1" x14ac:dyDescent="0.25"/>
    <row r="26280" customFormat="1" x14ac:dyDescent="0.25"/>
    <row r="26281" customFormat="1" x14ac:dyDescent="0.25"/>
    <row r="26282" customFormat="1" x14ac:dyDescent="0.25"/>
    <row r="26283" customFormat="1" x14ac:dyDescent="0.25"/>
    <row r="26284" customFormat="1" x14ac:dyDescent="0.25"/>
    <row r="26285" customFormat="1" x14ac:dyDescent="0.25"/>
    <row r="26286" customFormat="1" x14ac:dyDescent="0.25"/>
    <row r="26287" customFormat="1" x14ac:dyDescent="0.25"/>
    <row r="26288" customFormat="1" x14ac:dyDescent="0.25"/>
    <row r="26289" customFormat="1" x14ac:dyDescent="0.25"/>
    <row r="26290" customFormat="1" x14ac:dyDescent="0.25"/>
    <row r="26291" customFormat="1" x14ac:dyDescent="0.25"/>
    <row r="26292" customFormat="1" x14ac:dyDescent="0.25"/>
    <row r="26293" customFormat="1" x14ac:dyDescent="0.25"/>
    <row r="26294" customFormat="1" x14ac:dyDescent="0.25"/>
    <row r="26295" customFormat="1" x14ac:dyDescent="0.25"/>
    <row r="26296" customFormat="1" x14ac:dyDescent="0.25"/>
    <row r="26297" customFormat="1" x14ac:dyDescent="0.25"/>
    <row r="26298" customFormat="1" x14ac:dyDescent="0.25"/>
    <row r="26299" customFormat="1" x14ac:dyDescent="0.25"/>
    <row r="26300" customFormat="1" x14ac:dyDescent="0.25"/>
    <row r="26301" customFormat="1" x14ac:dyDescent="0.25"/>
    <row r="26302" customFormat="1" x14ac:dyDescent="0.25"/>
    <row r="26303" customFormat="1" x14ac:dyDescent="0.25"/>
    <row r="26304" customFormat="1" x14ac:dyDescent="0.25"/>
    <row r="26305" customFormat="1" x14ac:dyDescent="0.25"/>
    <row r="26306" customFormat="1" x14ac:dyDescent="0.25"/>
    <row r="26307" customFormat="1" x14ac:dyDescent="0.25"/>
    <row r="26308" customFormat="1" x14ac:dyDescent="0.25"/>
    <row r="26309" customFormat="1" x14ac:dyDescent="0.25"/>
    <row r="26310" customFormat="1" x14ac:dyDescent="0.25"/>
    <row r="26311" customFormat="1" x14ac:dyDescent="0.25"/>
    <row r="26312" customFormat="1" x14ac:dyDescent="0.25"/>
    <row r="26313" customFormat="1" x14ac:dyDescent="0.25"/>
    <row r="26314" customFormat="1" x14ac:dyDescent="0.25"/>
    <row r="26315" customFormat="1" x14ac:dyDescent="0.25"/>
    <row r="26316" customFormat="1" x14ac:dyDescent="0.25"/>
    <row r="26317" customFormat="1" x14ac:dyDescent="0.25"/>
    <row r="26318" customFormat="1" x14ac:dyDescent="0.25"/>
    <row r="26319" customFormat="1" x14ac:dyDescent="0.25"/>
    <row r="26320" customFormat="1" x14ac:dyDescent="0.25"/>
    <row r="26321" customFormat="1" x14ac:dyDescent="0.25"/>
    <row r="26322" customFormat="1" x14ac:dyDescent="0.25"/>
    <row r="26323" customFormat="1" x14ac:dyDescent="0.25"/>
    <row r="26324" customFormat="1" x14ac:dyDescent="0.25"/>
    <row r="26325" customFormat="1" x14ac:dyDescent="0.25"/>
    <row r="26326" customFormat="1" x14ac:dyDescent="0.25"/>
    <row r="26327" customFormat="1" x14ac:dyDescent="0.25"/>
    <row r="26328" customFormat="1" x14ac:dyDescent="0.25"/>
    <row r="26329" customFormat="1" x14ac:dyDescent="0.25"/>
    <row r="26330" customFormat="1" x14ac:dyDescent="0.25"/>
    <row r="26331" customFormat="1" x14ac:dyDescent="0.25"/>
    <row r="26332" customFormat="1" x14ac:dyDescent="0.25"/>
    <row r="26333" customFormat="1" x14ac:dyDescent="0.25"/>
    <row r="26334" customFormat="1" x14ac:dyDescent="0.25"/>
    <row r="26335" customFormat="1" x14ac:dyDescent="0.25"/>
    <row r="26336" customFormat="1" x14ac:dyDescent="0.25"/>
    <row r="26337" customFormat="1" x14ac:dyDescent="0.25"/>
    <row r="26338" customFormat="1" x14ac:dyDescent="0.25"/>
    <row r="26339" customFormat="1" x14ac:dyDescent="0.25"/>
    <row r="26340" customFormat="1" x14ac:dyDescent="0.25"/>
    <row r="26341" customFormat="1" x14ac:dyDescent="0.25"/>
    <row r="26342" customFormat="1" x14ac:dyDescent="0.25"/>
    <row r="26343" customFormat="1" x14ac:dyDescent="0.25"/>
    <row r="26344" customFormat="1" x14ac:dyDescent="0.25"/>
    <row r="26345" customFormat="1" x14ac:dyDescent="0.25"/>
    <row r="26346" customFormat="1" x14ac:dyDescent="0.25"/>
    <row r="26347" customFormat="1" x14ac:dyDescent="0.25"/>
    <row r="26348" customFormat="1" x14ac:dyDescent="0.25"/>
    <row r="26349" customFormat="1" x14ac:dyDescent="0.25"/>
    <row r="26350" customFormat="1" x14ac:dyDescent="0.25"/>
    <row r="26351" customFormat="1" x14ac:dyDescent="0.25"/>
    <row r="26352" customFormat="1" x14ac:dyDescent="0.25"/>
    <row r="26353" customFormat="1" x14ac:dyDescent="0.25"/>
    <row r="26354" customFormat="1" x14ac:dyDescent="0.25"/>
    <row r="26355" customFormat="1" x14ac:dyDescent="0.25"/>
    <row r="26356" customFormat="1" x14ac:dyDescent="0.25"/>
    <row r="26357" customFormat="1" x14ac:dyDescent="0.25"/>
    <row r="26358" customFormat="1" x14ac:dyDescent="0.25"/>
    <row r="26359" customFormat="1" x14ac:dyDescent="0.25"/>
    <row r="26360" customFormat="1" x14ac:dyDescent="0.25"/>
    <row r="26361" customFormat="1" x14ac:dyDescent="0.25"/>
    <row r="26362" customFormat="1" x14ac:dyDescent="0.25"/>
    <row r="26363" customFormat="1" x14ac:dyDescent="0.25"/>
    <row r="26364" customFormat="1" x14ac:dyDescent="0.25"/>
    <row r="26365" customFormat="1" x14ac:dyDescent="0.25"/>
    <row r="26366" customFormat="1" x14ac:dyDescent="0.25"/>
    <row r="26367" customFormat="1" x14ac:dyDescent="0.25"/>
    <row r="26368" customFormat="1" x14ac:dyDescent="0.25"/>
    <row r="26369" customFormat="1" x14ac:dyDescent="0.25"/>
    <row r="26370" customFormat="1" x14ac:dyDescent="0.25"/>
    <row r="26371" customFormat="1" x14ac:dyDescent="0.25"/>
    <row r="26372" customFormat="1" x14ac:dyDescent="0.25"/>
    <row r="26373" customFormat="1" x14ac:dyDescent="0.25"/>
    <row r="26374" customFormat="1" x14ac:dyDescent="0.25"/>
    <row r="26375" customFormat="1" x14ac:dyDescent="0.25"/>
    <row r="26376" customFormat="1" x14ac:dyDescent="0.25"/>
    <row r="26377" customFormat="1" x14ac:dyDescent="0.25"/>
    <row r="26378" customFormat="1" x14ac:dyDescent="0.25"/>
    <row r="26379" customFormat="1" x14ac:dyDescent="0.25"/>
    <row r="26380" customFormat="1" x14ac:dyDescent="0.25"/>
    <row r="26381" customFormat="1" x14ac:dyDescent="0.25"/>
    <row r="26382" customFormat="1" x14ac:dyDescent="0.25"/>
    <row r="26383" customFormat="1" x14ac:dyDescent="0.25"/>
    <row r="26384" customFormat="1" x14ac:dyDescent="0.25"/>
    <row r="26385" customFormat="1" x14ac:dyDescent="0.25"/>
    <row r="26386" customFormat="1" x14ac:dyDescent="0.25"/>
    <row r="26387" customFormat="1" x14ac:dyDescent="0.25"/>
    <row r="26388" customFormat="1" x14ac:dyDescent="0.25"/>
    <row r="26389" customFormat="1" x14ac:dyDescent="0.25"/>
    <row r="26390" customFormat="1" x14ac:dyDescent="0.25"/>
    <row r="26391" customFormat="1" x14ac:dyDescent="0.25"/>
    <row r="26392" customFormat="1" x14ac:dyDescent="0.25"/>
    <row r="26393" customFormat="1" x14ac:dyDescent="0.25"/>
    <row r="26394" customFormat="1" x14ac:dyDescent="0.25"/>
    <row r="26395" customFormat="1" x14ac:dyDescent="0.25"/>
    <row r="26396" customFormat="1" x14ac:dyDescent="0.25"/>
    <row r="26397" customFormat="1" x14ac:dyDescent="0.25"/>
    <row r="26398" customFormat="1" x14ac:dyDescent="0.25"/>
    <row r="26399" customFormat="1" x14ac:dyDescent="0.25"/>
    <row r="26400" customFormat="1" x14ac:dyDescent="0.25"/>
    <row r="26401" customFormat="1" x14ac:dyDescent="0.25"/>
    <row r="26402" customFormat="1" x14ac:dyDescent="0.25"/>
    <row r="26403" customFormat="1" x14ac:dyDescent="0.25"/>
    <row r="26404" customFormat="1" x14ac:dyDescent="0.25"/>
    <row r="26405" customFormat="1" x14ac:dyDescent="0.25"/>
    <row r="26406" customFormat="1" x14ac:dyDescent="0.25"/>
    <row r="26407" customFormat="1" x14ac:dyDescent="0.25"/>
    <row r="26408" customFormat="1" x14ac:dyDescent="0.25"/>
    <row r="26409" customFormat="1" x14ac:dyDescent="0.25"/>
    <row r="26410" customFormat="1" x14ac:dyDescent="0.25"/>
    <row r="26411" customFormat="1" x14ac:dyDescent="0.25"/>
    <row r="26412" customFormat="1" x14ac:dyDescent="0.25"/>
    <row r="26413" customFormat="1" x14ac:dyDescent="0.25"/>
    <row r="26414" customFormat="1" x14ac:dyDescent="0.25"/>
    <row r="26415" customFormat="1" x14ac:dyDescent="0.25"/>
    <row r="26416" customFormat="1" x14ac:dyDescent="0.25"/>
    <row r="26417" customFormat="1" x14ac:dyDescent="0.25"/>
    <row r="26418" customFormat="1" x14ac:dyDescent="0.25"/>
    <row r="26419" customFormat="1" x14ac:dyDescent="0.25"/>
    <row r="26420" customFormat="1" x14ac:dyDescent="0.25"/>
    <row r="26421" customFormat="1" x14ac:dyDescent="0.25"/>
    <row r="26422" customFormat="1" x14ac:dyDescent="0.25"/>
    <row r="26423" customFormat="1" x14ac:dyDescent="0.25"/>
    <row r="26424" customFormat="1" x14ac:dyDescent="0.25"/>
    <row r="26425" customFormat="1" x14ac:dyDescent="0.25"/>
    <row r="26426" customFormat="1" x14ac:dyDescent="0.25"/>
    <row r="26427" customFormat="1" x14ac:dyDescent="0.25"/>
    <row r="26428" customFormat="1" x14ac:dyDescent="0.25"/>
    <row r="26429" customFormat="1" x14ac:dyDescent="0.25"/>
    <row r="26430" customFormat="1" x14ac:dyDescent="0.25"/>
    <row r="26431" customFormat="1" x14ac:dyDescent="0.25"/>
    <row r="26432" customFormat="1" x14ac:dyDescent="0.25"/>
    <row r="26433" customFormat="1" x14ac:dyDescent="0.25"/>
    <row r="26434" customFormat="1" x14ac:dyDescent="0.25"/>
    <row r="26435" customFormat="1" x14ac:dyDescent="0.25"/>
    <row r="26436" customFormat="1" x14ac:dyDescent="0.25"/>
    <row r="26437" customFormat="1" x14ac:dyDescent="0.25"/>
    <row r="26438" customFormat="1" x14ac:dyDescent="0.25"/>
    <row r="26439" customFormat="1" x14ac:dyDescent="0.25"/>
    <row r="26440" customFormat="1" x14ac:dyDescent="0.25"/>
    <row r="26441" customFormat="1" x14ac:dyDescent="0.25"/>
    <row r="26442" customFormat="1" x14ac:dyDescent="0.25"/>
    <row r="26443" customFormat="1" x14ac:dyDescent="0.25"/>
    <row r="26444" customFormat="1" x14ac:dyDescent="0.25"/>
    <row r="26445" customFormat="1" x14ac:dyDescent="0.25"/>
    <row r="26446" customFormat="1" x14ac:dyDescent="0.25"/>
    <row r="26447" customFormat="1" x14ac:dyDescent="0.25"/>
    <row r="26448" customFormat="1" x14ac:dyDescent="0.25"/>
    <row r="26449" customFormat="1" x14ac:dyDescent="0.25"/>
    <row r="26450" customFormat="1" x14ac:dyDescent="0.25"/>
    <row r="26451" customFormat="1" x14ac:dyDescent="0.25"/>
    <row r="26452" customFormat="1" x14ac:dyDescent="0.25"/>
    <row r="26453" customFormat="1" x14ac:dyDescent="0.25"/>
    <row r="26454" customFormat="1" x14ac:dyDescent="0.25"/>
    <row r="26455" customFormat="1" x14ac:dyDescent="0.25"/>
    <row r="26456" customFormat="1" x14ac:dyDescent="0.25"/>
    <row r="26457" customFormat="1" x14ac:dyDescent="0.25"/>
    <row r="26458" customFormat="1" x14ac:dyDescent="0.25"/>
    <row r="26459" customFormat="1" x14ac:dyDescent="0.25"/>
    <row r="26460" customFormat="1" x14ac:dyDescent="0.25"/>
    <row r="26461" customFormat="1" x14ac:dyDescent="0.25"/>
    <row r="26462" customFormat="1" x14ac:dyDescent="0.25"/>
    <row r="26463" customFormat="1" x14ac:dyDescent="0.25"/>
    <row r="26464" customFormat="1" x14ac:dyDescent="0.25"/>
    <row r="26465" customFormat="1" x14ac:dyDescent="0.25"/>
    <row r="26466" customFormat="1" x14ac:dyDescent="0.25"/>
    <row r="26467" customFormat="1" x14ac:dyDescent="0.25"/>
    <row r="26468" customFormat="1" x14ac:dyDescent="0.25"/>
    <row r="26469" customFormat="1" x14ac:dyDescent="0.25"/>
    <row r="26470" customFormat="1" x14ac:dyDescent="0.25"/>
    <row r="26471" customFormat="1" x14ac:dyDescent="0.25"/>
    <row r="26472" customFormat="1" x14ac:dyDescent="0.25"/>
    <row r="26473" customFormat="1" x14ac:dyDescent="0.25"/>
    <row r="26474" customFormat="1" x14ac:dyDescent="0.25"/>
    <row r="26475" customFormat="1" x14ac:dyDescent="0.25"/>
    <row r="26476" customFormat="1" x14ac:dyDescent="0.25"/>
    <row r="26477" customFormat="1" x14ac:dyDescent="0.25"/>
    <row r="26478" customFormat="1" x14ac:dyDescent="0.25"/>
    <row r="26479" customFormat="1" x14ac:dyDescent="0.25"/>
    <row r="26480" customFormat="1" x14ac:dyDescent="0.25"/>
    <row r="26481" customFormat="1" x14ac:dyDescent="0.25"/>
    <row r="26482" customFormat="1" x14ac:dyDescent="0.25"/>
    <row r="26483" customFormat="1" x14ac:dyDescent="0.25"/>
    <row r="26484" customFormat="1" x14ac:dyDescent="0.25"/>
    <row r="26485" customFormat="1" x14ac:dyDescent="0.25"/>
    <row r="26486" customFormat="1" x14ac:dyDescent="0.25"/>
    <row r="26487" customFormat="1" x14ac:dyDescent="0.25"/>
    <row r="26488" customFormat="1" x14ac:dyDescent="0.25"/>
    <row r="26489" customFormat="1" x14ac:dyDescent="0.25"/>
    <row r="26490" customFormat="1" x14ac:dyDescent="0.25"/>
    <row r="26491" customFormat="1" x14ac:dyDescent="0.25"/>
    <row r="26492" customFormat="1" x14ac:dyDescent="0.25"/>
    <row r="26493" customFormat="1" x14ac:dyDescent="0.25"/>
    <row r="26494" customFormat="1" x14ac:dyDescent="0.25"/>
    <row r="26495" customFormat="1" x14ac:dyDescent="0.25"/>
    <row r="26496" customFormat="1" x14ac:dyDescent="0.25"/>
    <row r="26497" customFormat="1" x14ac:dyDescent="0.25"/>
    <row r="26498" customFormat="1" x14ac:dyDescent="0.25"/>
    <row r="26499" customFormat="1" x14ac:dyDescent="0.25"/>
    <row r="26500" customFormat="1" x14ac:dyDescent="0.25"/>
    <row r="26501" customFormat="1" x14ac:dyDescent="0.25"/>
    <row r="26502" customFormat="1" x14ac:dyDescent="0.25"/>
    <row r="26503" customFormat="1" x14ac:dyDescent="0.25"/>
    <row r="26504" customFormat="1" x14ac:dyDescent="0.25"/>
    <row r="26505" customFormat="1" x14ac:dyDescent="0.25"/>
    <row r="26506" customFormat="1" x14ac:dyDescent="0.25"/>
    <row r="26507" customFormat="1" x14ac:dyDescent="0.25"/>
    <row r="26508" customFormat="1" x14ac:dyDescent="0.25"/>
    <row r="26509" customFormat="1" x14ac:dyDescent="0.25"/>
    <row r="26510" customFormat="1" x14ac:dyDescent="0.25"/>
    <row r="26511" customFormat="1" x14ac:dyDescent="0.25"/>
    <row r="26512" customFormat="1" x14ac:dyDescent="0.25"/>
    <row r="26513" customFormat="1" x14ac:dyDescent="0.25"/>
    <row r="26514" customFormat="1" x14ac:dyDescent="0.25"/>
    <row r="26515" customFormat="1" x14ac:dyDescent="0.25"/>
    <row r="26516" customFormat="1" x14ac:dyDescent="0.25"/>
    <row r="26517" customFormat="1" x14ac:dyDescent="0.25"/>
    <row r="26518" customFormat="1" x14ac:dyDescent="0.25"/>
    <row r="26519" customFormat="1" x14ac:dyDescent="0.25"/>
    <row r="26520" customFormat="1" x14ac:dyDescent="0.25"/>
    <row r="26521" customFormat="1" x14ac:dyDescent="0.25"/>
    <row r="26522" customFormat="1" x14ac:dyDescent="0.25"/>
    <row r="26523" customFormat="1" x14ac:dyDescent="0.25"/>
    <row r="26524" customFormat="1" x14ac:dyDescent="0.25"/>
    <row r="26525" customFormat="1" x14ac:dyDescent="0.25"/>
    <row r="26526" customFormat="1" x14ac:dyDescent="0.25"/>
    <row r="26527" customFormat="1" x14ac:dyDescent="0.25"/>
    <row r="26528" customFormat="1" x14ac:dyDescent="0.25"/>
    <row r="26529" customFormat="1" x14ac:dyDescent="0.25"/>
    <row r="26530" customFormat="1" x14ac:dyDescent="0.25"/>
    <row r="26531" customFormat="1" x14ac:dyDescent="0.25"/>
    <row r="26532" customFormat="1" x14ac:dyDescent="0.25"/>
    <row r="26533" customFormat="1" x14ac:dyDescent="0.25"/>
    <row r="26534" customFormat="1" x14ac:dyDescent="0.25"/>
    <row r="26535" customFormat="1" x14ac:dyDescent="0.25"/>
    <row r="26536" customFormat="1" x14ac:dyDescent="0.25"/>
    <row r="26537" customFormat="1" x14ac:dyDescent="0.25"/>
    <row r="26538" customFormat="1" x14ac:dyDescent="0.25"/>
    <row r="26539" customFormat="1" x14ac:dyDescent="0.25"/>
    <row r="26540" customFormat="1" x14ac:dyDescent="0.25"/>
    <row r="26541" customFormat="1" x14ac:dyDescent="0.25"/>
    <row r="26542" customFormat="1" x14ac:dyDescent="0.25"/>
    <row r="26543" customFormat="1" x14ac:dyDescent="0.25"/>
    <row r="26544" customFormat="1" x14ac:dyDescent="0.25"/>
    <row r="26545" customFormat="1" x14ac:dyDescent="0.25"/>
    <row r="26546" customFormat="1" x14ac:dyDescent="0.25"/>
    <row r="26547" customFormat="1" x14ac:dyDescent="0.25"/>
    <row r="26548" customFormat="1" x14ac:dyDescent="0.25"/>
    <row r="26549" customFormat="1" x14ac:dyDescent="0.25"/>
    <row r="26550" customFormat="1" x14ac:dyDescent="0.25"/>
    <row r="26551" customFormat="1" x14ac:dyDescent="0.25"/>
    <row r="26552" customFormat="1" x14ac:dyDescent="0.25"/>
    <row r="26553" customFormat="1" x14ac:dyDescent="0.25"/>
    <row r="26554" customFormat="1" x14ac:dyDescent="0.25"/>
    <row r="26555" customFormat="1" x14ac:dyDescent="0.25"/>
    <row r="26556" customFormat="1" x14ac:dyDescent="0.25"/>
    <row r="26557" customFormat="1" x14ac:dyDescent="0.25"/>
    <row r="26558" customFormat="1" x14ac:dyDescent="0.25"/>
    <row r="26559" customFormat="1" x14ac:dyDescent="0.25"/>
    <row r="26560" customFormat="1" x14ac:dyDescent="0.25"/>
    <row r="26561" customFormat="1" x14ac:dyDescent="0.25"/>
    <row r="26562" customFormat="1" x14ac:dyDescent="0.25"/>
    <row r="26563" customFormat="1" x14ac:dyDescent="0.25"/>
    <row r="26564" customFormat="1" x14ac:dyDescent="0.25"/>
    <row r="26565" customFormat="1" x14ac:dyDescent="0.25"/>
    <row r="26566" customFormat="1" x14ac:dyDescent="0.25"/>
    <row r="26567" customFormat="1" x14ac:dyDescent="0.25"/>
    <row r="26568" customFormat="1" x14ac:dyDescent="0.25"/>
    <row r="26569" customFormat="1" x14ac:dyDescent="0.25"/>
    <row r="26570" customFormat="1" x14ac:dyDescent="0.25"/>
    <row r="26571" customFormat="1" x14ac:dyDescent="0.25"/>
    <row r="26572" customFormat="1" x14ac:dyDescent="0.25"/>
    <row r="26573" customFormat="1" x14ac:dyDescent="0.25"/>
    <row r="26574" customFormat="1" x14ac:dyDescent="0.25"/>
    <row r="26575" customFormat="1" x14ac:dyDescent="0.25"/>
    <row r="26576" customFormat="1" x14ac:dyDescent="0.25"/>
    <row r="26577" customFormat="1" x14ac:dyDescent="0.25"/>
    <row r="26578" customFormat="1" x14ac:dyDescent="0.25"/>
    <row r="26579" customFormat="1" x14ac:dyDescent="0.25"/>
    <row r="26580" customFormat="1" x14ac:dyDescent="0.25"/>
    <row r="26581" customFormat="1" x14ac:dyDescent="0.25"/>
    <row r="26582" customFormat="1" x14ac:dyDescent="0.25"/>
    <row r="26583" customFormat="1" x14ac:dyDescent="0.25"/>
    <row r="26584" customFormat="1" x14ac:dyDescent="0.25"/>
    <row r="26585" customFormat="1" x14ac:dyDescent="0.25"/>
    <row r="26586" customFormat="1" x14ac:dyDescent="0.25"/>
    <row r="26587" customFormat="1" x14ac:dyDescent="0.25"/>
    <row r="26588" customFormat="1" x14ac:dyDescent="0.25"/>
    <row r="26589" customFormat="1" x14ac:dyDescent="0.25"/>
    <row r="26590" customFormat="1" x14ac:dyDescent="0.25"/>
    <row r="26591" customFormat="1" x14ac:dyDescent="0.25"/>
    <row r="26592" customFormat="1" x14ac:dyDescent="0.25"/>
    <row r="26593" customFormat="1" x14ac:dyDescent="0.25"/>
    <row r="26594" customFormat="1" x14ac:dyDescent="0.25"/>
    <row r="26595" customFormat="1" x14ac:dyDescent="0.25"/>
    <row r="26596" customFormat="1" x14ac:dyDescent="0.25"/>
    <row r="26597" customFormat="1" x14ac:dyDescent="0.25"/>
    <row r="26598" customFormat="1" x14ac:dyDescent="0.25"/>
    <row r="26599" customFormat="1" x14ac:dyDescent="0.25"/>
    <row r="26600" customFormat="1" x14ac:dyDescent="0.25"/>
    <row r="26601" customFormat="1" x14ac:dyDescent="0.25"/>
    <row r="26602" customFormat="1" x14ac:dyDescent="0.25"/>
    <row r="26603" customFormat="1" x14ac:dyDescent="0.25"/>
    <row r="26604" customFormat="1" x14ac:dyDescent="0.25"/>
    <row r="26605" customFormat="1" x14ac:dyDescent="0.25"/>
    <row r="26606" customFormat="1" x14ac:dyDescent="0.25"/>
    <row r="26607" customFormat="1" x14ac:dyDescent="0.25"/>
    <row r="26608" customFormat="1" x14ac:dyDescent="0.25"/>
    <row r="26609" customFormat="1" x14ac:dyDescent="0.25"/>
    <row r="26610" customFormat="1" x14ac:dyDescent="0.25"/>
    <row r="26611" customFormat="1" x14ac:dyDescent="0.25"/>
    <row r="26612" customFormat="1" x14ac:dyDescent="0.25"/>
    <row r="26613" customFormat="1" x14ac:dyDescent="0.25"/>
    <row r="26614" customFormat="1" x14ac:dyDescent="0.25"/>
    <row r="26615" customFormat="1" x14ac:dyDescent="0.25"/>
    <row r="26616" customFormat="1" x14ac:dyDescent="0.25"/>
    <row r="26617" customFormat="1" x14ac:dyDescent="0.25"/>
    <row r="26618" customFormat="1" x14ac:dyDescent="0.25"/>
    <row r="26619" customFormat="1" x14ac:dyDescent="0.25"/>
    <row r="26620" customFormat="1" x14ac:dyDescent="0.25"/>
    <row r="26621" customFormat="1" x14ac:dyDescent="0.25"/>
    <row r="26622" customFormat="1" x14ac:dyDescent="0.25"/>
    <row r="26623" customFormat="1" x14ac:dyDescent="0.25"/>
    <row r="26624" customFormat="1" x14ac:dyDescent="0.25"/>
    <row r="26625" customFormat="1" x14ac:dyDescent="0.25"/>
    <row r="26626" customFormat="1" x14ac:dyDescent="0.25"/>
    <row r="26627" customFormat="1" x14ac:dyDescent="0.25"/>
    <row r="26628" customFormat="1" x14ac:dyDescent="0.25"/>
    <row r="26629" customFormat="1" x14ac:dyDescent="0.25"/>
    <row r="26630" customFormat="1" x14ac:dyDescent="0.25"/>
    <row r="26631" customFormat="1" x14ac:dyDescent="0.25"/>
    <row r="26632" customFormat="1" x14ac:dyDescent="0.25"/>
    <row r="26633" customFormat="1" x14ac:dyDescent="0.25"/>
    <row r="26634" customFormat="1" x14ac:dyDescent="0.25"/>
    <row r="26635" customFormat="1" x14ac:dyDescent="0.25"/>
    <row r="26636" customFormat="1" x14ac:dyDescent="0.25"/>
    <row r="26637" customFormat="1" x14ac:dyDescent="0.25"/>
    <row r="26638" customFormat="1" x14ac:dyDescent="0.25"/>
    <row r="26639" customFormat="1" x14ac:dyDescent="0.25"/>
    <row r="26640" customFormat="1" x14ac:dyDescent="0.25"/>
    <row r="26641" customFormat="1" x14ac:dyDescent="0.25"/>
    <row r="26642" customFormat="1" x14ac:dyDescent="0.25"/>
    <row r="26643" customFormat="1" x14ac:dyDescent="0.25"/>
    <row r="26644" customFormat="1" x14ac:dyDescent="0.25"/>
    <row r="26645" customFormat="1" x14ac:dyDescent="0.25"/>
    <row r="26646" customFormat="1" x14ac:dyDescent="0.25"/>
    <row r="26647" customFormat="1" x14ac:dyDescent="0.25"/>
    <row r="26648" customFormat="1" x14ac:dyDescent="0.25"/>
    <row r="26649" customFormat="1" x14ac:dyDescent="0.25"/>
    <row r="26650" customFormat="1" x14ac:dyDescent="0.25"/>
    <row r="26651" customFormat="1" x14ac:dyDescent="0.25"/>
    <row r="26652" customFormat="1" x14ac:dyDescent="0.25"/>
    <row r="26653" customFormat="1" x14ac:dyDescent="0.25"/>
    <row r="26654" customFormat="1" x14ac:dyDescent="0.25"/>
    <row r="26655" customFormat="1" x14ac:dyDescent="0.25"/>
    <row r="26656" customFormat="1" x14ac:dyDescent="0.25"/>
    <row r="26657" customFormat="1" x14ac:dyDescent="0.25"/>
    <row r="26658" customFormat="1" x14ac:dyDescent="0.25"/>
    <row r="26659" customFormat="1" x14ac:dyDescent="0.25"/>
    <row r="26660" customFormat="1" x14ac:dyDescent="0.25"/>
    <row r="26661" customFormat="1" x14ac:dyDescent="0.25"/>
    <row r="26662" customFormat="1" x14ac:dyDescent="0.25"/>
    <row r="26663" customFormat="1" x14ac:dyDescent="0.25"/>
    <row r="26664" customFormat="1" x14ac:dyDescent="0.25"/>
    <row r="26665" customFormat="1" x14ac:dyDescent="0.25"/>
    <row r="26666" customFormat="1" x14ac:dyDescent="0.25"/>
    <row r="26667" customFormat="1" x14ac:dyDescent="0.25"/>
    <row r="26668" customFormat="1" x14ac:dyDescent="0.25"/>
    <row r="26669" customFormat="1" x14ac:dyDescent="0.25"/>
    <row r="26670" customFormat="1" x14ac:dyDescent="0.25"/>
    <row r="26671" customFormat="1" x14ac:dyDescent="0.25"/>
    <row r="26672" customFormat="1" x14ac:dyDescent="0.25"/>
    <row r="26673" customFormat="1" x14ac:dyDescent="0.25"/>
    <row r="26674" customFormat="1" x14ac:dyDescent="0.25"/>
    <row r="26675" customFormat="1" x14ac:dyDescent="0.25"/>
    <row r="26676" customFormat="1" x14ac:dyDescent="0.25"/>
    <row r="26677" customFormat="1" x14ac:dyDescent="0.25"/>
    <row r="26678" customFormat="1" x14ac:dyDescent="0.25"/>
    <row r="26679" customFormat="1" x14ac:dyDescent="0.25"/>
    <row r="26680" customFormat="1" x14ac:dyDescent="0.25"/>
    <row r="26681" customFormat="1" x14ac:dyDescent="0.25"/>
    <row r="26682" customFormat="1" x14ac:dyDescent="0.25"/>
    <row r="26683" customFormat="1" x14ac:dyDescent="0.25"/>
    <row r="26684" customFormat="1" x14ac:dyDescent="0.25"/>
    <row r="26685" customFormat="1" x14ac:dyDescent="0.25"/>
    <row r="26686" customFormat="1" x14ac:dyDescent="0.25"/>
    <row r="26687" customFormat="1" x14ac:dyDescent="0.25"/>
    <row r="26688" customFormat="1" x14ac:dyDescent="0.25"/>
    <row r="26689" customFormat="1" x14ac:dyDescent="0.25"/>
    <row r="26690" customFormat="1" x14ac:dyDescent="0.25"/>
    <row r="26691" customFormat="1" x14ac:dyDescent="0.25"/>
    <row r="26692" customFormat="1" x14ac:dyDescent="0.25"/>
    <row r="26693" customFormat="1" x14ac:dyDescent="0.25"/>
    <row r="26694" customFormat="1" x14ac:dyDescent="0.25"/>
    <row r="26695" customFormat="1" x14ac:dyDescent="0.25"/>
    <row r="26696" customFormat="1" x14ac:dyDescent="0.25"/>
    <row r="26697" customFormat="1" x14ac:dyDescent="0.25"/>
    <row r="26698" customFormat="1" x14ac:dyDescent="0.25"/>
    <row r="26699" customFormat="1" x14ac:dyDescent="0.25"/>
    <row r="26700" customFormat="1" x14ac:dyDescent="0.25"/>
    <row r="26701" customFormat="1" x14ac:dyDescent="0.25"/>
    <row r="26702" customFormat="1" x14ac:dyDescent="0.25"/>
    <row r="26703" customFormat="1" x14ac:dyDescent="0.25"/>
    <row r="26704" customFormat="1" x14ac:dyDescent="0.25"/>
    <row r="26705" customFormat="1" x14ac:dyDescent="0.25"/>
    <row r="26706" customFormat="1" x14ac:dyDescent="0.25"/>
    <row r="26707" customFormat="1" x14ac:dyDescent="0.25"/>
    <row r="26708" customFormat="1" x14ac:dyDescent="0.25"/>
    <row r="26709" customFormat="1" x14ac:dyDescent="0.25"/>
    <row r="26710" customFormat="1" x14ac:dyDescent="0.25"/>
    <row r="26711" customFormat="1" x14ac:dyDescent="0.25"/>
    <row r="26712" customFormat="1" x14ac:dyDescent="0.25"/>
    <row r="26713" customFormat="1" x14ac:dyDescent="0.25"/>
    <row r="26714" customFormat="1" x14ac:dyDescent="0.25"/>
    <row r="26715" customFormat="1" x14ac:dyDescent="0.25"/>
    <row r="26716" customFormat="1" x14ac:dyDescent="0.25"/>
    <row r="26717" customFormat="1" x14ac:dyDescent="0.25"/>
    <row r="26718" customFormat="1" x14ac:dyDescent="0.25"/>
    <row r="26719" customFormat="1" x14ac:dyDescent="0.25"/>
    <row r="26720" customFormat="1" x14ac:dyDescent="0.25"/>
    <row r="26721" customFormat="1" x14ac:dyDescent="0.25"/>
    <row r="26722" customFormat="1" x14ac:dyDescent="0.25"/>
    <row r="26723" customFormat="1" x14ac:dyDescent="0.25"/>
    <row r="26724" customFormat="1" x14ac:dyDescent="0.25"/>
    <row r="26725" customFormat="1" x14ac:dyDescent="0.25"/>
    <row r="26726" customFormat="1" x14ac:dyDescent="0.25"/>
    <row r="26727" customFormat="1" x14ac:dyDescent="0.25"/>
    <row r="26728" customFormat="1" x14ac:dyDescent="0.25"/>
    <row r="26729" customFormat="1" x14ac:dyDescent="0.25"/>
    <row r="26730" customFormat="1" x14ac:dyDescent="0.25"/>
    <row r="26731" customFormat="1" x14ac:dyDescent="0.25"/>
    <row r="26732" customFormat="1" x14ac:dyDescent="0.25"/>
    <row r="26733" customFormat="1" x14ac:dyDescent="0.25"/>
    <row r="26734" customFormat="1" x14ac:dyDescent="0.25"/>
    <row r="26735" customFormat="1" x14ac:dyDescent="0.25"/>
    <row r="26736" customFormat="1" x14ac:dyDescent="0.25"/>
    <row r="26737" customFormat="1" x14ac:dyDescent="0.25"/>
    <row r="26738" customFormat="1" x14ac:dyDescent="0.25"/>
    <row r="26739" customFormat="1" x14ac:dyDescent="0.25"/>
    <row r="26740" customFormat="1" x14ac:dyDescent="0.25"/>
    <row r="26741" customFormat="1" x14ac:dyDescent="0.25"/>
    <row r="26742" customFormat="1" x14ac:dyDescent="0.25"/>
    <row r="26743" customFormat="1" x14ac:dyDescent="0.25"/>
    <row r="26744" customFormat="1" x14ac:dyDescent="0.25"/>
    <row r="26745" customFormat="1" x14ac:dyDescent="0.25"/>
    <row r="26746" customFormat="1" x14ac:dyDescent="0.25"/>
    <row r="26747" customFormat="1" x14ac:dyDescent="0.25"/>
    <row r="26748" customFormat="1" x14ac:dyDescent="0.25"/>
    <row r="26749" customFormat="1" x14ac:dyDescent="0.25"/>
    <row r="26750" customFormat="1" x14ac:dyDescent="0.25"/>
    <row r="26751" customFormat="1" x14ac:dyDescent="0.25"/>
    <row r="26752" customFormat="1" x14ac:dyDescent="0.25"/>
    <row r="26753" customFormat="1" x14ac:dyDescent="0.25"/>
    <row r="26754" customFormat="1" x14ac:dyDescent="0.25"/>
    <row r="26755" customFormat="1" x14ac:dyDescent="0.25"/>
    <row r="26756" customFormat="1" x14ac:dyDescent="0.25"/>
    <row r="26757" customFormat="1" x14ac:dyDescent="0.25"/>
    <row r="26758" customFormat="1" x14ac:dyDescent="0.25"/>
    <row r="26759" customFormat="1" x14ac:dyDescent="0.25"/>
    <row r="26760" customFormat="1" x14ac:dyDescent="0.25"/>
    <row r="26761" customFormat="1" x14ac:dyDescent="0.25"/>
    <row r="26762" customFormat="1" x14ac:dyDescent="0.25"/>
    <row r="26763" customFormat="1" x14ac:dyDescent="0.25"/>
    <row r="26764" customFormat="1" x14ac:dyDescent="0.25"/>
    <row r="26765" customFormat="1" x14ac:dyDescent="0.25"/>
    <row r="26766" customFormat="1" x14ac:dyDescent="0.25"/>
    <row r="26767" customFormat="1" x14ac:dyDescent="0.25"/>
    <row r="26768" customFormat="1" x14ac:dyDescent="0.25"/>
    <row r="26769" customFormat="1" x14ac:dyDescent="0.25"/>
    <row r="26770" customFormat="1" x14ac:dyDescent="0.25"/>
    <row r="26771" customFormat="1" x14ac:dyDescent="0.25"/>
    <row r="26772" customFormat="1" x14ac:dyDescent="0.25"/>
    <row r="26773" customFormat="1" x14ac:dyDescent="0.25"/>
    <row r="26774" customFormat="1" x14ac:dyDescent="0.25"/>
    <row r="26775" customFormat="1" x14ac:dyDescent="0.25"/>
    <row r="26776" customFormat="1" x14ac:dyDescent="0.25"/>
    <row r="26777" customFormat="1" x14ac:dyDescent="0.25"/>
    <row r="26778" customFormat="1" x14ac:dyDescent="0.25"/>
    <row r="26779" customFormat="1" x14ac:dyDescent="0.25"/>
    <row r="26780" customFormat="1" x14ac:dyDescent="0.25"/>
    <row r="26781" customFormat="1" x14ac:dyDescent="0.25"/>
    <row r="26782" customFormat="1" x14ac:dyDescent="0.25"/>
    <row r="26783" customFormat="1" x14ac:dyDescent="0.25"/>
    <row r="26784" customFormat="1" x14ac:dyDescent="0.25"/>
    <row r="26785" customFormat="1" x14ac:dyDescent="0.25"/>
    <row r="26786" customFormat="1" x14ac:dyDescent="0.25"/>
    <row r="26787" customFormat="1" x14ac:dyDescent="0.25"/>
    <row r="26788" customFormat="1" x14ac:dyDescent="0.25"/>
    <row r="26789" customFormat="1" x14ac:dyDescent="0.25"/>
    <row r="26790" customFormat="1" x14ac:dyDescent="0.25"/>
    <row r="26791" customFormat="1" x14ac:dyDescent="0.25"/>
    <row r="26792" customFormat="1" x14ac:dyDescent="0.25"/>
    <row r="26793" customFormat="1" x14ac:dyDescent="0.25"/>
    <row r="26794" customFormat="1" x14ac:dyDescent="0.25"/>
    <row r="26795" customFormat="1" x14ac:dyDescent="0.25"/>
    <row r="26796" customFormat="1" x14ac:dyDescent="0.25"/>
    <row r="26797" customFormat="1" x14ac:dyDescent="0.25"/>
    <row r="26798" customFormat="1" x14ac:dyDescent="0.25"/>
    <row r="26799" customFormat="1" x14ac:dyDescent="0.25"/>
    <row r="26800" customFormat="1" x14ac:dyDescent="0.25"/>
    <row r="26801" customFormat="1" x14ac:dyDescent="0.25"/>
    <row r="26802" customFormat="1" x14ac:dyDescent="0.25"/>
    <row r="26803" customFormat="1" x14ac:dyDescent="0.25"/>
    <row r="26804" customFormat="1" x14ac:dyDescent="0.25"/>
    <row r="26805" customFormat="1" x14ac:dyDescent="0.25"/>
    <row r="26806" customFormat="1" x14ac:dyDescent="0.25"/>
    <row r="26807" customFormat="1" x14ac:dyDescent="0.25"/>
    <row r="26808" customFormat="1" x14ac:dyDescent="0.25"/>
    <row r="26809" customFormat="1" x14ac:dyDescent="0.25"/>
    <row r="26810" customFormat="1" x14ac:dyDescent="0.25"/>
    <row r="26811" customFormat="1" x14ac:dyDescent="0.25"/>
    <row r="26812" customFormat="1" x14ac:dyDescent="0.25"/>
    <row r="26813" customFormat="1" x14ac:dyDescent="0.25"/>
    <row r="26814" customFormat="1" x14ac:dyDescent="0.25"/>
    <row r="26815" customFormat="1" x14ac:dyDescent="0.25"/>
    <row r="26816" customFormat="1" x14ac:dyDescent="0.25"/>
    <row r="26817" customFormat="1" x14ac:dyDescent="0.25"/>
    <row r="26818" customFormat="1" x14ac:dyDescent="0.25"/>
    <row r="26819" customFormat="1" x14ac:dyDescent="0.25"/>
    <row r="26820" customFormat="1" x14ac:dyDescent="0.25"/>
    <row r="26821" customFormat="1" x14ac:dyDescent="0.25"/>
    <row r="26822" customFormat="1" x14ac:dyDescent="0.25"/>
    <row r="26823" customFormat="1" x14ac:dyDescent="0.25"/>
    <row r="26824" customFormat="1" x14ac:dyDescent="0.25"/>
    <row r="26825" customFormat="1" x14ac:dyDescent="0.25"/>
    <row r="26826" customFormat="1" x14ac:dyDescent="0.25"/>
    <row r="26827" customFormat="1" x14ac:dyDescent="0.25"/>
    <row r="26828" customFormat="1" x14ac:dyDescent="0.25"/>
    <row r="26829" customFormat="1" x14ac:dyDescent="0.25"/>
    <row r="26830" customFormat="1" x14ac:dyDescent="0.25"/>
    <row r="26831" customFormat="1" x14ac:dyDescent="0.25"/>
    <row r="26832" customFormat="1" x14ac:dyDescent="0.25"/>
    <row r="26833" customFormat="1" x14ac:dyDescent="0.25"/>
    <row r="26834" customFormat="1" x14ac:dyDescent="0.25"/>
    <row r="26835" customFormat="1" x14ac:dyDescent="0.25"/>
    <row r="26836" customFormat="1" x14ac:dyDescent="0.25"/>
    <row r="26837" customFormat="1" x14ac:dyDescent="0.25"/>
    <row r="26838" customFormat="1" x14ac:dyDescent="0.25"/>
    <row r="26839" customFormat="1" x14ac:dyDescent="0.25"/>
    <row r="26840" customFormat="1" x14ac:dyDescent="0.25"/>
    <row r="26841" customFormat="1" x14ac:dyDescent="0.25"/>
    <row r="26842" customFormat="1" x14ac:dyDescent="0.25"/>
    <row r="26843" customFormat="1" x14ac:dyDescent="0.25"/>
    <row r="26844" customFormat="1" x14ac:dyDescent="0.25"/>
    <row r="26845" customFormat="1" x14ac:dyDescent="0.25"/>
    <row r="26846" customFormat="1" x14ac:dyDescent="0.25"/>
    <row r="26847" customFormat="1" x14ac:dyDescent="0.25"/>
    <row r="26848" customFormat="1" x14ac:dyDescent="0.25"/>
    <row r="26849" customFormat="1" x14ac:dyDescent="0.25"/>
    <row r="26850" customFormat="1" x14ac:dyDescent="0.25"/>
    <row r="26851" customFormat="1" x14ac:dyDescent="0.25"/>
    <row r="26852" customFormat="1" x14ac:dyDescent="0.25"/>
    <row r="26853" customFormat="1" x14ac:dyDescent="0.25"/>
    <row r="26854" customFormat="1" x14ac:dyDescent="0.25"/>
    <row r="26855" customFormat="1" x14ac:dyDescent="0.25"/>
    <row r="26856" customFormat="1" x14ac:dyDescent="0.25"/>
    <row r="26857" customFormat="1" x14ac:dyDescent="0.25"/>
    <row r="26858" customFormat="1" x14ac:dyDescent="0.25"/>
    <row r="26859" customFormat="1" x14ac:dyDescent="0.25"/>
    <row r="26860" customFormat="1" x14ac:dyDescent="0.25"/>
    <row r="26861" customFormat="1" x14ac:dyDescent="0.25"/>
    <row r="26862" customFormat="1" x14ac:dyDescent="0.25"/>
    <row r="26863" customFormat="1" x14ac:dyDescent="0.25"/>
    <row r="26864" customFormat="1" x14ac:dyDescent="0.25"/>
    <row r="26865" customFormat="1" x14ac:dyDescent="0.25"/>
    <row r="26866" customFormat="1" x14ac:dyDescent="0.25"/>
    <row r="26867" customFormat="1" x14ac:dyDescent="0.25"/>
    <row r="26868" customFormat="1" x14ac:dyDescent="0.25"/>
    <row r="26869" customFormat="1" x14ac:dyDescent="0.25"/>
    <row r="26870" customFormat="1" x14ac:dyDescent="0.25"/>
    <row r="26871" customFormat="1" x14ac:dyDescent="0.25"/>
    <row r="26872" customFormat="1" x14ac:dyDescent="0.25"/>
    <row r="26873" customFormat="1" x14ac:dyDescent="0.25"/>
    <row r="26874" customFormat="1" x14ac:dyDescent="0.25"/>
    <row r="26875" customFormat="1" x14ac:dyDescent="0.25"/>
    <row r="26876" customFormat="1" x14ac:dyDescent="0.25"/>
    <row r="26877" customFormat="1" x14ac:dyDescent="0.25"/>
    <row r="26878" customFormat="1" x14ac:dyDescent="0.25"/>
    <row r="26879" customFormat="1" x14ac:dyDescent="0.25"/>
    <row r="26880" customFormat="1" x14ac:dyDescent="0.25"/>
    <row r="26881" customFormat="1" x14ac:dyDescent="0.25"/>
    <row r="26882" customFormat="1" x14ac:dyDescent="0.25"/>
    <row r="26883" customFormat="1" x14ac:dyDescent="0.25"/>
    <row r="26884" customFormat="1" x14ac:dyDescent="0.25"/>
    <row r="26885" customFormat="1" x14ac:dyDescent="0.25"/>
    <row r="26886" customFormat="1" x14ac:dyDescent="0.25"/>
    <row r="26887" customFormat="1" x14ac:dyDescent="0.25"/>
    <row r="26888" customFormat="1" x14ac:dyDescent="0.25"/>
    <row r="26889" customFormat="1" x14ac:dyDescent="0.25"/>
    <row r="26890" customFormat="1" x14ac:dyDescent="0.25"/>
    <row r="26891" customFormat="1" x14ac:dyDescent="0.25"/>
    <row r="26892" customFormat="1" x14ac:dyDescent="0.25"/>
    <row r="26893" customFormat="1" x14ac:dyDescent="0.25"/>
    <row r="26894" customFormat="1" x14ac:dyDescent="0.25"/>
    <row r="26895" customFormat="1" x14ac:dyDescent="0.25"/>
    <row r="26896" customFormat="1" x14ac:dyDescent="0.25"/>
    <row r="26897" customFormat="1" x14ac:dyDescent="0.25"/>
    <row r="26898" customFormat="1" x14ac:dyDescent="0.25"/>
    <row r="26899" customFormat="1" x14ac:dyDescent="0.25"/>
    <row r="26900" customFormat="1" x14ac:dyDescent="0.25"/>
    <row r="26901" customFormat="1" x14ac:dyDescent="0.25"/>
    <row r="26902" customFormat="1" x14ac:dyDescent="0.25"/>
    <row r="26903" customFormat="1" x14ac:dyDescent="0.25"/>
    <row r="26904" customFormat="1" x14ac:dyDescent="0.25"/>
    <row r="26905" customFormat="1" x14ac:dyDescent="0.25"/>
    <row r="26906" customFormat="1" x14ac:dyDescent="0.25"/>
    <row r="26907" customFormat="1" x14ac:dyDescent="0.25"/>
    <row r="26908" customFormat="1" x14ac:dyDescent="0.25"/>
    <row r="26909" customFormat="1" x14ac:dyDescent="0.25"/>
    <row r="26910" customFormat="1" x14ac:dyDescent="0.25"/>
    <row r="26911" customFormat="1" x14ac:dyDescent="0.25"/>
    <row r="26912" customFormat="1" x14ac:dyDescent="0.25"/>
    <row r="26913" customFormat="1" x14ac:dyDescent="0.25"/>
    <row r="26914" customFormat="1" x14ac:dyDescent="0.25"/>
    <row r="26915" customFormat="1" x14ac:dyDescent="0.25"/>
    <row r="26916" customFormat="1" x14ac:dyDescent="0.25"/>
    <row r="26917" customFormat="1" x14ac:dyDescent="0.25"/>
    <row r="26918" customFormat="1" x14ac:dyDescent="0.25"/>
    <row r="26919" customFormat="1" x14ac:dyDescent="0.25"/>
    <row r="26920" customFormat="1" x14ac:dyDescent="0.25"/>
    <row r="26921" customFormat="1" x14ac:dyDescent="0.25"/>
    <row r="26922" customFormat="1" x14ac:dyDescent="0.25"/>
    <row r="26923" customFormat="1" x14ac:dyDescent="0.25"/>
    <row r="26924" customFormat="1" x14ac:dyDescent="0.25"/>
    <row r="26925" customFormat="1" x14ac:dyDescent="0.25"/>
    <row r="26926" customFormat="1" x14ac:dyDescent="0.25"/>
    <row r="26927" customFormat="1" x14ac:dyDescent="0.25"/>
    <row r="26928" customFormat="1" x14ac:dyDescent="0.25"/>
    <row r="26929" customFormat="1" x14ac:dyDescent="0.25"/>
    <row r="26930" customFormat="1" x14ac:dyDescent="0.25"/>
    <row r="26931" customFormat="1" x14ac:dyDescent="0.25"/>
    <row r="26932" customFormat="1" x14ac:dyDescent="0.25"/>
    <row r="26933" customFormat="1" x14ac:dyDescent="0.25"/>
    <row r="26934" customFormat="1" x14ac:dyDescent="0.25"/>
    <row r="26935" customFormat="1" x14ac:dyDescent="0.25"/>
    <row r="26936" customFormat="1" x14ac:dyDescent="0.25"/>
    <row r="26937" customFormat="1" x14ac:dyDescent="0.25"/>
    <row r="26938" customFormat="1" x14ac:dyDescent="0.25"/>
    <row r="26939" customFormat="1" x14ac:dyDescent="0.25"/>
    <row r="26940" customFormat="1" x14ac:dyDescent="0.25"/>
    <row r="26941" customFormat="1" x14ac:dyDescent="0.25"/>
    <row r="26942" customFormat="1" x14ac:dyDescent="0.25"/>
    <row r="26943" customFormat="1" x14ac:dyDescent="0.25"/>
    <row r="26944" customFormat="1" x14ac:dyDescent="0.25"/>
    <row r="26945" customFormat="1" x14ac:dyDescent="0.25"/>
    <row r="26946" customFormat="1" x14ac:dyDescent="0.25"/>
    <row r="26947" customFormat="1" x14ac:dyDescent="0.25"/>
    <row r="26948" customFormat="1" x14ac:dyDescent="0.25"/>
    <row r="26949" customFormat="1" x14ac:dyDescent="0.25"/>
    <row r="26950" customFormat="1" x14ac:dyDescent="0.25"/>
    <row r="26951" customFormat="1" x14ac:dyDescent="0.25"/>
    <row r="26952" customFormat="1" x14ac:dyDescent="0.25"/>
    <row r="26953" customFormat="1" x14ac:dyDescent="0.25"/>
    <row r="26954" customFormat="1" x14ac:dyDescent="0.25"/>
    <row r="26955" customFormat="1" x14ac:dyDescent="0.25"/>
    <row r="26956" customFormat="1" x14ac:dyDescent="0.25"/>
    <row r="26957" customFormat="1" x14ac:dyDescent="0.25"/>
    <row r="26958" customFormat="1" x14ac:dyDescent="0.25"/>
    <row r="26959" customFormat="1" x14ac:dyDescent="0.25"/>
    <row r="26960" customFormat="1" x14ac:dyDescent="0.25"/>
    <row r="26961" customFormat="1" x14ac:dyDescent="0.25"/>
    <row r="26962" customFormat="1" x14ac:dyDescent="0.25"/>
    <row r="26963" customFormat="1" x14ac:dyDescent="0.25"/>
    <row r="26964" customFormat="1" x14ac:dyDescent="0.25"/>
    <row r="26965" customFormat="1" x14ac:dyDescent="0.25"/>
    <row r="26966" customFormat="1" x14ac:dyDescent="0.25"/>
    <row r="26967" customFormat="1" x14ac:dyDescent="0.25"/>
    <row r="26968" customFormat="1" x14ac:dyDescent="0.25"/>
    <row r="26969" customFormat="1" x14ac:dyDescent="0.25"/>
    <row r="26970" customFormat="1" x14ac:dyDescent="0.25"/>
    <row r="26971" customFormat="1" x14ac:dyDescent="0.25"/>
    <row r="26972" customFormat="1" x14ac:dyDescent="0.25"/>
    <row r="26973" customFormat="1" x14ac:dyDescent="0.25"/>
    <row r="26974" customFormat="1" x14ac:dyDescent="0.25"/>
    <row r="26975" customFormat="1" x14ac:dyDescent="0.25"/>
    <row r="26976" customFormat="1" x14ac:dyDescent="0.25"/>
    <row r="26977" customFormat="1" x14ac:dyDescent="0.25"/>
    <row r="26978" customFormat="1" x14ac:dyDescent="0.25"/>
    <row r="26979" customFormat="1" x14ac:dyDescent="0.25"/>
    <row r="26980" customFormat="1" x14ac:dyDescent="0.25"/>
    <row r="26981" customFormat="1" x14ac:dyDescent="0.25"/>
    <row r="26982" customFormat="1" x14ac:dyDescent="0.25"/>
    <row r="26983" customFormat="1" x14ac:dyDescent="0.25"/>
    <row r="26984" customFormat="1" x14ac:dyDescent="0.25"/>
    <row r="26985" customFormat="1" x14ac:dyDescent="0.25"/>
    <row r="26986" customFormat="1" x14ac:dyDescent="0.25"/>
    <row r="26987" customFormat="1" x14ac:dyDescent="0.25"/>
    <row r="26988" customFormat="1" x14ac:dyDescent="0.25"/>
    <row r="26989" customFormat="1" x14ac:dyDescent="0.25"/>
    <row r="26990" customFormat="1" x14ac:dyDescent="0.25"/>
    <row r="26991" customFormat="1" x14ac:dyDescent="0.25"/>
    <row r="26992" customFormat="1" x14ac:dyDescent="0.25"/>
    <row r="26993" customFormat="1" x14ac:dyDescent="0.25"/>
    <row r="26994" customFormat="1" x14ac:dyDescent="0.25"/>
    <row r="26995" customFormat="1" x14ac:dyDescent="0.25"/>
    <row r="26996" customFormat="1" x14ac:dyDescent="0.25"/>
    <row r="26997" customFormat="1" x14ac:dyDescent="0.25"/>
    <row r="26998" customFormat="1" x14ac:dyDescent="0.25"/>
    <row r="26999" customFormat="1" x14ac:dyDescent="0.25"/>
    <row r="27000" customFormat="1" x14ac:dyDescent="0.25"/>
    <row r="27001" customFormat="1" x14ac:dyDescent="0.25"/>
    <row r="27002" customFormat="1" x14ac:dyDescent="0.25"/>
    <row r="27003" customFormat="1" x14ac:dyDescent="0.25"/>
    <row r="27004" customFormat="1" x14ac:dyDescent="0.25"/>
    <row r="27005" customFormat="1" x14ac:dyDescent="0.25"/>
    <row r="27006" customFormat="1" x14ac:dyDescent="0.25"/>
    <row r="27007" customFormat="1" x14ac:dyDescent="0.25"/>
    <row r="27008" customFormat="1" x14ac:dyDescent="0.25"/>
    <row r="27009" customFormat="1" x14ac:dyDescent="0.25"/>
    <row r="27010" customFormat="1" x14ac:dyDescent="0.25"/>
    <row r="27011" customFormat="1" x14ac:dyDescent="0.25"/>
    <row r="27012" customFormat="1" x14ac:dyDescent="0.25"/>
    <row r="27013" customFormat="1" x14ac:dyDescent="0.25"/>
    <row r="27014" customFormat="1" x14ac:dyDescent="0.25"/>
    <row r="27015" customFormat="1" x14ac:dyDescent="0.25"/>
    <row r="27016" customFormat="1" x14ac:dyDescent="0.25"/>
    <row r="27017" customFormat="1" x14ac:dyDescent="0.25"/>
    <row r="27018" customFormat="1" x14ac:dyDescent="0.25"/>
    <row r="27019" customFormat="1" x14ac:dyDescent="0.25"/>
    <row r="27020" customFormat="1" x14ac:dyDescent="0.25"/>
    <row r="27021" customFormat="1" x14ac:dyDescent="0.25"/>
    <row r="27022" customFormat="1" x14ac:dyDescent="0.25"/>
    <row r="27023" customFormat="1" x14ac:dyDescent="0.25"/>
    <row r="27024" customFormat="1" x14ac:dyDescent="0.25"/>
    <row r="27025" customFormat="1" x14ac:dyDescent="0.25"/>
    <row r="27026" customFormat="1" x14ac:dyDescent="0.25"/>
    <row r="27027" customFormat="1" x14ac:dyDescent="0.25"/>
    <row r="27028" customFormat="1" x14ac:dyDescent="0.25"/>
    <row r="27029" customFormat="1" x14ac:dyDescent="0.25"/>
    <row r="27030" customFormat="1" x14ac:dyDescent="0.25"/>
    <row r="27031" customFormat="1" x14ac:dyDescent="0.25"/>
    <row r="27032" customFormat="1" x14ac:dyDescent="0.25"/>
    <row r="27033" customFormat="1" x14ac:dyDescent="0.25"/>
    <row r="27034" customFormat="1" x14ac:dyDescent="0.25"/>
    <row r="27035" customFormat="1" x14ac:dyDescent="0.25"/>
    <row r="27036" customFormat="1" x14ac:dyDescent="0.25"/>
    <row r="27037" customFormat="1" x14ac:dyDescent="0.25"/>
    <row r="27038" customFormat="1" x14ac:dyDescent="0.25"/>
    <row r="27039" customFormat="1" x14ac:dyDescent="0.25"/>
    <row r="27040" customFormat="1" x14ac:dyDescent="0.25"/>
    <row r="27041" customFormat="1" x14ac:dyDescent="0.25"/>
    <row r="27042" customFormat="1" x14ac:dyDescent="0.25"/>
    <row r="27043" customFormat="1" x14ac:dyDescent="0.25"/>
    <row r="27044" customFormat="1" x14ac:dyDescent="0.25"/>
    <row r="27045" customFormat="1" x14ac:dyDescent="0.25"/>
    <row r="27046" customFormat="1" x14ac:dyDescent="0.25"/>
    <row r="27047" customFormat="1" x14ac:dyDescent="0.25"/>
    <row r="27048" customFormat="1" x14ac:dyDescent="0.25"/>
    <row r="27049" customFormat="1" x14ac:dyDescent="0.25"/>
    <row r="27050" customFormat="1" x14ac:dyDescent="0.25"/>
    <row r="27051" customFormat="1" x14ac:dyDescent="0.25"/>
    <row r="27052" customFormat="1" x14ac:dyDescent="0.25"/>
    <row r="27053" customFormat="1" x14ac:dyDescent="0.25"/>
    <row r="27054" customFormat="1" x14ac:dyDescent="0.25"/>
    <row r="27055" customFormat="1" x14ac:dyDescent="0.25"/>
    <row r="27056" customFormat="1" x14ac:dyDescent="0.25"/>
    <row r="27057" customFormat="1" x14ac:dyDescent="0.25"/>
    <row r="27058" customFormat="1" x14ac:dyDescent="0.25"/>
    <row r="27059" customFormat="1" x14ac:dyDescent="0.25"/>
    <row r="27060" customFormat="1" x14ac:dyDescent="0.25"/>
    <row r="27061" customFormat="1" x14ac:dyDescent="0.25"/>
    <row r="27062" customFormat="1" x14ac:dyDescent="0.25"/>
    <row r="27063" customFormat="1" x14ac:dyDescent="0.25"/>
    <row r="27064" customFormat="1" x14ac:dyDescent="0.25"/>
    <row r="27065" customFormat="1" x14ac:dyDescent="0.25"/>
    <row r="27066" customFormat="1" x14ac:dyDescent="0.25"/>
    <row r="27067" customFormat="1" x14ac:dyDescent="0.25"/>
    <row r="27068" customFormat="1" x14ac:dyDescent="0.25"/>
    <row r="27069" customFormat="1" x14ac:dyDescent="0.25"/>
    <row r="27070" customFormat="1" x14ac:dyDescent="0.25"/>
    <row r="27071" customFormat="1" x14ac:dyDescent="0.25"/>
    <row r="27072" customFormat="1" x14ac:dyDescent="0.25"/>
    <row r="27073" customFormat="1" x14ac:dyDescent="0.25"/>
    <row r="27074" customFormat="1" x14ac:dyDescent="0.25"/>
    <row r="27075" customFormat="1" x14ac:dyDescent="0.25"/>
    <row r="27076" customFormat="1" x14ac:dyDescent="0.25"/>
    <row r="27077" customFormat="1" x14ac:dyDescent="0.25"/>
    <row r="27078" customFormat="1" x14ac:dyDescent="0.25"/>
    <row r="27079" customFormat="1" x14ac:dyDescent="0.25"/>
    <row r="27080" customFormat="1" x14ac:dyDescent="0.25"/>
    <row r="27081" customFormat="1" x14ac:dyDescent="0.25"/>
    <row r="27082" customFormat="1" x14ac:dyDescent="0.25"/>
    <row r="27083" customFormat="1" x14ac:dyDescent="0.25"/>
    <row r="27084" customFormat="1" x14ac:dyDescent="0.25"/>
    <row r="27085" customFormat="1" x14ac:dyDescent="0.25"/>
    <row r="27086" customFormat="1" x14ac:dyDescent="0.25"/>
    <row r="27087" customFormat="1" x14ac:dyDescent="0.25"/>
    <row r="27088" customFormat="1" x14ac:dyDescent="0.25"/>
    <row r="27089" customFormat="1" x14ac:dyDescent="0.25"/>
    <row r="27090" customFormat="1" x14ac:dyDescent="0.25"/>
    <row r="27091" customFormat="1" x14ac:dyDescent="0.25"/>
    <row r="27092" customFormat="1" x14ac:dyDescent="0.25"/>
    <row r="27093" customFormat="1" x14ac:dyDescent="0.25"/>
    <row r="27094" customFormat="1" x14ac:dyDescent="0.25"/>
    <row r="27095" customFormat="1" x14ac:dyDescent="0.25"/>
    <row r="27096" customFormat="1" x14ac:dyDescent="0.25"/>
    <row r="27097" customFormat="1" x14ac:dyDescent="0.25"/>
    <row r="27098" customFormat="1" x14ac:dyDescent="0.25"/>
    <row r="27099" customFormat="1" x14ac:dyDescent="0.25"/>
    <row r="27100" customFormat="1" x14ac:dyDescent="0.25"/>
    <row r="27101" customFormat="1" x14ac:dyDescent="0.25"/>
    <row r="27102" customFormat="1" x14ac:dyDescent="0.25"/>
    <row r="27103" customFormat="1" x14ac:dyDescent="0.25"/>
    <row r="27104" customFormat="1" x14ac:dyDescent="0.25"/>
    <row r="27105" customFormat="1" x14ac:dyDescent="0.25"/>
    <row r="27106" customFormat="1" x14ac:dyDescent="0.25"/>
    <row r="27107" customFormat="1" x14ac:dyDescent="0.25"/>
    <row r="27108" customFormat="1" x14ac:dyDescent="0.25"/>
    <row r="27109" customFormat="1" x14ac:dyDescent="0.25"/>
    <row r="27110" customFormat="1" x14ac:dyDescent="0.25"/>
    <row r="27111" customFormat="1" x14ac:dyDescent="0.25"/>
    <row r="27112" customFormat="1" x14ac:dyDescent="0.25"/>
    <row r="27113" customFormat="1" x14ac:dyDescent="0.25"/>
    <row r="27114" customFormat="1" x14ac:dyDescent="0.25"/>
    <row r="27115" customFormat="1" x14ac:dyDescent="0.25"/>
    <row r="27116" customFormat="1" x14ac:dyDescent="0.25"/>
    <row r="27117" customFormat="1" x14ac:dyDescent="0.25"/>
    <row r="27118" customFormat="1" x14ac:dyDescent="0.25"/>
    <row r="27119" customFormat="1" x14ac:dyDescent="0.25"/>
    <row r="27120" customFormat="1" x14ac:dyDescent="0.25"/>
    <row r="27121" customFormat="1" x14ac:dyDescent="0.25"/>
    <row r="27122" customFormat="1" x14ac:dyDescent="0.25"/>
    <row r="27123" customFormat="1" x14ac:dyDescent="0.25"/>
    <row r="27124" customFormat="1" x14ac:dyDescent="0.25"/>
    <row r="27125" customFormat="1" x14ac:dyDescent="0.25"/>
    <row r="27126" customFormat="1" x14ac:dyDescent="0.25"/>
    <row r="27127" customFormat="1" x14ac:dyDescent="0.25"/>
    <row r="27128" customFormat="1" x14ac:dyDescent="0.25"/>
    <row r="27129" customFormat="1" x14ac:dyDescent="0.25"/>
    <row r="27130" customFormat="1" x14ac:dyDescent="0.25"/>
    <row r="27131" customFormat="1" x14ac:dyDescent="0.25"/>
    <row r="27132" customFormat="1" x14ac:dyDescent="0.25"/>
    <row r="27133" customFormat="1" x14ac:dyDescent="0.25"/>
    <row r="27134" customFormat="1" x14ac:dyDescent="0.25"/>
    <row r="27135" customFormat="1" x14ac:dyDescent="0.25"/>
    <row r="27136" customFormat="1" x14ac:dyDescent="0.25"/>
    <row r="27137" customFormat="1" x14ac:dyDescent="0.25"/>
    <row r="27138" customFormat="1" x14ac:dyDescent="0.25"/>
    <row r="27139" customFormat="1" x14ac:dyDescent="0.25"/>
    <row r="27140" customFormat="1" x14ac:dyDescent="0.25"/>
    <row r="27141" customFormat="1" x14ac:dyDescent="0.25"/>
    <row r="27142" customFormat="1" x14ac:dyDescent="0.25"/>
    <row r="27143" customFormat="1" x14ac:dyDescent="0.25"/>
    <row r="27144" customFormat="1" x14ac:dyDescent="0.25"/>
    <row r="27145" customFormat="1" x14ac:dyDescent="0.25"/>
    <row r="27146" customFormat="1" x14ac:dyDescent="0.25"/>
    <row r="27147" customFormat="1" x14ac:dyDescent="0.25"/>
    <row r="27148" customFormat="1" x14ac:dyDescent="0.25"/>
    <row r="27149" customFormat="1" x14ac:dyDescent="0.25"/>
    <row r="27150" customFormat="1" x14ac:dyDescent="0.25"/>
    <row r="27151" customFormat="1" x14ac:dyDescent="0.25"/>
    <row r="27152" customFormat="1" x14ac:dyDescent="0.25"/>
    <row r="27153" customFormat="1" x14ac:dyDescent="0.25"/>
    <row r="27154" customFormat="1" x14ac:dyDescent="0.25"/>
    <row r="27155" customFormat="1" x14ac:dyDescent="0.25"/>
    <row r="27156" customFormat="1" x14ac:dyDescent="0.25"/>
    <row r="27157" customFormat="1" x14ac:dyDescent="0.25"/>
    <row r="27158" customFormat="1" x14ac:dyDescent="0.25"/>
    <row r="27159" customFormat="1" x14ac:dyDescent="0.25"/>
    <row r="27160" customFormat="1" x14ac:dyDescent="0.25"/>
    <row r="27161" customFormat="1" x14ac:dyDescent="0.25"/>
    <row r="27162" customFormat="1" x14ac:dyDescent="0.25"/>
    <row r="27163" customFormat="1" x14ac:dyDescent="0.25"/>
    <row r="27164" customFormat="1" x14ac:dyDescent="0.25"/>
    <row r="27165" customFormat="1" x14ac:dyDescent="0.25"/>
    <row r="27166" customFormat="1" x14ac:dyDescent="0.25"/>
    <row r="27167" customFormat="1" x14ac:dyDescent="0.25"/>
    <row r="27168" customFormat="1" x14ac:dyDescent="0.25"/>
    <row r="27169" customFormat="1" x14ac:dyDescent="0.25"/>
    <row r="27170" customFormat="1" x14ac:dyDescent="0.25"/>
    <row r="27171" customFormat="1" x14ac:dyDescent="0.25"/>
    <row r="27172" customFormat="1" x14ac:dyDescent="0.25"/>
    <row r="27173" customFormat="1" x14ac:dyDescent="0.25"/>
    <row r="27174" customFormat="1" x14ac:dyDescent="0.25"/>
    <row r="27175" customFormat="1" x14ac:dyDescent="0.25"/>
    <row r="27176" customFormat="1" x14ac:dyDescent="0.25"/>
    <row r="27177" customFormat="1" x14ac:dyDescent="0.25"/>
    <row r="27178" customFormat="1" x14ac:dyDescent="0.25"/>
    <row r="27179" customFormat="1" x14ac:dyDescent="0.25"/>
    <row r="27180" customFormat="1" x14ac:dyDescent="0.25"/>
    <row r="27181" customFormat="1" x14ac:dyDescent="0.25"/>
    <row r="27182" customFormat="1" x14ac:dyDescent="0.25"/>
    <row r="27183" customFormat="1" x14ac:dyDescent="0.25"/>
    <row r="27184" customFormat="1" x14ac:dyDescent="0.25"/>
    <row r="27185" customFormat="1" x14ac:dyDescent="0.25"/>
    <row r="27186" customFormat="1" x14ac:dyDescent="0.25"/>
    <row r="27187" customFormat="1" x14ac:dyDescent="0.25"/>
    <row r="27188" customFormat="1" x14ac:dyDescent="0.25"/>
    <row r="27189" customFormat="1" x14ac:dyDescent="0.25"/>
    <row r="27190" customFormat="1" x14ac:dyDescent="0.25"/>
    <row r="27191" customFormat="1" x14ac:dyDescent="0.25"/>
    <row r="27192" customFormat="1" x14ac:dyDescent="0.25"/>
    <row r="27193" customFormat="1" x14ac:dyDescent="0.25"/>
    <row r="27194" customFormat="1" x14ac:dyDescent="0.25"/>
    <row r="27195" customFormat="1" x14ac:dyDescent="0.25"/>
    <row r="27196" customFormat="1" x14ac:dyDescent="0.25"/>
    <row r="27197" customFormat="1" x14ac:dyDescent="0.25"/>
    <row r="27198" customFormat="1" x14ac:dyDescent="0.25"/>
    <row r="27199" customFormat="1" x14ac:dyDescent="0.25"/>
    <row r="27200" customFormat="1" x14ac:dyDescent="0.25"/>
    <row r="27201" customFormat="1" x14ac:dyDescent="0.25"/>
    <row r="27202" customFormat="1" x14ac:dyDescent="0.25"/>
    <row r="27203" customFormat="1" x14ac:dyDescent="0.25"/>
    <row r="27204" customFormat="1" x14ac:dyDescent="0.25"/>
    <row r="27205" customFormat="1" x14ac:dyDescent="0.25"/>
    <row r="27206" customFormat="1" x14ac:dyDescent="0.25"/>
    <row r="27207" customFormat="1" x14ac:dyDescent="0.25"/>
    <row r="27208" customFormat="1" x14ac:dyDescent="0.25"/>
    <row r="27209" customFormat="1" x14ac:dyDescent="0.25"/>
    <row r="27210" customFormat="1" x14ac:dyDescent="0.25"/>
    <row r="27211" customFormat="1" x14ac:dyDescent="0.25"/>
    <row r="27212" customFormat="1" x14ac:dyDescent="0.25"/>
    <row r="27213" customFormat="1" x14ac:dyDescent="0.25"/>
    <row r="27214" customFormat="1" x14ac:dyDescent="0.25"/>
    <row r="27215" customFormat="1" x14ac:dyDescent="0.25"/>
    <row r="27216" customFormat="1" x14ac:dyDescent="0.25"/>
    <row r="27217" customFormat="1" x14ac:dyDescent="0.25"/>
    <row r="27218" customFormat="1" x14ac:dyDescent="0.25"/>
    <row r="27219" customFormat="1" x14ac:dyDescent="0.25"/>
    <row r="27220" customFormat="1" x14ac:dyDescent="0.25"/>
    <row r="27221" customFormat="1" x14ac:dyDescent="0.25"/>
    <row r="27222" customFormat="1" x14ac:dyDescent="0.25"/>
    <row r="27223" customFormat="1" x14ac:dyDescent="0.25"/>
    <row r="27224" customFormat="1" x14ac:dyDescent="0.25"/>
    <row r="27225" customFormat="1" x14ac:dyDescent="0.25"/>
    <row r="27226" customFormat="1" x14ac:dyDescent="0.25"/>
    <row r="27227" customFormat="1" x14ac:dyDescent="0.25"/>
    <row r="27228" customFormat="1" x14ac:dyDescent="0.25"/>
    <row r="27229" customFormat="1" x14ac:dyDescent="0.25"/>
    <row r="27230" customFormat="1" x14ac:dyDescent="0.25"/>
    <row r="27231" customFormat="1" x14ac:dyDescent="0.25"/>
    <row r="27232" customFormat="1" x14ac:dyDescent="0.25"/>
    <row r="27233" customFormat="1" x14ac:dyDescent="0.25"/>
    <row r="27234" customFormat="1" x14ac:dyDescent="0.25"/>
    <row r="27235" customFormat="1" x14ac:dyDescent="0.25"/>
    <row r="27236" customFormat="1" x14ac:dyDescent="0.25"/>
    <row r="27237" customFormat="1" x14ac:dyDescent="0.25"/>
    <row r="27238" customFormat="1" x14ac:dyDescent="0.25"/>
    <row r="27239" customFormat="1" x14ac:dyDescent="0.25"/>
    <row r="27240" customFormat="1" x14ac:dyDescent="0.25"/>
    <row r="27241" customFormat="1" x14ac:dyDescent="0.25"/>
    <row r="27242" customFormat="1" x14ac:dyDescent="0.25"/>
    <row r="27243" customFormat="1" x14ac:dyDescent="0.25"/>
    <row r="27244" customFormat="1" x14ac:dyDescent="0.25"/>
    <row r="27245" customFormat="1" x14ac:dyDescent="0.25"/>
    <row r="27246" customFormat="1" x14ac:dyDescent="0.25"/>
    <row r="27247" customFormat="1" x14ac:dyDescent="0.25"/>
    <row r="27248" customFormat="1" x14ac:dyDescent="0.25"/>
    <row r="27249" customFormat="1" x14ac:dyDescent="0.25"/>
    <row r="27250" customFormat="1" x14ac:dyDescent="0.25"/>
    <row r="27251" customFormat="1" x14ac:dyDescent="0.25"/>
    <row r="27252" customFormat="1" x14ac:dyDescent="0.25"/>
    <row r="27253" customFormat="1" x14ac:dyDescent="0.25"/>
    <row r="27254" customFormat="1" x14ac:dyDescent="0.25"/>
    <row r="27255" customFormat="1" x14ac:dyDescent="0.25"/>
    <row r="27256" customFormat="1" x14ac:dyDescent="0.25"/>
    <row r="27257" customFormat="1" x14ac:dyDescent="0.25"/>
    <row r="27258" customFormat="1" x14ac:dyDescent="0.25"/>
    <row r="27259" customFormat="1" x14ac:dyDescent="0.25"/>
    <row r="27260" customFormat="1" x14ac:dyDescent="0.25"/>
    <row r="27261" customFormat="1" x14ac:dyDescent="0.25"/>
    <row r="27262" customFormat="1" x14ac:dyDescent="0.25"/>
    <row r="27263" customFormat="1" x14ac:dyDescent="0.25"/>
    <row r="27264" customFormat="1" x14ac:dyDescent="0.25"/>
    <row r="27265" customFormat="1" x14ac:dyDescent="0.25"/>
    <row r="27266" customFormat="1" x14ac:dyDescent="0.25"/>
    <row r="27267" customFormat="1" x14ac:dyDescent="0.25"/>
    <row r="27268" customFormat="1" x14ac:dyDescent="0.25"/>
    <row r="27269" customFormat="1" x14ac:dyDescent="0.25"/>
    <row r="27270" customFormat="1" x14ac:dyDescent="0.25"/>
    <row r="27271" customFormat="1" x14ac:dyDescent="0.25"/>
    <row r="27272" customFormat="1" x14ac:dyDescent="0.25"/>
    <row r="27273" customFormat="1" x14ac:dyDescent="0.25"/>
    <row r="27274" customFormat="1" x14ac:dyDescent="0.25"/>
    <row r="27275" customFormat="1" x14ac:dyDescent="0.25"/>
    <row r="27276" customFormat="1" x14ac:dyDescent="0.25"/>
    <row r="27277" customFormat="1" x14ac:dyDescent="0.25"/>
    <row r="27278" customFormat="1" x14ac:dyDescent="0.25"/>
    <row r="27279" customFormat="1" x14ac:dyDescent="0.25"/>
    <row r="27280" customFormat="1" x14ac:dyDescent="0.25"/>
    <row r="27281" customFormat="1" x14ac:dyDescent="0.25"/>
    <row r="27282" customFormat="1" x14ac:dyDescent="0.25"/>
    <row r="27283" customFormat="1" x14ac:dyDescent="0.25"/>
    <row r="27284" customFormat="1" x14ac:dyDescent="0.25"/>
    <row r="27285" customFormat="1" x14ac:dyDescent="0.25"/>
    <row r="27286" customFormat="1" x14ac:dyDescent="0.25"/>
    <row r="27287" customFormat="1" x14ac:dyDescent="0.25"/>
    <row r="27288" customFormat="1" x14ac:dyDescent="0.25"/>
    <row r="27289" customFormat="1" x14ac:dyDescent="0.25"/>
    <row r="27290" customFormat="1" x14ac:dyDescent="0.25"/>
    <row r="27291" customFormat="1" x14ac:dyDescent="0.25"/>
    <row r="27292" customFormat="1" x14ac:dyDescent="0.25"/>
    <row r="27293" customFormat="1" x14ac:dyDescent="0.25"/>
    <row r="27294" customFormat="1" x14ac:dyDescent="0.25"/>
    <row r="27295" customFormat="1" x14ac:dyDescent="0.25"/>
    <row r="27296" customFormat="1" x14ac:dyDescent="0.25"/>
    <row r="27297" customFormat="1" x14ac:dyDescent="0.25"/>
    <row r="27298" customFormat="1" x14ac:dyDescent="0.25"/>
    <row r="27299" customFormat="1" x14ac:dyDescent="0.25"/>
    <row r="27300" customFormat="1" x14ac:dyDescent="0.25"/>
    <row r="27301" customFormat="1" x14ac:dyDescent="0.25"/>
    <row r="27302" customFormat="1" x14ac:dyDescent="0.25"/>
    <row r="27303" customFormat="1" x14ac:dyDescent="0.25"/>
    <row r="27304" customFormat="1" x14ac:dyDescent="0.25"/>
    <row r="27305" customFormat="1" x14ac:dyDescent="0.25"/>
    <row r="27306" customFormat="1" x14ac:dyDescent="0.25"/>
    <row r="27307" customFormat="1" x14ac:dyDescent="0.25"/>
    <row r="27308" customFormat="1" x14ac:dyDescent="0.25"/>
    <row r="27309" customFormat="1" x14ac:dyDescent="0.25"/>
    <row r="27310" customFormat="1" x14ac:dyDescent="0.25"/>
    <row r="27311" customFormat="1" x14ac:dyDescent="0.25"/>
    <row r="27312" customFormat="1" x14ac:dyDescent="0.25"/>
    <row r="27313" customFormat="1" x14ac:dyDescent="0.25"/>
    <row r="27314" customFormat="1" x14ac:dyDescent="0.25"/>
    <row r="27315" customFormat="1" x14ac:dyDescent="0.25"/>
    <row r="27316" customFormat="1" x14ac:dyDescent="0.25"/>
    <row r="27317" customFormat="1" x14ac:dyDescent="0.25"/>
    <row r="27318" customFormat="1" x14ac:dyDescent="0.25"/>
    <row r="27319" customFormat="1" x14ac:dyDescent="0.25"/>
    <row r="27320" customFormat="1" x14ac:dyDescent="0.25"/>
    <row r="27321" customFormat="1" x14ac:dyDescent="0.25"/>
    <row r="27322" customFormat="1" x14ac:dyDescent="0.25"/>
    <row r="27323" customFormat="1" x14ac:dyDescent="0.25"/>
    <row r="27324" customFormat="1" x14ac:dyDescent="0.25"/>
    <row r="27325" customFormat="1" x14ac:dyDescent="0.25"/>
    <row r="27326" customFormat="1" x14ac:dyDescent="0.25"/>
    <row r="27327" customFormat="1" x14ac:dyDescent="0.25"/>
    <row r="27328" customFormat="1" x14ac:dyDescent="0.25"/>
    <row r="27329" customFormat="1" x14ac:dyDescent="0.25"/>
    <row r="27330" customFormat="1" x14ac:dyDescent="0.25"/>
    <row r="27331" customFormat="1" x14ac:dyDescent="0.25"/>
    <row r="27332" customFormat="1" x14ac:dyDescent="0.25"/>
    <row r="27333" customFormat="1" x14ac:dyDescent="0.25"/>
    <row r="27334" customFormat="1" x14ac:dyDescent="0.25"/>
    <row r="27335" customFormat="1" x14ac:dyDescent="0.25"/>
    <row r="27336" customFormat="1" x14ac:dyDescent="0.25"/>
    <row r="27337" customFormat="1" x14ac:dyDescent="0.25"/>
    <row r="27338" customFormat="1" x14ac:dyDescent="0.25"/>
    <row r="27339" customFormat="1" x14ac:dyDescent="0.25"/>
    <row r="27340" customFormat="1" x14ac:dyDescent="0.25"/>
    <row r="27341" customFormat="1" x14ac:dyDescent="0.25"/>
    <row r="27342" customFormat="1" x14ac:dyDescent="0.25"/>
    <row r="27343" customFormat="1" x14ac:dyDescent="0.25"/>
    <row r="27344" customFormat="1" x14ac:dyDescent="0.25"/>
    <row r="27345" customFormat="1" x14ac:dyDescent="0.25"/>
    <row r="27346" customFormat="1" x14ac:dyDescent="0.25"/>
    <row r="27347" customFormat="1" x14ac:dyDescent="0.25"/>
    <row r="27348" customFormat="1" x14ac:dyDescent="0.25"/>
    <row r="27349" customFormat="1" x14ac:dyDescent="0.25"/>
    <row r="27350" customFormat="1" x14ac:dyDescent="0.25"/>
    <row r="27351" customFormat="1" x14ac:dyDescent="0.25"/>
    <row r="27352" customFormat="1" x14ac:dyDescent="0.25"/>
    <row r="27353" customFormat="1" x14ac:dyDescent="0.25"/>
    <row r="27354" customFormat="1" x14ac:dyDescent="0.25"/>
    <row r="27355" customFormat="1" x14ac:dyDescent="0.25"/>
    <row r="27356" customFormat="1" x14ac:dyDescent="0.25"/>
    <row r="27357" customFormat="1" x14ac:dyDescent="0.25"/>
    <row r="27358" customFormat="1" x14ac:dyDescent="0.25"/>
    <row r="27359" customFormat="1" x14ac:dyDescent="0.25"/>
    <row r="27360" customFormat="1" x14ac:dyDescent="0.25"/>
    <row r="27361" customFormat="1" x14ac:dyDescent="0.25"/>
    <row r="27362" customFormat="1" x14ac:dyDescent="0.25"/>
    <row r="27363" customFormat="1" x14ac:dyDescent="0.25"/>
    <row r="27364" customFormat="1" x14ac:dyDescent="0.25"/>
    <row r="27365" customFormat="1" x14ac:dyDescent="0.25"/>
    <row r="27366" customFormat="1" x14ac:dyDescent="0.25"/>
    <row r="27367" customFormat="1" x14ac:dyDescent="0.25"/>
    <row r="27368" customFormat="1" x14ac:dyDescent="0.25"/>
    <row r="27369" customFormat="1" x14ac:dyDescent="0.25"/>
    <row r="27370" customFormat="1" x14ac:dyDescent="0.25"/>
    <row r="27371" customFormat="1" x14ac:dyDescent="0.25"/>
    <row r="27372" customFormat="1" x14ac:dyDescent="0.25"/>
    <row r="27373" customFormat="1" x14ac:dyDescent="0.25"/>
    <row r="27374" customFormat="1" x14ac:dyDescent="0.25"/>
    <row r="27375" customFormat="1" x14ac:dyDescent="0.25"/>
    <row r="27376" customFormat="1" x14ac:dyDescent="0.25"/>
    <row r="27377" customFormat="1" x14ac:dyDescent="0.25"/>
    <row r="27378" customFormat="1" x14ac:dyDescent="0.25"/>
    <row r="27379" customFormat="1" x14ac:dyDescent="0.25"/>
    <row r="27380" customFormat="1" x14ac:dyDescent="0.25"/>
    <row r="27381" customFormat="1" x14ac:dyDescent="0.25"/>
    <row r="27382" customFormat="1" x14ac:dyDescent="0.25"/>
    <row r="27383" customFormat="1" x14ac:dyDescent="0.25"/>
    <row r="27384" customFormat="1" x14ac:dyDescent="0.25"/>
    <row r="27385" customFormat="1" x14ac:dyDescent="0.25"/>
    <row r="27386" customFormat="1" x14ac:dyDescent="0.25"/>
    <row r="27387" customFormat="1" x14ac:dyDescent="0.25"/>
    <row r="27388" customFormat="1" x14ac:dyDescent="0.25"/>
    <row r="27389" customFormat="1" x14ac:dyDescent="0.25"/>
    <row r="27390" customFormat="1" x14ac:dyDescent="0.25"/>
    <row r="27391" customFormat="1" x14ac:dyDescent="0.25"/>
    <row r="27392" customFormat="1" x14ac:dyDescent="0.25"/>
    <row r="27393" customFormat="1" x14ac:dyDescent="0.25"/>
    <row r="27394" customFormat="1" x14ac:dyDescent="0.25"/>
    <row r="27395" customFormat="1" x14ac:dyDescent="0.25"/>
    <row r="27396" customFormat="1" x14ac:dyDescent="0.25"/>
    <row r="27397" customFormat="1" x14ac:dyDescent="0.25"/>
    <row r="27398" customFormat="1" x14ac:dyDescent="0.25"/>
    <row r="27399" customFormat="1" x14ac:dyDescent="0.25"/>
    <row r="27400" customFormat="1" x14ac:dyDescent="0.25"/>
    <row r="27401" customFormat="1" x14ac:dyDescent="0.25"/>
    <row r="27402" customFormat="1" x14ac:dyDescent="0.25"/>
    <row r="27403" customFormat="1" x14ac:dyDescent="0.25"/>
    <row r="27404" customFormat="1" x14ac:dyDescent="0.25"/>
    <row r="27405" customFormat="1" x14ac:dyDescent="0.25"/>
    <row r="27406" customFormat="1" x14ac:dyDescent="0.25"/>
    <row r="27407" customFormat="1" x14ac:dyDescent="0.25"/>
    <row r="27408" customFormat="1" x14ac:dyDescent="0.25"/>
    <row r="27409" customFormat="1" x14ac:dyDescent="0.25"/>
    <row r="27410" customFormat="1" x14ac:dyDescent="0.25"/>
    <row r="27411" customFormat="1" x14ac:dyDescent="0.25"/>
    <row r="27412" customFormat="1" x14ac:dyDescent="0.25"/>
    <row r="27413" customFormat="1" x14ac:dyDescent="0.25"/>
    <row r="27414" customFormat="1" x14ac:dyDescent="0.25"/>
    <row r="27415" customFormat="1" x14ac:dyDescent="0.25"/>
    <row r="27416" customFormat="1" x14ac:dyDescent="0.25"/>
    <row r="27417" customFormat="1" x14ac:dyDescent="0.25"/>
    <row r="27418" customFormat="1" x14ac:dyDescent="0.25"/>
    <row r="27419" customFormat="1" x14ac:dyDescent="0.25"/>
    <row r="27420" customFormat="1" x14ac:dyDescent="0.25"/>
    <row r="27421" customFormat="1" x14ac:dyDescent="0.25"/>
    <row r="27422" customFormat="1" x14ac:dyDescent="0.25"/>
    <row r="27423" customFormat="1" x14ac:dyDescent="0.25"/>
    <row r="27424" customFormat="1" x14ac:dyDescent="0.25"/>
    <row r="27425" customFormat="1" x14ac:dyDescent="0.25"/>
    <row r="27426" customFormat="1" x14ac:dyDescent="0.25"/>
    <row r="27427" customFormat="1" x14ac:dyDescent="0.25"/>
    <row r="27428" customFormat="1" x14ac:dyDescent="0.25"/>
    <row r="27429" customFormat="1" x14ac:dyDescent="0.25"/>
    <row r="27430" customFormat="1" x14ac:dyDescent="0.25"/>
    <row r="27431" customFormat="1" x14ac:dyDescent="0.25"/>
    <row r="27432" customFormat="1" x14ac:dyDescent="0.25"/>
    <row r="27433" customFormat="1" x14ac:dyDescent="0.25"/>
    <row r="27434" customFormat="1" x14ac:dyDescent="0.25"/>
    <row r="27435" customFormat="1" x14ac:dyDescent="0.25"/>
    <row r="27436" customFormat="1" x14ac:dyDescent="0.25"/>
    <row r="27437" customFormat="1" x14ac:dyDescent="0.25"/>
    <row r="27438" customFormat="1" x14ac:dyDescent="0.25"/>
    <row r="27439" customFormat="1" x14ac:dyDescent="0.25"/>
    <row r="27440" customFormat="1" x14ac:dyDescent="0.25"/>
    <row r="27441" customFormat="1" x14ac:dyDescent="0.25"/>
    <row r="27442" customFormat="1" x14ac:dyDescent="0.25"/>
    <row r="27443" customFormat="1" x14ac:dyDescent="0.25"/>
    <row r="27444" customFormat="1" x14ac:dyDescent="0.25"/>
    <row r="27445" customFormat="1" x14ac:dyDescent="0.25"/>
    <row r="27446" customFormat="1" x14ac:dyDescent="0.25"/>
    <row r="27447" customFormat="1" x14ac:dyDescent="0.25"/>
    <row r="27448" customFormat="1" x14ac:dyDescent="0.25"/>
    <row r="27449" customFormat="1" x14ac:dyDescent="0.25"/>
    <row r="27450" customFormat="1" x14ac:dyDescent="0.25"/>
    <row r="27451" customFormat="1" x14ac:dyDescent="0.25"/>
    <row r="27452" customFormat="1" x14ac:dyDescent="0.25"/>
    <row r="27453" customFormat="1" x14ac:dyDescent="0.25"/>
    <row r="27454" customFormat="1" x14ac:dyDescent="0.25"/>
    <row r="27455" customFormat="1" x14ac:dyDescent="0.25"/>
    <row r="27456" customFormat="1" x14ac:dyDescent="0.25"/>
    <row r="27457" customFormat="1" x14ac:dyDescent="0.25"/>
    <row r="27458" customFormat="1" x14ac:dyDescent="0.25"/>
    <row r="27459" customFormat="1" x14ac:dyDescent="0.25"/>
    <row r="27460" customFormat="1" x14ac:dyDescent="0.25"/>
    <row r="27461" customFormat="1" x14ac:dyDescent="0.25"/>
    <row r="27462" customFormat="1" x14ac:dyDescent="0.25"/>
    <row r="27463" customFormat="1" x14ac:dyDescent="0.25"/>
    <row r="27464" customFormat="1" x14ac:dyDescent="0.25"/>
    <row r="27465" customFormat="1" x14ac:dyDescent="0.25"/>
    <row r="27466" customFormat="1" x14ac:dyDescent="0.25"/>
    <row r="27467" customFormat="1" x14ac:dyDescent="0.25"/>
    <row r="27468" customFormat="1" x14ac:dyDescent="0.25"/>
    <row r="27469" customFormat="1" x14ac:dyDescent="0.25"/>
    <row r="27470" customFormat="1" x14ac:dyDescent="0.25"/>
    <row r="27471" customFormat="1" x14ac:dyDescent="0.25"/>
    <row r="27472" customFormat="1" x14ac:dyDescent="0.25"/>
    <row r="27473" customFormat="1" x14ac:dyDescent="0.25"/>
    <row r="27474" customFormat="1" x14ac:dyDescent="0.25"/>
    <row r="27475" customFormat="1" x14ac:dyDescent="0.25"/>
    <row r="27476" customFormat="1" x14ac:dyDescent="0.25"/>
    <row r="27477" customFormat="1" x14ac:dyDescent="0.25"/>
    <row r="27478" customFormat="1" x14ac:dyDescent="0.25"/>
    <row r="27479" customFormat="1" x14ac:dyDescent="0.25"/>
    <row r="27480" customFormat="1" x14ac:dyDescent="0.25"/>
    <row r="27481" customFormat="1" x14ac:dyDescent="0.25"/>
    <row r="27482" customFormat="1" x14ac:dyDescent="0.25"/>
    <row r="27483" customFormat="1" x14ac:dyDescent="0.25"/>
    <row r="27484" customFormat="1" x14ac:dyDescent="0.25"/>
    <row r="27485" customFormat="1" x14ac:dyDescent="0.25"/>
    <row r="27486" customFormat="1" x14ac:dyDescent="0.25"/>
    <row r="27487" customFormat="1" x14ac:dyDescent="0.25"/>
    <row r="27488" customFormat="1" x14ac:dyDescent="0.25"/>
    <row r="27489" customFormat="1" x14ac:dyDescent="0.25"/>
    <row r="27490" customFormat="1" x14ac:dyDescent="0.25"/>
    <row r="27491" customFormat="1" x14ac:dyDescent="0.25"/>
    <row r="27492" customFormat="1" x14ac:dyDescent="0.25"/>
    <row r="27493" customFormat="1" x14ac:dyDescent="0.25"/>
    <row r="27494" customFormat="1" x14ac:dyDescent="0.25"/>
    <row r="27495" customFormat="1" x14ac:dyDescent="0.25"/>
    <row r="27496" customFormat="1" x14ac:dyDescent="0.25"/>
    <row r="27497" customFormat="1" x14ac:dyDescent="0.25"/>
    <row r="27498" customFormat="1" x14ac:dyDescent="0.25"/>
    <row r="27499" customFormat="1" x14ac:dyDescent="0.25"/>
    <row r="27500" customFormat="1" x14ac:dyDescent="0.25"/>
    <row r="27501" customFormat="1" x14ac:dyDescent="0.25"/>
    <row r="27502" customFormat="1" x14ac:dyDescent="0.25"/>
    <row r="27503" customFormat="1" x14ac:dyDescent="0.25"/>
    <row r="27504" customFormat="1" x14ac:dyDescent="0.25"/>
    <row r="27505" customFormat="1" x14ac:dyDescent="0.25"/>
    <row r="27506" customFormat="1" x14ac:dyDescent="0.25"/>
    <row r="27507" customFormat="1" x14ac:dyDescent="0.25"/>
    <row r="27508" customFormat="1" x14ac:dyDescent="0.25"/>
    <row r="27509" customFormat="1" x14ac:dyDescent="0.25"/>
    <row r="27510" customFormat="1" x14ac:dyDescent="0.25"/>
    <row r="27511" customFormat="1" x14ac:dyDescent="0.25"/>
    <row r="27512" customFormat="1" x14ac:dyDescent="0.25"/>
    <row r="27513" customFormat="1" x14ac:dyDescent="0.25"/>
    <row r="27514" customFormat="1" x14ac:dyDescent="0.25"/>
    <row r="27515" customFormat="1" x14ac:dyDescent="0.25"/>
    <row r="27516" customFormat="1" x14ac:dyDescent="0.25"/>
    <row r="27517" customFormat="1" x14ac:dyDescent="0.25"/>
    <row r="27518" customFormat="1" x14ac:dyDescent="0.25"/>
    <row r="27519" customFormat="1" x14ac:dyDescent="0.25"/>
    <row r="27520" customFormat="1" x14ac:dyDescent="0.25"/>
    <row r="27521" customFormat="1" x14ac:dyDescent="0.25"/>
    <row r="27522" customFormat="1" x14ac:dyDescent="0.25"/>
    <row r="27523" customFormat="1" x14ac:dyDescent="0.25"/>
    <row r="27524" customFormat="1" x14ac:dyDescent="0.25"/>
    <row r="27525" customFormat="1" x14ac:dyDescent="0.25"/>
    <row r="27526" customFormat="1" x14ac:dyDescent="0.25"/>
    <row r="27527" customFormat="1" x14ac:dyDescent="0.25"/>
    <row r="27528" customFormat="1" x14ac:dyDescent="0.25"/>
    <row r="27529" customFormat="1" x14ac:dyDescent="0.25"/>
    <row r="27530" customFormat="1" x14ac:dyDescent="0.25"/>
    <row r="27531" customFormat="1" x14ac:dyDescent="0.25"/>
    <row r="27532" customFormat="1" x14ac:dyDescent="0.25"/>
    <row r="27533" customFormat="1" x14ac:dyDescent="0.25"/>
    <row r="27534" customFormat="1" x14ac:dyDescent="0.25"/>
    <row r="27535" customFormat="1" x14ac:dyDescent="0.25"/>
    <row r="27536" customFormat="1" x14ac:dyDescent="0.25"/>
    <row r="27537" customFormat="1" x14ac:dyDescent="0.25"/>
    <row r="27538" customFormat="1" x14ac:dyDescent="0.25"/>
    <row r="27539" customFormat="1" x14ac:dyDescent="0.25"/>
    <row r="27540" customFormat="1" x14ac:dyDescent="0.25"/>
    <row r="27541" customFormat="1" x14ac:dyDescent="0.25"/>
    <row r="27542" customFormat="1" x14ac:dyDescent="0.25"/>
    <row r="27543" customFormat="1" x14ac:dyDescent="0.25"/>
    <row r="27544" customFormat="1" x14ac:dyDescent="0.25"/>
    <row r="27545" customFormat="1" x14ac:dyDescent="0.25"/>
    <row r="27546" customFormat="1" x14ac:dyDescent="0.25"/>
    <row r="27547" customFormat="1" x14ac:dyDescent="0.25"/>
    <row r="27548" customFormat="1" x14ac:dyDescent="0.25"/>
    <row r="27549" customFormat="1" x14ac:dyDescent="0.25"/>
    <row r="27550" customFormat="1" x14ac:dyDescent="0.25"/>
    <row r="27551" customFormat="1" x14ac:dyDescent="0.25"/>
    <row r="27552" customFormat="1" x14ac:dyDescent="0.25"/>
    <row r="27553" customFormat="1" x14ac:dyDescent="0.25"/>
    <row r="27554" customFormat="1" x14ac:dyDescent="0.25"/>
    <row r="27555" customFormat="1" x14ac:dyDescent="0.25"/>
    <row r="27556" customFormat="1" x14ac:dyDescent="0.25"/>
    <row r="27557" customFormat="1" x14ac:dyDescent="0.25"/>
    <row r="27558" customFormat="1" x14ac:dyDescent="0.25"/>
    <row r="27559" customFormat="1" x14ac:dyDescent="0.25"/>
    <row r="27560" customFormat="1" x14ac:dyDescent="0.25"/>
    <row r="27561" customFormat="1" x14ac:dyDescent="0.25"/>
    <row r="27562" customFormat="1" x14ac:dyDescent="0.25"/>
    <row r="27563" customFormat="1" x14ac:dyDescent="0.25"/>
    <row r="27564" customFormat="1" x14ac:dyDescent="0.25"/>
    <row r="27565" customFormat="1" x14ac:dyDescent="0.25"/>
    <row r="27566" customFormat="1" x14ac:dyDescent="0.25"/>
    <row r="27567" customFormat="1" x14ac:dyDescent="0.25"/>
    <row r="27568" customFormat="1" x14ac:dyDescent="0.25"/>
    <row r="27569" customFormat="1" x14ac:dyDescent="0.25"/>
    <row r="27570" customFormat="1" x14ac:dyDescent="0.25"/>
    <row r="27571" customFormat="1" x14ac:dyDescent="0.25"/>
    <row r="27572" customFormat="1" x14ac:dyDescent="0.25"/>
    <row r="27573" customFormat="1" x14ac:dyDescent="0.25"/>
    <row r="27574" customFormat="1" x14ac:dyDescent="0.25"/>
    <row r="27575" customFormat="1" x14ac:dyDescent="0.25"/>
    <row r="27576" customFormat="1" x14ac:dyDescent="0.25"/>
    <row r="27577" customFormat="1" x14ac:dyDescent="0.25"/>
    <row r="27578" customFormat="1" x14ac:dyDescent="0.25"/>
    <row r="27579" customFormat="1" x14ac:dyDescent="0.25"/>
    <row r="27580" customFormat="1" x14ac:dyDescent="0.25"/>
    <row r="27581" customFormat="1" x14ac:dyDescent="0.25"/>
    <row r="27582" customFormat="1" x14ac:dyDescent="0.25"/>
    <row r="27583" customFormat="1" x14ac:dyDescent="0.25"/>
    <row r="27584" customFormat="1" x14ac:dyDescent="0.25"/>
    <row r="27585" customFormat="1" x14ac:dyDescent="0.25"/>
    <row r="27586" customFormat="1" x14ac:dyDescent="0.25"/>
    <row r="27587" customFormat="1" x14ac:dyDescent="0.25"/>
    <row r="27588" customFormat="1" x14ac:dyDescent="0.25"/>
    <row r="27589" customFormat="1" x14ac:dyDescent="0.25"/>
    <row r="27590" customFormat="1" x14ac:dyDescent="0.25"/>
    <row r="27591" customFormat="1" x14ac:dyDescent="0.25"/>
    <row r="27592" customFormat="1" x14ac:dyDescent="0.25"/>
    <row r="27593" customFormat="1" x14ac:dyDescent="0.25"/>
    <row r="27594" customFormat="1" x14ac:dyDescent="0.25"/>
    <row r="27595" customFormat="1" x14ac:dyDescent="0.25"/>
    <row r="27596" customFormat="1" x14ac:dyDescent="0.25"/>
    <row r="27597" customFormat="1" x14ac:dyDescent="0.25"/>
    <row r="27598" customFormat="1" x14ac:dyDescent="0.25"/>
    <row r="27599" customFormat="1" x14ac:dyDescent="0.25"/>
    <row r="27600" customFormat="1" x14ac:dyDescent="0.25"/>
    <row r="27601" customFormat="1" x14ac:dyDescent="0.25"/>
    <row r="27602" customFormat="1" x14ac:dyDescent="0.25"/>
    <row r="27603" customFormat="1" x14ac:dyDescent="0.25"/>
    <row r="27604" customFormat="1" x14ac:dyDescent="0.25"/>
    <row r="27605" customFormat="1" x14ac:dyDescent="0.25"/>
    <row r="27606" customFormat="1" x14ac:dyDescent="0.25"/>
    <row r="27607" customFormat="1" x14ac:dyDescent="0.25"/>
    <row r="27608" customFormat="1" x14ac:dyDescent="0.25"/>
    <row r="27609" customFormat="1" x14ac:dyDescent="0.25"/>
    <row r="27610" customFormat="1" x14ac:dyDescent="0.25"/>
    <row r="27611" customFormat="1" x14ac:dyDescent="0.25"/>
    <row r="27612" customFormat="1" x14ac:dyDescent="0.25"/>
    <row r="27613" customFormat="1" x14ac:dyDescent="0.25"/>
    <row r="27614" customFormat="1" x14ac:dyDescent="0.25"/>
    <row r="27615" customFormat="1" x14ac:dyDescent="0.25"/>
    <row r="27616" customFormat="1" x14ac:dyDescent="0.25"/>
    <row r="27617" customFormat="1" x14ac:dyDescent="0.25"/>
    <row r="27618" customFormat="1" x14ac:dyDescent="0.25"/>
    <row r="27619" customFormat="1" x14ac:dyDescent="0.25"/>
    <row r="27620" customFormat="1" x14ac:dyDescent="0.25"/>
    <row r="27621" customFormat="1" x14ac:dyDescent="0.25"/>
    <row r="27622" customFormat="1" x14ac:dyDescent="0.25"/>
    <row r="27623" customFormat="1" x14ac:dyDescent="0.25"/>
    <row r="27624" customFormat="1" x14ac:dyDescent="0.25"/>
    <row r="27625" customFormat="1" x14ac:dyDescent="0.25"/>
    <row r="27626" customFormat="1" x14ac:dyDescent="0.25"/>
    <row r="27627" customFormat="1" x14ac:dyDescent="0.25"/>
    <row r="27628" customFormat="1" x14ac:dyDescent="0.25"/>
    <row r="27629" customFormat="1" x14ac:dyDescent="0.25"/>
    <row r="27630" customFormat="1" x14ac:dyDescent="0.25"/>
    <row r="27631" customFormat="1" x14ac:dyDescent="0.25"/>
    <row r="27632" customFormat="1" x14ac:dyDescent="0.25"/>
    <row r="27633" customFormat="1" x14ac:dyDescent="0.25"/>
    <row r="27634" customFormat="1" x14ac:dyDescent="0.25"/>
    <row r="27635" customFormat="1" x14ac:dyDescent="0.25"/>
    <row r="27636" customFormat="1" x14ac:dyDescent="0.25"/>
    <row r="27637" customFormat="1" x14ac:dyDescent="0.25"/>
    <row r="27638" customFormat="1" x14ac:dyDescent="0.25"/>
    <row r="27639" customFormat="1" x14ac:dyDescent="0.25"/>
    <row r="27640" customFormat="1" x14ac:dyDescent="0.25"/>
    <row r="27641" customFormat="1" x14ac:dyDescent="0.25"/>
    <row r="27642" customFormat="1" x14ac:dyDescent="0.25"/>
    <row r="27643" customFormat="1" x14ac:dyDescent="0.25"/>
    <row r="27644" customFormat="1" x14ac:dyDescent="0.25"/>
    <row r="27645" customFormat="1" x14ac:dyDescent="0.25"/>
    <row r="27646" customFormat="1" x14ac:dyDescent="0.25"/>
    <row r="27647" customFormat="1" x14ac:dyDescent="0.25"/>
    <row r="27648" customFormat="1" x14ac:dyDescent="0.25"/>
    <row r="27649" customFormat="1" x14ac:dyDescent="0.25"/>
    <row r="27650" customFormat="1" x14ac:dyDescent="0.25"/>
    <row r="27651" customFormat="1" x14ac:dyDescent="0.25"/>
    <row r="27652" customFormat="1" x14ac:dyDescent="0.25"/>
    <row r="27653" customFormat="1" x14ac:dyDescent="0.25"/>
    <row r="27654" customFormat="1" x14ac:dyDescent="0.25"/>
    <row r="27655" customFormat="1" x14ac:dyDescent="0.25"/>
    <row r="27656" customFormat="1" x14ac:dyDescent="0.25"/>
    <row r="27657" customFormat="1" x14ac:dyDescent="0.25"/>
    <row r="27658" customFormat="1" x14ac:dyDescent="0.25"/>
    <row r="27659" customFormat="1" x14ac:dyDescent="0.25"/>
    <row r="27660" customFormat="1" x14ac:dyDescent="0.25"/>
    <row r="27661" customFormat="1" x14ac:dyDescent="0.25"/>
    <row r="27662" customFormat="1" x14ac:dyDescent="0.25"/>
    <row r="27663" customFormat="1" x14ac:dyDescent="0.25"/>
    <row r="27664" customFormat="1" x14ac:dyDescent="0.25"/>
    <row r="27665" customFormat="1" x14ac:dyDescent="0.25"/>
    <row r="27666" customFormat="1" x14ac:dyDescent="0.25"/>
    <row r="27667" customFormat="1" x14ac:dyDescent="0.25"/>
    <row r="27668" customFormat="1" x14ac:dyDescent="0.25"/>
    <row r="27669" customFormat="1" x14ac:dyDescent="0.25"/>
    <row r="27670" customFormat="1" x14ac:dyDescent="0.25"/>
    <row r="27671" customFormat="1" x14ac:dyDescent="0.25"/>
    <row r="27672" customFormat="1" x14ac:dyDescent="0.25"/>
    <row r="27673" customFormat="1" x14ac:dyDescent="0.25"/>
    <row r="27674" customFormat="1" x14ac:dyDescent="0.25"/>
    <row r="27675" customFormat="1" x14ac:dyDescent="0.25"/>
    <row r="27676" customFormat="1" x14ac:dyDescent="0.25"/>
    <row r="27677" customFormat="1" x14ac:dyDescent="0.25"/>
    <row r="27678" customFormat="1" x14ac:dyDescent="0.25"/>
    <row r="27679" customFormat="1" x14ac:dyDescent="0.25"/>
    <row r="27680" customFormat="1" x14ac:dyDescent="0.25"/>
    <row r="27681" customFormat="1" x14ac:dyDescent="0.25"/>
    <row r="27682" customFormat="1" x14ac:dyDescent="0.25"/>
    <row r="27683" customFormat="1" x14ac:dyDescent="0.25"/>
    <row r="27684" customFormat="1" x14ac:dyDescent="0.25"/>
    <row r="27685" customFormat="1" x14ac:dyDescent="0.25"/>
    <row r="27686" customFormat="1" x14ac:dyDescent="0.25"/>
    <row r="27687" customFormat="1" x14ac:dyDescent="0.25"/>
    <row r="27688" customFormat="1" x14ac:dyDescent="0.25"/>
    <row r="27689" customFormat="1" x14ac:dyDescent="0.25"/>
    <row r="27690" customFormat="1" x14ac:dyDescent="0.25"/>
    <row r="27691" customFormat="1" x14ac:dyDescent="0.25"/>
    <row r="27692" customFormat="1" x14ac:dyDescent="0.25"/>
    <row r="27693" customFormat="1" x14ac:dyDescent="0.25"/>
    <row r="27694" customFormat="1" x14ac:dyDescent="0.25"/>
    <row r="27695" customFormat="1" x14ac:dyDescent="0.25"/>
    <row r="27696" customFormat="1" x14ac:dyDescent="0.25"/>
    <row r="27697" customFormat="1" x14ac:dyDescent="0.25"/>
    <row r="27698" customFormat="1" x14ac:dyDescent="0.25"/>
    <row r="27699" customFormat="1" x14ac:dyDescent="0.25"/>
    <row r="27700" customFormat="1" x14ac:dyDescent="0.25"/>
    <row r="27701" customFormat="1" x14ac:dyDescent="0.25"/>
    <row r="27702" customFormat="1" x14ac:dyDescent="0.25"/>
    <row r="27703" customFormat="1" x14ac:dyDescent="0.25"/>
    <row r="27704" customFormat="1" x14ac:dyDescent="0.25"/>
    <row r="27705" customFormat="1" x14ac:dyDescent="0.25"/>
    <row r="27706" customFormat="1" x14ac:dyDescent="0.25"/>
    <row r="27707" customFormat="1" x14ac:dyDescent="0.25"/>
    <row r="27708" customFormat="1" x14ac:dyDescent="0.25"/>
    <row r="27709" customFormat="1" x14ac:dyDescent="0.25"/>
    <row r="27710" customFormat="1" x14ac:dyDescent="0.25"/>
    <row r="27711" customFormat="1" x14ac:dyDescent="0.25"/>
    <row r="27712" customFormat="1" x14ac:dyDescent="0.25"/>
    <row r="27713" customFormat="1" x14ac:dyDescent="0.25"/>
    <row r="27714" customFormat="1" x14ac:dyDescent="0.25"/>
    <row r="27715" customFormat="1" x14ac:dyDescent="0.25"/>
    <row r="27716" customFormat="1" x14ac:dyDescent="0.25"/>
    <row r="27717" customFormat="1" x14ac:dyDescent="0.25"/>
    <row r="27718" customFormat="1" x14ac:dyDescent="0.25"/>
    <row r="27719" customFormat="1" x14ac:dyDescent="0.25"/>
    <row r="27720" customFormat="1" x14ac:dyDescent="0.25"/>
    <row r="27721" customFormat="1" x14ac:dyDescent="0.25"/>
    <row r="27722" customFormat="1" x14ac:dyDescent="0.25"/>
    <row r="27723" customFormat="1" x14ac:dyDescent="0.25"/>
    <row r="27724" customFormat="1" x14ac:dyDescent="0.25"/>
    <row r="27725" customFormat="1" x14ac:dyDescent="0.25"/>
    <row r="27726" customFormat="1" x14ac:dyDescent="0.25"/>
    <row r="27727" customFormat="1" x14ac:dyDescent="0.25"/>
    <row r="27728" customFormat="1" x14ac:dyDescent="0.25"/>
    <row r="27729" customFormat="1" x14ac:dyDescent="0.25"/>
    <row r="27730" customFormat="1" x14ac:dyDescent="0.25"/>
    <row r="27731" customFormat="1" x14ac:dyDescent="0.25"/>
    <row r="27732" customFormat="1" x14ac:dyDescent="0.25"/>
    <row r="27733" customFormat="1" x14ac:dyDescent="0.25"/>
    <row r="27734" customFormat="1" x14ac:dyDescent="0.25"/>
    <row r="27735" customFormat="1" x14ac:dyDescent="0.25"/>
    <row r="27736" customFormat="1" x14ac:dyDescent="0.25"/>
    <row r="27737" customFormat="1" x14ac:dyDescent="0.25"/>
    <row r="27738" customFormat="1" x14ac:dyDescent="0.25"/>
    <row r="27739" customFormat="1" x14ac:dyDescent="0.25"/>
    <row r="27740" customFormat="1" x14ac:dyDescent="0.25"/>
    <row r="27741" customFormat="1" x14ac:dyDescent="0.25"/>
    <row r="27742" customFormat="1" x14ac:dyDescent="0.25"/>
    <row r="27743" customFormat="1" x14ac:dyDescent="0.25"/>
    <row r="27744" customFormat="1" x14ac:dyDescent="0.25"/>
    <row r="27745" customFormat="1" x14ac:dyDescent="0.25"/>
    <row r="27746" customFormat="1" x14ac:dyDescent="0.25"/>
    <row r="27747" customFormat="1" x14ac:dyDescent="0.25"/>
    <row r="27748" customFormat="1" x14ac:dyDescent="0.25"/>
    <row r="27749" customFormat="1" x14ac:dyDescent="0.25"/>
    <row r="27750" customFormat="1" x14ac:dyDescent="0.25"/>
    <row r="27751" customFormat="1" x14ac:dyDescent="0.25"/>
    <row r="27752" customFormat="1" x14ac:dyDescent="0.25"/>
    <row r="27753" customFormat="1" x14ac:dyDescent="0.25"/>
    <row r="27754" customFormat="1" x14ac:dyDescent="0.25"/>
    <row r="27755" customFormat="1" x14ac:dyDescent="0.25"/>
    <row r="27756" customFormat="1" x14ac:dyDescent="0.25"/>
    <row r="27757" customFormat="1" x14ac:dyDescent="0.25"/>
    <row r="27758" customFormat="1" x14ac:dyDescent="0.25"/>
    <row r="27759" customFormat="1" x14ac:dyDescent="0.25"/>
    <row r="27760" customFormat="1" x14ac:dyDescent="0.25"/>
    <row r="27761" customFormat="1" x14ac:dyDescent="0.25"/>
    <row r="27762" customFormat="1" x14ac:dyDescent="0.25"/>
    <row r="27763" customFormat="1" x14ac:dyDescent="0.25"/>
    <row r="27764" customFormat="1" x14ac:dyDescent="0.25"/>
    <row r="27765" customFormat="1" x14ac:dyDescent="0.25"/>
    <row r="27766" customFormat="1" x14ac:dyDescent="0.25"/>
    <row r="27767" customFormat="1" x14ac:dyDescent="0.25"/>
    <row r="27768" customFormat="1" x14ac:dyDescent="0.25"/>
    <row r="27769" customFormat="1" x14ac:dyDescent="0.25"/>
    <row r="27770" customFormat="1" x14ac:dyDescent="0.25"/>
    <row r="27771" customFormat="1" x14ac:dyDescent="0.25"/>
    <row r="27772" customFormat="1" x14ac:dyDescent="0.25"/>
    <row r="27773" customFormat="1" x14ac:dyDescent="0.25"/>
    <row r="27774" customFormat="1" x14ac:dyDescent="0.25"/>
    <row r="27775" customFormat="1" x14ac:dyDescent="0.25"/>
    <row r="27776" customFormat="1" x14ac:dyDescent="0.25"/>
    <row r="27777" customFormat="1" x14ac:dyDescent="0.25"/>
    <row r="27778" customFormat="1" x14ac:dyDescent="0.25"/>
    <row r="27779" customFormat="1" x14ac:dyDescent="0.25"/>
    <row r="27780" customFormat="1" x14ac:dyDescent="0.25"/>
    <row r="27781" customFormat="1" x14ac:dyDescent="0.25"/>
    <row r="27782" customFormat="1" x14ac:dyDescent="0.25"/>
    <row r="27783" customFormat="1" x14ac:dyDescent="0.25"/>
    <row r="27784" customFormat="1" x14ac:dyDescent="0.25"/>
    <row r="27785" customFormat="1" x14ac:dyDescent="0.25"/>
    <row r="27786" customFormat="1" x14ac:dyDescent="0.25"/>
    <row r="27787" customFormat="1" x14ac:dyDescent="0.25"/>
    <row r="27788" customFormat="1" x14ac:dyDescent="0.25"/>
    <row r="27789" customFormat="1" x14ac:dyDescent="0.25"/>
    <row r="27790" customFormat="1" x14ac:dyDescent="0.25"/>
    <row r="27791" customFormat="1" x14ac:dyDescent="0.25"/>
    <row r="27792" customFormat="1" x14ac:dyDescent="0.25"/>
    <row r="27793" customFormat="1" x14ac:dyDescent="0.25"/>
    <row r="27794" customFormat="1" x14ac:dyDescent="0.25"/>
    <row r="27795" customFormat="1" x14ac:dyDescent="0.25"/>
    <row r="27796" customFormat="1" x14ac:dyDescent="0.25"/>
    <row r="27797" customFormat="1" x14ac:dyDescent="0.25"/>
    <row r="27798" customFormat="1" x14ac:dyDescent="0.25"/>
    <row r="27799" customFormat="1" x14ac:dyDescent="0.25"/>
    <row r="27800" customFormat="1" x14ac:dyDescent="0.25"/>
    <row r="27801" customFormat="1" x14ac:dyDescent="0.25"/>
    <row r="27802" customFormat="1" x14ac:dyDescent="0.25"/>
    <row r="27803" customFormat="1" x14ac:dyDescent="0.25"/>
    <row r="27804" customFormat="1" x14ac:dyDescent="0.25"/>
    <row r="27805" customFormat="1" x14ac:dyDescent="0.25"/>
    <row r="27806" customFormat="1" x14ac:dyDescent="0.25"/>
    <row r="27807" customFormat="1" x14ac:dyDescent="0.25"/>
    <row r="27808" customFormat="1" x14ac:dyDescent="0.25"/>
    <row r="27809" customFormat="1" x14ac:dyDescent="0.25"/>
    <row r="27810" customFormat="1" x14ac:dyDescent="0.25"/>
    <row r="27811" customFormat="1" x14ac:dyDescent="0.25"/>
    <row r="27812" customFormat="1" x14ac:dyDescent="0.25"/>
    <row r="27813" customFormat="1" x14ac:dyDescent="0.25"/>
    <row r="27814" customFormat="1" x14ac:dyDescent="0.25"/>
    <row r="27815" customFormat="1" x14ac:dyDescent="0.25"/>
    <row r="27816" customFormat="1" x14ac:dyDescent="0.25"/>
    <row r="27817" customFormat="1" x14ac:dyDescent="0.25"/>
    <row r="27818" customFormat="1" x14ac:dyDescent="0.25"/>
    <row r="27819" customFormat="1" x14ac:dyDescent="0.25"/>
    <row r="27820" customFormat="1" x14ac:dyDescent="0.25"/>
    <row r="27821" customFormat="1" x14ac:dyDescent="0.25"/>
    <row r="27822" customFormat="1" x14ac:dyDescent="0.25"/>
    <row r="27823" customFormat="1" x14ac:dyDescent="0.25"/>
    <row r="27824" customFormat="1" x14ac:dyDescent="0.25"/>
    <row r="27825" customFormat="1" x14ac:dyDescent="0.25"/>
    <row r="27826" customFormat="1" x14ac:dyDescent="0.25"/>
    <row r="27827" customFormat="1" x14ac:dyDescent="0.25"/>
    <row r="27828" customFormat="1" x14ac:dyDescent="0.25"/>
    <row r="27829" customFormat="1" x14ac:dyDescent="0.25"/>
    <row r="27830" customFormat="1" x14ac:dyDescent="0.25"/>
    <row r="27831" customFormat="1" x14ac:dyDescent="0.25"/>
    <row r="27832" customFormat="1" x14ac:dyDescent="0.25"/>
    <row r="27833" customFormat="1" x14ac:dyDescent="0.25"/>
    <row r="27834" customFormat="1" x14ac:dyDescent="0.25"/>
    <row r="27835" customFormat="1" x14ac:dyDescent="0.25"/>
    <row r="27836" customFormat="1" x14ac:dyDescent="0.25"/>
    <row r="27837" customFormat="1" x14ac:dyDescent="0.25"/>
    <row r="27838" customFormat="1" x14ac:dyDescent="0.25"/>
    <row r="27839" customFormat="1" x14ac:dyDescent="0.25"/>
    <row r="27840" customFormat="1" x14ac:dyDescent="0.25"/>
    <row r="27841" customFormat="1" x14ac:dyDescent="0.25"/>
    <row r="27842" customFormat="1" x14ac:dyDescent="0.25"/>
    <row r="27843" customFormat="1" x14ac:dyDescent="0.25"/>
    <row r="27844" customFormat="1" x14ac:dyDescent="0.25"/>
    <row r="27845" customFormat="1" x14ac:dyDescent="0.25"/>
    <row r="27846" customFormat="1" x14ac:dyDescent="0.25"/>
    <row r="27847" customFormat="1" x14ac:dyDescent="0.25"/>
    <row r="27848" customFormat="1" x14ac:dyDescent="0.25"/>
    <row r="27849" customFormat="1" x14ac:dyDescent="0.25"/>
    <row r="27850" customFormat="1" x14ac:dyDescent="0.25"/>
    <row r="27851" customFormat="1" x14ac:dyDescent="0.25"/>
    <row r="27852" customFormat="1" x14ac:dyDescent="0.25"/>
    <row r="27853" customFormat="1" x14ac:dyDescent="0.25"/>
    <row r="27854" customFormat="1" x14ac:dyDescent="0.25"/>
    <row r="27855" customFormat="1" x14ac:dyDescent="0.25"/>
    <row r="27856" customFormat="1" x14ac:dyDescent="0.25"/>
    <row r="27857" customFormat="1" x14ac:dyDescent="0.25"/>
    <row r="27858" customFormat="1" x14ac:dyDescent="0.25"/>
    <row r="27859" customFormat="1" x14ac:dyDescent="0.25"/>
    <row r="27860" customFormat="1" x14ac:dyDescent="0.25"/>
    <row r="27861" customFormat="1" x14ac:dyDescent="0.25"/>
    <row r="27862" customFormat="1" x14ac:dyDescent="0.25"/>
    <row r="27863" customFormat="1" x14ac:dyDescent="0.25"/>
    <row r="27864" customFormat="1" x14ac:dyDescent="0.25"/>
    <row r="27865" customFormat="1" x14ac:dyDescent="0.25"/>
    <row r="27866" customFormat="1" x14ac:dyDescent="0.25"/>
    <row r="27867" customFormat="1" x14ac:dyDescent="0.25"/>
    <row r="27868" customFormat="1" x14ac:dyDescent="0.25"/>
    <row r="27869" customFormat="1" x14ac:dyDescent="0.25"/>
    <row r="27870" customFormat="1" x14ac:dyDescent="0.25"/>
    <row r="27871" customFormat="1" x14ac:dyDescent="0.25"/>
    <row r="27872" customFormat="1" x14ac:dyDescent="0.25"/>
    <row r="27873" customFormat="1" x14ac:dyDescent="0.25"/>
    <row r="27874" customFormat="1" x14ac:dyDescent="0.25"/>
    <row r="27875" customFormat="1" x14ac:dyDescent="0.25"/>
    <row r="27876" customFormat="1" x14ac:dyDescent="0.25"/>
    <row r="27877" customFormat="1" x14ac:dyDescent="0.25"/>
    <row r="27878" customFormat="1" x14ac:dyDescent="0.25"/>
    <row r="27879" customFormat="1" x14ac:dyDescent="0.25"/>
    <row r="27880" customFormat="1" x14ac:dyDescent="0.25"/>
    <row r="27881" customFormat="1" x14ac:dyDescent="0.25"/>
    <row r="27882" customFormat="1" x14ac:dyDescent="0.25"/>
    <row r="27883" customFormat="1" x14ac:dyDescent="0.25"/>
    <row r="27884" customFormat="1" x14ac:dyDescent="0.25"/>
    <row r="27885" customFormat="1" x14ac:dyDescent="0.25"/>
    <row r="27886" customFormat="1" x14ac:dyDescent="0.25"/>
    <row r="27887" customFormat="1" x14ac:dyDescent="0.25"/>
    <row r="27888" customFormat="1" x14ac:dyDescent="0.25"/>
    <row r="27889" customFormat="1" x14ac:dyDescent="0.25"/>
    <row r="27890" customFormat="1" x14ac:dyDescent="0.25"/>
    <row r="27891" customFormat="1" x14ac:dyDescent="0.25"/>
    <row r="27892" customFormat="1" x14ac:dyDescent="0.25"/>
    <row r="27893" customFormat="1" x14ac:dyDescent="0.25"/>
    <row r="27894" customFormat="1" x14ac:dyDescent="0.25"/>
    <row r="27895" customFormat="1" x14ac:dyDescent="0.25"/>
    <row r="27896" customFormat="1" x14ac:dyDescent="0.25"/>
    <row r="27897" customFormat="1" x14ac:dyDescent="0.25"/>
    <row r="27898" customFormat="1" x14ac:dyDescent="0.25"/>
    <row r="27899" customFormat="1" x14ac:dyDescent="0.25"/>
    <row r="27900" customFormat="1" x14ac:dyDescent="0.25"/>
    <row r="27901" customFormat="1" x14ac:dyDescent="0.25"/>
    <row r="27902" customFormat="1" x14ac:dyDescent="0.25"/>
    <row r="27903" customFormat="1" x14ac:dyDescent="0.25"/>
    <row r="27904" customFormat="1" x14ac:dyDescent="0.25"/>
    <row r="27905" customFormat="1" x14ac:dyDescent="0.25"/>
    <row r="27906" customFormat="1" x14ac:dyDescent="0.25"/>
    <row r="27907" customFormat="1" x14ac:dyDescent="0.25"/>
    <row r="27908" customFormat="1" x14ac:dyDescent="0.25"/>
    <row r="27909" customFormat="1" x14ac:dyDescent="0.25"/>
    <row r="27910" customFormat="1" x14ac:dyDescent="0.25"/>
    <row r="27911" customFormat="1" x14ac:dyDescent="0.25"/>
    <row r="27912" customFormat="1" x14ac:dyDescent="0.25"/>
    <row r="27913" customFormat="1" x14ac:dyDescent="0.25"/>
    <row r="27914" customFormat="1" x14ac:dyDescent="0.25"/>
    <row r="27915" customFormat="1" x14ac:dyDescent="0.25"/>
    <row r="27916" customFormat="1" x14ac:dyDescent="0.25"/>
    <row r="27917" customFormat="1" x14ac:dyDescent="0.25"/>
    <row r="27918" customFormat="1" x14ac:dyDescent="0.25"/>
    <row r="27919" customFormat="1" x14ac:dyDescent="0.25"/>
    <row r="27920" customFormat="1" x14ac:dyDescent="0.25"/>
    <row r="27921" customFormat="1" x14ac:dyDescent="0.25"/>
    <row r="27922" customFormat="1" x14ac:dyDescent="0.25"/>
    <row r="27923" customFormat="1" x14ac:dyDescent="0.25"/>
    <row r="27924" customFormat="1" x14ac:dyDescent="0.25"/>
    <row r="27925" customFormat="1" x14ac:dyDescent="0.25"/>
    <row r="27926" customFormat="1" x14ac:dyDescent="0.25"/>
    <row r="27927" customFormat="1" x14ac:dyDescent="0.25"/>
    <row r="27928" customFormat="1" x14ac:dyDescent="0.25"/>
    <row r="27929" customFormat="1" x14ac:dyDescent="0.25"/>
    <row r="27930" customFormat="1" x14ac:dyDescent="0.25"/>
    <row r="27931" customFormat="1" x14ac:dyDescent="0.25"/>
    <row r="27932" customFormat="1" x14ac:dyDescent="0.25"/>
    <row r="27933" customFormat="1" x14ac:dyDescent="0.25"/>
    <row r="27934" customFormat="1" x14ac:dyDescent="0.25"/>
    <row r="27935" customFormat="1" x14ac:dyDescent="0.25"/>
    <row r="27936" customFormat="1" x14ac:dyDescent="0.25"/>
    <row r="27937" customFormat="1" x14ac:dyDescent="0.25"/>
    <row r="27938" customFormat="1" x14ac:dyDescent="0.25"/>
    <row r="27939" customFormat="1" x14ac:dyDescent="0.25"/>
    <row r="27940" customFormat="1" x14ac:dyDescent="0.25"/>
    <row r="27941" customFormat="1" x14ac:dyDescent="0.25"/>
    <row r="27942" customFormat="1" x14ac:dyDescent="0.25"/>
    <row r="27943" customFormat="1" x14ac:dyDescent="0.25"/>
    <row r="27944" customFormat="1" x14ac:dyDescent="0.25"/>
    <row r="27945" customFormat="1" x14ac:dyDescent="0.25"/>
    <row r="27946" customFormat="1" x14ac:dyDescent="0.25"/>
    <row r="27947" customFormat="1" x14ac:dyDescent="0.25"/>
    <row r="27948" customFormat="1" x14ac:dyDescent="0.25"/>
    <row r="27949" customFormat="1" x14ac:dyDescent="0.25"/>
    <row r="27950" customFormat="1" x14ac:dyDescent="0.25"/>
    <row r="27951" customFormat="1" x14ac:dyDescent="0.25"/>
    <row r="27952" customFormat="1" x14ac:dyDescent="0.25"/>
    <row r="27953" customFormat="1" x14ac:dyDescent="0.25"/>
    <row r="27954" customFormat="1" x14ac:dyDescent="0.25"/>
    <row r="27955" customFormat="1" x14ac:dyDescent="0.25"/>
    <row r="27956" customFormat="1" x14ac:dyDescent="0.25"/>
    <row r="27957" customFormat="1" x14ac:dyDescent="0.25"/>
    <row r="27958" customFormat="1" x14ac:dyDescent="0.25"/>
    <row r="27959" customFormat="1" x14ac:dyDescent="0.25"/>
    <row r="27960" customFormat="1" x14ac:dyDescent="0.25"/>
    <row r="27961" customFormat="1" x14ac:dyDescent="0.25"/>
    <row r="27962" customFormat="1" x14ac:dyDescent="0.25"/>
    <row r="27963" customFormat="1" x14ac:dyDescent="0.25"/>
    <row r="27964" customFormat="1" x14ac:dyDescent="0.25"/>
    <row r="27965" customFormat="1" x14ac:dyDescent="0.25"/>
    <row r="27966" customFormat="1" x14ac:dyDescent="0.25"/>
    <row r="27967" customFormat="1" x14ac:dyDescent="0.25"/>
    <row r="27968" customFormat="1" x14ac:dyDescent="0.25"/>
    <row r="27969" customFormat="1" x14ac:dyDescent="0.25"/>
    <row r="27970" customFormat="1" x14ac:dyDescent="0.25"/>
    <row r="27971" customFormat="1" x14ac:dyDescent="0.25"/>
    <row r="27972" customFormat="1" x14ac:dyDescent="0.25"/>
    <row r="27973" customFormat="1" x14ac:dyDescent="0.25"/>
    <row r="27974" customFormat="1" x14ac:dyDescent="0.25"/>
    <row r="27975" customFormat="1" x14ac:dyDescent="0.25"/>
    <row r="27976" customFormat="1" x14ac:dyDescent="0.25"/>
    <row r="27977" customFormat="1" x14ac:dyDescent="0.25"/>
    <row r="27978" customFormat="1" x14ac:dyDescent="0.25"/>
    <row r="27979" customFormat="1" x14ac:dyDescent="0.25"/>
    <row r="27980" customFormat="1" x14ac:dyDescent="0.25"/>
    <row r="27981" customFormat="1" x14ac:dyDescent="0.25"/>
    <row r="27982" customFormat="1" x14ac:dyDescent="0.25"/>
    <row r="27983" customFormat="1" x14ac:dyDescent="0.25"/>
    <row r="27984" customFormat="1" x14ac:dyDescent="0.25"/>
    <row r="27985" customFormat="1" x14ac:dyDescent="0.25"/>
    <row r="27986" customFormat="1" x14ac:dyDescent="0.25"/>
    <row r="27987" customFormat="1" x14ac:dyDescent="0.25"/>
    <row r="27988" customFormat="1" x14ac:dyDescent="0.25"/>
    <row r="27989" customFormat="1" x14ac:dyDescent="0.25"/>
    <row r="27990" customFormat="1" x14ac:dyDescent="0.25"/>
    <row r="27991" customFormat="1" x14ac:dyDescent="0.25"/>
    <row r="27992" customFormat="1" x14ac:dyDescent="0.25"/>
    <row r="27993" customFormat="1" x14ac:dyDescent="0.25"/>
    <row r="27994" customFormat="1" x14ac:dyDescent="0.25"/>
    <row r="27995" customFormat="1" x14ac:dyDescent="0.25"/>
    <row r="27996" customFormat="1" x14ac:dyDescent="0.25"/>
    <row r="27997" customFormat="1" x14ac:dyDescent="0.25"/>
    <row r="27998" customFormat="1" x14ac:dyDescent="0.25"/>
    <row r="27999" customFormat="1" x14ac:dyDescent="0.25"/>
    <row r="28000" customFormat="1" x14ac:dyDescent="0.25"/>
    <row r="28001" customFormat="1" x14ac:dyDescent="0.25"/>
    <row r="28002" customFormat="1" x14ac:dyDescent="0.25"/>
    <row r="28003" customFormat="1" x14ac:dyDescent="0.25"/>
    <row r="28004" customFormat="1" x14ac:dyDescent="0.25"/>
    <row r="28005" customFormat="1" x14ac:dyDescent="0.25"/>
    <row r="28006" customFormat="1" x14ac:dyDescent="0.25"/>
    <row r="28007" customFormat="1" x14ac:dyDescent="0.25"/>
    <row r="28008" customFormat="1" x14ac:dyDescent="0.25"/>
    <row r="28009" customFormat="1" x14ac:dyDescent="0.25"/>
    <row r="28010" customFormat="1" x14ac:dyDescent="0.25"/>
    <row r="28011" customFormat="1" x14ac:dyDescent="0.25"/>
    <row r="28012" customFormat="1" x14ac:dyDescent="0.25"/>
    <row r="28013" customFormat="1" x14ac:dyDescent="0.25"/>
    <row r="28014" customFormat="1" x14ac:dyDescent="0.25"/>
    <row r="28015" customFormat="1" x14ac:dyDescent="0.25"/>
    <row r="28016" customFormat="1" x14ac:dyDescent="0.25"/>
    <row r="28017" customFormat="1" x14ac:dyDescent="0.25"/>
    <row r="28018" customFormat="1" x14ac:dyDescent="0.25"/>
    <row r="28019" customFormat="1" x14ac:dyDescent="0.25"/>
    <row r="28020" customFormat="1" x14ac:dyDescent="0.25"/>
    <row r="28021" customFormat="1" x14ac:dyDescent="0.25"/>
    <row r="28022" customFormat="1" x14ac:dyDescent="0.25"/>
    <row r="28023" customFormat="1" x14ac:dyDescent="0.25"/>
    <row r="28024" customFormat="1" x14ac:dyDescent="0.25"/>
    <row r="28025" customFormat="1" x14ac:dyDescent="0.25"/>
    <row r="28026" customFormat="1" x14ac:dyDescent="0.25"/>
    <row r="28027" customFormat="1" x14ac:dyDescent="0.25"/>
    <row r="28028" customFormat="1" x14ac:dyDescent="0.25"/>
    <row r="28029" customFormat="1" x14ac:dyDescent="0.25"/>
    <row r="28030" customFormat="1" x14ac:dyDescent="0.25"/>
    <row r="28031" customFormat="1" x14ac:dyDescent="0.25"/>
    <row r="28032" customFormat="1" x14ac:dyDescent="0.25"/>
    <row r="28033" customFormat="1" x14ac:dyDescent="0.25"/>
    <row r="28034" customFormat="1" x14ac:dyDescent="0.25"/>
    <row r="28035" customFormat="1" x14ac:dyDescent="0.25"/>
    <row r="28036" customFormat="1" x14ac:dyDescent="0.25"/>
    <row r="28037" customFormat="1" x14ac:dyDescent="0.25"/>
    <row r="28038" customFormat="1" x14ac:dyDescent="0.25"/>
    <row r="28039" customFormat="1" x14ac:dyDescent="0.25"/>
    <row r="28040" customFormat="1" x14ac:dyDescent="0.25"/>
    <row r="28041" customFormat="1" x14ac:dyDescent="0.25"/>
    <row r="28042" customFormat="1" x14ac:dyDescent="0.25"/>
    <row r="28043" customFormat="1" x14ac:dyDescent="0.25"/>
    <row r="28044" customFormat="1" x14ac:dyDescent="0.25"/>
    <row r="28045" customFormat="1" x14ac:dyDescent="0.25"/>
    <row r="28046" customFormat="1" x14ac:dyDescent="0.25"/>
    <row r="28047" customFormat="1" x14ac:dyDescent="0.25"/>
    <row r="28048" customFormat="1" x14ac:dyDescent="0.25"/>
    <row r="28049" customFormat="1" x14ac:dyDescent="0.25"/>
    <row r="28050" customFormat="1" x14ac:dyDescent="0.25"/>
    <row r="28051" customFormat="1" x14ac:dyDescent="0.25"/>
    <row r="28052" customFormat="1" x14ac:dyDescent="0.25"/>
    <row r="28053" customFormat="1" x14ac:dyDescent="0.25"/>
    <row r="28054" customFormat="1" x14ac:dyDescent="0.25"/>
    <row r="28055" customFormat="1" x14ac:dyDescent="0.25"/>
    <row r="28056" customFormat="1" x14ac:dyDescent="0.25"/>
    <row r="28057" customFormat="1" x14ac:dyDescent="0.25"/>
    <row r="28058" customFormat="1" x14ac:dyDescent="0.25"/>
    <row r="28059" customFormat="1" x14ac:dyDescent="0.25"/>
    <row r="28060" customFormat="1" x14ac:dyDescent="0.25"/>
    <row r="28061" customFormat="1" x14ac:dyDescent="0.25"/>
    <row r="28062" customFormat="1" x14ac:dyDescent="0.25"/>
    <row r="28063" customFormat="1" x14ac:dyDescent="0.25"/>
    <row r="28064" customFormat="1" x14ac:dyDescent="0.25"/>
    <row r="28065" customFormat="1" x14ac:dyDescent="0.25"/>
    <row r="28066" customFormat="1" x14ac:dyDescent="0.25"/>
    <row r="28067" customFormat="1" x14ac:dyDescent="0.25"/>
    <row r="28068" customFormat="1" x14ac:dyDescent="0.25"/>
    <row r="28069" customFormat="1" x14ac:dyDescent="0.25"/>
    <row r="28070" customFormat="1" x14ac:dyDescent="0.25"/>
    <row r="28071" customFormat="1" x14ac:dyDescent="0.25"/>
    <row r="28072" customFormat="1" x14ac:dyDescent="0.25"/>
    <row r="28073" customFormat="1" x14ac:dyDescent="0.25"/>
    <row r="28074" customFormat="1" x14ac:dyDescent="0.25"/>
    <row r="28075" customFormat="1" x14ac:dyDescent="0.25"/>
    <row r="28076" customFormat="1" x14ac:dyDescent="0.25"/>
    <row r="28077" customFormat="1" x14ac:dyDescent="0.25"/>
    <row r="28078" customFormat="1" x14ac:dyDescent="0.25"/>
    <row r="28079" customFormat="1" x14ac:dyDescent="0.25"/>
    <row r="28080" customFormat="1" x14ac:dyDescent="0.25"/>
    <row r="28081" customFormat="1" x14ac:dyDescent="0.25"/>
    <row r="28082" customFormat="1" x14ac:dyDescent="0.25"/>
    <row r="28083" customFormat="1" x14ac:dyDescent="0.25"/>
    <row r="28084" customFormat="1" x14ac:dyDescent="0.25"/>
    <row r="28085" customFormat="1" x14ac:dyDescent="0.25"/>
    <row r="28086" customFormat="1" x14ac:dyDescent="0.25"/>
    <row r="28087" customFormat="1" x14ac:dyDescent="0.25"/>
    <row r="28088" customFormat="1" x14ac:dyDescent="0.25"/>
    <row r="28089" customFormat="1" x14ac:dyDescent="0.25"/>
    <row r="28090" customFormat="1" x14ac:dyDescent="0.25"/>
    <row r="28091" customFormat="1" x14ac:dyDescent="0.25"/>
    <row r="28092" customFormat="1" x14ac:dyDescent="0.25"/>
    <row r="28093" customFormat="1" x14ac:dyDescent="0.25"/>
    <row r="28094" customFormat="1" x14ac:dyDescent="0.25"/>
    <row r="28095" customFormat="1" x14ac:dyDescent="0.25"/>
    <row r="28096" customFormat="1" x14ac:dyDescent="0.25"/>
    <row r="28097" customFormat="1" x14ac:dyDescent="0.25"/>
    <row r="28098" customFormat="1" x14ac:dyDescent="0.25"/>
    <row r="28099" customFormat="1" x14ac:dyDescent="0.25"/>
    <row r="28100" customFormat="1" x14ac:dyDescent="0.25"/>
    <row r="28101" customFormat="1" x14ac:dyDescent="0.25"/>
    <row r="28102" customFormat="1" x14ac:dyDescent="0.25"/>
    <row r="28103" customFormat="1" x14ac:dyDescent="0.25"/>
    <row r="28104" customFormat="1" x14ac:dyDescent="0.25"/>
    <row r="28105" customFormat="1" x14ac:dyDescent="0.25"/>
    <row r="28106" customFormat="1" x14ac:dyDescent="0.25"/>
    <row r="28107" customFormat="1" x14ac:dyDescent="0.25"/>
    <row r="28108" customFormat="1" x14ac:dyDescent="0.25"/>
    <row r="28109" customFormat="1" x14ac:dyDescent="0.25"/>
    <row r="28110" customFormat="1" x14ac:dyDescent="0.25"/>
    <row r="28111" customFormat="1" x14ac:dyDescent="0.25"/>
    <row r="28112" customFormat="1" x14ac:dyDescent="0.25"/>
    <row r="28113" customFormat="1" x14ac:dyDescent="0.25"/>
    <row r="28114" customFormat="1" x14ac:dyDescent="0.25"/>
    <row r="28115" customFormat="1" x14ac:dyDescent="0.25"/>
    <row r="28116" customFormat="1" x14ac:dyDescent="0.25"/>
    <row r="28117" customFormat="1" x14ac:dyDescent="0.25"/>
    <row r="28118" customFormat="1" x14ac:dyDescent="0.25"/>
    <row r="28119" customFormat="1" x14ac:dyDescent="0.25"/>
    <row r="28120" customFormat="1" x14ac:dyDescent="0.25"/>
    <row r="28121" customFormat="1" x14ac:dyDescent="0.25"/>
    <row r="28122" customFormat="1" x14ac:dyDescent="0.25"/>
    <row r="28123" customFormat="1" x14ac:dyDescent="0.25"/>
    <row r="28124" customFormat="1" x14ac:dyDescent="0.25"/>
    <row r="28125" customFormat="1" x14ac:dyDescent="0.25"/>
    <row r="28126" customFormat="1" x14ac:dyDescent="0.25"/>
    <row r="28127" customFormat="1" x14ac:dyDescent="0.25"/>
    <row r="28128" customFormat="1" x14ac:dyDescent="0.25"/>
    <row r="28129" customFormat="1" x14ac:dyDescent="0.25"/>
    <row r="28130" customFormat="1" x14ac:dyDescent="0.25"/>
    <row r="28131" customFormat="1" x14ac:dyDescent="0.25"/>
    <row r="28132" customFormat="1" x14ac:dyDescent="0.25"/>
    <row r="28133" customFormat="1" x14ac:dyDescent="0.25"/>
    <row r="28134" customFormat="1" x14ac:dyDescent="0.25"/>
    <row r="28135" customFormat="1" x14ac:dyDescent="0.25"/>
    <row r="28136" customFormat="1" x14ac:dyDescent="0.25"/>
    <row r="28137" customFormat="1" x14ac:dyDescent="0.25"/>
    <row r="28138" customFormat="1" x14ac:dyDescent="0.25"/>
    <row r="28139" customFormat="1" x14ac:dyDescent="0.25"/>
    <row r="28140" customFormat="1" x14ac:dyDescent="0.25"/>
    <row r="28141" customFormat="1" x14ac:dyDescent="0.25"/>
    <row r="28142" customFormat="1" x14ac:dyDescent="0.25"/>
    <row r="28143" customFormat="1" x14ac:dyDescent="0.25"/>
    <row r="28144" customFormat="1" x14ac:dyDescent="0.25"/>
    <row r="28145" customFormat="1" x14ac:dyDescent="0.25"/>
    <row r="28146" customFormat="1" x14ac:dyDescent="0.25"/>
    <row r="28147" customFormat="1" x14ac:dyDescent="0.25"/>
    <row r="28148" customFormat="1" x14ac:dyDescent="0.25"/>
    <row r="28149" customFormat="1" x14ac:dyDescent="0.25"/>
    <row r="28150" customFormat="1" x14ac:dyDescent="0.25"/>
    <row r="28151" customFormat="1" x14ac:dyDescent="0.25"/>
    <row r="28152" customFormat="1" x14ac:dyDescent="0.25"/>
    <row r="28153" customFormat="1" x14ac:dyDescent="0.25"/>
    <row r="28154" customFormat="1" x14ac:dyDescent="0.25"/>
    <row r="28155" customFormat="1" x14ac:dyDescent="0.25"/>
    <row r="28156" customFormat="1" x14ac:dyDescent="0.25"/>
    <row r="28157" customFormat="1" x14ac:dyDescent="0.25"/>
    <row r="28158" customFormat="1" x14ac:dyDescent="0.25"/>
    <row r="28159" customFormat="1" x14ac:dyDescent="0.25"/>
    <row r="28160" customFormat="1" x14ac:dyDescent="0.25"/>
    <row r="28161" customFormat="1" x14ac:dyDescent="0.25"/>
    <row r="28162" customFormat="1" x14ac:dyDescent="0.25"/>
    <row r="28163" customFormat="1" x14ac:dyDescent="0.25"/>
    <row r="28164" customFormat="1" x14ac:dyDescent="0.25"/>
    <row r="28165" customFormat="1" x14ac:dyDescent="0.25"/>
    <row r="28166" customFormat="1" x14ac:dyDescent="0.25"/>
    <row r="28167" customFormat="1" x14ac:dyDescent="0.25"/>
    <row r="28168" customFormat="1" x14ac:dyDescent="0.25"/>
    <row r="28169" customFormat="1" x14ac:dyDescent="0.25"/>
    <row r="28170" customFormat="1" x14ac:dyDescent="0.25"/>
    <row r="28171" customFormat="1" x14ac:dyDescent="0.25"/>
    <row r="28172" customFormat="1" x14ac:dyDescent="0.25"/>
    <row r="28173" customFormat="1" x14ac:dyDescent="0.25"/>
    <row r="28174" customFormat="1" x14ac:dyDescent="0.25"/>
    <row r="28175" customFormat="1" x14ac:dyDescent="0.25"/>
    <row r="28176" customFormat="1" x14ac:dyDescent="0.25"/>
    <row r="28177" customFormat="1" x14ac:dyDescent="0.25"/>
    <row r="28178" customFormat="1" x14ac:dyDescent="0.25"/>
    <row r="28179" customFormat="1" x14ac:dyDescent="0.25"/>
    <row r="28180" customFormat="1" x14ac:dyDescent="0.25"/>
    <row r="28181" customFormat="1" x14ac:dyDescent="0.25"/>
    <row r="28182" customFormat="1" x14ac:dyDescent="0.25"/>
    <row r="28183" customFormat="1" x14ac:dyDescent="0.25"/>
    <row r="28184" customFormat="1" x14ac:dyDescent="0.25"/>
    <row r="28185" customFormat="1" x14ac:dyDescent="0.25"/>
    <row r="28186" customFormat="1" x14ac:dyDescent="0.25"/>
    <row r="28187" customFormat="1" x14ac:dyDescent="0.25"/>
    <row r="28188" customFormat="1" x14ac:dyDescent="0.25"/>
    <row r="28189" customFormat="1" x14ac:dyDescent="0.25"/>
    <row r="28190" customFormat="1" x14ac:dyDescent="0.25"/>
    <row r="28191" customFormat="1" x14ac:dyDescent="0.25"/>
    <row r="28192" customFormat="1" x14ac:dyDescent="0.25"/>
    <row r="28193" customFormat="1" x14ac:dyDescent="0.25"/>
    <row r="28194" customFormat="1" x14ac:dyDescent="0.25"/>
    <row r="28195" customFormat="1" x14ac:dyDescent="0.25"/>
    <row r="28196" customFormat="1" x14ac:dyDescent="0.25"/>
    <row r="28197" customFormat="1" x14ac:dyDescent="0.25"/>
    <row r="28198" customFormat="1" x14ac:dyDescent="0.25"/>
    <row r="28199" customFormat="1" x14ac:dyDescent="0.25"/>
    <row r="28200" customFormat="1" x14ac:dyDescent="0.25"/>
    <row r="28201" customFormat="1" x14ac:dyDescent="0.25"/>
    <row r="28202" customFormat="1" x14ac:dyDescent="0.25"/>
    <row r="28203" customFormat="1" x14ac:dyDescent="0.25"/>
    <row r="28204" customFormat="1" x14ac:dyDescent="0.25"/>
    <row r="28205" customFormat="1" x14ac:dyDescent="0.25"/>
    <row r="28206" customFormat="1" x14ac:dyDescent="0.25"/>
    <row r="28207" customFormat="1" x14ac:dyDescent="0.25"/>
    <row r="28208" customFormat="1" x14ac:dyDescent="0.25"/>
    <row r="28209" customFormat="1" x14ac:dyDescent="0.25"/>
    <row r="28210" customFormat="1" x14ac:dyDescent="0.25"/>
    <row r="28211" customFormat="1" x14ac:dyDescent="0.25"/>
    <row r="28212" customFormat="1" x14ac:dyDescent="0.25"/>
    <row r="28213" customFormat="1" x14ac:dyDescent="0.25"/>
    <row r="28214" customFormat="1" x14ac:dyDescent="0.25"/>
    <row r="28215" customFormat="1" x14ac:dyDescent="0.25"/>
    <row r="28216" customFormat="1" x14ac:dyDescent="0.25"/>
    <row r="28217" customFormat="1" x14ac:dyDescent="0.25"/>
    <row r="28218" customFormat="1" x14ac:dyDescent="0.25"/>
    <row r="28219" customFormat="1" x14ac:dyDescent="0.25"/>
    <row r="28220" customFormat="1" x14ac:dyDescent="0.25"/>
    <row r="28221" customFormat="1" x14ac:dyDescent="0.25"/>
    <row r="28222" customFormat="1" x14ac:dyDescent="0.25"/>
    <row r="28223" customFormat="1" x14ac:dyDescent="0.25"/>
    <row r="28224" customFormat="1" x14ac:dyDescent="0.25"/>
    <row r="28225" customFormat="1" x14ac:dyDescent="0.25"/>
    <row r="28226" customFormat="1" x14ac:dyDescent="0.25"/>
    <row r="28227" customFormat="1" x14ac:dyDescent="0.25"/>
    <row r="28228" customFormat="1" x14ac:dyDescent="0.25"/>
    <row r="28229" customFormat="1" x14ac:dyDescent="0.25"/>
    <row r="28230" customFormat="1" x14ac:dyDescent="0.25"/>
    <row r="28231" customFormat="1" x14ac:dyDescent="0.25"/>
    <row r="28232" customFormat="1" x14ac:dyDescent="0.25"/>
    <row r="28233" customFormat="1" x14ac:dyDescent="0.25"/>
    <row r="28234" customFormat="1" x14ac:dyDescent="0.25"/>
    <row r="28235" customFormat="1" x14ac:dyDescent="0.25"/>
    <row r="28236" customFormat="1" x14ac:dyDescent="0.25"/>
    <row r="28237" customFormat="1" x14ac:dyDescent="0.25"/>
    <row r="28238" customFormat="1" x14ac:dyDescent="0.25"/>
    <row r="28239" customFormat="1" x14ac:dyDescent="0.25"/>
    <row r="28240" customFormat="1" x14ac:dyDescent="0.25"/>
    <row r="28241" customFormat="1" x14ac:dyDescent="0.25"/>
    <row r="28242" customFormat="1" x14ac:dyDescent="0.25"/>
    <row r="28243" customFormat="1" x14ac:dyDescent="0.25"/>
    <row r="28244" customFormat="1" x14ac:dyDescent="0.25"/>
    <row r="28245" customFormat="1" x14ac:dyDescent="0.25"/>
    <row r="28246" customFormat="1" x14ac:dyDescent="0.25"/>
    <row r="28247" customFormat="1" x14ac:dyDescent="0.25"/>
    <row r="28248" customFormat="1" x14ac:dyDescent="0.25"/>
    <row r="28249" customFormat="1" x14ac:dyDescent="0.25"/>
    <row r="28250" customFormat="1" x14ac:dyDescent="0.25"/>
    <row r="28251" customFormat="1" x14ac:dyDescent="0.25"/>
    <row r="28252" customFormat="1" x14ac:dyDescent="0.25"/>
    <row r="28253" customFormat="1" x14ac:dyDescent="0.25"/>
    <row r="28254" customFormat="1" x14ac:dyDescent="0.25"/>
    <row r="28255" customFormat="1" x14ac:dyDescent="0.25"/>
    <row r="28256" customFormat="1" x14ac:dyDescent="0.25"/>
    <row r="28257" customFormat="1" x14ac:dyDescent="0.25"/>
    <row r="28258" customFormat="1" x14ac:dyDescent="0.25"/>
    <row r="28259" customFormat="1" x14ac:dyDescent="0.25"/>
    <row r="28260" customFormat="1" x14ac:dyDescent="0.25"/>
    <row r="28261" customFormat="1" x14ac:dyDescent="0.25"/>
    <row r="28262" customFormat="1" x14ac:dyDescent="0.25"/>
    <row r="28263" customFormat="1" x14ac:dyDescent="0.25"/>
    <row r="28264" customFormat="1" x14ac:dyDescent="0.25"/>
    <row r="28265" customFormat="1" x14ac:dyDescent="0.25"/>
    <row r="28266" customFormat="1" x14ac:dyDescent="0.25"/>
    <row r="28267" customFormat="1" x14ac:dyDescent="0.25"/>
    <row r="28268" customFormat="1" x14ac:dyDescent="0.25"/>
    <row r="28269" customFormat="1" x14ac:dyDescent="0.25"/>
    <row r="28270" customFormat="1" x14ac:dyDescent="0.25"/>
    <row r="28271" customFormat="1" x14ac:dyDescent="0.25"/>
    <row r="28272" customFormat="1" x14ac:dyDescent="0.25"/>
    <row r="28273" customFormat="1" x14ac:dyDescent="0.25"/>
    <row r="28274" customFormat="1" x14ac:dyDescent="0.25"/>
    <row r="28275" customFormat="1" x14ac:dyDescent="0.25"/>
    <row r="28276" customFormat="1" x14ac:dyDescent="0.25"/>
    <row r="28277" customFormat="1" x14ac:dyDescent="0.25"/>
    <row r="28278" customFormat="1" x14ac:dyDescent="0.25"/>
    <row r="28279" customFormat="1" x14ac:dyDescent="0.25"/>
    <row r="28280" customFormat="1" x14ac:dyDescent="0.25"/>
    <row r="28281" customFormat="1" x14ac:dyDescent="0.25"/>
    <row r="28282" customFormat="1" x14ac:dyDescent="0.25"/>
    <row r="28283" customFormat="1" x14ac:dyDescent="0.25"/>
    <row r="28284" customFormat="1" x14ac:dyDescent="0.25"/>
    <row r="28285" customFormat="1" x14ac:dyDescent="0.25"/>
    <row r="28286" customFormat="1" x14ac:dyDescent="0.25"/>
    <row r="28287" customFormat="1" x14ac:dyDescent="0.25"/>
    <row r="28288" customFormat="1" x14ac:dyDescent="0.25"/>
    <row r="28289" customFormat="1" x14ac:dyDescent="0.25"/>
    <row r="28290" customFormat="1" x14ac:dyDescent="0.25"/>
    <row r="28291" customFormat="1" x14ac:dyDescent="0.25"/>
    <row r="28292" customFormat="1" x14ac:dyDescent="0.25"/>
    <row r="28293" customFormat="1" x14ac:dyDescent="0.25"/>
    <row r="28294" customFormat="1" x14ac:dyDescent="0.25"/>
    <row r="28295" customFormat="1" x14ac:dyDescent="0.25"/>
    <row r="28296" customFormat="1" x14ac:dyDescent="0.25"/>
    <row r="28297" customFormat="1" x14ac:dyDescent="0.25"/>
    <row r="28298" customFormat="1" x14ac:dyDescent="0.25"/>
    <row r="28299" customFormat="1" x14ac:dyDescent="0.25"/>
    <row r="28300" customFormat="1" x14ac:dyDescent="0.25"/>
    <row r="28301" customFormat="1" x14ac:dyDescent="0.25"/>
    <row r="28302" customFormat="1" x14ac:dyDescent="0.25"/>
    <row r="28303" customFormat="1" x14ac:dyDescent="0.25"/>
    <row r="28304" customFormat="1" x14ac:dyDescent="0.25"/>
    <row r="28305" customFormat="1" x14ac:dyDescent="0.25"/>
    <row r="28306" customFormat="1" x14ac:dyDescent="0.25"/>
    <row r="28307" customFormat="1" x14ac:dyDescent="0.25"/>
    <row r="28308" customFormat="1" x14ac:dyDescent="0.25"/>
    <row r="28309" customFormat="1" x14ac:dyDescent="0.25"/>
    <row r="28310" customFormat="1" x14ac:dyDescent="0.25"/>
    <row r="28311" customFormat="1" x14ac:dyDescent="0.25"/>
    <row r="28312" customFormat="1" x14ac:dyDescent="0.25"/>
    <row r="28313" customFormat="1" x14ac:dyDescent="0.25"/>
    <row r="28314" customFormat="1" x14ac:dyDescent="0.25"/>
    <row r="28315" customFormat="1" x14ac:dyDescent="0.25"/>
    <row r="28316" customFormat="1" x14ac:dyDescent="0.25"/>
    <row r="28317" customFormat="1" x14ac:dyDescent="0.25"/>
    <row r="28318" customFormat="1" x14ac:dyDescent="0.25"/>
    <row r="28319" customFormat="1" x14ac:dyDescent="0.25"/>
    <row r="28320" customFormat="1" x14ac:dyDescent="0.25"/>
    <row r="28321" customFormat="1" x14ac:dyDescent="0.25"/>
    <row r="28322" customFormat="1" x14ac:dyDescent="0.25"/>
    <row r="28323" customFormat="1" x14ac:dyDescent="0.25"/>
    <row r="28324" customFormat="1" x14ac:dyDescent="0.25"/>
    <row r="28325" customFormat="1" x14ac:dyDescent="0.25"/>
    <row r="28326" customFormat="1" x14ac:dyDescent="0.25"/>
    <row r="28327" customFormat="1" x14ac:dyDescent="0.25"/>
    <row r="28328" customFormat="1" x14ac:dyDescent="0.25"/>
    <row r="28329" customFormat="1" x14ac:dyDescent="0.25"/>
    <row r="28330" customFormat="1" x14ac:dyDescent="0.25"/>
    <row r="28331" customFormat="1" x14ac:dyDescent="0.25"/>
    <row r="28332" customFormat="1" x14ac:dyDescent="0.25"/>
    <row r="28333" customFormat="1" x14ac:dyDescent="0.25"/>
    <row r="28334" customFormat="1" x14ac:dyDescent="0.25"/>
    <row r="28335" customFormat="1" x14ac:dyDescent="0.25"/>
    <row r="28336" customFormat="1" x14ac:dyDescent="0.25"/>
    <row r="28337" customFormat="1" x14ac:dyDescent="0.25"/>
    <row r="28338" customFormat="1" x14ac:dyDescent="0.25"/>
    <row r="28339" customFormat="1" x14ac:dyDescent="0.25"/>
    <row r="28340" customFormat="1" x14ac:dyDescent="0.25"/>
    <row r="28341" customFormat="1" x14ac:dyDescent="0.25"/>
    <row r="28342" customFormat="1" x14ac:dyDescent="0.25"/>
    <row r="28343" customFormat="1" x14ac:dyDescent="0.25"/>
    <row r="28344" customFormat="1" x14ac:dyDescent="0.25"/>
    <row r="28345" customFormat="1" x14ac:dyDescent="0.25"/>
    <row r="28346" customFormat="1" x14ac:dyDescent="0.25"/>
    <row r="28347" customFormat="1" x14ac:dyDescent="0.25"/>
    <row r="28348" customFormat="1" x14ac:dyDescent="0.25"/>
    <row r="28349" customFormat="1" x14ac:dyDescent="0.25"/>
    <row r="28350" customFormat="1" x14ac:dyDescent="0.25"/>
    <row r="28351" customFormat="1" x14ac:dyDescent="0.25"/>
    <row r="28352" customFormat="1" x14ac:dyDescent="0.25"/>
    <row r="28353" customFormat="1" x14ac:dyDescent="0.25"/>
    <row r="28354" customFormat="1" x14ac:dyDescent="0.25"/>
    <row r="28355" customFormat="1" x14ac:dyDescent="0.25"/>
    <row r="28356" customFormat="1" x14ac:dyDescent="0.25"/>
    <row r="28357" customFormat="1" x14ac:dyDescent="0.25"/>
    <row r="28358" customFormat="1" x14ac:dyDescent="0.25"/>
    <row r="28359" customFormat="1" x14ac:dyDescent="0.25"/>
    <row r="28360" customFormat="1" x14ac:dyDescent="0.25"/>
    <row r="28361" customFormat="1" x14ac:dyDescent="0.25"/>
    <row r="28362" customFormat="1" x14ac:dyDescent="0.25"/>
    <row r="28363" customFormat="1" x14ac:dyDescent="0.25"/>
    <row r="28364" customFormat="1" x14ac:dyDescent="0.25"/>
    <row r="28365" customFormat="1" x14ac:dyDescent="0.25"/>
    <row r="28366" customFormat="1" x14ac:dyDescent="0.25"/>
    <row r="28367" customFormat="1" x14ac:dyDescent="0.25"/>
    <row r="28368" customFormat="1" x14ac:dyDescent="0.25"/>
    <row r="28369" customFormat="1" x14ac:dyDescent="0.25"/>
    <row r="28370" customFormat="1" x14ac:dyDescent="0.25"/>
    <row r="28371" customFormat="1" x14ac:dyDescent="0.25"/>
    <row r="28372" customFormat="1" x14ac:dyDescent="0.25"/>
    <row r="28373" customFormat="1" x14ac:dyDescent="0.25"/>
    <row r="28374" customFormat="1" x14ac:dyDescent="0.25"/>
    <row r="28375" customFormat="1" x14ac:dyDescent="0.25"/>
    <row r="28376" customFormat="1" x14ac:dyDescent="0.25"/>
    <row r="28377" customFormat="1" x14ac:dyDescent="0.25"/>
    <row r="28378" customFormat="1" x14ac:dyDescent="0.25"/>
    <row r="28379" customFormat="1" x14ac:dyDescent="0.25"/>
    <row r="28380" customFormat="1" x14ac:dyDescent="0.25"/>
    <row r="28381" customFormat="1" x14ac:dyDescent="0.25"/>
    <row r="28382" customFormat="1" x14ac:dyDescent="0.25"/>
    <row r="28383" customFormat="1" x14ac:dyDescent="0.25"/>
    <row r="28384" customFormat="1" x14ac:dyDescent="0.25"/>
    <row r="28385" customFormat="1" x14ac:dyDescent="0.25"/>
    <row r="28386" customFormat="1" x14ac:dyDescent="0.25"/>
    <row r="28387" customFormat="1" x14ac:dyDescent="0.25"/>
    <row r="28388" customFormat="1" x14ac:dyDescent="0.25"/>
    <row r="28389" customFormat="1" x14ac:dyDescent="0.25"/>
    <row r="28390" customFormat="1" x14ac:dyDescent="0.25"/>
    <row r="28391" customFormat="1" x14ac:dyDescent="0.25"/>
    <row r="28392" customFormat="1" x14ac:dyDescent="0.25"/>
    <row r="28393" customFormat="1" x14ac:dyDescent="0.25"/>
    <row r="28394" customFormat="1" x14ac:dyDescent="0.25"/>
    <row r="28395" customFormat="1" x14ac:dyDescent="0.25"/>
    <row r="28396" customFormat="1" x14ac:dyDescent="0.25"/>
    <row r="28397" customFormat="1" x14ac:dyDescent="0.25"/>
    <row r="28398" customFormat="1" x14ac:dyDescent="0.25"/>
    <row r="28399" customFormat="1" x14ac:dyDescent="0.25"/>
    <row r="28400" customFormat="1" x14ac:dyDescent="0.25"/>
    <row r="28401" customFormat="1" x14ac:dyDescent="0.25"/>
    <row r="28402" customFormat="1" x14ac:dyDescent="0.25"/>
    <row r="28403" customFormat="1" x14ac:dyDescent="0.25"/>
    <row r="28404" customFormat="1" x14ac:dyDescent="0.25"/>
    <row r="28405" customFormat="1" x14ac:dyDescent="0.25"/>
    <row r="28406" customFormat="1" x14ac:dyDescent="0.25"/>
    <row r="28407" customFormat="1" x14ac:dyDescent="0.25"/>
    <row r="28408" customFormat="1" x14ac:dyDescent="0.25"/>
    <row r="28409" customFormat="1" x14ac:dyDescent="0.25"/>
    <row r="28410" customFormat="1" x14ac:dyDescent="0.25"/>
    <row r="28411" customFormat="1" x14ac:dyDescent="0.25"/>
    <row r="28412" customFormat="1" x14ac:dyDescent="0.25"/>
    <row r="28413" customFormat="1" x14ac:dyDescent="0.25"/>
    <row r="28414" customFormat="1" x14ac:dyDescent="0.25"/>
    <row r="28415" customFormat="1" x14ac:dyDescent="0.25"/>
    <row r="28416" customFormat="1" x14ac:dyDescent="0.25"/>
    <row r="28417" customFormat="1" x14ac:dyDescent="0.25"/>
    <row r="28418" customFormat="1" x14ac:dyDescent="0.25"/>
    <row r="28419" customFormat="1" x14ac:dyDescent="0.25"/>
    <row r="28420" customFormat="1" x14ac:dyDescent="0.25"/>
    <row r="28421" customFormat="1" x14ac:dyDescent="0.25"/>
    <row r="28422" customFormat="1" x14ac:dyDescent="0.25"/>
    <row r="28423" customFormat="1" x14ac:dyDescent="0.25"/>
    <row r="28424" customFormat="1" x14ac:dyDescent="0.25"/>
    <row r="28425" customFormat="1" x14ac:dyDescent="0.25"/>
    <row r="28426" customFormat="1" x14ac:dyDescent="0.25"/>
    <row r="28427" customFormat="1" x14ac:dyDescent="0.25"/>
    <row r="28428" customFormat="1" x14ac:dyDescent="0.25"/>
    <row r="28429" customFormat="1" x14ac:dyDescent="0.25"/>
    <row r="28430" customFormat="1" x14ac:dyDescent="0.25"/>
    <row r="28431" customFormat="1" x14ac:dyDescent="0.25"/>
    <row r="28432" customFormat="1" x14ac:dyDescent="0.25"/>
    <row r="28433" customFormat="1" x14ac:dyDescent="0.25"/>
    <row r="28434" customFormat="1" x14ac:dyDescent="0.25"/>
    <row r="28435" customFormat="1" x14ac:dyDescent="0.25"/>
    <row r="28436" customFormat="1" x14ac:dyDescent="0.25"/>
    <row r="28437" customFormat="1" x14ac:dyDescent="0.25"/>
    <row r="28438" customFormat="1" x14ac:dyDescent="0.25"/>
    <row r="28439" customFormat="1" x14ac:dyDescent="0.25"/>
    <row r="28440" customFormat="1" x14ac:dyDescent="0.25"/>
    <row r="28441" customFormat="1" x14ac:dyDescent="0.25"/>
    <row r="28442" customFormat="1" x14ac:dyDescent="0.25"/>
    <row r="28443" customFormat="1" x14ac:dyDescent="0.25"/>
    <row r="28444" customFormat="1" x14ac:dyDescent="0.25"/>
    <row r="28445" customFormat="1" x14ac:dyDescent="0.25"/>
    <row r="28446" customFormat="1" x14ac:dyDescent="0.25"/>
    <row r="28447" customFormat="1" x14ac:dyDescent="0.25"/>
    <row r="28448" customFormat="1" x14ac:dyDescent="0.25"/>
    <row r="28449" customFormat="1" x14ac:dyDescent="0.25"/>
    <row r="28450" customFormat="1" x14ac:dyDescent="0.25"/>
    <row r="28451" customFormat="1" x14ac:dyDescent="0.25"/>
    <row r="28452" customFormat="1" x14ac:dyDescent="0.25"/>
    <row r="28453" customFormat="1" x14ac:dyDescent="0.25"/>
    <row r="28454" customFormat="1" x14ac:dyDescent="0.25"/>
    <row r="28455" customFormat="1" x14ac:dyDescent="0.25"/>
    <row r="28456" customFormat="1" x14ac:dyDescent="0.25"/>
    <row r="28457" customFormat="1" x14ac:dyDescent="0.25"/>
    <row r="28458" customFormat="1" x14ac:dyDescent="0.25"/>
    <row r="28459" customFormat="1" x14ac:dyDescent="0.25"/>
    <row r="28460" customFormat="1" x14ac:dyDescent="0.25"/>
    <row r="28461" customFormat="1" x14ac:dyDescent="0.25"/>
    <row r="28462" customFormat="1" x14ac:dyDescent="0.25"/>
    <row r="28463" customFormat="1" x14ac:dyDescent="0.25"/>
    <row r="28464" customFormat="1" x14ac:dyDescent="0.25"/>
    <row r="28465" customFormat="1" x14ac:dyDescent="0.25"/>
    <row r="28466" customFormat="1" x14ac:dyDescent="0.25"/>
    <row r="28467" customFormat="1" x14ac:dyDescent="0.25"/>
    <row r="28468" customFormat="1" x14ac:dyDescent="0.25"/>
    <row r="28469" customFormat="1" x14ac:dyDescent="0.25"/>
    <row r="28470" customFormat="1" x14ac:dyDescent="0.25"/>
    <row r="28471" customFormat="1" x14ac:dyDescent="0.25"/>
    <row r="28472" customFormat="1" x14ac:dyDescent="0.25"/>
    <row r="28473" customFormat="1" x14ac:dyDescent="0.25"/>
    <row r="28474" customFormat="1" x14ac:dyDescent="0.25"/>
    <row r="28475" customFormat="1" x14ac:dyDescent="0.25"/>
    <row r="28476" customFormat="1" x14ac:dyDescent="0.25"/>
    <row r="28477" customFormat="1" x14ac:dyDescent="0.25"/>
    <row r="28478" customFormat="1" x14ac:dyDescent="0.25"/>
    <row r="28479" customFormat="1" x14ac:dyDescent="0.25"/>
    <row r="28480" customFormat="1" x14ac:dyDescent="0.25"/>
    <row r="28481" customFormat="1" x14ac:dyDescent="0.25"/>
    <row r="28482" customFormat="1" x14ac:dyDescent="0.25"/>
    <row r="28483" customFormat="1" x14ac:dyDescent="0.25"/>
    <row r="28484" customFormat="1" x14ac:dyDescent="0.25"/>
    <row r="28485" customFormat="1" x14ac:dyDescent="0.25"/>
    <row r="28486" customFormat="1" x14ac:dyDescent="0.25"/>
    <row r="28487" customFormat="1" x14ac:dyDescent="0.25"/>
    <row r="28488" customFormat="1" x14ac:dyDescent="0.25"/>
    <row r="28489" customFormat="1" x14ac:dyDescent="0.25"/>
    <row r="28490" customFormat="1" x14ac:dyDescent="0.25"/>
    <row r="28491" customFormat="1" x14ac:dyDescent="0.25"/>
    <row r="28492" customFormat="1" x14ac:dyDescent="0.25"/>
    <row r="28493" customFormat="1" x14ac:dyDescent="0.25"/>
    <row r="28494" customFormat="1" x14ac:dyDescent="0.25"/>
    <row r="28495" customFormat="1" x14ac:dyDescent="0.25"/>
    <row r="28496" customFormat="1" x14ac:dyDescent="0.25"/>
    <row r="28497" customFormat="1" x14ac:dyDescent="0.25"/>
    <row r="28498" customFormat="1" x14ac:dyDescent="0.25"/>
    <row r="28499" customFormat="1" x14ac:dyDescent="0.25"/>
    <row r="28500" customFormat="1" x14ac:dyDescent="0.25"/>
    <row r="28501" customFormat="1" x14ac:dyDescent="0.25"/>
    <row r="28502" customFormat="1" x14ac:dyDescent="0.25"/>
    <row r="28503" customFormat="1" x14ac:dyDescent="0.25"/>
    <row r="28504" customFormat="1" x14ac:dyDescent="0.25"/>
    <row r="28505" customFormat="1" x14ac:dyDescent="0.25"/>
    <row r="28506" customFormat="1" x14ac:dyDescent="0.25"/>
    <row r="28507" customFormat="1" x14ac:dyDescent="0.25"/>
    <row r="28508" customFormat="1" x14ac:dyDescent="0.25"/>
    <row r="28509" customFormat="1" x14ac:dyDescent="0.25"/>
    <row r="28510" customFormat="1" x14ac:dyDescent="0.25"/>
    <row r="28511" customFormat="1" x14ac:dyDescent="0.25"/>
    <row r="28512" customFormat="1" x14ac:dyDescent="0.25"/>
    <row r="28513" customFormat="1" x14ac:dyDescent="0.25"/>
    <row r="28514" customFormat="1" x14ac:dyDescent="0.25"/>
    <row r="28515" customFormat="1" x14ac:dyDescent="0.25"/>
    <row r="28516" customFormat="1" x14ac:dyDescent="0.25"/>
    <row r="28517" customFormat="1" x14ac:dyDescent="0.25"/>
    <row r="28518" customFormat="1" x14ac:dyDescent="0.25"/>
    <row r="28519" customFormat="1" x14ac:dyDescent="0.25"/>
    <row r="28520" customFormat="1" x14ac:dyDescent="0.25"/>
    <row r="28521" customFormat="1" x14ac:dyDescent="0.25"/>
    <row r="28522" customFormat="1" x14ac:dyDescent="0.25"/>
    <row r="28523" customFormat="1" x14ac:dyDescent="0.25"/>
    <row r="28524" customFormat="1" x14ac:dyDescent="0.25"/>
    <row r="28525" customFormat="1" x14ac:dyDescent="0.25"/>
    <row r="28526" customFormat="1" x14ac:dyDescent="0.25"/>
    <row r="28527" customFormat="1" x14ac:dyDescent="0.25"/>
    <row r="28528" customFormat="1" x14ac:dyDescent="0.25"/>
    <row r="28529" customFormat="1" x14ac:dyDescent="0.25"/>
    <row r="28530" customFormat="1" x14ac:dyDescent="0.25"/>
    <row r="28531" customFormat="1" x14ac:dyDescent="0.25"/>
    <row r="28532" customFormat="1" x14ac:dyDescent="0.25"/>
    <row r="28533" customFormat="1" x14ac:dyDescent="0.25"/>
    <row r="28534" customFormat="1" x14ac:dyDescent="0.25"/>
    <row r="28535" customFormat="1" x14ac:dyDescent="0.25"/>
    <row r="28536" customFormat="1" x14ac:dyDescent="0.25"/>
    <row r="28537" customFormat="1" x14ac:dyDescent="0.25"/>
    <row r="28538" customFormat="1" x14ac:dyDescent="0.25"/>
    <row r="28539" customFormat="1" x14ac:dyDescent="0.25"/>
    <row r="28540" customFormat="1" x14ac:dyDescent="0.25"/>
    <row r="28541" customFormat="1" x14ac:dyDescent="0.25"/>
    <row r="28542" customFormat="1" x14ac:dyDescent="0.25"/>
    <row r="28543" customFormat="1" x14ac:dyDescent="0.25"/>
    <row r="28544" customFormat="1" x14ac:dyDescent="0.25"/>
    <row r="28545" customFormat="1" x14ac:dyDescent="0.25"/>
    <row r="28546" customFormat="1" x14ac:dyDescent="0.25"/>
    <row r="28547" customFormat="1" x14ac:dyDescent="0.25"/>
    <row r="28548" customFormat="1" x14ac:dyDescent="0.25"/>
    <row r="28549" customFormat="1" x14ac:dyDescent="0.25"/>
    <row r="28550" customFormat="1" x14ac:dyDescent="0.25"/>
    <row r="28551" customFormat="1" x14ac:dyDescent="0.25"/>
    <row r="28552" customFormat="1" x14ac:dyDescent="0.25"/>
    <row r="28553" customFormat="1" x14ac:dyDescent="0.25"/>
    <row r="28554" customFormat="1" x14ac:dyDescent="0.25"/>
    <row r="28555" customFormat="1" x14ac:dyDescent="0.25"/>
    <row r="28556" customFormat="1" x14ac:dyDescent="0.25"/>
    <row r="28557" customFormat="1" x14ac:dyDescent="0.25"/>
    <row r="28558" customFormat="1" x14ac:dyDescent="0.25"/>
    <row r="28559" customFormat="1" x14ac:dyDescent="0.25"/>
    <row r="28560" customFormat="1" x14ac:dyDescent="0.25"/>
    <row r="28561" customFormat="1" x14ac:dyDescent="0.25"/>
    <row r="28562" customFormat="1" x14ac:dyDescent="0.25"/>
    <row r="28563" customFormat="1" x14ac:dyDescent="0.25"/>
    <row r="28564" customFormat="1" x14ac:dyDescent="0.25"/>
    <row r="28565" customFormat="1" x14ac:dyDescent="0.25"/>
    <row r="28566" customFormat="1" x14ac:dyDescent="0.25"/>
    <row r="28567" customFormat="1" x14ac:dyDescent="0.25"/>
    <row r="28568" customFormat="1" x14ac:dyDescent="0.25"/>
    <row r="28569" customFormat="1" x14ac:dyDescent="0.25"/>
    <row r="28570" customFormat="1" x14ac:dyDescent="0.25"/>
    <row r="28571" customFormat="1" x14ac:dyDescent="0.25"/>
    <row r="28572" customFormat="1" x14ac:dyDescent="0.25"/>
    <row r="28573" customFormat="1" x14ac:dyDescent="0.25"/>
    <row r="28574" customFormat="1" x14ac:dyDescent="0.25"/>
    <row r="28575" customFormat="1" x14ac:dyDescent="0.25"/>
    <row r="28576" customFormat="1" x14ac:dyDescent="0.25"/>
    <row r="28577" customFormat="1" x14ac:dyDescent="0.25"/>
    <row r="28578" customFormat="1" x14ac:dyDescent="0.25"/>
    <row r="28579" customFormat="1" x14ac:dyDescent="0.25"/>
    <row r="28580" customFormat="1" x14ac:dyDescent="0.25"/>
    <row r="28581" customFormat="1" x14ac:dyDescent="0.25"/>
    <row r="28582" customFormat="1" x14ac:dyDescent="0.25"/>
    <row r="28583" customFormat="1" x14ac:dyDescent="0.25"/>
    <row r="28584" customFormat="1" x14ac:dyDescent="0.25"/>
    <row r="28585" customFormat="1" x14ac:dyDescent="0.25"/>
    <row r="28586" customFormat="1" x14ac:dyDescent="0.25"/>
    <row r="28587" customFormat="1" x14ac:dyDescent="0.25"/>
    <row r="28588" customFormat="1" x14ac:dyDescent="0.25"/>
    <row r="28589" customFormat="1" x14ac:dyDescent="0.25"/>
    <row r="28590" customFormat="1" x14ac:dyDescent="0.25"/>
    <row r="28591" customFormat="1" x14ac:dyDescent="0.25"/>
    <row r="28592" customFormat="1" x14ac:dyDescent="0.25"/>
    <row r="28593" customFormat="1" x14ac:dyDescent="0.25"/>
    <row r="28594" customFormat="1" x14ac:dyDescent="0.25"/>
    <row r="28595" customFormat="1" x14ac:dyDescent="0.25"/>
    <row r="28596" customFormat="1" x14ac:dyDescent="0.25"/>
    <row r="28597" customFormat="1" x14ac:dyDescent="0.25"/>
    <row r="28598" customFormat="1" x14ac:dyDescent="0.25"/>
    <row r="28599" customFormat="1" x14ac:dyDescent="0.25"/>
    <row r="28600" customFormat="1" x14ac:dyDescent="0.25"/>
    <row r="28601" customFormat="1" x14ac:dyDescent="0.25"/>
    <row r="28602" customFormat="1" x14ac:dyDescent="0.25"/>
    <row r="28603" customFormat="1" x14ac:dyDescent="0.25"/>
    <row r="28604" customFormat="1" x14ac:dyDescent="0.25"/>
    <row r="28605" customFormat="1" x14ac:dyDescent="0.25"/>
    <row r="28606" customFormat="1" x14ac:dyDescent="0.25"/>
    <row r="28607" customFormat="1" x14ac:dyDescent="0.25"/>
    <row r="28608" customFormat="1" x14ac:dyDescent="0.25"/>
    <row r="28609" customFormat="1" x14ac:dyDescent="0.25"/>
    <row r="28610" customFormat="1" x14ac:dyDescent="0.25"/>
    <row r="28611" customFormat="1" x14ac:dyDescent="0.25"/>
    <row r="28612" customFormat="1" x14ac:dyDescent="0.25"/>
    <row r="28613" customFormat="1" x14ac:dyDescent="0.25"/>
    <row r="28614" customFormat="1" x14ac:dyDescent="0.25"/>
    <row r="28615" customFormat="1" x14ac:dyDescent="0.25"/>
    <row r="28616" customFormat="1" x14ac:dyDescent="0.25"/>
    <row r="28617" customFormat="1" x14ac:dyDescent="0.25"/>
    <row r="28618" customFormat="1" x14ac:dyDescent="0.25"/>
    <row r="28619" customFormat="1" x14ac:dyDescent="0.25"/>
    <row r="28620" customFormat="1" x14ac:dyDescent="0.25"/>
    <row r="28621" customFormat="1" x14ac:dyDescent="0.25"/>
    <row r="28622" customFormat="1" x14ac:dyDescent="0.25"/>
    <row r="28623" customFormat="1" x14ac:dyDescent="0.25"/>
    <row r="28624" customFormat="1" x14ac:dyDescent="0.25"/>
    <row r="28625" customFormat="1" x14ac:dyDescent="0.25"/>
    <row r="28626" customFormat="1" x14ac:dyDescent="0.25"/>
    <row r="28627" customFormat="1" x14ac:dyDescent="0.25"/>
    <row r="28628" customFormat="1" x14ac:dyDescent="0.25"/>
    <row r="28629" customFormat="1" x14ac:dyDescent="0.25"/>
    <row r="28630" customFormat="1" x14ac:dyDescent="0.25"/>
    <row r="28631" customFormat="1" x14ac:dyDescent="0.25"/>
    <row r="28632" customFormat="1" x14ac:dyDescent="0.25"/>
    <row r="28633" customFormat="1" x14ac:dyDescent="0.25"/>
    <row r="28634" customFormat="1" x14ac:dyDescent="0.25"/>
    <row r="28635" customFormat="1" x14ac:dyDescent="0.25"/>
    <row r="28636" customFormat="1" x14ac:dyDescent="0.25"/>
    <row r="28637" customFormat="1" x14ac:dyDescent="0.25"/>
    <row r="28638" customFormat="1" x14ac:dyDescent="0.25"/>
    <row r="28639" customFormat="1" x14ac:dyDescent="0.25"/>
    <row r="28640" customFormat="1" x14ac:dyDescent="0.25"/>
    <row r="28641" customFormat="1" x14ac:dyDescent="0.25"/>
    <row r="28642" customFormat="1" x14ac:dyDescent="0.25"/>
    <row r="28643" customFormat="1" x14ac:dyDescent="0.25"/>
    <row r="28644" customFormat="1" x14ac:dyDescent="0.25"/>
    <row r="28645" customFormat="1" x14ac:dyDescent="0.25"/>
    <row r="28646" customFormat="1" x14ac:dyDescent="0.25"/>
    <row r="28647" customFormat="1" x14ac:dyDescent="0.25"/>
    <row r="28648" customFormat="1" x14ac:dyDescent="0.25"/>
    <row r="28649" customFormat="1" x14ac:dyDescent="0.25"/>
    <row r="28650" customFormat="1" x14ac:dyDescent="0.25"/>
    <row r="28651" customFormat="1" x14ac:dyDescent="0.25"/>
    <row r="28652" customFormat="1" x14ac:dyDescent="0.25"/>
    <row r="28653" customFormat="1" x14ac:dyDescent="0.25"/>
    <row r="28654" customFormat="1" x14ac:dyDescent="0.25"/>
    <row r="28655" customFormat="1" x14ac:dyDescent="0.25"/>
    <row r="28656" customFormat="1" x14ac:dyDescent="0.25"/>
    <row r="28657" customFormat="1" x14ac:dyDescent="0.25"/>
    <row r="28658" customFormat="1" x14ac:dyDescent="0.25"/>
    <row r="28659" customFormat="1" x14ac:dyDescent="0.25"/>
    <row r="28660" customFormat="1" x14ac:dyDescent="0.25"/>
    <row r="28661" customFormat="1" x14ac:dyDescent="0.25"/>
    <row r="28662" customFormat="1" x14ac:dyDescent="0.25"/>
    <row r="28663" customFormat="1" x14ac:dyDescent="0.25"/>
    <row r="28664" customFormat="1" x14ac:dyDescent="0.25"/>
    <row r="28665" customFormat="1" x14ac:dyDescent="0.25"/>
    <row r="28666" customFormat="1" x14ac:dyDescent="0.25"/>
    <row r="28667" customFormat="1" x14ac:dyDescent="0.25"/>
    <row r="28668" customFormat="1" x14ac:dyDescent="0.25"/>
    <row r="28669" customFormat="1" x14ac:dyDescent="0.25"/>
    <row r="28670" customFormat="1" x14ac:dyDescent="0.25"/>
    <row r="28671" customFormat="1" x14ac:dyDescent="0.25"/>
    <row r="28672" customFormat="1" x14ac:dyDescent="0.25"/>
    <row r="28673" customFormat="1" x14ac:dyDescent="0.25"/>
    <row r="28674" customFormat="1" x14ac:dyDescent="0.25"/>
    <row r="28675" customFormat="1" x14ac:dyDescent="0.25"/>
    <row r="28676" customFormat="1" x14ac:dyDescent="0.25"/>
    <row r="28677" customFormat="1" x14ac:dyDescent="0.25"/>
    <row r="28678" customFormat="1" x14ac:dyDescent="0.25"/>
    <row r="28679" customFormat="1" x14ac:dyDescent="0.25"/>
    <row r="28680" customFormat="1" x14ac:dyDescent="0.25"/>
    <row r="28681" customFormat="1" x14ac:dyDescent="0.25"/>
    <row r="28682" customFormat="1" x14ac:dyDescent="0.25"/>
    <row r="28683" customFormat="1" x14ac:dyDescent="0.25"/>
    <row r="28684" customFormat="1" x14ac:dyDescent="0.25"/>
    <row r="28685" customFormat="1" x14ac:dyDescent="0.25"/>
    <row r="28686" customFormat="1" x14ac:dyDescent="0.25"/>
    <row r="28687" customFormat="1" x14ac:dyDescent="0.25"/>
    <row r="28688" customFormat="1" x14ac:dyDescent="0.25"/>
    <row r="28689" customFormat="1" x14ac:dyDescent="0.25"/>
    <row r="28690" customFormat="1" x14ac:dyDescent="0.25"/>
    <row r="28691" customFormat="1" x14ac:dyDescent="0.25"/>
    <row r="28692" customFormat="1" x14ac:dyDescent="0.25"/>
    <row r="28693" customFormat="1" x14ac:dyDescent="0.25"/>
    <row r="28694" customFormat="1" x14ac:dyDescent="0.25"/>
    <row r="28695" customFormat="1" x14ac:dyDescent="0.25"/>
    <row r="28696" customFormat="1" x14ac:dyDescent="0.25"/>
    <row r="28697" customFormat="1" x14ac:dyDescent="0.25"/>
    <row r="28698" customFormat="1" x14ac:dyDescent="0.25"/>
    <row r="28699" customFormat="1" x14ac:dyDescent="0.25"/>
    <row r="28700" customFormat="1" x14ac:dyDescent="0.25"/>
    <row r="28701" customFormat="1" x14ac:dyDescent="0.25"/>
    <row r="28702" customFormat="1" x14ac:dyDescent="0.25"/>
    <row r="28703" customFormat="1" x14ac:dyDescent="0.25"/>
    <row r="28704" customFormat="1" x14ac:dyDescent="0.25"/>
    <row r="28705" customFormat="1" x14ac:dyDescent="0.25"/>
    <row r="28706" customFormat="1" x14ac:dyDescent="0.25"/>
    <row r="28707" customFormat="1" x14ac:dyDescent="0.25"/>
    <row r="28708" customFormat="1" x14ac:dyDescent="0.25"/>
    <row r="28709" customFormat="1" x14ac:dyDescent="0.25"/>
    <row r="28710" customFormat="1" x14ac:dyDescent="0.25"/>
    <row r="28711" customFormat="1" x14ac:dyDescent="0.25"/>
    <row r="28712" customFormat="1" x14ac:dyDescent="0.25"/>
    <row r="28713" customFormat="1" x14ac:dyDescent="0.25"/>
    <row r="28714" customFormat="1" x14ac:dyDescent="0.25"/>
    <row r="28715" customFormat="1" x14ac:dyDescent="0.25"/>
    <row r="28716" customFormat="1" x14ac:dyDescent="0.25"/>
    <row r="28717" customFormat="1" x14ac:dyDescent="0.25"/>
    <row r="28718" customFormat="1" x14ac:dyDescent="0.25"/>
    <row r="28719" customFormat="1" x14ac:dyDescent="0.25"/>
    <row r="28720" customFormat="1" x14ac:dyDescent="0.25"/>
    <row r="28721" customFormat="1" x14ac:dyDescent="0.25"/>
    <row r="28722" customFormat="1" x14ac:dyDescent="0.25"/>
    <row r="28723" customFormat="1" x14ac:dyDescent="0.25"/>
    <row r="28724" customFormat="1" x14ac:dyDescent="0.25"/>
    <row r="28725" customFormat="1" x14ac:dyDescent="0.25"/>
    <row r="28726" customFormat="1" x14ac:dyDescent="0.25"/>
    <row r="28727" customFormat="1" x14ac:dyDescent="0.25"/>
    <row r="28728" customFormat="1" x14ac:dyDescent="0.25"/>
    <row r="28729" customFormat="1" x14ac:dyDescent="0.25"/>
    <row r="28730" customFormat="1" x14ac:dyDescent="0.25"/>
    <row r="28731" customFormat="1" x14ac:dyDescent="0.25"/>
    <row r="28732" customFormat="1" x14ac:dyDescent="0.25"/>
    <row r="28733" customFormat="1" x14ac:dyDescent="0.25"/>
    <row r="28734" customFormat="1" x14ac:dyDescent="0.25"/>
    <row r="28735" customFormat="1" x14ac:dyDescent="0.25"/>
    <row r="28736" customFormat="1" x14ac:dyDescent="0.25"/>
    <row r="28737" customFormat="1" x14ac:dyDescent="0.25"/>
    <row r="28738" customFormat="1" x14ac:dyDescent="0.25"/>
    <row r="28739" customFormat="1" x14ac:dyDescent="0.25"/>
    <row r="28740" customFormat="1" x14ac:dyDescent="0.25"/>
    <row r="28741" customFormat="1" x14ac:dyDescent="0.25"/>
    <row r="28742" customFormat="1" x14ac:dyDescent="0.25"/>
    <row r="28743" customFormat="1" x14ac:dyDescent="0.25"/>
    <row r="28744" customFormat="1" x14ac:dyDescent="0.25"/>
    <row r="28745" customFormat="1" x14ac:dyDescent="0.25"/>
    <row r="28746" customFormat="1" x14ac:dyDescent="0.25"/>
    <row r="28747" customFormat="1" x14ac:dyDescent="0.25"/>
    <row r="28748" customFormat="1" x14ac:dyDescent="0.25"/>
    <row r="28749" customFormat="1" x14ac:dyDescent="0.25"/>
    <row r="28750" customFormat="1" x14ac:dyDescent="0.25"/>
    <row r="28751" customFormat="1" x14ac:dyDescent="0.25"/>
    <row r="28752" customFormat="1" x14ac:dyDescent="0.25"/>
    <row r="28753" customFormat="1" x14ac:dyDescent="0.25"/>
    <row r="28754" customFormat="1" x14ac:dyDescent="0.25"/>
    <row r="28755" customFormat="1" x14ac:dyDescent="0.25"/>
    <row r="28756" customFormat="1" x14ac:dyDescent="0.25"/>
    <row r="28757" customFormat="1" x14ac:dyDescent="0.25"/>
    <row r="28758" customFormat="1" x14ac:dyDescent="0.25"/>
    <row r="28759" customFormat="1" x14ac:dyDescent="0.25"/>
    <row r="28760" customFormat="1" x14ac:dyDescent="0.25"/>
    <row r="28761" customFormat="1" x14ac:dyDescent="0.25"/>
    <row r="28762" customFormat="1" x14ac:dyDescent="0.25"/>
    <row r="28763" customFormat="1" x14ac:dyDescent="0.25"/>
    <row r="28764" customFormat="1" x14ac:dyDescent="0.25"/>
    <row r="28765" customFormat="1" x14ac:dyDescent="0.25"/>
    <row r="28766" customFormat="1" x14ac:dyDescent="0.25"/>
    <row r="28767" customFormat="1" x14ac:dyDescent="0.25"/>
    <row r="28768" customFormat="1" x14ac:dyDescent="0.25"/>
    <row r="28769" customFormat="1" x14ac:dyDescent="0.25"/>
    <row r="28770" customFormat="1" x14ac:dyDescent="0.25"/>
    <row r="28771" customFormat="1" x14ac:dyDescent="0.25"/>
    <row r="28772" customFormat="1" x14ac:dyDescent="0.25"/>
    <row r="28773" customFormat="1" x14ac:dyDescent="0.25"/>
    <row r="28774" customFormat="1" x14ac:dyDescent="0.25"/>
    <row r="28775" customFormat="1" x14ac:dyDescent="0.25"/>
    <row r="28776" customFormat="1" x14ac:dyDescent="0.25"/>
    <row r="28777" customFormat="1" x14ac:dyDescent="0.25"/>
    <row r="28778" customFormat="1" x14ac:dyDescent="0.25"/>
    <row r="28779" customFormat="1" x14ac:dyDescent="0.25"/>
    <row r="28780" customFormat="1" x14ac:dyDescent="0.25"/>
    <row r="28781" customFormat="1" x14ac:dyDescent="0.25"/>
    <row r="28782" customFormat="1" x14ac:dyDescent="0.25"/>
    <row r="28783" customFormat="1" x14ac:dyDescent="0.25"/>
    <row r="28784" customFormat="1" x14ac:dyDescent="0.25"/>
    <row r="28785" customFormat="1" x14ac:dyDescent="0.25"/>
    <row r="28786" customFormat="1" x14ac:dyDescent="0.25"/>
    <row r="28787" customFormat="1" x14ac:dyDescent="0.25"/>
    <row r="28788" customFormat="1" x14ac:dyDescent="0.25"/>
    <row r="28789" customFormat="1" x14ac:dyDescent="0.25"/>
    <row r="28790" customFormat="1" x14ac:dyDescent="0.25"/>
    <row r="28791" customFormat="1" x14ac:dyDescent="0.25"/>
    <row r="28792" customFormat="1" x14ac:dyDescent="0.25"/>
    <row r="28793" customFormat="1" x14ac:dyDescent="0.25"/>
    <row r="28794" customFormat="1" x14ac:dyDescent="0.25"/>
    <row r="28795" customFormat="1" x14ac:dyDescent="0.25"/>
    <row r="28796" customFormat="1" x14ac:dyDescent="0.25"/>
    <row r="28797" customFormat="1" x14ac:dyDescent="0.25"/>
    <row r="28798" customFormat="1" x14ac:dyDescent="0.25"/>
    <row r="28799" customFormat="1" x14ac:dyDescent="0.25"/>
    <row r="28800" customFormat="1" x14ac:dyDescent="0.25"/>
    <row r="28801" customFormat="1" x14ac:dyDescent="0.25"/>
    <row r="28802" customFormat="1" x14ac:dyDescent="0.25"/>
    <row r="28803" customFormat="1" x14ac:dyDescent="0.25"/>
    <row r="28804" customFormat="1" x14ac:dyDescent="0.25"/>
    <row r="28805" customFormat="1" x14ac:dyDescent="0.25"/>
    <row r="28806" customFormat="1" x14ac:dyDescent="0.25"/>
    <row r="28807" customFormat="1" x14ac:dyDescent="0.25"/>
    <row r="28808" customFormat="1" x14ac:dyDescent="0.25"/>
    <row r="28809" customFormat="1" x14ac:dyDescent="0.25"/>
    <row r="28810" customFormat="1" x14ac:dyDescent="0.25"/>
    <row r="28811" customFormat="1" x14ac:dyDescent="0.25"/>
    <row r="28812" customFormat="1" x14ac:dyDescent="0.25"/>
    <row r="28813" customFormat="1" x14ac:dyDescent="0.25"/>
    <row r="28814" customFormat="1" x14ac:dyDescent="0.25"/>
    <row r="28815" customFormat="1" x14ac:dyDescent="0.25"/>
    <row r="28816" customFormat="1" x14ac:dyDescent="0.25"/>
    <row r="28817" customFormat="1" x14ac:dyDescent="0.25"/>
    <row r="28818" customFormat="1" x14ac:dyDescent="0.25"/>
    <row r="28819" customFormat="1" x14ac:dyDescent="0.25"/>
    <row r="28820" customFormat="1" x14ac:dyDescent="0.25"/>
    <row r="28821" customFormat="1" x14ac:dyDescent="0.25"/>
    <row r="28822" customFormat="1" x14ac:dyDescent="0.25"/>
    <row r="28823" customFormat="1" x14ac:dyDescent="0.25"/>
    <row r="28824" customFormat="1" x14ac:dyDescent="0.25"/>
    <row r="28825" customFormat="1" x14ac:dyDescent="0.25"/>
    <row r="28826" customFormat="1" x14ac:dyDescent="0.25"/>
    <row r="28827" customFormat="1" x14ac:dyDescent="0.25"/>
    <row r="28828" customFormat="1" x14ac:dyDescent="0.25"/>
    <row r="28829" customFormat="1" x14ac:dyDescent="0.25"/>
    <row r="28830" customFormat="1" x14ac:dyDescent="0.25"/>
    <row r="28831" customFormat="1" x14ac:dyDescent="0.25"/>
    <row r="28832" customFormat="1" x14ac:dyDescent="0.25"/>
    <row r="28833" customFormat="1" x14ac:dyDescent="0.25"/>
    <row r="28834" customFormat="1" x14ac:dyDescent="0.25"/>
    <row r="28835" customFormat="1" x14ac:dyDescent="0.25"/>
    <row r="28836" customFormat="1" x14ac:dyDescent="0.25"/>
    <row r="28837" customFormat="1" x14ac:dyDescent="0.25"/>
    <row r="28838" customFormat="1" x14ac:dyDescent="0.25"/>
    <row r="28839" customFormat="1" x14ac:dyDescent="0.25"/>
    <row r="28840" customFormat="1" x14ac:dyDescent="0.25"/>
    <row r="28841" customFormat="1" x14ac:dyDescent="0.25"/>
    <row r="28842" customFormat="1" x14ac:dyDescent="0.25"/>
    <row r="28843" customFormat="1" x14ac:dyDescent="0.25"/>
    <row r="28844" customFormat="1" x14ac:dyDescent="0.25"/>
    <row r="28845" customFormat="1" x14ac:dyDescent="0.25"/>
    <row r="28846" customFormat="1" x14ac:dyDescent="0.25"/>
    <row r="28847" customFormat="1" x14ac:dyDescent="0.25"/>
    <row r="28848" customFormat="1" x14ac:dyDescent="0.25"/>
    <row r="28849" customFormat="1" x14ac:dyDescent="0.25"/>
    <row r="28850" customFormat="1" x14ac:dyDescent="0.25"/>
    <row r="28851" customFormat="1" x14ac:dyDescent="0.25"/>
    <row r="28852" customFormat="1" x14ac:dyDescent="0.25"/>
    <row r="28853" customFormat="1" x14ac:dyDescent="0.25"/>
    <row r="28854" customFormat="1" x14ac:dyDescent="0.25"/>
    <row r="28855" customFormat="1" x14ac:dyDescent="0.25"/>
    <row r="28856" customFormat="1" x14ac:dyDescent="0.25"/>
    <row r="28857" customFormat="1" x14ac:dyDescent="0.25"/>
    <row r="28858" customFormat="1" x14ac:dyDescent="0.25"/>
    <row r="28859" customFormat="1" x14ac:dyDescent="0.25"/>
    <row r="28860" customFormat="1" x14ac:dyDescent="0.25"/>
    <row r="28861" customFormat="1" x14ac:dyDescent="0.25"/>
    <row r="28862" customFormat="1" x14ac:dyDescent="0.25"/>
    <row r="28863" customFormat="1" x14ac:dyDescent="0.25"/>
    <row r="28864" customFormat="1" x14ac:dyDescent="0.25"/>
    <row r="28865" customFormat="1" x14ac:dyDescent="0.25"/>
    <row r="28866" customFormat="1" x14ac:dyDescent="0.25"/>
    <row r="28867" customFormat="1" x14ac:dyDescent="0.25"/>
    <row r="28868" customFormat="1" x14ac:dyDescent="0.25"/>
    <row r="28869" customFormat="1" x14ac:dyDescent="0.25"/>
    <row r="28870" customFormat="1" x14ac:dyDescent="0.25"/>
    <row r="28871" customFormat="1" x14ac:dyDescent="0.25"/>
    <row r="28872" customFormat="1" x14ac:dyDescent="0.25"/>
    <row r="28873" customFormat="1" x14ac:dyDescent="0.25"/>
    <row r="28874" customFormat="1" x14ac:dyDescent="0.25"/>
    <row r="28875" customFormat="1" x14ac:dyDescent="0.25"/>
    <row r="28876" customFormat="1" x14ac:dyDescent="0.25"/>
    <row r="28877" customFormat="1" x14ac:dyDescent="0.25"/>
    <row r="28878" customFormat="1" x14ac:dyDescent="0.25"/>
    <row r="28879" customFormat="1" x14ac:dyDescent="0.25"/>
    <row r="28880" customFormat="1" x14ac:dyDescent="0.25"/>
    <row r="28881" customFormat="1" x14ac:dyDescent="0.25"/>
    <row r="28882" customFormat="1" x14ac:dyDescent="0.25"/>
    <row r="28883" customFormat="1" x14ac:dyDescent="0.25"/>
    <row r="28884" customFormat="1" x14ac:dyDescent="0.25"/>
    <row r="28885" customFormat="1" x14ac:dyDescent="0.25"/>
    <row r="28886" customFormat="1" x14ac:dyDescent="0.25"/>
    <row r="28887" customFormat="1" x14ac:dyDescent="0.25"/>
    <row r="28888" customFormat="1" x14ac:dyDescent="0.25"/>
    <row r="28889" customFormat="1" x14ac:dyDescent="0.25"/>
    <row r="28890" customFormat="1" x14ac:dyDescent="0.25"/>
    <row r="28891" customFormat="1" x14ac:dyDescent="0.25"/>
    <row r="28892" customFormat="1" x14ac:dyDescent="0.25"/>
    <row r="28893" customFormat="1" x14ac:dyDescent="0.25"/>
    <row r="28894" customFormat="1" x14ac:dyDescent="0.25"/>
    <row r="28895" customFormat="1" x14ac:dyDescent="0.25"/>
    <row r="28896" customFormat="1" x14ac:dyDescent="0.25"/>
    <row r="28897" customFormat="1" x14ac:dyDescent="0.25"/>
    <row r="28898" customFormat="1" x14ac:dyDescent="0.25"/>
    <row r="28899" customFormat="1" x14ac:dyDescent="0.25"/>
    <row r="28900" customFormat="1" x14ac:dyDescent="0.25"/>
    <row r="28901" customFormat="1" x14ac:dyDescent="0.25"/>
    <row r="28902" customFormat="1" x14ac:dyDescent="0.25"/>
    <row r="28903" customFormat="1" x14ac:dyDescent="0.25"/>
    <row r="28904" customFormat="1" x14ac:dyDescent="0.25"/>
    <row r="28905" customFormat="1" x14ac:dyDescent="0.25"/>
    <row r="28906" customFormat="1" x14ac:dyDescent="0.25"/>
    <row r="28907" customFormat="1" x14ac:dyDescent="0.25"/>
    <row r="28908" customFormat="1" x14ac:dyDescent="0.25"/>
    <row r="28909" customFormat="1" x14ac:dyDescent="0.25"/>
    <row r="28910" customFormat="1" x14ac:dyDescent="0.25"/>
    <row r="28911" customFormat="1" x14ac:dyDescent="0.25"/>
    <row r="28912" customFormat="1" x14ac:dyDescent="0.25"/>
    <row r="28913" customFormat="1" x14ac:dyDescent="0.25"/>
    <row r="28914" customFormat="1" x14ac:dyDescent="0.25"/>
    <row r="28915" customFormat="1" x14ac:dyDescent="0.25"/>
    <row r="28916" customFormat="1" x14ac:dyDescent="0.25"/>
    <row r="28917" customFormat="1" x14ac:dyDescent="0.25"/>
    <row r="28918" customFormat="1" x14ac:dyDescent="0.25"/>
    <row r="28919" customFormat="1" x14ac:dyDescent="0.25"/>
    <row r="28920" customFormat="1" x14ac:dyDescent="0.25"/>
    <row r="28921" customFormat="1" x14ac:dyDescent="0.25"/>
    <row r="28922" customFormat="1" x14ac:dyDescent="0.25"/>
    <row r="28923" customFormat="1" x14ac:dyDescent="0.25"/>
    <row r="28924" customFormat="1" x14ac:dyDescent="0.25"/>
    <row r="28925" customFormat="1" x14ac:dyDescent="0.25"/>
    <row r="28926" customFormat="1" x14ac:dyDescent="0.25"/>
    <row r="28927" customFormat="1" x14ac:dyDescent="0.25"/>
    <row r="28928" customFormat="1" x14ac:dyDescent="0.25"/>
    <row r="28929" customFormat="1" x14ac:dyDescent="0.25"/>
    <row r="28930" customFormat="1" x14ac:dyDescent="0.25"/>
    <row r="28931" customFormat="1" x14ac:dyDescent="0.25"/>
    <row r="28932" customFormat="1" x14ac:dyDescent="0.25"/>
    <row r="28933" customFormat="1" x14ac:dyDescent="0.25"/>
    <row r="28934" customFormat="1" x14ac:dyDescent="0.25"/>
    <row r="28935" customFormat="1" x14ac:dyDescent="0.25"/>
    <row r="28936" customFormat="1" x14ac:dyDescent="0.25"/>
    <row r="28937" customFormat="1" x14ac:dyDescent="0.25"/>
    <row r="28938" customFormat="1" x14ac:dyDescent="0.25"/>
    <row r="28939" customFormat="1" x14ac:dyDescent="0.25"/>
    <row r="28940" customFormat="1" x14ac:dyDescent="0.25"/>
    <row r="28941" customFormat="1" x14ac:dyDescent="0.25"/>
    <row r="28942" customFormat="1" x14ac:dyDescent="0.25"/>
    <row r="28943" customFormat="1" x14ac:dyDescent="0.25"/>
    <row r="28944" customFormat="1" x14ac:dyDescent="0.25"/>
    <row r="28945" customFormat="1" x14ac:dyDescent="0.25"/>
    <row r="28946" customFormat="1" x14ac:dyDescent="0.25"/>
    <row r="28947" customFormat="1" x14ac:dyDescent="0.25"/>
    <row r="28948" customFormat="1" x14ac:dyDescent="0.25"/>
    <row r="28949" customFormat="1" x14ac:dyDescent="0.25"/>
    <row r="28950" customFormat="1" x14ac:dyDescent="0.25"/>
    <row r="28951" customFormat="1" x14ac:dyDescent="0.25"/>
    <row r="28952" customFormat="1" x14ac:dyDescent="0.25"/>
    <row r="28953" customFormat="1" x14ac:dyDescent="0.25"/>
    <row r="28954" customFormat="1" x14ac:dyDescent="0.25"/>
    <row r="28955" customFormat="1" x14ac:dyDescent="0.25"/>
    <row r="28956" customFormat="1" x14ac:dyDescent="0.25"/>
    <row r="28957" customFormat="1" x14ac:dyDescent="0.25"/>
    <row r="28958" customFormat="1" x14ac:dyDescent="0.25"/>
    <row r="28959" customFormat="1" x14ac:dyDescent="0.25"/>
    <row r="28960" customFormat="1" x14ac:dyDescent="0.25"/>
    <row r="28961" customFormat="1" x14ac:dyDescent="0.25"/>
    <row r="28962" customFormat="1" x14ac:dyDescent="0.25"/>
    <row r="28963" customFormat="1" x14ac:dyDescent="0.25"/>
    <row r="28964" customFormat="1" x14ac:dyDescent="0.25"/>
    <row r="28965" customFormat="1" x14ac:dyDescent="0.25"/>
    <row r="28966" customFormat="1" x14ac:dyDescent="0.25"/>
    <row r="28967" customFormat="1" x14ac:dyDescent="0.25"/>
    <row r="28968" customFormat="1" x14ac:dyDescent="0.25"/>
    <row r="28969" customFormat="1" x14ac:dyDescent="0.25"/>
    <row r="28970" customFormat="1" x14ac:dyDescent="0.25"/>
    <row r="28971" customFormat="1" x14ac:dyDescent="0.25"/>
    <row r="28972" customFormat="1" x14ac:dyDescent="0.25"/>
    <row r="28973" customFormat="1" x14ac:dyDescent="0.25"/>
    <row r="28974" customFormat="1" x14ac:dyDescent="0.25"/>
    <row r="28975" customFormat="1" x14ac:dyDescent="0.25"/>
    <row r="28976" customFormat="1" x14ac:dyDescent="0.25"/>
    <row r="28977" customFormat="1" x14ac:dyDescent="0.25"/>
    <row r="28978" customFormat="1" x14ac:dyDescent="0.25"/>
    <row r="28979" customFormat="1" x14ac:dyDescent="0.25"/>
    <row r="28980" customFormat="1" x14ac:dyDescent="0.25"/>
    <row r="28981" customFormat="1" x14ac:dyDescent="0.25"/>
    <row r="28982" customFormat="1" x14ac:dyDescent="0.25"/>
    <row r="28983" customFormat="1" x14ac:dyDescent="0.25"/>
    <row r="28984" customFormat="1" x14ac:dyDescent="0.25"/>
    <row r="28985" customFormat="1" x14ac:dyDescent="0.25"/>
    <row r="28986" customFormat="1" x14ac:dyDescent="0.25"/>
    <row r="28987" customFormat="1" x14ac:dyDescent="0.25"/>
    <row r="28988" customFormat="1" x14ac:dyDescent="0.25"/>
    <row r="28989" customFormat="1" x14ac:dyDescent="0.25"/>
    <row r="28990" customFormat="1" x14ac:dyDescent="0.25"/>
    <row r="28991" customFormat="1" x14ac:dyDescent="0.25"/>
    <row r="28992" customFormat="1" x14ac:dyDescent="0.25"/>
    <row r="28993" customFormat="1" x14ac:dyDescent="0.25"/>
    <row r="28994" customFormat="1" x14ac:dyDescent="0.25"/>
    <row r="28995" customFormat="1" x14ac:dyDescent="0.25"/>
    <row r="28996" customFormat="1" x14ac:dyDescent="0.25"/>
    <row r="28997" customFormat="1" x14ac:dyDescent="0.25"/>
    <row r="28998" customFormat="1" x14ac:dyDescent="0.25"/>
    <row r="28999" customFormat="1" x14ac:dyDescent="0.25"/>
    <row r="29000" customFormat="1" x14ac:dyDescent="0.25"/>
    <row r="29001" customFormat="1" x14ac:dyDescent="0.25"/>
    <row r="29002" customFormat="1" x14ac:dyDescent="0.25"/>
    <row r="29003" customFormat="1" x14ac:dyDescent="0.25"/>
    <row r="29004" customFormat="1" x14ac:dyDescent="0.25"/>
    <row r="29005" customFormat="1" x14ac:dyDescent="0.25"/>
    <row r="29006" customFormat="1" x14ac:dyDescent="0.25"/>
    <row r="29007" customFormat="1" x14ac:dyDescent="0.25"/>
    <row r="29008" customFormat="1" x14ac:dyDescent="0.25"/>
    <row r="29009" customFormat="1" x14ac:dyDescent="0.25"/>
    <row r="29010" customFormat="1" x14ac:dyDescent="0.25"/>
    <row r="29011" customFormat="1" x14ac:dyDescent="0.25"/>
    <row r="29012" customFormat="1" x14ac:dyDescent="0.25"/>
    <row r="29013" customFormat="1" x14ac:dyDescent="0.25"/>
    <row r="29014" customFormat="1" x14ac:dyDescent="0.25"/>
    <row r="29015" customFormat="1" x14ac:dyDescent="0.25"/>
    <row r="29016" customFormat="1" x14ac:dyDescent="0.25"/>
    <row r="29017" customFormat="1" x14ac:dyDescent="0.25"/>
    <row r="29018" customFormat="1" x14ac:dyDescent="0.25"/>
    <row r="29019" customFormat="1" x14ac:dyDescent="0.25"/>
    <row r="29020" customFormat="1" x14ac:dyDescent="0.25"/>
    <row r="29021" customFormat="1" x14ac:dyDescent="0.25"/>
    <row r="29022" customFormat="1" x14ac:dyDescent="0.25"/>
    <row r="29023" customFormat="1" x14ac:dyDescent="0.25"/>
    <row r="29024" customFormat="1" x14ac:dyDescent="0.25"/>
    <row r="29025" customFormat="1" x14ac:dyDescent="0.25"/>
    <row r="29026" customFormat="1" x14ac:dyDescent="0.25"/>
    <row r="29027" customFormat="1" x14ac:dyDescent="0.25"/>
    <row r="29028" customFormat="1" x14ac:dyDescent="0.25"/>
    <row r="29029" customFormat="1" x14ac:dyDescent="0.25"/>
    <row r="29030" customFormat="1" x14ac:dyDescent="0.25"/>
    <row r="29031" customFormat="1" x14ac:dyDescent="0.25"/>
    <row r="29032" customFormat="1" x14ac:dyDescent="0.25"/>
    <row r="29033" customFormat="1" x14ac:dyDescent="0.25"/>
    <row r="29034" customFormat="1" x14ac:dyDescent="0.25"/>
    <row r="29035" customFormat="1" x14ac:dyDescent="0.25"/>
    <row r="29036" customFormat="1" x14ac:dyDescent="0.25"/>
    <row r="29037" customFormat="1" x14ac:dyDescent="0.25"/>
    <row r="29038" customFormat="1" x14ac:dyDescent="0.25"/>
    <row r="29039" customFormat="1" x14ac:dyDescent="0.25"/>
    <row r="29040" customFormat="1" x14ac:dyDescent="0.25"/>
    <row r="29041" customFormat="1" x14ac:dyDescent="0.25"/>
    <row r="29042" customFormat="1" x14ac:dyDescent="0.25"/>
    <row r="29043" customFormat="1" x14ac:dyDescent="0.25"/>
    <row r="29044" customFormat="1" x14ac:dyDescent="0.25"/>
    <row r="29045" customFormat="1" x14ac:dyDescent="0.25"/>
    <row r="29046" customFormat="1" x14ac:dyDescent="0.25"/>
    <row r="29047" customFormat="1" x14ac:dyDescent="0.25"/>
    <row r="29048" customFormat="1" x14ac:dyDescent="0.25"/>
    <row r="29049" customFormat="1" x14ac:dyDescent="0.25"/>
    <row r="29050" customFormat="1" x14ac:dyDescent="0.25"/>
    <row r="29051" customFormat="1" x14ac:dyDescent="0.25"/>
    <row r="29052" customFormat="1" x14ac:dyDescent="0.25"/>
    <row r="29053" customFormat="1" x14ac:dyDescent="0.25"/>
    <row r="29054" customFormat="1" x14ac:dyDescent="0.25"/>
    <row r="29055" customFormat="1" x14ac:dyDescent="0.25"/>
    <row r="29056" customFormat="1" x14ac:dyDescent="0.25"/>
    <row r="29057" customFormat="1" x14ac:dyDescent="0.25"/>
    <row r="29058" customFormat="1" x14ac:dyDescent="0.25"/>
    <row r="29059" customFormat="1" x14ac:dyDescent="0.25"/>
    <row r="29060" customFormat="1" x14ac:dyDescent="0.25"/>
    <row r="29061" customFormat="1" x14ac:dyDescent="0.25"/>
    <row r="29062" customFormat="1" x14ac:dyDescent="0.25"/>
    <row r="29063" customFormat="1" x14ac:dyDescent="0.25"/>
    <row r="29064" customFormat="1" x14ac:dyDescent="0.25"/>
    <row r="29065" customFormat="1" x14ac:dyDescent="0.25"/>
    <row r="29066" customFormat="1" x14ac:dyDescent="0.25"/>
    <row r="29067" customFormat="1" x14ac:dyDescent="0.25"/>
    <row r="29068" customFormat="1" x14ac:dyDescent="0.25"/>
    <row r="29069" customFormat="1" x14ac:dyDescent="0.25"/>
    <row r="29070" customFormat="1" x14ac:dyDescent="0.25"/>
    <row r="29071" customFormat="1" x14ac:dyDescent="0.25"/>
    <row r="29072" customFormat="1" x14ac:dyDescent="0.25"/>
    <row r="29073" customFormat="1" x14ac:dyDescent="0.25"/>
    <row r="29074" customFormat="1" x14ac:dyDescent="0.25"/>
    <row r="29075" customFormat="1" x14ac:dyDescent="0.25"/>
    <row r="29076" customFormat="1" x14ac:dyDescent="0.25"/>
    <row r="29077" customFormat="1" x14ac:dyDescent="0.25"/>
    <row r="29078" customFormat="1" x14ac:dyDescent="0.25"/>
    <row r="29079" customFormat="1" x14ac:dyDescent="0.25"/>
    <row r="29080" customFormat="1" x14ac:dyDescent="0.25"/>
    <row r="29081" customFormat="1" x14ac:dyDescent="0.25"/>
    <row r="29082" customFormat="1" x14ac:dyDescent="0.25"/>
    <row r="29083" customFormat="1" x14ac:dyDescent="0.25"/>
    <row r="29084" customFormat="1" x14ac:dyDescent="0.25"/>
    <row r="29085" customFormat="1" x14ac:dyDescent="0.25"/>
    <row r="29086" customFormat="1" x14ac:dyDescent="0.25"/>
    <row r="29087" customFormat="1" x14ac:dyDescent="0.25"/>
    <row r="29088" customFormat="1" x14ac:dyDescent="0.25"/>
    <row r="29089" customFormat="1" x14ac:dyDescent="0.25"/>
    <row r="29090" customFormat="1" x14ac:dyDescent="0.25"/>
    <row r="29091" customFormat="1" x14ac:dyDescent="0.25"/>
    <row r="29092" customFormat="1" x14ac:dyDescent="0.25"/>
    <row r="29093" customFormat="1" x14ac:dyDescent="0.25"/>
    <row r="29094" customFormat="1" x14ac:dyDescent="0.25"/>
    <row r="29095" customFormat="1" x14ac:dyDescent="0.25"/>
    <row r="29096" customFormat="1" x14ac:dyDescent="0.25"/>
    <row r="29097" customFormat="1" x14ac:dyDescent="0.25"/>
    <row r="29098" customFormat="1" x14ac:dyDescent="0.25"/>
    <row r="29099" customFormat="1" x14ac:dyDescent="0.25"/>
    <row r="29100" customFormat="1" x14ac:dyDescent="0.25"/>
    <row r="29101" customFormat="1" x14ac:dyDescent="0.25"/>
    <row r="29102" customFormat="1" x14ac:dyDescent="0.25"/>
    <row r="29103" customFormat="1" x14ac:dyDescent="0.25"/>
    <row r="29104" customFormat="1" x14ac:dyDescent="0.25"/>
    <row r="29105" customFormat="1" x14ac:dyDescent="0.25"/>
    <row r="29106" customFormat="1" x14ac:dyDescent="0.25"/>
    <row r="29107" customFormat="1" x14ac:dyDescent="0.25"/>
    <row r="29108" customFormat="1" x14ac:dyDescent="0.25"/>
    <row r="29109" customFormat="1" x14ac:dyDescent="0.25"/>
    <row r="29110" customFormat="1" x14ac:dyDescent="0.25"/>
    <row r="29111" customFormat="1" x14ac:dyDescent="0.25"/>
    <row r="29112" customFormat="1" x14ac:dyDescent="0.25"/>
    <row r="29113" customFormat="1" x14ac:dyDescent="0.25"/>
    <row r="29114" customFormat="1" x14ac:dyDescent="0.25"/>
    <row r="29115" customFormat="1" x14ac:dyDescent="0.25"/>
    <row r="29116" customFormat="1" x14ac:dyDescent="0.25"/>
    <row r="29117" customFormat="1" x14ac:dyDescent="0.25"/>
    <row r="29118" customFormat="1" x14ac:dyDescent="0.25"/>
    <row r="29119" customFormat="1" x14ac:dyDescent="0.25"/>
    <row r="29120" customFormat="1" x14ac:dyDescent="0.25"/>
    <row r="29121" customFormat="1" x14ac:dyDescent="0.25"/>
    <row r="29122" customFormat="1" x14ac:dyDescent="0.25"/>
    <row r="29123" customFormat="1" x14ac:dyDescent="0.25"/>
    <row r="29124" customFormat="1" x14ac:dyDescent="0.25"/>
    <row r="29125" customFormat="1" x14ac:dyDescent="0.25"/>
    <row r="29126" customFormat="1" x14ac:dyDescent="0.25"/>
    <row r="29127" customFormat="1" x14ac:dyDescent="0.25"/>
    <row r="29128" customFormat="1" x14ac:dyDescent="0.25"/>
    <row r="29129" customFormat="1" x14ac:dyDescent="0.25"/>
    <row r="29130" customFormat="1" x14ac:dyDescent="0.25"/>
    <row r="29131" customFormat="1" x14ac:dyDescent="0.25"/>
    <row r="29132" customFormat="1" x14ac:dyDescent="0.25"/>
    <row r="29133" customFormat="1" x14ac:dyDescent="0.25"/>
    <row r="29134" customFormat="1" x14ac:dyDescent="0.25"/>
    <row r="29135" customFormat="1" x14ac:dyDescent="0.25"/>
    <row r="29136" customFormat="1" x14ac:dyDescent="0.25"/>
    <row r="29137" customFormat="1" x14ac:dyDescent="0.25"/>
    <row r="29138" customFormat="1" x14ac:dyDescent="0.25"/>
    <row r="29139" customFormat="1" x14ac:dyDescent="0.25"/>
    <row r="29140" customFormat="1" x14ac:dyDescent="0.25"/>
    <row r="29141" customFormat="1" x14ac:dyDescent="0.25"/>
    <row r="29142" customFormat="1" x14ac:dyDescent="0.25"/>
    <row r="29143" customFormat="1" x14ac:dyDescent="0.25"/>
    <row r="29144" customFormat="1" x14ac:dyDescent="0.25"/>
    <row r="29145" customFormat="1" x14ac:dyDescent="0.25"/>
    <row r="29146" customFormat="1" x14ac:dyDescent="0.25"/>
    <row r="29147" customFormat="1" x14ac:dyDescent="0.25"/>
    <row r="29148" customFormat="1" x14ac:dyDescent="0.25"/>
    <row r="29149" customFormat="1" x14ac:dyDescent="0.25"/>
    <row r="29150" customFormat="1" x14ac:dyDescent="0.25"/>
    <row r="29151" customFormat="1" x14ac:dyDescent="0.25"/>
    <row r="29152" customFormat="1" x14ac:dyDescent="0.25"/>
    <row r="29153" customFormat="1" x14ac:dyDescent="0.25"/>
    <row r="29154" customFormat="1" x14ac:dyDescent="0.25"/>
    <row r="29155" customFormat="1" x14ac:dyDescent="0.25"/>
    <row r="29156" customFormat="1" x14ac:dyDescent="0.25"/>
    <row r="29157" customFormat="1" x14ac:dyDescent="0.25"/>
    <row r="29158" customFormat="1" x14ac:dyDescent="0.25"/>
    <row r="29159" customFormat="1" x14ac:dyDescent="0.25"/>
    <row r="29160" customFormat="1" x14ac:dyDescent="0.25"/>
    <row r="29161" customFormat="1" x14ac:dyDescent="0.25"/>
    <row r="29162" customFormat="1" x14ac:dyDescent="0.25"/>
    <row r="29163" customFormat="1" x14ac:dyDescent="0.25"/>
    <row r="29164" customFormat="1" x14ac:dyDescent="0.25"/>
    <row r="29165" customFormat="1" x14ac:dyDescent="0.25"/>
    <row r="29166" customFormat="1" x14ac:dyDescent="0.25"/>
    <row r="29167" customFormat="1" x14ac:dyDescent="0.25"/>
    <row r="29168" customFormat="1" x14ac:dyDescent="0.25"/>
    <row r="29169" customFormat="1" x14ac:dyDescent="0.25"/>
    <row r="29170" customFormat="1" x14ac:dyDescent="0.25"/>
    <row r="29171" customFormat="1" x14ac:dyDescent="0.25"/>
    <row r="29172" customFormat="1" x14ac:dyDescent="0.25"/>
    <row r="29173" customFormat="1" x14ac:dyDescent="0.25"/>
    <row r="29174" customFormat="1" x14ac:dyDescent="0.25"/>
    <row r="29175" customFormat="1" x14ac:dyDescent="0.25"/>
    <row r="29176" customFormat="1" x14ac:dyDescent="0.25"/>
    <row r="29177" customFormat="1" x14ac:dyDescent="0.25"/>
    <row r="29178" customFormat="1" x14ac:dyDescent="0.25"/>
    <row r="29179" customFormat="1" x14ac:dyDescent="0.25"/>
    <row r="29180" customFormat="1" x14ac:dyDescent="0.25"/>
    <row r="29181" customFormat="1" x14ac:dyDescent="0.25"/>
    <row r="29182" customFormat="1" x14ac:dyDescent="0.25"/>
    <row r="29183" customFormat="1" x14ac:dyDescent="0.25"/>
    <row r="29184" customFormat="1" x14ac:dyDescent="0.25"/>
    <row r="29185" customFormat="1" x14ac:dyDescent="0.25"/>
    <row r="29186" customFormat="1" x14ac:dyDescent="0.25"/>
    <row r="29187" customFormat="1" x14ac:dyDescent="0.25"/>
    <row r="29188" customFormat="1" x14ac:dyDescent="0.25"/>
    <row r="29189" customFormat="1" x14ac:dyDescent="0.25"/>
    <row r="29190" customFormat="1" x14ac:dyDescent="0.25"/>
    <row r="29191" customFormat="1" x14ac:dyDescent="0.25"/>
    <row r="29192" customFormat="1" x14ac:dyDescent="0.25"/>
    <row r="29193" customFormat="1" x14ac:dyDescent="0.25"/>
    <row r="29194" customFormat="1" x14ac:dyDescent="0.25"/>
    <row r="29195" customFormat="1" x14ac:dyDescent="0.25"/>
    <row r="29196" customFormat="1" x14ac:dyDescent="0.25"/>
    <row r="29197" customFormat="1" x14ac:dyDescent="0.25"/>
    <row r="29198" customFormat="1" x14ac:dyDescent="0.25"/>
    <row r="29199" customFormat="1" x14ac:dyDescent="0.25"/>
    <row r="29200" customFormat="1" x14ac:dyDescent="0.25"/>
    <row r="29201" customFormat="1" x14ac:dyDescent="0.25"/>
    <row r="29202" customFormat="1" x14ac:dyDescent="0.25"/>
    <row r="29203" customFormat="1" x14ac:dyDescent="0.25"/>
    <row r="29204" customFormat="1" x14ac:dyDescent="0.25"/>
    <row r="29205" customFormat="1" x14ac:dyDescent="0.25"/>
    <row r="29206" customFormat="1" x14ac:dyDescent="0.25"/>
    <row r="29207" customFormat="1" x14ac:dyDescent="0.25"/>
    <row r="29208" customFormat="1" x14ac:dyDescent="0.25"/>
    <row r="29209" customFormat="1" x14ac:dyDescent="0.25"/>
    <row r="29210" customFormat="1" x14ac:dyDescent="0.25"/>
    <row r="29211" customFormat="1" x14ac:dyDescent="0.25"/>
    <row r="29212" customFormat="1" x14ac:dyDescent="0.25"/>
    <row r="29213" customFormat="1" x14ac:dyDescent="0.25"/>
    <row r="29214" customFormat="1" x14ac:dyDescent="0.25"/>
    <row r="29215" customFormat="1" x14ac:dyDescent="0.25"/>
    <row r="29216" customFormat="1" x14ac:dyDescent="0.25"/>
    <row r="29217" customFormat="1" x14ac:dyDescent="0.25"/>
    <row r="29218" customFormat="1" x14ac:dyDescent="0.25"/>
    <row r="29219" customFormat="1" x14ac:dyDescent="0.25"/>
    <row r="29220" customFormat="1" x14ac:dyDescent="0.25"/>
    <row r="29221" customFormat="1" x14ac:dyDescent="0.25"/>
    <row r="29222" customFormat="1" x14ac:dyDescent="0.25"/>
    <row r="29223" customFormat="1" x14ac:dyDescent="0.25"/>
    <row r="29224" customFormat="1" x14ac:dyDescent="0.25"/>
    <row r="29225" customFormat="1" x14ac:dyDescent="0.25"/>
    <row r="29226" customFormat="1" x14ac:dyDescent="0.25"/>
    <row r="29227" customFormat="1" x14ac:dyDescent="0.25"/>
    <row r="29228" customFormat="1" x14ac:dyDescent="0.25"/>
    <row r="29229" customFormat="1" x14ac:dyDescent="0.25"/>
    <row r="29230" customFormat="1" x14ac:dyDescent="0.25"/>
    <row r="29231" customFormat="1" x14ac:dyDescent="0.25"/>
    <row r="29232" customFormat="1" x14ac:dyDescent="0.25"/>
    <row r="29233" customFormat="1" x14ac:dyDescent="0.25"/>
    <row r="29234" customFormat="1" x14ac:dyDescent="0.25"/>
    <row r="29235" customFormat="1" x14ac:dyDescent="0.25"/>
    <row r="29236" customFormat="1" x14ac:dyDescent="0.25"/>
    <row r="29237" customFormat="1" x14ac:dyDescent="0.25"/>
    <row r="29238" customFormat="1" x14ac:dyDescent="0.25"/>
    <row r="29239" customFormat="1" x14ac:dyDescent="0.25"/>
    <row r="29240" customFormat="1" x14ac:dyDescent="0.25"/>
    <row r="29241" customFormat="1" x14ac:dyDescent="0.25"/>
    <row r="29242" customFormat="1" x14ac:dyDescent="0.25"/>
    <row r="29243" customFormat="1" x14ac:dyDescent="0.25"/>
    <row r="29244" customFormat="1" x14ac:dyDescent="0.25"/>
    <row r="29245" customFormat="1" x14ac:dyDescent="0.25"/>
    <row r="29246" customFormat="1" x14ac:dyDescent="0.25"/>
    <row r="29247" customFormat="1" x14ac:dyDescent="0.25"/>
    <row r="29248" customFormat="1" x14ac:dyDescent="0.25"/>
    <row r="29249" customFormat="1" x14ac:dyDescent="0.25"/>
    <row r="29250" customFormat="1" x14ac:dyDescent="0.25"/>
    <row r="29251" customFormat="1" x14ac:dyDescent="0.25"/>
    <row r="29252" customFormat="1" x14ac:dyDescent="0.25"/>
    <row r="29253" customFormat="1" x14ac:dyDescent="0.25"/>
    <row r="29254" customFormat="1" x14ac:dyDescent="0.25"/>
    <row r="29255" customFormat="1" x14ac:dyDescent="0.25"/>
    <row r="29256" customFormat="1" x14ac:dyDescent="0.25"/>
    <row r="29257" customFormat="1" x14ac:dyDescent="0.25"/>
    <row r="29258" customFormat="1" x14ac:dyDescent="0.25"/>
    <row r="29259" customFormat="1" x14ac:dyDescent="0.25"/>
    <row r="29260" customFormat="1" x14ac:dyDescent="0.25"/>
    <row r="29261" customFormat="1" x14ac:dyDescent="0.25"/>
    <row r="29262" customFormat="1" x14ac:dyDescent="0.25"/>
    <row r="29263" customFormat="1" x14ac:dyDescent="0.25"/>
    <row r="29264" customFormat="1" x14ac:dyDescent="0.25"/>
    <row r="29265" customFormat="1" x14ac:dyDescent="0.25"/>
    <row r="29266" customFormat="1" x14ac:dyDescent="0.25"/>
    <row r="29267" customFormat="1" x14ac:dyDescent="0.25"/>
    <row r="29268" customFormat="1" x14ac:dyDescent="0.25"/>
    <row r="29269" customFormat="1" x14ac:dyDescent="0.25"/>
    <row r="29270" customFormat="1" x14ac:dyDescent="0.25"/>
    <row r="29271" customFormat="1" x14ac:dyDescent="0.25"/>
    <row r="29272" customFormat="1" x14ac:dyDescent="0.25"/>
    <row r="29273" customFormat="1" x14ac:dyDescent="0.25"/>
    <row r="29274" customFormat="1" x14ac:dyDescent="0.25"/>
    <row r="29275" customFormat="1" x14ac:dyDescent="0.25"/>
    <row r="29276" customFormat="1" x14ac:dyDescent="0.25"/>
    <row r="29277" customFormat="1" x14ac:dyDescent="0.25"/>
    <row r="29278" customFormat="1" x14ac:dyDescent="0.25"/>
    <row r="29279" customFormat="1" x14ac:dyDescent="0.25"/>
    <row r="29280" customFormat="1" x14ac:dyDescent="0.25"/>
    <row r="29281" customFormat="1" x14ac:dyDescent="0.25"/>
    <row r="29282" customFormat="1" x14ac:dyDescent="0.25"/>
    <row r="29283" customFormat="1" x14ac:dyDescent="0.25"/>
    <row r="29284" customFormat="1" x14ac:dyDescent="0.25"/>
    <row r="29285" customFormat="1" x14ac:dyDescent="0.25"/>
    <row r="29286" customFormat="1" x14ac:dyDescent="0.25"/>
    <row r="29287" customFormat="1" x14ac:dyDescent="0.25"/>
    <row r="29288" customFormat="1" x14ac:dyDescent="0.25"/>
    <row r="29289" customFormat="1" x14ac:dyDescent="0.25"/>
    <row r="29290" customFormat="1" x14ac:dyDescent="0.25"/>
    <row r="29291" customFormat="1" x14ac:dyDescent="0.25"/>
    <row r="29292" customFormat="1" x14ac:dyDescent="0.25"/>
    <row r="29293" customFormat="1" x14ac:dyDescent="0.25"/>
    <row r="29294" customFormat="1" x14ac:dyDescent="0.25"/>
    <row r="29295" customFormat="1" x14ac:dyDescent="0.25"/>
    <row r="29296" customFormat="1" x14ac:dyDescent="0.25"/>
    <row r="29297" customFormat="1" x14ac:dyDescent="0.25"/>
    <row r="29298" customFormat="1" x14ac:dyDescent="0.25"/>
    <row r="29299" customFormat="1" x14ac:dyDescent="0.25"/>
    <row r="29300" customFormat="1" x14ac:dyDescent="0.25"/>
    <row r="29301" customFormat="1" x14ac:dyDescent="0.25"/>
    <row r="29302" customFormat="1" x14ac:dyDescent="0.25"/>
    <row r="29303" customFormat="1" x14ac:dyDescent="0.25"/>
    <row r="29304" customFormat="1" x14ac:dyDescent="0.25"/>
    <row r="29305" customFormat="1" x14ac:dyDescent="0.25"/>
    <row r="29306" customFormat="1" x14ac:dyDescent="0.25"/>
    <row r="29307" customFormat="1" x14ac:dyDescent="0.25"/>
    <row r="29308" customFormat="1" x14ac:dyDescent="0.25"/>
    <row r="29309" customFormat="1" x14ac:dyDescent="0.25"/>
    <row r="29310" customFormat="1" x14ac:dyDescent="0.25"/>
    <row r="29311" customFormat="1" x14ac:dyDescent="0.25"/>
    <row r="29312" customFormat="1" x14ac:dyDescent="0.25"/>
    <row r="29313" customFormat="1" x14ac:dyDescent="0.25"/>
    <row r="29314" customFormat="1" x14ac:dyDescent="0.25"/>
    <row r="29315" customFormat="1" x14ac:dyDescent="0.25"/>
    <row r="29316" customFormat="1" x14ac:dyDescent="0.25"/>
    <row r="29317" customFormat="1" x14ac:dyDescent="0.25"/>
    <row r="29318" customFormat="1" x14ac:dyDescent="0.25"/>
    <row r="29319" customFormat="1" x14ac:dyDescent="0.25"/>
    <row r="29320" customFormat="1" x14ac:dyDescent="0.25"/>
    <row r="29321" customFormat="1" x14ac:dyDescent="0.25"/>
    <row r="29322" customFormat="1" x14ac:dyDescent="0.25"/>
    <row r="29323" customFormat="1" x14ac:dyDescent="0.25"/>
    <row r="29324" customFormat="1" x14ac:dyDescent="0.25"/>
    <row r="29325" customFormat="1" x14ac:dyDescent="0.25"/>
    <row r="29326" customFormat="1" x14ac:dyDescent="0.25"/>
    <row r="29327" customFormat="1" x14ac:dyDescent="0.25"/>
    <row r="29328" customFormat="1" x14ac:dyDescent="0.25"/>
    <row r="29329" customFormat="1" x14ac:dyDescent="0.25"/>
    <row r="29330" customFormat="1" x14ac:dyDescent="0.25"/>
    <row r="29331" customFormat="1" x14ac:dyDescent="0.25"/>
    <row r="29332" customFormat="1" x14ac:dyDescent="0.25"/>
    <row r="29333" customFormat="1" x14ac:dyDescent="0.25"/>
    <row r="29334" customFormat="1" x14ac:dyDescent="0.25"/>
    <row r="29335" customFormat="1" x14ac:dyDescent="0.25"/>
    <row r="29336" customFormat="1" x14ac:dyDescent="0.25"/>
    <row r="29337" customFormat="1" x14ac:dyDescent="0.25"/>
    <row r="29338" customFormat="1" x14ac:dyDescent="0.25"/>
    <row r="29339" customFormat="1" x14ac:dyDescent="0.25"/>
    <row r="29340" customFormat="1" x14ac:dyDescent="0.25"/>
    <row r="29341" customFormat="1" x14ac:dyDescent="0.25"/>
    <row r="29342" customFormat="1" x14ac:dyDescent="0.25"/>
    <row r="29343" customFormat="1" x14ac:dyDescent="0.25"/>
    <row r="29344" customFormat="1" x14ac:dyDescent="0.25"/>
    <row r="29345" customFormat="1" x14ac:dyDescent="0.25"/>
    <row r="29346" customFormat="1" x14ac:dyDescent="0.25"/>
    <row r="29347" customFormat="1" x14ac:dyDescent="0.25"/>
    <row r="29348" customFormat="1" x14ac:dyDescent="0.25"/>
    <row r="29349" customFormat="1" x14ac:dyDescent="0.25"/>
    <row r="29350" customFormat="1" x14ac:dyDescent="0.25"/>
    <row r="29351" customFormat="1" x14ac:dyDescent="0.25"/>
    <row r="29352" customFormat="1" x14ac:dyDescent="0.25"/>
    <row r="29353" customFormat="1" x14ac:dyDescent="0.25"/>
    <row r="29354" customFormat="1" x14ac:dyDescent="0.25"/>
    <row r="29355" customFormat="1" x14ac:dyDescent="0.25"/>
    <row r="29356" customFormat="1" x14ac:dyDescent="0.25"/>
    <row r="29357" customFormat="1" x14ac:dyDescent="0.25"/>
    <row r="29358" customFormat="1" x14ac:dyDescent="0.25"/>
    <row r="29359" customFormat="1" x14ac:dyDescent="0.25"/>
    <row r="29360" customFormat="1" x14ac:dyDescent="0.25"/>
    <row r="29361" customFormat="1" x14ac:dyDescent="0.25"/>
    <row r="29362" customFormat="1" x14ac:dyDescent="0.25"/>
    <row r="29363" customFormat="1" x14ac:dyDescent="0.25"/>
    <row r="29364" customFormat="1" x14ac:dyDescent="0.25"/>
    <row r="29365" customFormat="1" x14ac:dyDescent="0.25"/>
    <row r="29366" customFormat="1" x14ac:dyDescent="0.25"/>
    <row r="29367" customFormat="1" x14ac:dyDescent="0.25"/>
    <row r="29368" customFormat="1" x14ac:dyDescent="0.25"/>
    <row r="29369" customFormat="1" x14ac:dyDescent="0.25"/>
    <row r="29370" customFormat="1" x14ac:dyDescent="0.25"/>
    <row r="29371" customFormat="1" x14ac:dyDescent="0.25"/>
    <row r="29372" customFormat="1" x14ac:dyDescent="0.25"/>
    <row r="29373" customFormat="1" x14ac:dyDescent="0.25"/>
    <row r="29374" customFormat="1" x14ac:dyDescent="0.25"/>
    <row r="29375" customFormat="1" x14ac:dyDescent="0.25"/>
    <row r="29376" customFormat="1" x14ac:dyDescent="0.25"/>
    <row r="29377" customFormat="1" x14ac:dyDescent="0.25"/>
    <row r="29378" customFormat="1" x14ac:dyDescent="0.25"/>
    <row r="29379" customFormat="1" x14ac:dyDescent="0.25"/>
    <row r="29380" customFormat="1" x14ac:dyDescent="0.25"/>
    <row r="29381" customFormat="1" x14ac:dyDescent="0.25"/>
    <row r="29382" customFormat="1" x14ac:dyDescent="0.25"/>
    <row r="29383" customFormat="1" x14ac:dyDescent="0.25"/>
    <row r="29384" customFormat="1" x14ac:dyDescent="0.25"/>
    <row r="29385" customFormat="1" x14ac:dyDescent="0.25"/>
    <row r="29386" customFormat="1" x14ac:dyDescent="0.25"/>
    <row r="29387" customFormat="1" x14ac:dyDescent="0.25"/>
    <row r="29388" customFormat="1" x14ac:dyDescent="0.25"/>
    <row r="29389" customFormat="1" x14ac:dyDescent="0.25"/>
    <row r="29390" customFormat="1" x14ac:dyDescent="0.25"/>
    <row r="29391" customFormat="1" x14ac:dyDescent="0.25"/>
    <row r="29392" customFormat="1" x14ac:dyDescent="0.25"/>
    <row r="29393" customFormat="1" x14ac:dyDescent="0.25"/>
    <row r="29394" customFormat="1" x14ac:dyDescent="0.25"/>
    <row r="29395" customFormat="1" x14ac:dyDescent="0.25"/>
    <row r="29396" customFormat="1" x14ac:dyDescent="0.25"/>
    <row r="29397" customFormat="1" x14ac:dyDescent="0.25"/>
    <row r="29398" customFormat="1" x14ac:dyDescent="0.25"/>
    <row r="29399" customFormat="1" x14ac:dyDescent="0.25"/>
    <row r="29400" customFormat="1" x14ac:dyDescent="0.25"/>
    <row r="29401" customFormat="1" x14ac:dyDescent="0.25"/>
    <row r="29402" customFormat="1" x14ac:dyDescent="0.25"/>
    <row r="29403" customFormat="1" x14ac:dyDescent="0.25"/>
    <row r="29404" customFormat="1" x14ac:dyDescent="0.25"/>
    <row r="29405" customFormat="1" x14ac:dyDescent="0.25"/>
    <row r="29406" customFormat="1" x14ac:dyDescent="0.25"/>
    <row r="29407" customFormat="1" x14ac:dyDescent="0.25"/>
    <row r="29408" customFormat="1" x14ac:dyDescent="0.25"/>
    <row r="29409" customFormat="1" x14ac:dyDescent="0.25"/>
    <row r="29410" customFormat="1" x14ac:dyDescent="0.25"/>
    <row r="29411" customFormat="1" x14ac:dyDescent="0.25"/>
    <row r="29412" customFormat="1" x14ac:dyDescent="0.25"/>
    <row r="29413" customFormat="1" x14ac:dyDescent="0.25"/>
    <row r="29414" customFormat="1" x14ac:dyDescent="0.25"/>
    <row r="29415" customFormat="1" x14ac:dyDescent="0.25"/>
    <row r="29416" customFormat="1" x14ac:dyDescent="0.25"/>
    <row r="29417" customFormat="1" x14ac:dyDescent="0.25"/>
    <row r="29418" customFormat="1" x14ac:dyDescent="0.25"/>
    <row r="29419" customFormat="1" x14ac:dyDescent="0.25"/>
    <row r="29420" customFormat="1" x14ac:dyDescent="0.25"/>
    <row r="29421" customFormat="1" x14ac:dyDescent="0.25"/>
    <row r="29422" customFormat="1" x14ac:dyDescent="0.25"/>
    <row r="29423" customFormat="1" x14ac:dyDescent="0.25"/>
    <row r="29424" customFormat="1" x14ac:dyDescent="0.25"/>
    <row r="29425" customFormat="1" x14ac:dyDescent="0.25"/>
    <row r="29426" customFormat="1" x14ac:dyDescent="0.25"/>
    <row r="29427" customFormat="1" x14ac:dyDescent="0.25"/>
    <row r="29428" customFormat="1" x14ac:dyDescent="0.25"/>
    <row r="29429" customFormat="1" x14ac:dyDescent="0.25"/>
    <row r="29430" customFormat="1" x14ac:dyDescent="0.25"/>
    <row r="29431" customFormat="1" x14ac:dyDescent="0.25"/>
    <row r="29432" customFormat="1" x14ac:dyDescent="0.25"/>
    <row r="29433" customFormat="1" x14ac:dyDescent="0.25"/>
    <row r="29434" customFormat="1" x14ac:dyDescent="0.25"/>
    <row r="29435" customFormat="1" x14ac:dyDescent="0.25"/>
    <row r="29436" customFormat="1" x14ac:dyDescent="0.25"/>
    <row r="29437" customFormat="1" x14ac:dyDescent="0.25"/>
    <row r="29438" customFormat="1" x14ac:dyDescent="0.25"/>
    <row r="29439" customFormat="1" x14ac:dyDescent="0.25"/>
    <row r="29440" customFormat="1" x14ac:dyDescent="0.25"/>
    <row r="29441" customFormat="1" x14ac:dyDescent="0.25"/>
    <row r="29442" customFormat="1" x14ac:dyDescent="0.25"/>
    <row r="29443" customFormat="1" x14ac:dyDescent="0.25"/>
    <row r="29444" customFormat="1" x14ac:dyDescent="0.25"/>
    <row r="29445" customFormat="1" x14ac:dyDescent="0.25"/>
    <row r="29446" customFormat="1" x14ac:dyDescent="0.25"/>
    <row r="29447" customFormat="1" x14ac:dyDescent="0.25"/>
    <row r="29448" customFormat="1" x14ac:dyDescent="0.25"/>
    <row r="29449" customFormat="1" x14ac:dyDescent="0.25"/>
    <row r="29450" customFormat="1" x14ac:dyDescent="0.25"/>
    <row r="29451" customFormat="1" x14ac:dyDescent="0.25"/>
    <row r="29452" customFormat="1" x14ac:dyDescent="0.25"/>
    <row r="29453" customFormat="1" x14ac:dyDescent="0.25"/>
    <row r="29454" customFormat="1" x14ac:dyDescent="0.25"/>
    <row r="29455" customFormat="1" x14ac:dyDescent="0.25"/>
    <row r="29456" customFormat="1" x14ac:dyDescent="0.25"/>
    <row r="29457" customFormat="1" x14ac:dyDescent="0.25"/>
    <row r="29458" customFormat="1" x14ac:dyDescent="0.25"/>
    <row r="29459" customFormat="1" x14ac:dyDescent="0.25"/>
    <row r="29460" customFormat="1" x14ac:dyDescent="0.25"/>
    <row r="29461" customFormat="1" x14ac:dyDescent="0.25"/>
    <row r="29462" customFormat="1" x14ac:dyDescent="0.25"/>
    <row r="29463" customFormat="1" x14ac:dyDescent="0.25"/>
    <row r="29464" customFormat="1" x14ac:dyDescent="0.25"/>
    <row r="29465" customFormat="1" x14ac:dyDescent="0.25"/>
    <row r="29466" customFormat="1" x14ac:dyDescent="0.25"/>
    <row r="29467" customFormat="1" x14ac:dyDescent="0.25"/>
    <row r="29468" customFormat="1" x14ac:dyDescent="0.25"/>
    <row r="29469" customFormat="1" x14ac:dyDescent="0.25"/>
    <row r="29470" customFormat="1" x14ac:dyDescent="0.25"/>
    <row r="29471" customFormat="1" x14ac:dyDescent="0.25"/>
    <row r="29472" customFormat="1" x14ac:dyDescent="0.25"/>
    <row r="29473" customFormat="1" x14ac:dyDescent="0.25"/>
    <row r="29474" customFormat="1" x14ac:dyDescent="0.25"/>
    <row r="29475" customFormat="1" x14ac:dyDescent="0.25"/>
    <row r="29476" customFormat="1" x14ac:dyDescent="0.25"/>
    <row r="29477" customFormat="1" x14ac:dyDescent="0.25"/>
    <row r="29478" customFormat="1" x14ac:dyDescent="0.25"/>
    <row r="29479" customFormat="1" x14ac:dyDescent="0.25"/>
    <row r="29480" customFormat="1" x14ac:dyDescent="0.25"/>
    <row r="29481" customFormat="1" x14ac:dyDescent="0.25"/>
    <row r="29482" customFormat="1" x14ac:dyDescent="0.25"/>
    <row r="29483" customFormat="1" x14ac:dyDescent="0.25"/>
    <row r="29484" customFormat="1" x14ac:dyDescent="0.25"/>
    <row r="29485" customFormat="1" x14ac:dyDescent="0.25"/>
    <row r="29486" customFormat="1" x14ac:dyDescent="0.25"/>
    <row r="29487" customFormat="1" x14ac:dyDescent="0.25"/>
    <row r="29488" customFormat="1" x14ac:dyDescent="0.25"/>
    <row r="29489" customFormat="1" x14ac:dyDescent="0.25"/>
    <row r="29490" customFormat="1" x14ac:dyDescent="0.25"/>
    <row r="29491" customFormat="1" x14ac:dyDescent="0.25"/>
    <row r="29492" customFormat="1" x14ac:dyDescent="0.25"/>
    <row r="29493" customFormat="1" x14ac:dyDescent="0.25"/>
    <row r="29494" customFormat="1" x14ac:dyDescent="0.25"/>
    <row r="29495" customFormat="1" x14ac:dyDescent="0.25"/>
    <row r="29496" customFormat="1" x14ac:dyDescent="0.25"/>
    <row r="29497" customFormat="1" x14ac:dyDescent="0.25"/>
    <row r="29498" customFormat="1" x14ac:dyDescent="0.25"/>
    <row r="29499" customFormat="1" x14ac:dyDescent="0.25"/>
    <row r="29500" customFormat="1" x14ac:dyDescent="0.25"/>
    <row r="29501" customFormat="1" x14ac:dyDescent="0.25"/>
    <row r="29502" customFormat="1" x14ac:dyDescent="0.25"/>
    <row r="29503" customFormat="1" x14ac:dyDescent="0.25"/>
    <row r="29504" customFormat="1" x14ac:dyDescent="0.25"/>
    <row r="29505" customFormat="1" x14ac:dyDescent="0.25"/>
    <row r="29506" customFormat="1" x14ac:dyDescent="0.25"/>
    <row r="29507" customFormat="1" x14ac:dyDescent="0.25"/>
    <row r="29508" customFormat="1" x14ac:dyDescent="0.25"/>
    <row r="29509" customFormat="1" x14ac:dyDescent="0.25"/>
    <row r="29510" customFormat="1" x14ac:dyDescent="0.25"/>
    <row r="29511" customFormat="1" x14ac:dyDescent="0.25"/>
    <row r="29512" customFormat="1" x14ac:dyDescent="0.25"/>
    <row r="29513" customFormat="1" x14ac:dyDescent="0.25"/>
    <row r="29514" customFormat="1" x14ac:dyDescent="0.25"/>
    <row r="29515" customFormat="1" x14ac:dyDescent="0.25"/>
    <row r="29516" customFormat="1" x14ac:dyDescent="0.25"/>
    <row r="29517" customFormat="1" x14ac:dyDescent="0.25"/>
    <row r="29518" customFormat="1" x14ac:dyDescent="0.25"/>
    <row r="29519" customFormat="1" x14ac:dyDescent="0.25"/>
    <row r="29520" customFormat="1" x14ac:dyDescent="0.25"/>
    <row r="29521" customFormat="1" x14ac:dyDescent="0.25"/>
    <row r="29522" customFormat="1" x14ac:dyDescent="0.25"/>
    <row r="29523" customFormat="1" x14ac:dyDescent="0.25"/>
    <row r="29524" customFormat="1" x14ac:dyDescent="0.25"/>
    <row r="29525" customFormat="1" x14ac:dyDescent="0.25"/>
    <row r="29526" customFormat="1" x14ac:dyDescent="0.25"/>
    <row r="29527" customFormat="1" x14ac:dyDescent="0.25"/>
    <row r="29528" customFormat="1" x14ac:dyDescent="0.25"/>
    <row r="29529" customFormat="1" x14ac:dyDescent="0.25"/>
    <row r="29530" customFormat="1" x14ac:dyDescent="0.25"/>
    <row r="29531" customFormat="1" x14ac:dyDescent="0.25"/>
    <row r="29532" customFormat="1" x14ac:dyDescent="0.25"/>
    <row r="29533" customFormat="1" x14ac:dyDescent="0.25"/>
    <row r="29534" customFormat="1" x14ac:dyDescent="0.25"/>
    <row r="29535" customFormat="1" x14ac:dyDescent="0.25"/>
    <row r="29536" customFormat="1" x14ac:dyDescent="0.25"/>
    <row r="29537" customFormat="1" x14ac:dyDescent="0.25"/>
    <row r="29538" customFormat="1" x14ac:dyDescent="0.25"/>
    <row r="29539" customFormat="1" x14ac:dyDescent="0.25"/>
    <row r="29540" customFormat="1" x14ac:dyDescent="0.25"/>
    <row r="29541" customFormat="1" x14ac:dyDescent="0.25"/>
    <row r="29542" customFormat="1" x14ac:dyDescent="0.25"/>
    <row r="29543" customFormat="1" x14ac:dyDescent="0.25"/>
    <row r="29544" customFormat="1" x14ac:dyDescent="0.25"/>
    <row r="29545" customFormat="1" x14ac:dyDescent="0.25"/>
    <row r="29546" customFormat="1" x14ac:dyDescent="0.25"/>
    <row r="29547" customFormat="1" x14ac:dyDescent="0.25"/>
    <row r="29548" customFormat="1" x14ac:dyDescent="0.25"/>
    <row r="29549" customFormat="1" x14ac:dyDescent="0.25"/>
    <row r="29550" customFormat="1" x14ac:dyDescent="0.25"/>
    <row r="29551" customFormat="1" x14ac:dyDescent="0.25"/>
    <row r="29552" customFormat="1" x14ac:dyDescent="0.25"/>
    <row r="29553" customFormat="1" x14ac:dyDescent="0.25"/>
    <row r="29554" customFormat="1" x14ac:dyDescent="0.25"/>
    <row r="29555" customFormat="1" x14ac:dyDescent="0.25"/>
    <row r="29556" customFormat="1" x14ac:dyDescent="0.25"/>
    <row r="29557" customFormat="1" x14ac:dyDescent="0.25"/>
    <row r="29558" customFormat="1" x14ac:dyDescent="0.25"/>
    <row r="29559" customFormat="1" x14ac:dyDescent="0.25"/>
    <row r="29560" customFormat="1" x14ac:dyDescent="0.25"/>
    <row r="29561" customFormat="1" x14ac:dyDescent="0.25"/>
    <row r="29562" customFormat="1" x14ac:dyDescent="0.25"/>
    <row r="29563" customFormat="1" x14ac:dyDescent="0.25"/>
    <row r="29564" customFormat="1" x14ac:dyDescent="0.25"/>
    <row r="29565" customFormat="1" x14ac:dyDescent="0.25"/>
    <row r="29566" customFormat="1" x14ac:dyDescent="0.25"/>
    <row r="29567" customFormat="1" x14ac:dyDescent="0.25"/>
    <row r="29568" customFormat="1" x14ac:dyDescent="0.25"/>
    <row r="29569" customFormat="1" x14ac:dyDescent="0.25"/>
    <row r="29570" customFormat="1" x14ac:dyDescent="0.25"/>
    <row r="29571" customFormat="1" x14ac:dyDescent="0.25"/>
    <row r="29572" customFormat="1" x14ac:dyDescent="0.25"/>
    <row r="29573" customFormat="1" x14ac:dyDescent="0.25"/>
    <row r="29574" customFormat="1" x14ac:dyDescent="0.25"/>
    <row r="29575" customFormat="1" x14ac:dyDescent="0.25"/>
    <row r="29576" customFormat="1" x14ac:dyDescent="0.25"/>
    <row r="29577" customFormat="1" x14ac:dyDescent="0.25"/>
    <row r="29578" customFormat="1" x14ac:dyDescent="0.25"/>
    <row r="29579" customFormat="1" x14ac:dyDescent="0.25"/>
    <row r="29580" customFormat="1" x14ac:dyDescent="0.25"/>
    <row r="29581" customFormat="1" x14ac:dyDescent="0.25"/>
    <row r="29582" customFormat="1" x14ac:dyDescent="0.25"/>
    <row r="29583" customFormat="1" x14ac:dyDescent="0.25"/>
    <row r="29584" customFormat="1" x14ac:dyDescent="0.25"/>
    <row r="29585" customFormat="1" x14ac:dyDescent="0.25"/>
    <row r="29586" customFormat="1" x14ac:dyDescent="0.25"/>
    <row r="29587" customFormat="1" x14ac:dyDescent="0.25"/>
    <row r="29588" customFormat="1" x14ac:dyDescent="0.25"/>
    <row r="29589" customFormat="1" x14ac:dyDescent="0.25"/>
    <row r="29590" customFormat="1" x14ac:dyDescent="0.25"/>
    <row r="29591" customFormat="1" x14ac:dyDescent="0.25"/>
    <row r="29592" customFormat="1" x14ac:dyDescent="0.25"/>
    <row r="29593" customFormat="1" x14ac:dyDescent="0.25"/>
    <row r="29594" customFormat="1" x14ac:dyDescent="0.25"/>
    <row r="29595" customFormat="1" x14ac:dyDescent="0.25"/>
    <row r="29596" customFormat="1" x14ac:dyDescent="0.25"/>
    <row r="29597" customFormat="1" x14ac:dyDescent="0.25"/>
    <row r="29598" customFormat="1" x14ac:dyDescent="0.25"/>
    <row r="29599" customFormat="1" x14ac:dyDescent="0.25"/>
    <row r="29600" customFormat="1" x14ac:dyDescent="0.25"/>
    <row r="29601" customFormat="1" x14ac:dyDescent="0.25"/>
    <row r="29602" customFormat="1" x14ac:dyDescent="0.25"/>
    <row r="29603" customFormat="1" x14ac:dyDescent="0.25"/>
    <row r="29604" customFormat="1" x14ac:dyDescent="0.25"/>
    <row r="29605" customFormat="1" x14ac:dyDescent="0.25"/>
    <row r="29606" customFormat="1" x14ac:dyDescent="0.25"/>
    <row r="29607" customFormat="1" x14ac:dyDescent="0.25"/>
    <row r="29608" customFormat="1" x14ac:dyDescent="0.25"/>
    <row r="29609" customFormat="1" x14ac:dyDescent="0.25"/>
    <row r="29610" customFormat="1" x14ac:dyDescent="0.25"/>
    <row r="29611" customFormat="1" x14ac:dyDescent="0.25"/>
    <row r="29612" customFormat="1" x14ac:dyDescent="0.25"/>
    <row r="29613" customFormat="1" x14ac:dyDescent="0.25"/>
    <row r="29614" customFormat="1" x14ac:dyDescent="0.25"/>
    <row r="29615" customFormat="1" x14ac:dyDescent="0.25"/>
    <row r="29616" customFormat="1" x14ac:dyDescent="0.25"/>
    <row r="29617" customFormat="1" x14ac:dyDescent="0.25"/>
    <row r="29618" customFormat="1" x14ac:dyDescent="0.25"/>
    <row r="29619" customFormat="1" x14ac:dyDescent="0.25"/>
    <row r="29620" customFormat="1" x14ac:dyDescent="0.25"/>
    <row r="29621" customFormat="1" x14ac:dyDescent="0.25"/>
    <row r="29622" customFormat="1" x14ac:dyDescent="0.25"/>
    <row r="29623" customFormat="1" x14ac:dyDescent="0.25"/>
    <row r="29624" customFormat="1" x14ac:dyDescent="0.25"/>
    <row r="29625" customFormat="1" x14ac:dyDescent="0.25"/>
    <row r="29626" customFormat="1" x14ac:dyDescent="0.25"/>
    <row r="29627" customFormat="1" x14ac:dyDescent="0.25"/>
    <row r="29628" customFormat="1" x14ac:dyDescent="0.25"/>
    <row r="29629" customFormat="1" x14ac:dyDescent="0.25"/>
    <row r="29630" customFormat="1" x14ac:dyDescent="0.25"/>
    <row r="29631" customFormat="1" x14ac:dyDescent="0.25"/>
    <row r="29632" customFormat="1" x14ac:dyDescent="0.25"/>
    <row r="29633" customFormat="1" x14ac:dyDescent="0.25"/>
    <row r="29634" customFormat="1" x14ac:dyDescent="0.25"/>
    <row r="29635" customFormat="1" x14ac:dyDescent="0.25"/>
    <row r="29636" customFormat="1" x14ac:dyDescent="0.25"/>
    <row r="29637" customFormat="1" x14ac:dyDescent="0.25"/>
    <row r="29638" customFormat="1" x14ac:dyDescent="0.25"/>
    <row r="29639" customFormat="1" x14ac:dyDescent="0.25"/>
    <row r="29640" customFormat="1" x14ac:dyDescent="0.25"/>
    <row r="29641" customFormat="1" x14ac:dyDescent="0.25"/>
    <row r="29642" customFormat="1" x14ac:dyDescent="0.25"/>
    <row r="29643" customFormat="1" x14ac:dyDescent="0.25"/>
    <row r="29644" customFormat="1" x14ac:dyDescent="0.25"/>
    <row r="29645" customFormat="1" x14ac:dyDescent="0.25"/>
    <row r="29646" customFormat="1" x14ac:dyDescent="0.25"/>
    <row r="29647" customFormat="1" x14ac:dyDescent="0.25"/>
    <row r="29648" customFormat="1" x14ac:dyDescent="0.25"/>
    <row r="29649" customFormat="1" x14ac:dyDescent="0.25"/>
    <row r="29650" customFormat="1" x14ac:dyDescent="0.25"/>
    <row r="29651" customFormat="1" x14ac:dyDescent="0.25"/>
    <row r="29652" customFormat="1" x14ac:dyDescent="0.25"/>
    <row r="29653" customFormat="1" x14ac:dyDescent="0.25"/>
    <row r="29654" customFormat="1" x14ac:dyDescent="0.25"/>
    <row r="29655" customFormat="1" x14ac:dyDescent="0.25"/>
    <row r="29656" customFormat="1" x14ac:dyDescent="0.25"/>
    <row r="29657" customFormat="1" x14ac:dyDescent="0.25"/>
    <row r="29658" customFormat="1" x14ac:dyDescent="0.25"/>
    <row r="29659" customFormat="1" x14ac:dyDescent="0.25"/>
    <row r="29660" customFormat="1" x14ac:dyDescent="0.25"/>
    <row r="29661" customFormat="1" x14ac:dyDescent="0.25"/>
    <row r="29662" customFormat="1" x14ac:dyDescent="0.25"/>
    <row r="29663" customFormat="1" x14ac:dyDescent="0.25"/>
    <row r="29664" customFormat="1" x14ac:dyDescent="0.25"/>
    <row r="29665" customFormat="1" x14ac:dyDescent="0.25"/>
    <row r="29666" customFormat="1" x14ac:dyDescent="0.25"/>
    <row r="29667" customFormat="1" x14ac:dyDescent="0.25"/>
    <row r="29668" customFormat="1" x14ac:dyDescent="0.25"/>
    <row r="29669" customFormat="1" x14ac:dyDescent="0.25"/>
    <row r="29670" customFormat="1" x14ac:dyDescent="0.25"/>
    <row r="29671" customFormat="1" x14ac:dyDescent="0.25"/>
    <row r="29672" customFormat="1" x14ac:dyDescent="0.25"/>
    <row r="29673" customFormat="1" x14ac:dyDescent="0.25"/>
    <row r="29674" customFormat="1" x14ac:dyDescent="0.25"/>
    <row r="29675" customFormat="1" x14ac:dyDescent="0.25"/>
    <row r="29676" customFormat="1" x14ac:dyDescent="0.25"/>
    <row r="29677" customFormat="1" x14ac:dyDescent="0.25"/>
    <row r="29678" customFormat="1" x14ac:dyDescent="0.25"/>
    <row r="29679" customFormat="1" x14ac:dyDescent="0.25"/>
    <row r="29680" customFormat="1" x14ac:dyDescent="0.25"/>
    <row r="29681" customFormat="1" x14ac:dyDescent="0.25"/>
    <row r="29682" customFormat="1" x14ac:dyDescent="0.25"/>
    <row r="29683" customFormat="1" x14ac:dyDescent="0.25"/>
    <row r="29684" customFormat="1" x14ac:dyDescent="0.25"/>
    <row r="29685" customFormat="1" x14ac:dyDescent="0.25"/>
    <row r="29686" customFormat="1" x14ac:dyDescent="0.25"/>
    <row r="29687" customFormat="1" x14ac:dyDescent="0.25"/>
    <row r="29688" customFormat="1" x14ac:dyDescent="0.25"/>
    <row r="29689" customFormat="1" x14ac:dyDescent="0.25"/>
    <row r="29690" customFormat="1" x14ac:dyDescent="0.25"/>
    <row r="29691" customFormat="1" x14ac:dyDescent="0.25"/>
    <row r="29692" customFormat="1" x14ac:dyDescent="0.25"/>
    <row r="29693" customFormat="1" x14ac:dyDescent="0.25"/>
    <row r="29694" customFormat="1" x14ac:dyDescent="0.25"/>
    <row r="29695" customFormat="1" x14ac:dyDescent="0.25"/>
    <row r="29696" customFormat="1" x14ac:dyDescent="0.25"/>
    <row r="29697" customFormat="1" x14ac:dyDescent="0.25"/>
    <row r="29698" customFormat="1" x14ac:dyDescent="0.25"/>
    <row r="29699" customFormat="1" x14ac:dyDescent="0.25"/>
    <row r="29700" customFormat="1" x14ac:dyDescent="0.25"/>
    <row r="29701" customFormat="1" x14ac:dyDescent="0.25"/>
    <row r="29702" customFormat="1" x14ac:dyDescent="0.25"/>
    <row r="29703" customFormat="1" x14ac:dyDescent="0.25"/>
    <row r="29704" customFormat="1" x14ac:dyDescent="0.25"/>
    <row r="29705" customFormat="1" x14ac:dyDescent="0.25"/>
    <row r="29706" customFormat="1" x14ac:dyDescent="0.25"/>
    <row r="29707" customFormat="1" x14ac:dyDescent="0.25"/>
    <row r="29708" customFormat="1" x14ac:dyDescent="0.25"/>
    <row r="29709" customFormat="1" x14ac:dyDescent="0.25"/>
    <row r="29710" customFormat="1" x14ac:dyDescent="0.25"/>
    <row r="29711" customFormat="1" x14ac:dyDescent="0.25"/>
    <row r="29712" customFormat="1" x14ac:dyDescent="0.25"/>
    <row r="29713" customFormat="1" x14ac:dyDescent="0.25"/>
    <row r="29714" customFormat="1" x14ac:dyDescent="0.25"/>
    <row r="29715" customFormat="1" x14ac:dyDescent="0.25"/>
    <row r="29716" customFormat="1" x14ac:dyDescent="0.25"/>
    <row r="29717" customFormat="1" x14ac:dyDescent="0.25"/>
    <row r="29718" customFormat="1" x14ac:dyDescent="0.25"/>
    <row r="29719" customFormat="1" x14ac:dyDescent="0.25"/>
    <row r="29720" customFormat="1" x14ac:dyDescent="0.25"/>
    <row r="29721" customFormat="1" x14ac:dyDescent="0.25"/>
    <row r="29722" customFormat="1" x14ac:dyDescent="0.25"/>
    <row r="29723" customFormat="1" x14ac:dyDescent="0.25"/>
    <row r="29724" customFormat="1" x14ac:dyDescent="0.25"/>
    <row r="29725" customFormat="1" x14ac:dyDescent="0.25"/>
    <row r="29726" customFormat="1" x14ac:dyDescent="0.25"/>
    <row r="29727" customFormat="1" x14ac:dyDescent="0.25"/>
    <row r="29728" customFormat="1" x14ac:dyDescent="0.25"/>
    <row r="29729" customFormat="1" x14ac:dyDescent="0.25"/>
    <row r="29730" customFormat="1" x14ac:dyDescent="0.25"/>
    <row r="29731" customFormat="1" x14ac:dyDescent="0.25"/>
    <row r="29732" customFormat="1" x14ac:dyDescent="0.25"/>
    <row r="29733" customFormat="1" x14ac:dyDescent="0.25"/>
    <row r="29734" customFormat="1" x14ac:dyDescent="0.25"/>
    <row r="29735" customFormat="1" x14ac:dyDescent="0.25"/>
    <row r="29736" customFormat="1" x14ac:dyDescent="0.25"/>
    <row r="29737" customFormat="1" x14ac:dyDescent="0.25"/>
    <row r="29738" customFormat="1" x14ac:dyDescent="0.25"/>
    <row r="29739" customFormat="1" x14ac:dyDescent="0.25"/>
    <row r="29740" customFormat="1" x14ac:dyDescent="0.25"/>
    <row r="29741" customFormat="1" x14ac:dyDescent="0.25"/>
    <row r="29742" customFormat="1" x14ac:dyDescent="0.25"/>
    <row r="29743" customFormat="1" x14ac:dyDescent="0.25"/>
    <row r="29744" customFormat="1" x14ac:dyDescent="0.25"/>
    <row r="29745" customFormat="1" x14ac:dyDescent="0.25"/>
    <row r="29746" customFormat="1" x14ac:dyDescent="0.25"/>
    <row r="29747" customFormat="1" x14ac:dyDescent="0.25"/>
    <row r="29748" customFormat="1" x14ac:dyDescent="0.25"/>
    <row r="29749" customFormat="1" x14ac:dyDescent="0.25"/>
    <row r="29750" customFormat="1" x14ac:dyDescent="0.25"/>
    <row r="29751" customFormat="1" x14ac:dyDescent="0.25"/>
    <row r="29752" customFormat="1" x14ac:dyDescent="0.25"/>
    <row r="29753" customFormat="1" x14ac:dyDescent="0.25"/>
    <row r="29754" customFormat="1" x14ac:dyDescent="0.25"/>
    <row r="29755" customFormat="1" x14ac:dyDescent="0.25"/>
    <row r="29756" customFormat="1" x14ac:dyDescent="0.25"/>
    <row r="29757" customFormat="1" x14ac:dyDescent="0.25"/>
    <row r="29758" customFormat="1" x14ac:dyDescent="0.25"/>
    <row r="29759" customFormat="1" x14ac:dyDescent="0.25"/>
    <row r="29760" customFormat="1" x14ac:dyDescent="0.25"/>
    <row r="29761" customFormat="1" x14ac:dyDescent="0.25"/>
    <row r="29762" customFormat="1" x14ac:dyDescent="0.25"/>
    <row r="29763" customFormat="1" x14ac:dyDescent="0.25"/>
    <row r="29764" customFormat="1" x14ac:dyDescent="0.25"/>
    <row r="29765" customFormat="1" x14ac:dyDescent="0.25"/>
    <row r="29766" customFormat="1" x14ac:dyDescent="0.25"/>
    <row r="29767" customFormat="1" x14ac:dyDescent="0.25"/>
    <row r="29768" customFormat="1" x14ac:dyDescent="0.25"/>
    <row r="29769" customFormat="1" x14ac:dyDescent="0.25"/>
    <row r="29770" customFormat="1" x14ac:dyDescent="0.25"/>
    <row r="29771" customFormat="1" x14ac:dyDescent="0.25"/>
    <row r="29772" customFormat="1" x14ac:dyDescent="0.25"/>
    <row r="29773" customFormat="1" x14ac:dyDescent="0.25"/>
    <row r="29774" customFormat="1" x14ac:dyDescent="0.25"/>
    <row r="29775" customFormat="1" x14ac:dyDescent="0.25"/>
    <row r="29776" customFormat="1" x14ac:dyDescent="0.25"/>
    <row r="29777" customFormat="1" x14ac:dyDescent="0.25"/>
    <row r="29778" customFormat="1" x14ac:dyDescent="0.25"/>
    <row r="29779" customFormat="1" x14ac:dyDescent="0.25"/>
    <row r="29780" customFormat="1" x14ac:dyDescent="0.25"/>
    <row r="29781" customFormat="1" x14ac:dyDescent="0.25"/>
    <row r="29782" customFormat="1" x14ac:dyDescent="0.25"/>
    <row r="29783" customFormat="1" x14ac:dyDescent="0.25"/>
    <row r="29784" customFormat="1" x14ac:dyDescent="0.25"/>
    <row r="29785" customFormat="1" x14ac:dyDescent="0.25"/>
    <row r="29786" customFormat="1" x14ac:dyDescent="0.25"/>
    <row r="29787" customFormat="1" x14ac:dyDescent="0.25"/>
    <row r="29788" customFormat="1" x14ac:dyDescent="0.25"/>
    <row r="29789" customFormat="1" x14ac:dyDescent="0.25"/>
    <row r="29790" customFormat="1" x14ac:dyDescent="0.25"/>
    <row r="29791" customFormat="1" x14ac:dyDescent="0.25"/>
    <row r="29792" customFormat="1" x14ac:dyDescent="0.25"/>
    <row r="29793" customFormat="1" x14ac:dyDescent="0.25"/>
    <row r="29794" customFormat="1" x14ac:dyDescent="0.25"/>
    <row r="29795" customFormat="1" x14ac:dyDescent="0.25"/>
    <row r="29796" customFormat="1" x14ac:dyDescent="0.25"/>
    <row r="29797" customFormat="1" x14ac:dyDescent="0.25"/>
    <row r="29798" customFormat="1" x14ac:dyDescent="0.25"/>
    <row r="29799" customFormat="1" x14ac:dyDescent="0.25"/>
    <row r="29800" customFormat="1" x14ac:dyDescent="0.25"/>
    <row r="29801" customFormat="1" x14ac:dyDescent="0.25"/>
    <row r="29802" customFormat="1" x14ac:dyDescent="0.25"/>
    <row r="29803" customFormat="1" x14ac:dyDescent="0.25"/>
    <row r="29804" customFormat="1" x14ac:dyDescent="0.25"/>
    <row r="29805" customFormat="1" x14ac:dyDescent="0.25"/>
    <row r="29806" customFormat="1" x14ac:dyDescent="0.25"/>
    <row r="29807" customFormat="1" x14ac:dyDescent="0.25"/>
    <row r="29808" customFormat="1" x14ac:dyDescent="0.25"/>
    <row r="29809" customFormat="1" x14ac:dyDescent="0.25"/>
    <row r="29810" customFormat="1" x14ac:dyDescent="0.25"/>
    <row r="29811" customFormat="1" x14ac:dyDescent="0.25"/>
    <row r="29812" customFormat="1" x14ac:dyDescent="0.25"/>
    <row r="29813" customFormat="1" x14ac:dyDescent="0.25"/>
    <row r="29814" customFormat="1" x14ac:dyDescent="0.25"/>
    <row r="29815" customFormat="1" x14ac:dyDescent="0.25"/>
    <row r="29816" customFormat="1" x14ac:dyDescent="0.25"/>
    <row r="29817" customFormat="1" x14ac:dyDescent="0.25"/>
    <row r="29818" customFormat="1" x14ac:dyDescent="0.25"/>
    <row r="29819" customFormat="1" x14ac:dyDescent="0.25"/>
    <row r="29820" customFormat="1" x14ac:dyDescent="0.25"/>
    <row r="29821" customFormat="1" x14ac:dyDescent="0.25"/>
    <row r="29822" customFormat="1" x14ac:dyDescent="0.25"/>
    <row r="29823" customFormat="1" x14ac:dyDescent="0.25"/>
    <row r="29824" customFormat="1" x14ac:dyDescent="0.25"/>
    <row r="29825" customFormat="1" x14ac:dyDescent="0.25"/>
    <row r="29826" customFormat="1" x14ac:dyDescent="0.25"/>
    <row r="29827" customFormat="1" x14ac:dyDescent="0.25"/>
    <row r="29828" customFormat="1" x14ac:dyDescent="0.25"/>
    <row r="29829" customFormat="1" x14ac:dyDescent="0.25"/>
    <row r="29830" customFormat="1" x14ac:dyDescent="0.25"/>
    <row r="29831" customFormat="1" x14ac:dyDescent="0.25"/>
    <row r="29832" customFormat="1" x14ac:dyDescent="0.25"/>
    <row r="29833" customFormat="1" x14ac:dyDescent="0.25"/>
    <row r="29834" customFormat="1" x14ac:dyDescent="0.25"/>
    <row r="29835" customFormat="1" x14ac:dyDescent="0.25"/>
    <row r="29836" customFormat="1" x14ac:dyDescent="0.25"/>
    <row r="29837" customFormat="1" x14ac:dyDescent="0.25"/>
    <row r="29838" customFormat="1" x14ac:dyDescent="0.25"/>
    <row r="29839" customFormat="1" x14ac:dyDescent="0.25"/>
    <row r="29840" customFormat="1" x14ac:dyDescent="0.25"/>
    <row r="29841" customFormat="1" x14ac:dyDescent="0.25"/>
    <row r="29842" customFormat="1" x14ac:dyDescent="0.25"/>
    <row r="29843" customFormat="1" x14ac:dyDescent="0.25"/>
    <row r="29844" customFormat="1" x14ac:dyDescent="0.25"/>
    <row r="29845" customFormat="1" x14ac:dyDescent="0.25"/>
    <row r="29846" customFormat="1" x14ac:dyDescent="0.25"/>
    <row r="29847" customFormat="1" x14ac:dyDescent="0.25"/>
    <row r="29848" customFormat="1" x14ac:dyDescent="0.25"/>
    <row r="29849" customFormat="1" x14ac:dyDescent="0.25"/>
    <row r="29850" customFormat="1" x14ac:dyDescent="0.25"/>
    <row r="29851" customFormat="1" x14ac:dyDescent="0.25"/>
    <row r="29852" customFormat="1" x14ac:dyDescent="0.25"/>
    <row r="29853" customFormat="1" x14ac:dyDescent="0.25"/>
    <row r="29854" customFormat="1" x14ac:dyDescent="0.25"/>
    <row r="29855" customFormat="1" x14ac:dyDescent="0.25"/>
    <row r="29856" customFormat="1" x14ac:dyDescent="0.25"/>
    <row r="29857" customFormat="1" x14ac:dyDescent="0.25"/>
    <row r="29858" customFormat="1" x14ac:dyDescent="0.25"/>
    <row r="29859" customFormat="1" x14ac:dyDescent="0.25"/>
    <row r="29860" customFormat="1" x14ac:dyDescent="0.25"/>
    <row r="29861" customFormat="1" x14ac:dyDescent="0.25"/>
    <row r="29862" customFormat="1" x14ac:dyDescent="0.25"/>
    <row r="29863" customFormat="1" x14ac:dyDescent="0.25"/>
    <row r="29864" customFormat="1" x14ac:dyDescent="0.25"/>
    <row r="29865" customFormat="1" x14ac:dyDescent="0.25"/>
    <row r="29866" customFormat="1" x14ac:dyDescent="0.25"/>
    <row r="29867" customFormat="1" x14ac:dyDescent="0.25"/>
    <row r="29868" customFormat="1" x14ac:dyDescent="0.25"/>
    <row r="29869" customFormat="1" x14ac:dyDescent="0.25"/>
    <row r="29870" customFormat="1" x14ac:dyDescent="0.25"/>
    <row r="29871" customFormat="1" x14ac:dyDescent="0.25"/>
    <row r="29872" customFormat="1" x14ac:dyDescent="0.25"/>
    <row r="29873" customFormat="1" x14ac:dyDescent="0.25"/>
    <row r="29874" customFormat="1" x14ac:dyDescent="0.25"/>
    <row r="29875" customFormat="1" x14ac:dyDescent="0.25"/>
    <row r="29876" customFormat="1" x14ac:dyDescent="0.25"/>
    <row r="29877" customFormat="1" x14ac:dyDescent="0.25"/>
    <row r="29878" customFormat="1" x14ac:dyDescent="0.25"/>
    <row r="29879" customFormat="1" x14ac:dyDescent="0.25"/>
    <row r="29880" customFormat="1" x14ac:dyDescent="0.25"/>
    <row r="29881" customFormat="1" x14ac:dyDescent="0.25"/>
    <row r="29882" customFormat="1" x14ac:dyDescent="0.25"/>
    <row r="29883" customFormat="1" x14ac:dyDescent="0.25"/>
    <row r="29884" customFormat="1" x14ac:dyDescent="0.25"/>
    <row r="29885" customFormat="1" x14ac:dyDescent="0.25"/>
    <row r="29886" customFormat="1" x14ac:dyDescent="0.25"/>
    <row r="29887" customFormat="1" x14ac:dyDescent="0.25"/>
    <row r="29888" customFormat="1" x14ac:dyDescent="0.25"/>
    <row r="29889" customFormat="1" x14ac:dyDescent="0.25"/>
    <row r="29890" customFormat="1" x14ac:dyDescent="0.25"/>
    <row r="29891" customFormat="1" x14ac:dyDescent="0.25"/>
    <row r="29892" customFormat="1" x14ac:dyDescent="0.25"/>
    <row r="29893" customFormat="1" x14ac:dyDescent="0.25"/>
    <row r="29894" customFormat="1" x14ac:dyDescent="0.25"/>
    <row r="29895" customFormat="1" x14ac:dyDescent="0.25"/>
    <row r="29896" customFormat="1" x14ac:dyDescent="0.25"/>
    <row r="29897" customFormat="1" x14ac:dyDescent="0.25"/>
    <row r="29898" customFormat="1" x14ac:dyDescent="0.25"/>
    <row r="29899" customFormat="1" x14ac:dyDescent="0.25"/>
    <row r="29900" customFormat="1" x14ac:dyDescent="0.25"/>
    <row r="29901" customFormat="1" x14ac:dyDescent="0.25"/>
    <row r="29902" customFormat="1" x14ac:dyDescent="0.25"/>
    <row r="29903" customFormat="1" x14ac:dyDescent="0.25"/>
    <row r="29904" customFormat="1" x14ac:dyDescent="0.25"/>
    <row r="29905" customFormat="1" x14ac:dyDescent="0.25"/>
    <row r="29906" customFormat="1" x14ac:dyDescent="0.25"/>
    <row r="29907" customFormat="1" x14ac:dyDescent="0.25"/>
    <row r="29908" customFormat="1" x14ac:dyDescent="0.25"/>
    <row r="29909" customFormat="1" x14ac:dyDescent="0.25"/>
    <row r="29910" customFormat="1" x14ac:dyDescent="0.25"/>
    <row r="29911" customFormat="1" x14ac:dyDescent="0.25"/>
    <row r="29912" customFormat="1" x14ac:dyDescent="0.25"/>
    <row r="29913" customFormat="1" x14ac:dyDescent="0.25"/>
    <row r="29914" customFormat="1" x14ac:dyDescent="0.25"/>
    <row r="29915" customFormat="1" x14ac:dyDescent="0.25"/>
    <row r="29916" customFormat="1" x14ac:dyDescent="0.25"/>
    <row r="29917" customFormat="1" x14ac:dyDescent="0.25"/>
    <row r="29918" customFormat="1" x14ac:dyDescent="0.25"/>
    <row r="29919" customFormat="1" x14ac:dyDescent="0.25"/>
    <row r="29920" customFormat="1" x14ac:dyDescent="0.25"/>
    <row r="29921" customFormat="1" x14ac:dyDescent="0.25"/>
    <row r="29922" customFormat="1" x14ac:dyDescent="0.25"/>
    <row r="29923" customFormat="1" x14ac:dyDescent="0.25"/>
    <row r="29924" customFormat="1" x14ac:dyDescent="0.25"/>
    <row r="29925" customFormat="1" x14ac:dyDescent="0.25"/>
    <row r="29926" customFormat="1" x14ac:dyDescent="0.25"/>
    <row r="29927" customFormat="1" x14ac:dyDescent="0.25"/>
    <row r="29928" customFormat="1" x14ac:dyDescent="0.25"/>
    <row r="29929" customFormat="1" x14ac:dyDescent="0.25"/>
    <row r="29930" customFormat="1" x14ac:dyDescent="0.25"/>
    <row r="29931" customFormat="1" x14ac:dyDescent="0.25"/>
    <row r="29932" customFormat="1" x14ac:dyDescent="0.25"/>
    <row r="29933" customFormat="1" x14ac:dyDescent="0.25"/>
    <row r="29934" customFormat="1" x14ac:dyDescent="0.25"/>
    <row r="29935" customFormat="1" x14ac:dyDescent="0.25"/>
    <row r="29936" customFormat="1" x14ac:dyDescent="0.25"/>
    <row r="29937" customFormat="1" x14ac:dyDescent="0.25"/>
    <row r="29938" customFormat="1" x14ac:dyDescent="0.25"/>
    <row r="29939" customFormat="1" x14ac:dyDescent="0.25"/>
    <row r="29940" customFormat="1" x14ac:dyDescent="0.25"/>
    <row r="29941" customFormat="1" x14ac:dyDescent="0.25"/>
    <row r="29942" customFormat="1" x14ac:dyDescent="0.25"/>
    <row r="29943" customFormat="1" x14ac:dyDescent="0.25"/>
    <row r="29944" customFormat="1" x14ac:dyDescent="0.25"/>
    <row r="29945" customFormat="1" x14ac:dyDescent="0.25"/>
    <row r="29946" customFormat="1" x14ac:dyDescent="0.25"/>
    <row r="29947" customFormat="1" x14ac:dyDescent="0.25"/>
    <row r="29948" customFormat="1" x14ac:dyDescent="0.25"/>
    <row r="29949" customFormat="1" x14ac:dyDescent="0.25"/>
    <row r="29950" customFormat="1" x14ac:dyDescent="0.25"/>
    <row r="29951" customFormat="1" x14ac:dyDescent="0.25"/>
    <row r="29952" customFormat="1" x14ac:dyDescent="0.25"/>
    <row r="29953" customFormat="1" x14ac:dyDescent="0.25"/>
    <row r="29954" customFormat="1" x14ac:dyDescent="0.25"/>
    <row r="29955" customFormat="1" x14ac:dyDescent="0.25"/>
    <row r="29956" customFormat="1" x14ac:dyDescent="0.25"/>
    <row r="29957" customFormat="1" x14ac:dyDescent="0.25"/>
    <row r="29958" customFormat="1" x14ac:dyDescent="0.25"/>
    <row r="29959" customFormat="1" x14ac:dyDescent="0.25"/>
    <row r="29960" customFormat="1" x14ac:dyDescent="0.25"/>
    <row r="29961" customFormat="1" x14ac:dyDescent="0.25"/>
    <row r="29962" customFormat="1" x14ac:dyDescent="0.25"/>
    <row r="29963" customFormat="1" x14ac:dyDescent="0.25"/>
    <row r="29964" customFormat="1" x14ac:dyDescent="0.25"/>
    <row r="29965" customFormat="1" x14ac:dyDescent="0.25"/>
    <row r="29966" customFormat="1" x14ac:dyDescent="0.25"/>
    <row r="29967" customFormat="1" x14ac:dyDescent="0.25"/>
    <row r="29968" customFormat="1" x14ac:dyDescent="0.25"/>
    <row r="29969" customFormat="1" x14ac:dyDescent="0.25"/>
    <row r="29970" customFormat="1" x14ac:dyDescent="0.25"/>
    <row r="29971" customFormat="1" x14ac:dyDescent="0.25"/>
    <row r="29972" customFormat="1" x14ac:dyDescent="0.25"/>
    <row r="29973" customFormat="1" x14ac:dyDescent="0.25"/>
    <row r="29974" customFormat="1" x14ac:dyDescent="0.25"/>
    <row r="29975" customFormat="1" x14ac:dyDescent="0.25"/>
    <row r="29976" customFormat="1" x14ac:dyDescent="0.25"/>
    <row r="29977" customFormat="1" x14ac:dyDescent="0.25"/>
    <row r="29978" customFormat="1" x14ac:dyDescent="0.25"/>
    <row r="29979" customFormat="1" x14ac:dyDescent="0.25"/>
    <row r="29980" customFormat="1" x14ac:dyDescent="0.25"/>
    <row r="29981" customFormat="1" x14ac:dyDescent="0.25"/>
    <row r="29982" customFormat="1" x14ac:dyDescent="0.25"/>
    <row r="29983" customFormat="1" x14ac:dyDescent="0.25"/>
    <row r="29984" customFormat="1" x14ac:dyDescent="0.25"/>
    <row r="29985" customFormat="1" x14ac:dyDescent="0.25"/>
    <row r="29986" customFormat="1" x14ac:dyDescent="0.25"/>
    <row r="29987" customFormat="1" x14ac:dyDescent="0.25"/>
    <row r="29988" customFormat="1" x14ac:dyDescent="0.25"/>
    <row r="29989" customFormat="1" x14ac:dyDescent="0.25"/>
    <row r="29990" customFormat="1" x14ac:dyDescent="0.25"/>
    <row r="29991" customFormat="1" x14ac:dyDescent="0.25"/>
    <row r="29992" customFormat="1" x14ac:dyDescent="0.25"/>
    <row r="29993" customFormat="1" x14ac:dyDescent="0.25"/>
    <row r="29994" customFormat="1" x14ac:dyDescent="0.25"/>
    <row r="29995" customFormat="1" x14ac:dyDescent="0.25"/>
    <row r="29996" customFormat="1" x14ac:dyDescent="0.25"/>
    <row r="29997" customFormat="1" x14ac:dyDescent="0.25"/>
    <row r="29998" customFormat="1" x14ac:dyDescent="0.25"/>
    <row r="29999" customFormat="1" x14ac:dyDescent="0.25"/>
    <row r="30000" customFormat="1" x14ac:dyDescent="0.25"/>
    <row r="30001" customFormat="1" x14ac:dyDescent="0.25"/>
    <row r="30002" customFormat="1" x14ac:dyDescent="0.25"/>
    <row r="30003" customFormat="1" x14ac:dyDescent="0.25"/>
    <row r="30004" customFormat="1" x14ac:dyDescent="0.25"/>
    <row r="30005" customFormat="1" x14ac:dyDescent="0.25"/>
    <row r="30006" customFormat="1" x14ac:dyDescent="0.25"/>
    <row r="30007" customFormat="1" x14ac:dyDescent="0.25"/>
    <row r="30008" customFormat="1" x14ac:dyDescent="0.25"/>
    <row r="30009" customFormat="1" x14ac:dyDescent="0.25"/>
    <row r="30010" customFormat="1" x14ac:dyDescent="0.25"/>
    <row r="30011" customFormat="1" x14ac:dyDescent="0.25"/>
    <row r="30012" customFormat="1" x14ac:dyDescent="0.25"/>
    <row r="30013" customFormat="1" x14ac:dyDescent="0.25"/>
    <row r="30014" customFormat="1" x14ac:dyDescent="0.25"/>
    <row r="30015" customFormat="1" x14ac:dyDescent="0.25"/>
    <row r="30016" customFormat="1" x14ac:dyDescent="0.25"/>
    <row r="30017" customFormat="1" x14ac:dyDescent="0.25"/>
    <row r="30018" customFormat="1" x14ac:dyDescent="0.25"/>
    <row r="30019" customFormat="1" x14ac:dyDescent="0.25"/>
    <row r="30020" customFormat="1" x14ac:dyDescent="0.25"/>
    <row r="30021" customFormat="1" x14ac:dyDescent="0.25"/>
    <row r="30022" customFormat="1" x14ac:dyDescent="0.25"/>
    <row r="30023" customFormat="1" x14ac:dyDescent="0.25"/>
    <row r="30024" customFormat="1" x14ac:dyDescent="0.25"/>
    <row r="30025" customFormat="1" x14ac:dyDescent="0.25"/>
    <row r="30026" customFormat="1" x14ac:dyDescent="0.25"/>
    <row r="30027" customFormat="1" x14ac:dyDescent="0.25"/>
    <row r="30028" customFormat="1" x14ac:dyDescent="0.25"/>
    <row r="30029" customFormat="1" x14ac:dyDescent="0.25"/>
    <row r="30030" customFormat="1" x14ac:dyDescent="0.25"/>
    <row r="30031" customFormat="1" x14ac:dyDescent="0.25"/>
    <row r="30032" customFormat="1" x14ac:dyDescent="0.25"/>
    <row r="30033" customFormat="1" x14ac:dyDescent="0.25"/>
    <row r="30034" customFormat="1" x14ac:dyDescent="0.25"/>
    <row r="30035" customFormat="1" x14ac:dyDescent="0.25"/>
    <row r="30036" customFormat="1" x14ac:dyDescent="0.25"/>
    <row r="30037" customFormat="1" x14ac:dyDescent="0.25"/>
    <row r="30038" customFormat="1" x14ac:dyDescent="0.25"/>
    <row r="30039" customFormat="1" x14ac:dyDescent="0.25"/>
    <row r="30040" customFormat="1" x14ac:dyDescent="0.25"/>
    <row r="30041" customFormat="1" x14ac:dyDescent="0.25"/>
    <row r="30042" customFormat="1" x14ac:dyDescent="0.25"/>
    <row r="30043" customFormat="1" x14ac:dyDescent="0.25"/>
    <row r="30044" customFormat="1" x14ac:dyDescent="0.25"/>
    <row r="30045" customFormat="1" x14ac:dyDescent="0.25"/>
    <row r="30046" customFormat="1" x14ac:dyDescent="0.25"/>
    <row r="30047" customFormat="1" x14ac:dyDescent="0.25"/>
    <row r="30048" customFormat="1" x14ac:dyDescent="0.25"/>
    <row r="30049" customFormat="1" x14ac:dyDescent="0.25"/>
    <row r="30050" customFormat="1" x14ac:dyDescent="0.25"/>
    <row r="30051" customFormat="1" x14ac:dyDescent="0.25"/>
    <row r="30052" customFormat="1" x14ac:dyDescent="0.25"/>
    <row r="30053" customFormat="1" x14ac:dyDescent="0.25"/>
    <row r="30054" customFormat="1" x14ac:dyDescent="0.25"/>
    <row r="30055" customFormat="1" x14ac:dyDescent="0.25"/>
    <row r="30056" customFormat="1" x14ac:dyDescent="0.25"/>
    <row r="30057" customFormat="1" x14ac:dyDescent="0.25"/>
    <row r="30058" customFormat="1" x14ac:dyDescent="0.25"/>
    <row r="30059" customFormat="1" x14ac:dyDescent="0.25"/>
    <row r="30060" customFormat="1" x14ac:dyDescent="0.25"/>
    <row r="30061" customFormat="1" x14ac:dyDescent="0.25"/>
    <row r="30062" customFormat="1" x14ac:dyDescent="0.25"/>
    <row r="30063" customFormat="1" x14ac:dyDescent="0.25"/>
    <row r="30064" customFormat="1" x14ac:dyDescent="0.25"/>
    <row r="30065" customFormat="1" x14ac:dyDescent="0.25"/>
    <row r="30066" customFormat="1" x14ac:dyDescent="0.25"/>
    <row r="30067" customFormat="1" x14ac:dyDescent="0.25"/>
    <row r="30068" customFormat="1" x14ac:dyDescent="0.25"/>
    <row r="30069" customFormat="1" x14ac:dyDescent="0.25"/>
    <row r="30070" customFormat="1" x14ac:dyDescent="0.25"/>
    <row r="30071" customFormat="1" x14ac:dyDescent="0.25"/>
    <row r="30072" customFormat="1" x14ac:dyDescent="0.25"/>
    <row r="30073" customFormat="1" x14ac:dyDescent="0.25"/>
    <row r="30074" customFormat="1" x14ac:dyDescent="0.25"/>
    <row r="30075" customFormat="1" x14ac:dyDescent="0.25"/>
    <row r="30076" customFormat="1" x14ac:dyDescent="0.25"/>
    <row r="30077" customFormat="1" x14ac:dyDescent="0.25"/>
    <row r="30078" customFormat="1" x14ac:dyDescent="0.25"/>
    <row r="30079" customFormat="1" x14ac:dyDescent="0.25"/>
    <row r="30080" customFormat="1" x14ac:dyDescent="0.25"/>
    <row r="30081" customFormat="1" x14ac:dyDescent="0.25"/>
    <row r="30082" customFormat="1" x14ac:dyDescent="0.25"/>
    <row r="30083" customFormat="1" x14ac:dyDescent="0.25"/>
    <row r="30084" customFormat="1" x14ac:dyDescent="0.25"/>
    <row r="30085" customFormat="1" x14ac:dyDescent="0.25"/>
    <row r="30086" customFormat="1" x14ac:dyDescent="0.25"/>
    <row r="30087" customFormat="1" x14ac:dyDescent="0.25"/>
    <row r="30088" customFormat="1" x14ac:dyDescent="0.25"/>
    <row r="30089" customFormat="1" x14ac:dyDescent="0.25"/>
    <row r="30090" customFormat="1" x14ac:dyDescent="0.25"/>
    <row r="30091" customFormat="1" x14ac:dyDescent="0.25"/>
    <row r="30092" customFormat="1" x14ac:dyDescent="0.25"/>
    <row r="30093" customFormat="1" x14ac:dyDescent="0.25"/>
    <row r="30094" customFormat="1" x14ac:dyDescent="0.25"/>
    <row r="30095" customFormat="1" x14ac:dyDescent="0.25"/>
    <row r="30096" customFormat="1" x14ac:dyDescent="0.25"/>
    <row r="30097" customFormat="1" x14ac:dyDescent="0.25"/>
    <row r="30098" customFormat="1" x14ac:dyDescent="0.25"/>
    <row r="30099" customFormat="1" x14ac:dyDescent="0.25"/>
    <row r="30100" customFormat="1" x14ac:dyDescent="0.25"/>
    <row r="30101" customFormat="1" x14ac:dyDescent="0.25"/>
    <row r="30102" customFormat="1" x14ac:dyDescent="0.25"/>
    <row r="30103" customFormat="1" x14ac:dyDescent="0.25"/>
    <row r="30104" customFormat="1" x14ac:dyDescent="0.25"/>
    <row r="30105" customFormat="1" x14ac:dyDescent="0.25"/>
    <row r="30106" customFormat="1" x14ac:dyDescent="0.25"/>
    <row r="30107" customFormat="1" x14ac:dyDescent="0.25"/>
    <row r="30108" customFormat="1" x14ac:dyDescent="0.25"/>
    <row r="30109" customFormat="1" x14ac:dyDescent="0.25"/>
    <row r="30110" customFormat="1" x14ac:dyDescent="0.25"/>
    <row r="30111" customFormat="1" x14ac:dyDescent="0.25"/>
    <row r="30112" customFormat="1" x14ac:dyDescent="0.25"/>
    <row r="30113" customFormat="1" x14ac:dyDescent="0.25"/>
    <row r="30114" customFormat="1" x14ac:dyDescent="0.25"/>
    <row r="30115" customFormat="1" x14ac:dyDescent="0.25"/>
    <row r="30116" customFormat="1" x14ac:dyDescent="0.25"/>
    <row r="30117" customFormat="1" x14ac:dyDescent="0.25"/>
    <row r="30118" customFormat="1" x14ac:dyDescent="0.25"/>
    <row r="30119" customFormat="1" x14ac:dyDescent="0.25"/>
    <row r="30120" customFormat="1" x14ac:dyDescent="0.25"/>
    <row r="30121" customFormat="1" x14ac:dyDescent="0.25"/>
    <row r="30122" customFormat="1" x14ac:dyDescent="0.25"/>
    <row r="30123" customFormat="1" x14ac:dyDescent="0.25"/>
    <row r="30124" customFormat="1" x14ac:dyDescent="0.25"/>
    <row r="30125" customFormat="1" x14ac:dyDescent="0.25"/>
    <row r="30126" customFormat="1" x14ac:dyDescent="0.25"/>
    <row r="30127" customFormat="1" x14ac:dyDescent="0.25"/>
    <row r="30128" customFormat="1" x14ac:dyDescent="0.25"/>
    <row r="30129" customFormat="1" x14ac:dyDescent="0.25"/>
    <row r="30130" customFormat="1" x14ac:dyDescent="0.25"/>
    <row r="30131" customFormat="1" x14ac:dyDescent="0.25"/>
    <row r="30132" customFormat="1" x14ac:dyDescent="0.25"/>
    <row r="30133" customFormat="1" x14ac:dyDescent="0.25"/>
    <row r="30134" customFormat="1" x14ac:dyDescent="0.25"/>
    <row r="30135" customFormat="1" x14ac:dyDescent="0.25"/>
    <row r="30136" customFormat="1" x14ac:dyDescent="0.25"/>
    <row r="30137" customFormat="1" x14ac:dyDescent="0.25"/>
    <row r="30138" customFormat="1" x14ac:dyDescent="0.25"/>
    <row r="30139" customFormat="1" x14ac:dyDescent="0.25"/>
    <row r="30140" customFormat="1" x14ac:dyDescent="0.25"/>
    <row r="30141" customFormat="1" x14ac:dyDescent="0.25"/>
    <row r="30142" customFormat="1" x14ac:dyDescent="0.25"/>
    <row r="30143" customFormat="1" x14ac:dyDescent="0.25"/>
    <row r="30144" customFormat="1" x14ac:dyDescent="0.25"/>
    <row r="30145" customFormat="1" x14ac:dyDescent="0.25"/>
    <row r="30146" customFormat="1" x14ac:dyDescent="0.25"/>
    <row r="30147" customFormat="1" x14ac:dyDescent="0.25"/>
    <row r="30148" customFormat="1" x14ac:dyDescent="0.25"/>
    <row r="30149" customFormat="1" x14ac:dyDescent="0.25"/>
    <row r="30150" customFormat="1" x14ac:dyDescent="0.25"/>
    <row r="30151" customFormat="1" x14ac:dyDescent="0.25"/>
    <row r="30152" customFormat="1" x14ac:dyDescent="0.25"/>
    <row r="30153" customFormat="1" x14ac:dyDescent="0.25"/>
    <row r="30154" customFormat="1" x14ac:dyDescent="0.25"/>
    <row r="30155" customFormat="1" x14ac:dyDescent="0.25"/>
    <row r="30156" customFormat="1" x14ac:dyDescent="0.25"/>
    <row r="30157" customFormat="1" x14ac:dyDescent="0.25"/>
    <row r="30158" customFormat="1" x14ac:dyDescent="0.25"/>
    <row r="30159" customFormat="1" x14ac:dyDescent="0.25"/>
    <row r="30160" customFormat="1" x14ac:dyDescent="0.25"/>
    <row r="30161" customFormat="1" x14ac:dyDescent="0.25"/>
    <row r="30162" customFormat="1" x14ac:dyDescent="0.25"/>
    <row r="30163" customFormat="1" x14ac:dyDescent="0.25"/>
    <row r="30164" customFormat="1" x14ac:dyDescent="0.25"/>
    <row r="30165" customFormat="1" x14ac:dyDescent="0.25"/>
    <row r="30166" customFormat="1" x14ac:dyDescent="0.25"/>
    <row r="30167" customFormat="1" x14ac:dyDescent="0.25"/>
    <row r="30168" customFormat="1" x14ac:dyDescent="0.25"/>
    <row r="30169" customFormat="1" x14ac:dyDescent="0.25"/>
    <row r="30170" customFormat="1" x14ac:dyDescent="0.25"/>
    <row r="30171" customFormat="1" x14ac:dyDescent="0.25"/>
    <row r="30172" customFormat="1" x14ac:dyDescent="0.25"/>
    <row r="30173" customFormat="1" x14ac:dyDescent="0.25"/>
    <row r="30174" customFormat="1" x14ac:dyDescent="0.25"/>
    <row r="30175" customFormat="1" x14ac:dyDescent="0.25"/>
    <row r="30176" customFormat="1" x14ac:dyDescent="0.25"/>
    <row r="30177" customFormat="1" x14ac:dyDescent="0.25"/>
    <row r="30178" customFormat="1" x14ac:dyDescent="0.25"/>
    <row r="30179" customFormat="1" x14ac:dyDescent="0.25"/>
    <row r="30180" customFormat="1" x14ac:dyDescent="0.25"/>
    <row r="30181" customFormat="1" x14ac:dyDescent="0.25"/>
    <row r="30182" customFormat="1" x14ac:dyDescent="0.25"/>
    <row r="30183" customFormat="1" x14ac:dyDescent="0.25"/>
    <row r="30184" customFormat="1" x14ac:dyDescent="0.25"/>
    <row r="30185" customFormat="1" x14ac:dyDescent="0.25"/>
    <row r="30186" customFormat="1" x14ac:dyDescent="0.25"/>
    <row r="30187" customFormat="1" x14ac:dyDescent="0.25"/>
    <row r="30188" customFormat="1" x14ac:dyDescent="0.25"/>
    <row r="30189" customFormat="1" x14ac:dyDescent="0.25"/>
    <row r="30190" customFormat="1" x14ac:dyDescent="0.25"/>
    <row r="30191" customFormat="1" x14ac:dyDescent="0.25"/>
    <row r="30192" customFormat="1" x14ac:dyDescent="0.25"/>
    <row r="30193" customFormat="1" x14ac:dyDescent="0.25"/>
    <row r="30194" customFormat="1" x14ac:dyDescent="0.25"/>
    <row r="30195" customFormat="1" x14ac:dyDescent="0.25"/>
    <row r="30196" customFormat="1" x14ac:dyDescent="0.25"/>
    <row r="30197" customFormat="1" x14ac:dyDescent="0.25"/>
    <row r="30198" customFormat="1" x14ac:dyDescent="0.25"/>
    <row r="30199" customFormat="1" x14ac:dyDescent="0.25"/>
    <row r="30200" customFormat="1" x14ac:dyDescent="0.25"/>
    <row r="30201" customFormat="1" x14ac:dyDescent="0.25"/>
    <row r="30202" customFormat="1" x14ac:dyDescent="0.25"/>
    <row r="30203" customFormat="1" x14ac:dyDescent="0.25"/>
    <row r="30204" customFormat="1" x14ac:dyDescent="0.25"/>
    <row r="30205" customFormat="1" x14ac:dyDescent="0.25"/>
    <row r="30206" customFormat="1" x14ac:dyDescent="0.25"/>
    <row r="30207" customFormat="1" x14ac:dyDescent="0.25"/>
    <row r="30208" customFormat="1" x14ac:dyDescent="0.25"/>
    <row r="30209" customFormat="1" x14ac:dyDescent="0.25"/>
    <row r="30210" customFormat="1" x14ac:dyDescent="0.25"/>
    <row r="30211" customFormat="1" x14ac:dyDescent="0.25"/>
    <row r="30212" customFormat="1" x14ac:dyDescent="0.25"/>
    <row r="30213" customFormat="1" x14ac:dyDescent="0.25"/>
    <row r="30214" customFormat="1" x14ac:dyDescent="0.25"/>
    <row r="30215" customFormat="1" x14ac:dyDescent="0.25"/>
    <row r="30216" customFormat="1" x14ac:dyDescent="0.25"/>
    <row r="30217" customFormat="1" x14ac:dyDescent="0.25"/>
    <row r="30218" customFormat="1" x14ac:dyDescent="0.25"/>
    <row r="30219" customFormat="1" x14ac:dyDescent="0.25"/>
    <row r="30220" customFormat="1" x14ac:dyDescent="0.25"/>
    <row r="30221" customFormat="1" x14ac:dyDescent="0.25"/>
    <row r="30222" customFormat="1" x14ac:dyDescent="0.25"/>
    <row r="30223" customFormat="1" x14ac:dyDescent="0.25"/>
    <row r="30224" customFormat="1" x14ac:dyDescent="0.25"/>
    <row r="30225" customFormat="1" x14ac:dyDescent="0.25"/>
    <row r="30226" customFormat="1" x14ac:dyDescent="0.25"/>
    <row r="30227" customFormat="1" x14ac:dyDescent="0.25"/>
    <row r="30228" customFormat="1" x14ac:dyDescent="0.25"/>
    <row r="30229" customFormat="1" x14ac:dyDescent="0.25"/>
    <row r="30230" customFormat="1" x14ac:dyDescent="0.25"/>
    <row r="30231" customFormat="1" x14ac:dyDescent="0.25"/>
    <row r="30232" customFormat="1" x14ac:dyDescent="0.25"/>
    <row r="30233" customFormat="1" x14ac:dyDescent="0.25"/>
    <row r="30234" customFormat="1" x14ac:dyDescent="0.25"/>
    <row r="30235" customFormat="1" x14ac:dyDescent="0.25"/>
    <row r="30236" customFormat="1" x14ac:dyDescent="0.25"/>
    <row r="30237" customFormat="1" x14ac:dyDescent="0.25"/>
    <row r="30238" customFormat="1" x14ac:dyDescent="0.25"/>
    <row r="30239" customFormat="1" x14ac:dyDescent="0.25"/>
    <row r="30240" customFormat="1" x14ac:dyDescent="0.25"/>
    <row r="30241" customFormat="1" x14ac:dyDescent="0.25"/>
    <row r="30242" customFormat="1" x14ac:dyDescent="0.25"/>
    <row r="30243" customFormat="1" x14ac:dyDescent="0.25"/>
    <row r="30244" customFormat="1" x14ac:dyDescent="0.25"/>
    <row r="30245" customFormat="1" x14ac:dyDescent="0.25"/>
    <row r="30246" customFormat="1" x14ac:dyDescent="0.25"/>
    <row r="30247" customFormat="1" x14ac:dyDescent="0.25"/>
    <row r="30248" customFormat="1" x14ac:dyDescent="0.25"/>
    <row r="30249" customFormat="1" x14ac:dyDescent="0.25"/>
    <row r="30250" customFormat="1" x14ac:dyDescent="0.25"/>
    <row r="30251" customFormat="1" x14ac:dyDescent="0.25"/>
    <row r="30252" customFormat="1" x14ac:dyDescent="0.25"/>
    <row r="30253" customFormat="1" x14ac:dyDescent="0.25"/>
    <row r="30254" customFormat="1" x14ac:dyDescent="0.25"/>
    <row r="30255" customFormat="1" x14ac:dyDescent="0.25"/>
    <row r="30256" customFormat="1" x14ac:dyDescent="0.25"/>
    <row r="30257" customFormat="1" x14ac:dyDescent="0.25"/>
    <row r="30258" customFormat="1" x14ac:dyDescent="0.25"/>
    <row r="30259" customFormat="1" x14ac:dyDescent="0.25"/>
    <row r="30260" customFormat="1" x14ac:dyDescent="0.25"/>
    <row r="30261" customFormat="1" x14ac:dyDescent="0.25"/>
    <row r="30262" customFormat="1" x14ac:dyDescent="0.25"/>
    <row r="30263" customFormat="1" x14ac:dyDescent="0.25"/>
    <row r="30264" customFormat="1" x14ac:dyDescent="0.25"/>
    <row r="30265" customFormat="1" x14ac:dyDescent="0.25"/>
    <row r="30266" customFormat="1" x14ac:dyDescent="0.25"/>
    <row r="30267" customFormat="1" x14ac:dyDescent="0.25"/>
    <row r="30268" customFormat="1" x14ac:dyDescent="0.25"/>
    <row r="30269" customFormat="1" x14ac:dyDescent="0.25"/>
    <row r="30270" customFormat="1" x14ac:dyDescent="0.25"/>
    <row r="30271" customFormat="1" x14ac:dyDescent="0.25"/>
    <row r="30272" customFormat="1" x14ac:dyDescent="0.25"/>
    <row r="30273" customFormat="1" x14ac:dyDescent="0.25"/>
    <row r="30274" customFormat="1" x14ac:dyDescent="0.25"/>
    <row r="30275" customFormat="1" x14ac:dyDescent="0.25"/>
    <row r="30276" customFormat="1" x14ac:dyDescent="0.25"/>
    <row r="30277" customFormat="1" x14ac:dyDescent="0.25"/>
    <row r="30278" customFormat="1" x14ac:dyDescent="0.25"/>
    <row r="30279" customFormat="1" x14ac:dyDescent="0.25"/>
    <row r="30280" customFormat="1" x14ac:dyDescent="0.25"/>
    <row r="30281" customFormat="1" x14ac:dyDescent="0.25"/>
    <row r="30282" customFormat="1" x14ac:dyDescent="0.25"/>
    <row r="30283" customFormat="1" x14ac:dyDescent="0.25"/>
    <row r="30284" customFormat="1" x14ac:dyDescent="0.25"/>
    <row r="30285" customFormat="1" x14ac:dyDescent="0.25"/>
    <row r="30286" customFormat="1" x14ac:dyDescent="0.25"/>
    <row r="30287" customFormat="1" x14ac:dyDescent="0.25"/>
    <row r="30288" customFormat="1" x14ac:dyDescent="0.25"/>
    <row r="30289" customFormat="1" x14ac:dyDescent="0.25"/>
    <row r="30290" customFormat="1" x14ac:dyDescent="0.25"/>
    <row r="30291" customFormat="1" x14ac:dyDescent="0.25"/>
    <row r="30292" customFormat="1" x14ac:dyDescent="0.25"/>
    <row r="30293" customFormat="1" x14ac:dyDescent="0.25"/>
    <row r="30294" customFormat="1" x14ac:dyDescent="0.25"/>
    <row r="30295" customFormat="1" x14ac:dyDescent="0.25"/>
    <row r="30296" customFormat="1" x14ac:dyDescent="0.25"/>
    <row r="30297" customFormat="1" x14ac:dyDescent="0.25"/>
    <row r="30298" customFormat="1" x14ac:dyDescent="0.25"/>
    <row r="30299" customFormat="1" x14ac:dyDescent="0.25"/>
    <row r="30300" customFormat="1" x14ac:dyDescent="0.25"/>
    <row r="30301" customFormat="1" x14ac:dyDescent="0.25"/>
    <row r="30302" customFormat="1" x14ac:dyDescent="0.25"/>
    <row r="30303" customFormat="1" x14ac:dyDescent="0.25"/>
    <row r="30304" customFormat="1" x14ac:dyDescent="0.25"/>
    <row r="30305" customFormat="1" x14ac:dyDescent="0.25"/>
    <row r="30306" customFormat="1" x14ac:dyDescent="0.25"/>
    <row r="30307" customFormat="1" x14ac:dyDescent="0.25"/>
    <row r="30308" customFormat="1" x14ac:dyDescent="0.25"/>
    <row r="30309" customFormat="1" x14ac:dyDescent="0.25"/>
    <row r="30310" customFormat="1" x14ac:dyDescent="0.25"/>
    <row r="30311" customFormat="1" x14ac:dyDescent="0.25"/>
    <row r="30312" customFormat="1" x14ac:dyDescent="0.25"/>
    <row r="30313" customFormat="1" x14ac:dyDescent="0.25"/>
    <row r="30314" customFormat="1" x14ac:dyDescent="0.25"/>
    <row r="30315" customFormat="1" x14ac:dyDescent="0.25"/>
    <row r="30316" customFormat="1" x14ac:dyDescent="0.25"/>
    <row r="30317" customFormat="1" x14ac:dyDescent="0.25"/>
    <row r="30318" customFormat="1" x14ac:dyDescent="0.25"/>
    <row r="30319" customFormat="1" x14ac:dyDescent="0.25"/>
    <row r="30320" customFormat="1" x14ac:dyDescent="0.25"/>
    <row r="30321" customFormat="1" x14ac:dyDescent="0.25"/>
    <row r="30322" customFormat="1" x14ac:dyDescent="0.25"/>
    <row r="30323" customFormat="1" x14ac:dyDescent="0.25"/>
    <row r="30324" customFormat="1" x14ac:dyDescent="0.25"/>
    <row r="30325" customFormat="1" x14ac:dyDescent="0.25"/>
    <row r="30326" customFormat="1" x14ac:dyDescent="0.25"/>
    <row r="30327" customFormat="1" x14ac:dyDescent="0.25"/>
    <row r="30328" customFormat="1" x14ac:dyDescent="0.25"/>
    <row r="30329" customFormat="1" x14ac:dyDescent="0.25"/>
    <row r="30330" customFormat="1" x14ac:dyDescent="0.25"/>
    <row r="30331" customFormat="1" x14ac:dyDescent="0.25"/>
    <row r="30332" customFormat="1" x14ac:dyDescent="0.25"/>
    <row r="30333" customFormat="1" x14ac:dyDescent="0.25"/>
    <row r="30334" customFormat="1" x14ac:dyDescent="0.25"/>
    <row r="30335" customFormat="1" x14ac:dyDescent="0.25"/>
    <row r="30336" customFormat="1" x14ac:dyDescent="0.25"/>
    <row r="30337" customFormat="1" x14ac:dyDescent="0.25"/>
    <row r="30338" customFormat="1" x14ac:dyDescent="0.25"/>
    <row r="30339" customFormat="1" x14ac:dyDescent="0.25"/>
    <row r="30340" customFormat="1" x14ac:dyDescent="0.25"/>
    <row r="30341" customFormat="1" x14ac:dyDescent="0.25"/>
    <row r="30342" customFormat="1" x14ac:dyDescent="0.25"/>
    <row r="30343" customFormat="1" x14ac:dyDescent="0.25"/>
    <row r="30344" customFormat="1" x14ac:dyDescent="0.25"/>
    <row r="30345" customFormat="1" x14ac:dyDescent="0.25"/>
    <row r="30346" customFormat="1" x14ac:dyDescent="0.25"/>
    <row r="30347" customFormat="1" x14ac:dyDescent="0.25"/>
    <row r="30348" customFormat="1" x14ac:dyDescent="0.25"/>
    <row r="30349" customFormat="1" x14ac:dyDescent="0.25"/>
    <row r="30350" customFormat="1" x14ac:dyDescent="0.25"/>
    <row r="30351" customFormat="1" x14ac:dyDescent="0.25"/>
    <row r="30352" customFormat="1" x14ac:dyDescent="0.25"/>
    <row r="30353" customFormat="1" x14ac:dyDescent="0.25"/>
    <row r="30354" customFormat="1" x14ac:dyDescent="0.25"/>
    <row r="30355" customFormat="1" x14ac:dyDescent="0.25"/>
    <row r="30356" customFormat="1" x14ac:dyDescent="0.25"/>
    <row r="30357" customFormat="1" x14ac:dyDescent="0.25"/>
    <row r="30358" customFormat="1" x14ac:dyDescent="0.25"/>
    <row r="30359" customFormat="1" x14ac:dyDescent="0.25"/>
    <row r="30360" customFormat="1" x14ac:dyDescent="0.25"/>
    <row r="30361" customFormat="1" x14ac:dyDescent="0.25"/>
    <row r="30362" customFormat="1" x14ac:dyDescent="0.25"/>
    <row r="30363" customFormat="1" x14ac:dyDescent="0.25"/>
    <row r="30364" customFormat="1" x14ac:dyDescent="0.25"/>
    <row r="30365" customFormat="1" x14ac:dyDescent="0.25"/>
    <row r="30366" customFormat="1" x14ac:dyDescent="0.25"/>
    <row r="30367" customFormat="1" x14ac:dyDescent="0.25"/>
    <row r="30368" customFormat="1" x14ac:dyDescent="0.25"/>
    <row r="30369" customFormat="1" x14ac:dyDescent="0.25"/>
    <row r="30370" customFormat="1" x14ac:dyDescent="0.25"/>
    <row r="30371" customFormat="1" x14ac:dyDescent="0.25"/>
    <row r="30372" customFormat="1" x14ac:dyDescent="0.25"/>
    <row r="30373" customFormat="1" x14ac:dyDescent="0.25"/>
    <row r="30374" customFormat="1" x14ac:dyDescent="0.25"/>
    <row r="30375" customFormat="1" x14ac:dyDescent="0.25"/>
    <row r="30376" customFormat="1" x14ac:dyDescent="0.25"/>
    <row r="30377" customFormat="1" x14ac:dyDescent="0.25"/>
    <row r="30378" customFormat="1" x14ac:dyDescent="0.25"/>
    <row r="30379" customFormat="1" x14ac:dyDescent="0.25"/>
    <row r="30380" customFormat="1" x14ac:dyDescent="0.25"/>
    <row r="30381" customFormat="1" x14ac:dyDescent="0.25"/>
    <row r="30382" customFormat="1" x14ac:dyDescent="0.25"/>
    <row r="30383" customFormat="1" x14ac:dyDescent="0.25"/>
    <row r="30384" customFormat="1" x14ac:dyDescent="0.25"/>
    <row r="30385" customFormat="1" x14ac:dyDescent="0.25"/>
    <row r="30386" customFormat="1" x14ac:dyDescent="0.25"/>
    <row r="30387" customFormat="1" x14ac:dyDescent="0.25"/>
    <row r="30388" customFormat="1" x14ac:dyDescent="0.25"/>
    <row r="30389" customFormat="1" x14ac:dyDescent="0.25"/>
    <row r="30390" customFormat="1" x14ac:dyDescent="0.25"/>
    <row r="30391" customFormat="1" x14ac:dyDescent="0.25"/>
    <row r="30392" customFormat="1" x14ac:dyDescent="0.25"/>
    <row r="30393" customFormat="1" x14ac:dyDescent="0.25"/>
    <row r="30394" customFormat="1" x14ac:dyDescent="0.25"/>
    <row r="30395" customFormat="1" x14ac:dyDescent="0.25"/>
    <row r="30396" customFormat="1" x14ac:dyDescent="0.25"/>
    <row r="30397" customFormat="1" x14ac:dyDescent="0.25"/>
    <row r="30398" customFormat="1" x14ac:dyDescent="0.25"/>
    <row r="30399" customFormat="1" x14ac:dyDescent="0.25"/>
    <row r="30400" customFormat="1" x14ac:dyDescent="0.25"/>
    <row r="30401" customFormat="1" x14ac:dyDescent="0.25"/>
    <row r="30402" customFormat="1" x14ac:dyDescent="0.25"/>
    <row r="30403" customFormat="1" x14ac:dyDescent="0.25"/>
    <row r="30404" customFormat="1" x14ac:dyDescent="0.25"/>
    <row r="30405" customFormat="1" x14ac:dyDescent="0.25"/>
    <row r="30406" customFormat="1" x14ac:dyDescent="0.25"/>
    <row r="30407" customFormat="1" x14ac:dyDescent="0.25"/>
    <row r="30408" customFormat="1" x14ac:dyDescent="0.25"/>
    <row r="30409" customFormat="1" x14ac:dyDescent="0.25"/>
    <row r="30410" customFormat="1" x14ac:dyDescent="0.25"/>
    <row r="30411" customFormat="1" x14ac:dyDescent="0.25"/>
    <row r="30412" customFormat="1" x14ac:dyDescent="0.25"/>
    <row r="30413" customFormat="1" x14ac:dyDescent="0.25"/>
    <row r="30414" customFormat="1" x14ac:dyDescent="0.25"/>
    <row r="30415" customFormat="1" x14ac:dyDescent="0.25"/>
    <row r="30416" customFormat="1" x14ac:dyDescent="0.25"/>
    <row r="30417" customFormat="1" x14ac:dyDescent="0.25"/>
    <row r="30418" customFormat="1" x14ac:dyDescent="0.25"/>
    <row r="30419" customFormat="1" x14ac:dyDescent="0.25"/>
    <row r="30420" customFormat="1" x14ac:dyDescent="0.25"/>
    <row r="30421" customFormat="1" x14ac:dyDescent="0.25"/>
    <row r="30422" customFormat="1" x14ac:dyDescent="0.25"/>
    <row r="30423" customFormat="1" x14ac:dyDescent="0.25"/>
    <row r="30424" customFormat="1" x14ac:dyDescent="0.25"/>
    <row r="30425" customFormat="1" x14ac:dyDescent="0.25"/>
    <row r="30426" customFormat="1" x14ac:dyDescent="0.25"/>
    <row r="30427" customFormat="1" x14ac:dyDescent="0.25"/>
    <row r="30428" customFormat="1" x14ac:dyDescent="0.25"/>
    <row r="30429" customFormat="1" x14ac:dyDescent="0.25"/>
    <row r="30430" customFormat="1" x14ac:dyDescent="0.25"/>
    <row r="30431" customFormat="1" x14ac:dyDescent="0.25"/>
    <row r="30432" customFormat="1" x14ac:dyDescent="0.25"/>
    <row r="30433" customFormat="1" x14ac:dyDescent="0.25"/>
    <row r="30434" customFormat="1" x14ac:dyDescent="0.25"/>
    <row r="30435" customFormat="1" x14ac:dyDescent="0.25"/>
    <row r="30436" customFormat="1" x14ac:dyDescent="0.25"/>
    <row r="30437" customFormat="1" x14ac:dyDescent="0.25"/>
    <row r="30438" customFormat="1" x14ac:dyDescent="0.25"/>
    <row r="30439" customFormat="1" x14ac:dyDescent="0.25"/>
    <row r="30440" customFormat="1" x14ac:dyDescent="0.25"/>
    <row r="30441" customFormat="1" x14ac:dyDescent="0.25"/>
    <row r="30442" customFormat="1" x14ac:dyDescent="0.25"/>
    <row r="30443" customFormat="1" x14ac:dyDescent="0.25"/>
    <row r="30444" customFormat="1" x14ac:dyDescent="0.25"/>
    <row r="30445" customFormat="1" x14ac:dyDescent="0.25"/>
    <row r="30446" customFormat="1" x14ac:dyDescent="0.25"/>
    <row r="30447" customFormat="1" x14ac:dyDescent="0.25"/>
    <row r="30448" customFormat="1" x14ac:dyDescent="0.25"/>
    <row r="30449" customFormat="1" x14ac:dyDescent="0.25"/>
    <row r="30450" customFormat="1" x14ac:dyDescent="0.25"/>
    <row r="30451" customFormat="1" x14ac:dyDescent="0.25"/>
    <row r="30452" customFormat="1" x14ac:dyDescent="0.25"/>
    <row r="30453" customFormat="1" x14ac:dyDescent="0.25"/>
    <row r="30454" customFormat="1" x14ac:dyDescent="0.25"/>
    <row r="30455" customFormat="1" x14ac:dyDescent="0.25"/>
    <row r="30456" customFormat="1" x14ac:dyDescent="0.25"/>
    <row r="30457" customFormat="1" x14ac:dyDescent="0.25"/>
    <row r="30458" customFormat="1" x14ac:dyDescent="0.25"/>
    <row r="30459" customFormat="1" x14ac:dyDescent="0.25"/>
    <row r="30460" customFormat="1" x14ac:dyDescent="0.25"/>
    <row r="30461" customFormat="1" x14ac:dyDescent="0.25"/>
    <row r="30462" customFormat="1" x14ac:dyDescent="0.25"/>
    <row r="30463" customFormat="1" x14ac:dyDescent="0.25"/>
    <row r="30464" customFormat="1" x14ac:dyDescent="0.25"/>
    <row r="30465" customFormat="1" x14ac:dyDescent="0.25"/>
    <row r="30466" customFormat="1" x14ac:dyDescent="0.25"/>
    <row r="30467" customFormat="1" x14ac:dyDescent="0.25"/>
    <row r="30468" customFormat="1" x14ac:dyDescent="0.25"/>
    <row r="30469" customFormat="1" x14ac:dyDescent="0.25"/>
    <row r="30470" customFormat="1" x14ac:dyDescent="0.25"/>
    <row r="30471" customFormat="1" x14ac:dyDescent="0.25"/>
    <row r="30472" customFormat="1" x14ac:dyDescent="0.25"/>
    <row r="30473" customFormat="1" x14ac:dyDescent="0.25"/>
    <row r="30474" customFormat="1" x14ac:dyDescent="0.25"/>
    <row r="30475" customFormat="1" x14ac:dyDescent="0.25"/>
    <row r="30476" customFormat="1" x14ac:dyDescent="0.25"/>
    <row r="30477" customFormat="1" x14ac:dyDescent="0.25"/>
    <row r="30478" customFormat="1" x14ac:dyDescent="0.25"/>
    <row r="30479" customFormat="1" x14ac:dyDescent="0.25"/>
    <row r="30480" customFormat="1" x14ac:dyDescent="0.25"/>
    <row r="30481" customFormat="1" x14ac:dyDescent="0.25"/>
    <row r="30482" customFormat="1" x14ac:dyDescent="0.25"/>
    <row r="30483" customFormat="1" x14ac:dyDescent="0.25"/>
    <row r="30484" customFormat="1" x14ac:dyDescent="0.25"/>
    <row r="30485" customFormat="1" x14ac:dyDescent="0.25"/>
    <row r="30486" customFormat="1" x14ac:dyDescent="0.25"/>
    <row r="30487" customFormat="1" x14ac:dyDescent="0.25"/>
    <row r="30488" customFormat="1" x14ac:dyDescent="0.25"/>
    <row r="30489" customFormat="1" x14ac:dyDescent="0.25"/>
    <row r="30490" customFormat="1" x14ac:dyDescent="0.25"/>
    <row r="30491" customFormat="1" x14ac:dyDescent="0.25"/>
    <row r="30492" customFormat="1" x14ac:dyDescent="0.25"/>
    <row r="30493" customFormat="1" x14ac:dyDescent="0.25"/>
    <row r="30494" customFormat="1" x14ac:dyDescent="0.25"/>
    <row r="30495" customFormat="1" x14ac:dyDescent="0.25"/>
    <row r="30496" customFormat="1" x14ac:dyDescent="0.25"/>
    <row r="30497" customFormat="1" x14ac:dyDescent="0.25"/>
    <row r="30498" customFormat="1" x14ac:dyDescent="0.25"/>
    <row r="30499" customFormat="1" x14ac:dyDescent="0.25"/>
    <row r="30500" customFormat="1" x14ac:dyDescent="0.25"/>
    <row r="30501" customFormat="1" x14ac:dyDescent="0.25"/>
    <row r="30502" customFormat="1" x14ac:dyDescent="0.25"/>
    <row r="30503" customFormat="1" x14ac:dyDescent="0.25"/>
    <row r="30504" customFormat="1" x14ac:dyDescent="0.25"/>
    <row r="30505" customFormat="1" x14ac:dyDescent="0.25"/>
    <row r="30506" customFormat="1" x14ac:dyDescent="0.25"/>
    <row r="30507" customFormat="1" x14ac:dyDescent="0.25"/>
    <row r="30508" customFormat="1" x14ac:dyDescent="0.25"/>
    <row r="30509" customFormat="1" x14ac:dyDescent="0.25"/>
    <row r="30510" customFormat="1" x14ac:dyDescent="0.25"/>
    <row r="30511" customFormat="1" x14ac:dyDescent="0.25"/>
    <row r="30512" customFormat="1" x14ac:dyDescent="0.25"/>
    <row r="30513" customFormat="1" x14ac:dyDescent="0.25"/>
    <row r="30514" customFormat="1" x14ac:dyDescent="0.25"/>
    <row r="30515" customFormat="1" x14ac:dyDescent="0.25"/>
    <row r="30516" customFormat="1" x14ac:dyDescent="0.25"/>
    <row r="30517" customFormat="1" x14ac:dyDescent="0.25"/>
    <row r="30518" customFormat="1" x14ac:dyDescent="0.25"/>
    <row r="30519" customFormat="1" x14ac:dyDescent="0.25"/>
    <row r="30520" customFormat="1" x14ac:dyDescent="0.25"/>
    <row r="30521" customFormat="1" x14ac:dyDescent="0.25"/>
    <row r="30522" customFormat="1" x14ac:dyDescent="0.25"/>
    <row r="30523" customFormat="1" x14ac:dyDescent="0.25"/>
    <row r="30524" customFormat="1" x14ac:dyDescent="0.25"/>
    <row r="30525" customFormat="1" x14ac:dyDescent="0.25"/>
    <row r="30526" customFormat="1" x14ac:dyDescent="0.25"/>
    <row r="30527" customFormat="1" x14ac:dyDescent="0.25"/>
    <row r="30528" customFormat="1" x14ac:dyDescent="0.25"/>
    <row r="30529" customFormat="1" x14ac:dyDescent="0.25"/>
    <row r="30530" customFormat="1" x14ac:dyDescent="0.25"/>
    <row r="30531" customFormat="1" x14ac:dyDescent="0.25"/>
    <row r="30532" customFormat="1" x14ac:dyDescent="0.25"/>
    <row r="30533" customFormat="1" x14ac:dyDescent="0.25"/>
    <row r="30534" customFormat="1" x14ac:dyDescent="0.25"/>
    <row r="30535" customFormat="1" x14ac:dyDescent="0.25"/>
    <row r="30536" customFormat="1" x14ac:dyDescent="0.25"/>
    <row r="30537" customFormat="1" x14ac:dyDescent="0.25"/>
    <row r="30538" customFormat="1" x14ac:dyDescent="0.25"/>
    <row r="30539" customFormat="1" x14ac:dyDescent="0.25"/>
    <row r="30540" customFormat="1" x14ac:dyDescent="0.25"/>
    <row r="30541" customFormat="1" x14ac:dyDescent="0.25"/>
    <row r="30542" customFormat="1" x14ac:dyDescent="0.25"/>
    <row r="30543" customFormat="1" x14ac:dyDescent="0.25"/>
    <row r="30544" customFormat="1" x14ac:dyDescent="0.25"/>
    <row r="30545" customFormat="1" x14ac:dyDescent="0.25"/>
    <row r="30546" customFormat="1" x14ac:dyDescent="0.25"/>
    <row r="30547" customFormat="1" x14ac:dyDescent="0.25"/>
    <row r="30548" customFormat="1" x14ac:dyDescent="0.25"/>
    <row r="30549" customFormat="1" x14ac:dyDescent="0.25"/>
    <row r="30550" customFormat="1" x14ac:dyDescent="0.25"/>
    <row r="30551" customFormat="1" x14ac:dyDescent="0.25"/>
    <row r="30552" customFormat="1" x14ac:dyDescent="0.25"/>
    <row r="30553" customFormat="1" x14ac:dyDescent="0.25"/>
    <row r="30554" customFormat="1" x14ac:dyDescent="0.25"/>
    <row r="30555" customFormat="1" x14ac:dyDescent="0.25"/>
    <row r="30556" customFormat="1" x14ac:dyDescent="0.25"/>
    <row r="30557" customFormat="1" x14ac:dyDescent="0.25"/>
    <row r="30558" customFormat="1" x14ac:dyDescent="0.25"/>
    <row r="30559" customFormat="1" x14ac:dyDescent="0.25"/>
    <row r="30560" customFormat="1" x14ac:dyDescent="0.25"/>
    <row r="30561" customFormat="1" x14ac:dyDescent="0.25"/>
    <row r="30562" customFormat="1" x14ac:dyDescent="0.25"/>
    <row r="30563" customFormat="1" x14ac:dyDescent="0.25"/>
    <row r="30564" customFormat="1" x14ac:dyDescent="0.25"/>
    <row r="30565" customFormat="1" x14ac:dyDescent="0.25"/>
    <row r="30566" customFormat="1" x14ac:dyDescent="0.25"/>
    <row r="30567" customFormat="1" x14ac:dyDescent="0.25"/>
    <row r="30568" customFormat="1" x14ac:dyDescent="0.25"/>
    <row r="30569" customFormat="1" x14ac:dyDescent="0.25"/>
    <row r="30570" customFormat="1" x14ac:dyDescent="0.25"/>
    <row r="30571" customFormat="1" x14ac:dyDescent="0.25"/>
    <row r="30572" customFormat="1" x14ac:dyDescent="0.25"/>
    <row r="30573" customFormat="1" x14ac:dyDescent="0.25"/>
    <row r="30574" customFormat="1" x14ac:dyDescent="0.25"/>
    <row r="30575" customFormat="1" x14ac:dyDescent="0.25"/>
    <row r="30576" customFormat="1" x14ac:dyDescent="0.25"/>
    <row r="30577" customFormat="1" x14ac:dyDescent="0.25"/>
    <row r="30578" customFormat="1" x14ac:dyDescent="0.25"/>
    <row r="30579" customFormat="1" x14ac:dyDescent="0.25"/>
    <row r="30580" customFormat="1" x14ac:dyDescent="0.25"/>
    <row r="30581" customFormat="1" x14ac:dyDescent="0.25"/>
    <row r="30582" customFormat="1" x14ac:dyDescent="0.25"/>
    <row r="30583" customFormat="1" x14ac:dyDescent="0.25"/>
    <row r="30584" customFormat="1" x14ac:dyDescent="0.25"/>
    <row r="30585" customFormat="1" x14ac:dyDescent="0.25"/>
    <row r="30586" customFormat="1" x14ac:dyDescent="0.25"/>
    <row r="30587" customFormat="1" x14ac:dyDescent="0.25"/>
    <row r="30588" customFormat="1" x14ac:dyDescent="0.25"/>
    <row r="30589" customFormat="1" x14ac:dyDescent="0.25"/>
    <row r="30590" customFormat="1" x14ac:dyDescent="0.25"/>
    <row r="30591" customFormat="1" x14ac:dyDescent="0.25"/>
    <row r="30592" customFormat="1" x14ac:dyDescent="0.25"/>
    <row r="30593" customFormat="1" x14ac:dyDescent="0.25"/>
    <row r="30594" customFormat="1" x14ac:dyDescent="0.25"/>
    <row r="30595" customFormat="1" x14ac:dyDescent="0.25"/>
    <row r="30596" customFormat="1" x14ac:dyDescent="0.25"/>
    <row r="30597" customFormat="1" x14ac:dyDescent="0.25"/>
    <row r="30598" customFormat="1" x14ac:dyDescent="0.25"/>
    <row r="30599" customFormat="1" x14ac:dyDescent="0.25"/>
    <row r="30600" customFormat="1" x14ac:dyDescent="0.25"/>
    <row r="30601" customFormat="1" x14ac:dyDescent="0.25"/>
    <row r="30602" customFormat="1" x14ac:dyDescent="0.25"/>
    <row r="30603" customFormat="1" x14ac:dyDescent="0.25"/>
    <row r="30604" customFormat="1" x14ac:dyDescent="0.25"/>
    <row r="30605" customFormat="1" x14ac:dyDescent="0.25"/>
    <row r="30606" customFormat="1" x14ac:dyDescent="0.25"/>
    <row r="30607" customFormat="1" x14ac:dyDescent="0.25"/>
    <row r="30608" customFormat="1" x14ac:dyDescent="0.25"/>
    <row r="30609" customFormat="1" x14ac:dyDescent="0.25"/>
    <row r="30610" customFormat="1" x14ac:dyDescent="0.25"/>
    <row r="30611" customFormat="1" x14ac:dyDescent="0.25"/>
    <row r="30612" customFormat="1" x14ac:dyDescent="0.25"/>
    <row r="30613" customFormat="1" x14ac:dyDescent="0.25"/>
    <row r="30614" customFormat="1" x14ac:dyDescent="0.25"/>
    <row r="30615" customFormat="1" x14ac:dyDescent="0.25"/>
    <row r="30616" customFormat="1" x14ac:dyDescent="0.25"/>
    <row r="30617" customFormat="1" x14ac:dyDescent="0.25"/>
    <row r="30618" customFormat="1" x14ac:dyDescent="0.25"/>
    <row r="30619" customFormat="1" x14ac:dyDescent="0.25"/>
    <row r="30620" customFormat="1" x14ac:dyDescent="0.25"/>
    <row r="30621" customFormat="1" x14ac:dyDescent="0.25"/>
    <row r="30622" customFormat="1" x14ac:dyDescent="0.25"/>
    <row r="30623" customFormat="1" x14ac:dyDescent="0.25"/>
    <row r="30624" customFormat="1" x14ac:dyDescent="0.25"/>
    <row r="30625" customFormat="1" x14ac:dyDescent="0.25"/>
    <row r="30626" customFormat="1" x14ac:dyDescent="0.25"/>
    <row r="30627" customFormat="1" x14ac:dyDescent="0.25"/>
    <row r="30628" customFormat="1" x14ac:dyDescent="0.25"/>
    <row r="30629" customFormat="1" x14ac:dyDescent="0.25"/>
    <row r="30630" customFormat="1" x14ac:dyDescent="0.25"/>
    <row r="30631" customFormat="1" x14ac:dyDescent="0.25"/>
    <row r="30632" customFormat="1" x14ac:dyDescent="0.25"/>
    <row r="30633" customFormat="1" x14ac:dyDescent="0.25"/>
    <row r="30634" customFormat="1" x14ac:dyDescent="0.25"/>
    <row r="30635" customFormat="1" x14ac:dyDescent="0.25"/>
    <row r="30636" customFormat="1" x14ac:dyDescent="0.25"/>
    <row r="30637" customFormat="1" x14ac:dyDescent="0.25"/>
    <row r="30638" customFormat="1" x14ac:dyDescent="0.25"/>
    <row r="30639" customFormat="1" x14ac:dyDescent="0.25"/>
    <row r="30640" customFormat="1" x14ac:dyDescent="0.25"/>
    <row r="30641" customFormat="1" x14ac:dyDescent="0.25"/>
    <row r="30642" customFormat="1" x14ac:dyDescent="0.25"/>
    <row r="30643" customFormat="1" x14ac:dyDescent="0.25"/>
    <row r="30644" customFormat="1" x14ac:dyDescent="0.25"/>
    <row r="30645" customFormat="1" x14ac:dyDescent="0.25"/>
    <row r="30646" customFormat="1" x14ac:dyDescent="0.25"/>
    <row r="30647" customFormat="1" x14ac:dyDescent="0.25"/>
    <row r="30648" customFormat="1" x14ac:dyDescent="0.25"/>
    <row r="30649" customFormat="1" x14ac:dyDescent="0.25"/>
    <row r="30650" customFormat="1" x14ac:dyDescent="0.25"/>
    <row r="30651" customFormat="1" x14ac:dyDescent="0.25"/>
    <row r="30652" customFormat="1" x14ac:dyDescent="0.25"/>
    <row r="30653" customFormat="1" x14ac:dyDescent="0.25"/>
    <row r="30654" customFormat="1" x14ac:dyDescent="0.25"/>
    <row r="30655" customFormat="1" x14ac:dyDescent="0.25"/>
    <row r="30656" customFormat="1" x14ac:dyDescent="0.25"/>
    <row r="30657" customFormat="1" x14ac:dyDescent="0.25"/>
    <row r="30658" customFormat="1" x14ac:dyDescent="0.25"/>
    <row r="30659" customFormat="1" x14ac:dyDescent="0.25"/>
    <row r="30660" customFormat="1" x14ac:dyDescent="0.25"/>
    <row r="30661" customFormat="1" x14ac:dyDescent="0.25"/>
    <row r="30662" customFormat="1" x14ac:dyDescent="0.25"/>
    <row r="30663" customFormat="1" x14ac:dyDescent="0.25"/>
    <row r="30664" customFormat="1" x14ac:dyDescent="0.25"/>
    <row r="30665" customFormat="1" x14ac:dyDescent="0.25"/>
    <row r="30666" customFormat="1" x14ac:dyDescent="0.25"/>
    <row r="30667" customFormat="1" x14ac:dyDescent="0.25"/>
    <row r="30668" customFormat="1" x14ac:dyDescent="0.25"/>
    <row r="30669" customFormat="1" x14ac:dyDescent="0.25"/>
    <row r="30670" customFormat="1" x14ac:dyDescent="0.25"/>
    <row r="30671" customFormat="1" x14ac:dyDescent="0.25"/>
    <row r="30672" customFormat="1" x14ac:dyDescent="0.25"/>
    <row r="30673" customFormat="1" x14ac:dyDescent="0.25"/>
    <row r="30674" customFormat="1" x14ac:dyDescent="0.25"/>
    <row r="30675" customFormat="1" x14ac:dyDescent="0.25"/>
    <row r="30676" customFormat="1" x14ac:dyDescent="0.25"/>
    <row r="30677" customFormat="1" x14ac:dyDescent="0.25"/>
    <row r="30678" customFormat="1" x14ac:dyDescent="0.25"/>
    <row r="30679" customFormat="1" x14ac:dyDescent="0.25"/>
    <row r="30680" customFormat="1" x14ac:dyDescent="0.25"/>
    <row r="30681" customFormat="1" x14ac:dyDescent="0.25"/>
    <row r="30682" customFormat="1" x14ac:dyDescent="0.25"/>
    <row r="30683" customFormat="1" x14ac:dyDescent="0.25"/>
    <row r="30684" customFormat="1" x14ac:dyDescent="0.25"/>
    <row r="30685" customFormat="1" x14ac:dyDescent="0.25"/>
    <row r="30686" customFormat="1" x14ac:dyDescent="0.25"/>
    <row r="30687" customFormat="1" x14ac:dyDescent="0.25"/>
    <row r="30688" customFormat="1" x14ac:dyDescent="0.25"/>
    <row r="30689" customFormat="1" x14ac:dyDescent="0.25"/>
    <row r="30690" customFormat="1" x14ac:dyDescent="0.25"/>
    <row r="30691" customFormat="1" x14ac:dyDescent="0.25"/>
    <row r="30692" customFormat="1" x14ac:dyDescent="0.25"/>
    <row r="30693" customFormat="1" x14ac:dyDescent="0.25"/>
    <row r="30694" customFormat="1" x14ac:dyDescent="0.25"/>
    <row r="30695" customFormat="1" x14ac:dyDescent="0.25"/>
    <row r="30696" customFormat="1" x14ac:dyDescent="0.25"/>
    <row r="30697" customFormat="1" x14ac:dyDescent="0.25"/>
    <row r="30698" customFormat="1" x14ac:dyDescent="0.25"/>
    <row r="30699" customFormat="1" x14ac:dyDescent="0.25"/>
    <row r="30700" customFormat="1" x14ac:dyDescent="0.25"/>
    <row r="30701" customFormat="1" x14ac:dyDescent="0.25"/>
    <row r="30702" customFormat="1" x14ac:dyDescent="0.25"/>
    <row r="30703" customFormat="1" x14ac:dyDescent="0.25"/>
    <row r="30704" customFormat="1" x14ac:dyDescent="0.25"/>
    <row r="30705" customFormat="1" x14ac:dyDescent="0.25"/>
    <row r="30706" customFormat="1" x14ac:dyDescent="0.25"/>
    <row r="30707" customFormat="1" x14ac:dyDescent="0.25"/>
    <row r="30708" customFormat="1" x14ac:dyDescent="0.25"/>
    <row r="30709" customFormat="1" x14ac:dyDescent="0.25"/>
    <row r="30710" customFormat="1" x14ac:dyDescent="0.25"/>
    <row r="30711" customFormat="1" x14ac:dyDescent="0.25"/>
    <row r="30712" customFormat="1" x14ac:dyDescent="0.25"/>
    <row r="30713" customFormat="1" x14ac:dyDescent="0.25"/>
    <row r="30714" customFormat="1" x14ac:dyDescent="0.25"/>
    <row r="30715" customFormat="1" x14ac:dyDescent="0.25"/>
    <row r="30716" customFormat="1" x14ac:dyDescent="0.25"/>
    <row r="30717" customFormat="1" x14ac:dyDescent="0.25"/>
    <row r="30718" customFormat="1" x14ac:dyDescent="0.25"/>
    <row r="30719" customFormat="1" x14ac:dyDescent="0.25"/>
    <row r="30720" customFormat="1" x14ac:dyDescent="0.25"/>
    <row r="30721" customFormat="1" x14ac:dyDescent="0.25"/>
    <row r="30722" customFormat="1" x14ac:dyDescent="0.25"/>
    <row r="30723" customFormat="1" x14ac:dyDescent="0.25"/>
    <row r="30724" customFormat="1" x14ac:dyDescent="0.25"/>
    <row r="30725" customFormat="1" x14ac:dyDescent="0.25"/>
    <row r="30726" customFormat="1" x14ac:dyDescent="0.25"/>
    <row r="30727" customFormat="1" x14ac:dyDescent="0.25"/>
    <row r="30728" customFormat="1" x14ac:dyDescent="0.25"/>
    <row r="30729" customFormat="1" x14ac:dyDescent="0.25"/>
    <row r="30730" customFormat="1" x14ac:dyDescent="0.25"/>
    <row r="30731" customFormat="1" x14ac:dyDescent="0.25"/>
    <row r="30732" customFormat="1" x14ac:dyDescent="0.25"/>
    <row r="30733" customFormat="1" x14ac:dyDescent="0.25"/>
    <row r="30734" customFormat="1" x14ac:dyDescent="0.25"/>
    <row r="30735" customFormat="1" x14ac:dyDescent="0.25"/>
    <row r="30736" customFormat="1" x14ac:dyDescent="0.25"/>
    <row r="30737" customFormat="1" x14ac:dyDescent="0.25"/>
    <row r="30738" customFormat="1" x14ac:dyDescent="0.25"/>
    <row r="30739" customFormat="1" x14ac:dyDescent="0.25"/>
    <row r="30740" customFormat="1" x14ac:dyDescent="0.25"/>
    <row r="30741" customFormat="1" x14ac:dyDescent="0.25"/>
    <row r="30742" customFormat="1" x14ac:dyDescent="0.25"/>
    <row r="30743" customFormat="1" x14ac:dyDescent="0.25"/>
    <row r="30744" customFormat="1" x14ac:dyDescent="0.25"/>
    <row r="30745" customFormat="1" x14ac:dyDescent="0.25"/>
    <row r="30746" customFormat="1" x14ac:dyDescent="0.25"/>
    <row r="30747" customFormat="1" x14ac:dyDescent="0.25"/>
    <row r="30748" customFormat="1" x14ac:dyDescent="0.25"/>
    <row r="30749" customFormat="1" x14ac:dyDescent="0.25"/>
    <row r="30750" customFormat="1" x14ac:dyDescent="0.25"/>
    <row r="30751" customFormat="1" x14ac:dyDescent="0.25"/>
    <row r="30752" customFormat="1" x14ac:dyDescent="0.25"/>
    <row r="30753" customFormat="1" x14ac:dyDescent="0.25"/>
    <row r="30754" customFormat="1" x14ac:dyDescent="0.25"/>
    <row r="30755" customFormat="1" x14ac:dyDescent="0.25"/>
    <row r="30756" customFormat="1" x14ac:dyDescent="0.25"/>
    <row r="30757" customFormat="1" x14ac:dyDescent="0.25"/>
    <row r="30758" customFormat="1" x14ac:dyDescent="0.25"/>
    <row r="30759" customFormat="1" x14ac:dyDescent="0.25"/>
    <row r="30760" customFormat="1" x14ac:dyDescent="0.25"/>
    <row r="30761" customFormat="1" x14ac:dyDescent="0.25"/>
    <row r="30762" customFormat="1" x14ac:dyDescent="0.25"/>
    <row r="30763" customFormat="1" x14ac:dyDescent="0.25"/>
    <row r="30764" customFormat="1" x14ac:dyDescent="0.25"/>
    <row r="30765" customFormat="1" x14ac:dyDescent="0.25"/>
    <row r="30766" customFormat="1" x14ac:dyDescent="0.25"/>
    <row r="30767" customFormat="1" x14ac:dyDescent="0.25"/>
    <row r="30768" customFormat="1" x14ac:dyDescent="0.25"/>
    <row r="30769" customFormat="1" x14ac:dyDescent="0.25"/>
    <row r="30770" customFormat="1" x14ac:dyDescent="0.25"/>
    <row r="30771" customFormat="1" x14ac:dyDescent="0.25"/>
    <row r="30772" customFormat="1" x14ac:dyDescent="0.25"/>
    <row r="30773" customFormat="1" x14ac:dyDescent="0.25"/>
    <row r="30774" customFormat="1" x14ac:dyDescent="0.25"/>
    <row r="30775" customFormat="1" x14ac:dyDescent="0.25"/>
    <row r="30776" customFormat="1" x14ac:dyDescent="0.25"/>
    <row r="30777" customFormat="1" x14ac:dyDescent="0.25"/>
    <row r="30778" customFormat="1" x14ac:dyDescent="0.25"/>
    <row r="30779" customFormat="1" x14ac:dyDescent="0.25"/>
    <row r="30780" customFormat="1" x14ac:dyDescent="0.25"/>
    <row r="30781" customFormat="1" x14ac:dyDescent="0.25"/>
    <row r="30782" customFormat="1" x14ac:dyDescent="0.25"/>
    <row r="30783" customFormat="1" x14ac:dyDescent="0.25"/>
    <row r="30784" customFormat="1" x14ac:dyDescent="0.25"/>
    <row r="30785" customFormat="1" x14ac:dyDescent="0.25"/>
    <row r="30786" customFormat="1" x14ac:dyDescent="0.25"/>
    <row r="30787" customFormat="1" x14ac:dyDescent="0.25"/>
    <row r="30788" customFormat="1" x14ac:dyDescent="0.25"/>
    <row r="30789" customFormat="1" x14ac:dyDescent="0.25"/>
    <row r="30790" customFormat="1" x14ac:dyDescent="0.25"/>
    <row r="30791" customFormat="1" x14ac:dyDescent="0.25"/>
    <row r="30792" customFormat="1" x14ac:dyDescent="0.25"/>
    <row r="30793" customFormat="1" x14ac:dyDescent="0.25"/>
    <row r="30794" customFormat="1" x14ac:dyDescent="0.25"/>
    <row r="30795" customFormat="1" x14ac:dyDescent="0.25"/>
    <row r="30796" customFormat="1" x14ac:dyDescent="0.25"/>
    <row r="30797" customFormat="1" x14ac:dyDescent="0.25"/>
    <row r="30798" customFormat="1" x14ac:dyDescent="0.25"/>
    <row r="30799" customFormat="1" x14ac:dyDescent="0.25"/>
    <row r="30800" customFormat="1" x14ac:dyDescent="0.25"/>
    <row r="30801" customFormat="1" x14ac:dyDescent="0.25"/>
    <row r="30802" customFormat="1" x14ac:dyDescent="0.25"/>
    <row r="30803" customFormat="1" x14ac:dyDescent="0.25"/>
    <row r="30804" customFormat="1" x14ac:dyDescent="0.25"/>
    <row r="30805" customFormat="1" x14ac:dyDescent="0.25"/>
    <row r="30806" customFormat="1" x14ac:dyDescent="0.25"/>
    <row r="30807" customFormat="1" x14ac:dyDescent="0.25"/>
    <row r="30808" customFormat="1" x14ac:dyDescent="0.25"/>
    <row r="30809" customFormat="1" x14ac:dyDescent="0.25"/>
    <row r="30810" customFormat="1" x14ac:dyDescent="0.25"/>
    <row r="30811" customFormat="1" x14ac:dyDescent="0.25"/>
    <row r="30812" customFormat="1" x14ac:dyDescent="0.25"/>
    <row r="30813" customFormat="1" x14ac:dyDescent="0.25"/>
    <row r="30814" customFormat="1" x14ac:dyDescent="0.25"/>
    <row r="30815" customFormat="1" x14ac:dyDescent="0.25"/>
    <row r="30816" customFormat="1" x14ac:dyDescent="0.25"/>
    <row r="30817" customFormat="1" x14ac:dyDescent="0.25"/>
    <row r="30818" customFormat="1" x14ac:dyDescent="0.25"/>
    <row r="30819" customFormat="1" x14ac:dyDescent="0.25"/>
    <row r="30820" customFormat="1" x14ac:dyDescent="0.25"/>
    <row r="30821" customFormat="1" x14ac:dyDescent="0.25"/>
    <row r="30822" customFormat="1" x14ac:dyDescent="0.25"/>
    <row r="30823" customFormat="1" x14ac:dyDescent="0.25"/>
    <row r="30824" customFormat="1" x14ac:dyDescent="0.25"/>
    <row r="30825" customFormat="1" x14ac:dyDescent="0.25"/>
    <row r="30826" customFormat="1" x14ac:dyDescent="0.25"/>
    <row r="30827" customFormat="1" x14ac:dyDescent="0.25"/>
    <row r="30828" customFormat="1" x14ac:dyDescent="0.25"/>
    <row r="30829" customFormat="1" x14ac:dyDescent="0.25"/>
    <row r="30830" customFormat="1" x14ac:dyDescent="0.25"/>
    <row r="30831" customFormat="1" x14ac:dyDescent="0.25"/>
    <row r="30832" customFormat="1" x14ac:dyDescent="0.25"/>
    <row r="30833" customFormat="1" x14ac:dyDescent="0.25"/>
    <row r="30834" customFormat="1" x14ac:dyDescent="0.25"/>
    <row r="30835" customFormat="1" x14ac:dyDescent="0.25"/>
    <row r="30836" customFormat="1" x14ac:dyDescent="0.25"/>
    <row r="30837" customFormat="1" x14ac:dyDescent="0.25"/>
    <row r="30838" customFormat="1" x14ac:dyDescent="0.25"/>
    <row r="30839" customFormat="1" x14ac:dyDescent="0.25"/>
    <row r="30840" customFormat="1" x14ac:dyDescent="0.25"/>
    <row r="30841" customFormat="1" x14ac:dyDescent="0.25"/>
    <row r="30842" customFormat="1" x14ac:dyDescent="0.25"/>
    <row r="30843" customFormat="1" x14ac:dyDescent="0.25"/>
    <row r="30844" customFormat="1" x14ac:dyDescent="0.25"/>
    <row r="30845" customFormat="1" x14ac:dyDescent="0.25"/>
    <row r="30846" customFormat="1" x14ac:dyDescent="0.25"/>
    <row r="30847" customFormat="1" x14ac:dyDescent="0.25"/>
    <row r="30848" customFormat="1" x14ac:dyDescent="0.25"/>
    <row r="30849" customFormat="1" x14ac:dyDescent="0.25"/>
    <row r="30850" customFormat="1" x14ac:dyDescent="0.25"/>
    <row r="30851" customFormat="1" x14ac:dyDescent="0.25"/>
    <row r="30852" customFormat="1" x14ac:dyDescent="0.25"/>
    <row r="30853" customFormat="1" x14ac:dyDescent="0.25"/>
    <row r="30854" customFormat="1" x14ac:dyDescent="0.25"/>
    <row r="30855" customFormat="1" x14ac:dyDescent="0.25"/>
    <row r="30856" customFormat="1" x14ac:dyDescent="0.25"/>
    <row r="30857" customFormat="1" x14ac:dyDescent="0.25"/>
    <row r="30858" customFormat="1" x14ac:dyDescent="0.25"/>
    <row r="30859" customFormat="1" x14ac:dyDescent="0.25"/>
    <row r="30860" customFormat="1" x14ac:dyDescent="0.25"/>
    <row r="30861" customFormat="1" x14ac:dyDescent="0.25"/>
    <row r="30862" customFormat="1" x14ac:dyDescent="0.25"/>
    <row r="30863" customFormat="1" x14ac:dyDescent="0.25"/>
    <row r="30864" customFormat="1" x14ac:dyDescent="0.25"/>
    <row r="30865" customFormat="1" x14ac:dyDescent="0.25"/>
    <row r="30866" customFormat="1" x14ac:dyDescent="0.25"/>
    <row r="30867" customFormat="1" x14ac:dyDescent="0.25"/>
    <row r="30868" customFormat="1" x14ac:dyDescent="0.25"/>
    <row r="30869" customFormat="1" x14ac:dyDescent="0.25"/>
    <row r="30870" customFormat="1" x14ac:dyDescent="0.25"/>
    <row r="30871" customFormat="1" x14ac:dyDescent="0.25"/>
    <row r="30872" customFormat="1" x14ac:dyDescent="0.25"/>
    <row r="30873" customFormat="1" x14ac:dyDescent="0.25"/>
    <row r="30874" customFormat="1" x14ac:dyDescent="0.25"/>
    <row r="30875" customFormat="1" x14ac:dyDescent="0.25"/>
    <row r="30876" customFormat="1" x14ac:dyDescent="0.25"/>
    <row r="30877" customFormat="1" x14ac:dyDescent="0.25"/>
    <row r="30878" customFormat="1" x14ac:dyDescent="0.25"/>
    <row r="30879" customFormat="1" x14ac:dyDescent="0.25"/>
    <row r="30880" customFormat="1" x14ac:dyDescent="0.25"/>
    <row r="30881" customFormat="1" x14ac:dyDescent="0.25"/>
    <row r="30882" customFormat="1" x14ac:dyDescent="0.25"/>
    <row r="30883" customFormat="1" x14ac:dyDescent="0.25"/>
    <row r="30884" customFormat="1" x14ac:dyDescent="0.25"/>
    <row r="30885" customFormat="1" x14ac:dyDescent="0.25"/>
    <row r="30886" customFormat="1" x14ac:dyDescent="0.25"/>
    <row r="30887" customFormat="1" x14ac:dyDescent="0.25"/>
    <row r="30888" customFormat="1" x14ac:dyDescent="0.25"/>
    <row r="30889" customFormat="1" x14ac:dyDescent="0.25"/>
    <row r="30890" customFormat="1" x14ac:dyDescent="0.25"/>
    <row r="30891" customFormat="1" x14ac:dyDescent="0.25"/>
    <row r="30892" customFormat="1" x14ac:dyDescent="0.25"/>
    <row r="30893" customFormat="1" x14ac:dyDescent="0.25"/>
    <row r="30894" customFormat="1" x14ac:dyDescent="0.25"/>
    <row r="30895" customFormat="1" x14ac:dyDescent="0.25"/>
    <row r="30896" customFormat="1" x14ac:dyDescent="0.25"/>
    <row r="30897" customFormat="1" x14ac:dyDescent="0.25"/>
    <row r="30898" customFormat="1" x14ac:dyDescent="0.25"/>
    <row r="30899" customFormat="1" x14ac:dyDescent="0.25"/>
    <row r="30900" customFormat="1" x14ac:dyDescent="0.25"/>
    <row r="30901" customFormat="1" x14ac:dyDescent="0.25"/>
    <row r="30902" customFormat="1" x14ac:dyDescent="0.25"/>
    <row r="30903" customFormat="1" x14ac:dyDescent="0.25"/>
    <row r="30904" customFormat="1" x14ac:dyDescent="0.25"/>
    <row r="30905" customFormat="1" x14ac:dyDescent="0.25"/>
    <row r="30906" customFormat="1" x14ac:dyDescent="0.25"/>
    <row r="30907" customFormat="1" x14ac:dyDescent="0.25"/>
    <row r="30908" customFormat="1" x14ac:dyDescent="0.25"/>
    <row r="30909" customFormat="1" x14ac:dyDescent="0.25"/>
    <row r="30910" customFormat="1" x14ac:dyDescent="0.25"/>
    <row r="30911" customFormat="1" x14ac:dyDescent="0.25"/>
    <row r="30912" customFormat="1" x14ac:dyDescent="0.25"/>
    <row r="30913" customFormat="1" x14ac:dyDescent="0.25"/>
    <row r="30914" customFormat="1" x14ac:dyDescent="0.25"/>
    <row r="30915" customFormat="1" x14ac:dyDescent="0.25"/>
    <row r="30916" customFormat="1" x14ac:dyDescent="0.25"/>
    <row r="30917" customFormat="1" x14ac:dyDescent="0.25"/>
    <row r="30918" customFormat="1" x14ac:dyDescent="0.25"/>
    <row r="30919" customFormat="1" x14ac:dyDescent="0.25"/>
    <row r="30920" customFormat="1" x14ac:dyDescent="0.25"/>
    <row r="30921" customFormat="1" x14ac:dyDescent="0.25"/>
    <row r="30922" customFormat="1" x14ac:dyDescent="0.25"/>
    <row r="30923" customFormat="1" x14ac:dyDescent="0.25"/>
    <row r="30924" customFormat="1" x14ac:dyDescent="0.25"/>
    <row r="30925" customFormat="1" x14ac:dyDescent="0.25"/>
    <row r="30926" customFormat="1" x14ac:dyDescent="0.25"/>
    <row r="30927" customFormat="1" x14ac:dyDescent="0.25"/>
    <row r="30928" customFormat="1" x14ac:dyDescent="0.25"/>
    <row r="30929" customFormat="1" x14ac:dyDescent="0.25"/>
    <row r="30930" customFormat="1" x14ac:dyDescent="0.25"/>
    <row r="30931" customFormat="1" x14ac:dyDescent="0.25"/>
    <row r="30932" customFormat="1" x14ac:dyDescent="0.25"/>
    <row r="30933" customFormat="1" x14ac:dyDescent="0.25"/>
    <row r="30934" customFormat="1" x14ac:dyDescent="0.25"/>
    <row r="30935" customFormat="1" x14ac:dyDescent="0.25"/>
    <row r="30936" customFormat="1" x14ac:dyDescent="0.25"/>
    <row r="30937" customFormat="1" x14ac:dyDescent="0.25"/>
    <row r="30938" customFormat="1" x14ac:dyDescent="0.25"/>
    <row r="30939" customFormat="1" x14ac:dyDescent="0.25"/>
    <row r="30940" customFormat="1" x14ac:dyDescent="0.25"/>
    <row r="30941" customFormat="1" x14ac:dyDescent="0.25"/>
    <row r="30942" customFormat="1" x14ac:dyDescent="0.25"/>
    <row r="30943" customFormat="1" x14ac:dyDescent="0.25"/>
    <row r="30944" customFormat="1" x14ac:dyDescent="0.25"/>
    <row r="30945" customFormat="1" x14ac:dyDescent="0.25"/>
    <row r="30946" customFormat="1" x14ac:dyDescent="0.25"/>
    <row r="30947" customFormat="1" x14ac:dyDescent="0.25"/>
    <row r="30948" customFormat="1" x14ac:dyDescent="0.25"/>
    <row r="30949" customFormat="1" x14ac:dyDescent="0.25"/>
    <row r="30950" customFormat="1" x14ac:dyDescent="0.25"/>
    <row r="30951" customFormat="1" x14ac:dyDescent="0.25"/>
    <row r="30952" customFormat="1" x14ac:dyDescent="0.25"/>
    <row r="30953" customFormat="1" x14ac:dyDescent="0.25"/>
    <row r="30954" customFormat="1" x14ac:dyDescent="0.25"/>
    <row r="30955" customFormat="1" x14ac:dyDescent="0.25"/>
    <row r="30956" customFormat="1" x14ac:dyDescent="0.25"/>
    <row r="30957" customFormat="1" x14ac:dyDescent="0.25"/>
    <row r="30958" customFormat="1" x14ac:dyDescent="0.25"/>
    <row r="30959" customFormat="1" x14ac:dyDescent="0.25"/>
    <row r="30960" customFormat="1" x14ac:dyDescent="0.25"/>
    <row r="30961" customFormat="1" x14ac:dyDescent="0.25"/>
    <row r="30962" customFormat="1" x14ac:dyDescent="0.25"/>
    <row r="30963" customFormat="1" x14ac:dyDescent="0.25"/>
    <row r="30964" customFormat="1" x14ac:dyDescent="0.25"/>
    <row r="30965" customFormat="1" x14ac:dyDescent="0.25"/>
    <row r="30966" customFormat="1" x14ac:dyDescent="0.25"/>
    <row r="30967" customFormat="1" x14ac:dyDescent="0.25"/>
    <row r="30968" customFormat="1" x14ac:dyDescent="0.25"/>
    <row r="30969" customFormat="1" x14ac:dyDescent="0.25"/>
    <row r="30970" customFormat="1" x14ac:dyDescent="0.25"/>
    <row r="30971" customFormat="1" x14ac:dyDescent="0.25"/>
    <row r="30972" customFormat="1" x14ac:dyDescent="0.25"/>
    <row r="30973" customFormat="1" x14ac:dyDescent="0.25"/>
    <row r="30974" customFormat="1" x14ac:dyDescent="0.25"/>
    <row r="30975" customFormat="1" x14ac:dyDescent="0.25"/>
    <row r="30976" customFormat="1" x14ac:dyDescent="0.25"/>
    <row r="30977" customFormat="1" x14ac:dyDescent="0.25"/>
    <row r="30978" customFormat="1" x14ac:dyDescent="0.25"/>
    <row r="30979" customFormat="1" x14ac:dyDescent="0.25"/>
    <row r="30980" customFormat="1" x14ac:dyDescent="0.25"/>
    <row r="30981" customFormat="1" x14ac:dyDescent="0.25"/>
    <row r="30982" customFormat="1" x14ac:dyDescent="0.25"/>
    <row r="30983" customFormat="1" x14ac:dyDescent="0.25"/>
    <row r="30984" customFormat="1" x14ac:dyDescent="0.25"/>
    <row r="30985" customFormat="1" x14ac:dyDescent="0.25"/>
    <row r="30986" customFormat="1" x14ac:dyDescent="0.25"/>
    <row r="30987" customFormat="1" x14ac:dyDescent="0.25"/>
    <row r="30988" customFormat="1" x14ac:dyDescent="0.25"/>
    <row r="30989" customFormat="1" x14ac:dyDescent="0.25"/>
    <row r="30990" customFormat="1" x14ac:dyDescent="0.25"/>
    <row r="30991" customFormat="1" x14ac:dyDescent="0.25"/>
    <row r="30992" customFormat="1" x14ac:dyDescent="0.25"/>
    <row r="30993" customFormat="1" x14ac:dyDescent="0.25"/>
    <row r="30994" customFormat="1" x14ac:dyDescent="0.25"/>
    <row r="30995" customFormat="1" x14ac:dyDescent="0.25"/>
    <row r="30996" customFormat="1" x14ac:dyDescent="0.25"/>
    <row r="30997" customFormat="1" x14ac:dyDescent="0.25"/>
    <row r="30998" customFormat="1" x14ac:dyDescent="0.25"/>
    <row r="30999" customFormat="1" x14ac:dyDescent="0.25"/>
    <row r="31000" customFormat="1" x14ac:dyDescent="0.25"/>
    <row r="31001" customFormat="1" x14ac:dyDescent="0.25"/>
    <row r="31002" customFormat="1" x14ac:dyDescent="0.25"/>
    <row r="31003" customFormat="1" x14ac:dyDescent="0.25"/>
    <row r="31004" customFormat="1" x14ac:dyDescent="0.25"/>
    <row r="31005" customFormat="1" x14ac:dyDescent="0.25"/>
    <row r="31006" customFormat="1" x14ac:dyDescent="0.25"/>
    <row r="31007" customFormat="1" x14ac:dyDescent="0.25"/>
    <row r="31008" customFormat="1" x14ac:dyDescent="0.25"/>
    <row r="31009" customFormat="1" x14ac:dyDescent="0.25"/>
    <row r="31010" customFormat="1" x14ac:dyDescent="0.25"/>
    <row r="31011" customFormat="1" x14ac:dyDescent="0.25"/>
    <row r="31012" customFormat="1" x14ac:dyDescent="0.25"/>
    <row r="31013" customFormat="1" x14ac:dyDescent="0.25"/>
    <row r="31014" customFormat="1" x14ac:dyDescent="0.25"/>
    <row r="31015" customFormat="1" x14ac:dyDescent="0.25"/>
    <row r="31016" customFormat="1" x14ac:dyDescent="0.25"/>
    <row r="31017" customFormat="1" x14ac:dyDescent="0.25"/>
    <row r="31018" customFormat="1" x14ac:dyDescent="0.25"/>
    <row r="31019" customFormat="1" x14ac:dyDescent="0.25"/>
    <row r="31020" customFormat="1" x14ac:dyDescent="0.25"/>
    <row r="31021" customFormat="1" x14ac:dyDescent="0.25"/>
    <row r="31022" customFormat="1" x14ac:dyDescent="0.25"/>
    <row r="31023" customFormat="1" x14ac:dyDescent="0.25"/>
    <row r="31024" customFormat="1" x14ac:dyDescent="0.25"/>
    <row r="31025" customFormat="1" x14ac:dyDescent="0.25"/>
    <row r="31026" customFormat="1" x14ac:dyDescent="0.25"/>
    <row r="31027" customFormat="1" x14ac:dyDescent="0.25"/>
    <row r="31028" customFormat="1" x14ac:dyDescent="0.25"/>
    <row r="31029" customFormat="1" x14ac:dyDescent="0.25"/>
    <row r="31030" customFormat="1" x14ac:dyDescent="0.25"/>
    <row r="31031" customFormat="1" x14ac:dyDescent="0.25"/>
    <row r="31032" customFormat="1" x14ac:dyDescent="0.25"/>
    <row r="31033" customFormat="1" x14ac:dyDescent="0.25"/>
    <row r="31034" customFormat="1" x14ac:dyDescent="0.25"/>
    <row r="31035" customFormat="1" x14ac:dyDescent="0.25"/>
    <row r="31036" customFormat="1" x14ac:dyDescent="0.25"/>
    <row r="31037" customFormat="1" x14ac:dyDescent="0.25"/>
    <row r="31038" customFormat="1" x14ac:dyDescent="0.25"/>
    <row r="31039" customFormat="1" x14ac:dyDescent="0.25"/>
    <row r="31040" customFormat="1" x14ac:dyDescent="0.25"/>
    <row r="31041" customFormat="1" x14ac:dyDescent="0.25"/>
    <row r="31042" customFormat="1" x14ac:dyDescent="0.25"/>
    <row r="31043" customFormat="1" x14ac:dyDescent="0.25"/>
    <row r="31044" customFormat="1" x14ac:dyDescent="0.25"/>
    <row r="31045" customFormat="1" x14ac:dyDescent="0.25"/>
    <row r="31046" customFormat="1" x14ac:dyDescent="0.25"/>
    <row r="31047" customFormat="1" x14ac:dyDescent="0.25"/>
    <row r="31048" customFormat="1" x14ac:dyDescent="0.25"/>
    <row r="31049" customFormat="1" x14ac:dyDescent="0.25"/>
    <row r="31050" customFormat="1" x14ac:dyDescent="0.25"/>
    <row r="31051" customFormat="1" x14ac:dyDescent="0.25"/>
    <row r="31052" customFormat="1" x14ac:dyDescent="0.25"/>
    <row r="31053" customFormat="1" x14ac:dyDescent="0.25"/>
    <row r="31054" customFormat="1" x14ac:dyDescent="0.25"/>
    <row r="31055" customFormat="1" x14ac:dyDescent="0.25"/>
    <row r="31056" customFormat="1" x14ac:dyDescent="0.25"/>
    <row r="31057" customFormat="1" x14ac:dyDescent="0.25"/>
    <row r="31058" customFormat="1" x14ac:dyDescent="0.25"/>
    <row r="31059" customFormat="1" x14ac:dyDescent="0.25"/>
    <row r="31060" customFormat="1" x14ac:dyDescent="0.25"/>
    <row r="31061" customFormat="1" x14ac:dyDescent="0.25"/>
    <row r="31062" customFormat="1" x14ac:dyDescent="0.25"/>
    <row r="31063" customFormat="1" x14ac:dyDescent="0.25"/>
    <row r="31064" customFormat="1" x14ac:dyDescent="0.25"/>
    <row r="31065" customFormat="1" x14ac:dyDescent="0.25"/>
    <row r="31066" customFormat="1" x14ac:dyDescent="0.25"/>
    <row r="31067" customFormat="1" x14ac:dyDescent="0.25"/>
    <row r="31068" customFormat="1" x14ac:dyDescent="0.25"/>
    <row r="31069" customFormat="1" x14ac:dyDescent="0.25"/>
    <row r="31070" customFormat="1" x14ac:dyDescent="0.25"/>
    <row r="31071" customFormat="1" x14ac:dyDescent="0.25"/>
    <row r="31072" customFormat="1" x14ac:dyDescent="0.25"/>
    <row r="31073" customFormat="1" x14ac:dyDescent="0.25"/>
    <row r="31074" customFormat="1" x14ac:dyDescent="0.25"/>
    <row r="31075" customFormat="1" x14ac:dyDescent="0.25"/>
    <row r="31076" customFormat="1" x14ac:dyDescent="0.25"/>
    <row r="31077" customFormat="1" x14ac:dyDescent="0.25"/>
    <row r="31078" customFormat="1" x14ac:dyDescent="0.25"/>
    <row r="31079" customFormat="1" x14ac:dyDescent="0.25"/>
    <row r="31080" customFormat="1" x14ac:dyDescent="0.25"/>
    <row r="31081" customFormat="1" x14ac:dyDescent="0.25"/>
    <row r="31082" customFormat="1" x14ac:dyDescent="0.25"/>
    <row r="31083" customFormat="1" x14ac:dyDescent="0.25"/>
    <row r="31084" customFormat="1" x14ac:dyDescent="0.25"/>
    <row r="31085" customFormat="1" x14ac:dyDescent="0.25"/>
    <row r="31086" customFormat="1" x14ac:dyDescent="0.25"/>
    <row r="31087" customFormat="1" x14ac:dyDescent="0.25"/>
    <row r="31088" customFormat="1" x14ac:dyDescent="0.25"/>
    <row r="31089" customFormat="1" x14ac:dyDescent="0.25"/>
    <row r="31090" customFormat="1" x14ac:dyDescent="0.25"/>
    <row r="31091" customFormat="1" x14ac:dyDescent="0.25"/>
    <row r="31092" customFormat="1" x14ac:dyDescent="0.25"/>
    <row r="31093" customFormat="1" x14ac:dyDescent="0.25"/>
    <row r="31094" customFormat="1" x14ac:dyDescent="0.25"/>
    <row r="31095" customFormat="1" x14ac:dyDescent="0.25"/>
    <row r="31096" customFormat="1" x14ac:dyDescent="0.25"/>
    <row r="31097" customFormat="1" x14ac:dyDescent="0.25"/>
    <row r="31098" customFormat="1" x14ac:dyDescent="0.25"/>
    <row r="31099" customFormat="1" x14ac:dyDescent="0.25"/>
    <row r="31100" customFormat="1" x14ac:dyDescent="0.25"/>
    <row r="31101" customFormat="1" x14ac:dyDescent="0.25"/>
    <row r="31102" customFormat="1" x14ac:dyDescent="0.25"/>
    <row r="31103" customFormat="1" x14ac:dyDescent="0.25"/>
    <row r="31104" customFormat="1" x14ac:dyDescent="0.25"/>
    <row r="31105" customFormat="1" x14ac:dyDescent="0.25"/>
    <row r="31106" customFormat="1" x14ac:dyDescent="0.25"/>
    <row r="31107" customFormat="1" x14ac:dyDescent="0.25"/>
    <row r="31108" customFormat="1" x14ac:dyDescent="0.25"/>
    <row r="31109" customFormat="1" x14ac:dyDescent="0.25"/>
    <row r="31110" customFormat="1" x14ac:dyDescent="0.25"/>
    <row r="31111" customFormat="1" x14ac:dyDescent="0.25"/>
    <row r="31112" customFormat="1" x14ac:dyDescent="0.25"/>
    <row r="31113" customFormat="1" x14ac:dyDescent="0.25"/>
    <row r="31114" customFormat="1" x14ac:dyDescent="0.25"/>
    <row r="31115" customFormat="1" x14ac:dyDescent="0.25"/>
    <row r="31116" customFormat="1" x14ac:dyDescent="0.25"/>
    <row r="31117" customFormat="1" x14ac:dyDescent="0.25"/>
    <row r="31118" customFormat="1" x14ac:dyDescent="0.25"/>
    <row r="31119" customFormat="1" x14ac:dyDescent="0.25"/>
    <row r="31120" customFormat="1" x14ac:dyDescent="0.25"/>
    <row r="31121" customFormat="1" x14ac:dyDescent="0.25"/>
    <row r="31122" customFormat="1" x14ac:dyDescent="0.25"/>
    <row r="31123" customFormat="1" x14ac:dyDescent="0.25"/>
    <row r="31124" customFormat="1" x14ac:dyDescent="0.25"/>
    <row r="31125" customFormat="1" x14ac:dyDescent="0.25"/>
    <row r="31126" customFormat="1" x14ac:dyDescent="0.25"/>
    <row r="31127" customFormat="1" x14ac:dyDescent="0.25"/>
    <row r="31128" customFormat="1" x14ac:dyDescent="0.25"/>
    <row r="31129" customFormat="1" x14ac:dyDescent="0.25"/>
    <row r="31130" customFormat="1" x14ac:dyDescent="0.25"/>
    <row r="31131" customFormat="1" x14ac:dyDescent="0.25"/>
    <row r="31132" customFormat="1" x14ac:dyDescent="0.25"/>
    <row r="31133" customFormat="1" x14ac:dyDescent="0.25"/>
    <row r="31134" customFormat="1" x14ac:dyDescent="0.25"/>
    <row r="31135" customFormat="1" x14ac:dyDescent="0.25"/>
    <row r="31136" customFormat="1" x14ac:dyDescent="0.25"/>
    <row r="31137" customFormat="1" x14ac:dyDescent="0.25"/>
    <row r="31138" customFormat="1" x14ac:dyDescent="0.25"/>
    <row r="31139" customFormat="1" x14ac:dyDescent="0.25"/>
    <row r="31140" customFormat="1" x14ac:dyDescent="0.25"/>
    <row r="31141" customFormat="1" x14ac:dyDescent="0.25"/>
    <row r="31142" customFormat="1" x14ac:dyDescent="0.25"/>
    <row r="31143" customFormat="1" x14ac:dyDescent="0.25"/>
    <row r="31144" customFormat="1" x14ac:dyDescent="0.25"/>
    <row r="31145" customFormat="1" x14ac:dyDescent="0.25"/>
    <row r="31146" customFormat="1" x14ac:dyDescent="0.25"/>
    <row r="31147" customFormat="1" x14ac:dyDescent="0.25"/>
    <row r="31148" customFormat="1" x14ac:dyDescent="0.25"/>
    <row r="31149" customFormat="1" x14ac:dyDescent="0.25"/>
    <row r="31150" customFormat="1" x14ac:dyDescent="0.25"/>
    <row r="31151" customFormat="1" x14ac:dyDescent="0.25"/>
    <row r="31152" customFormat="1" x14ac:dyDescent="0.25"/>
    <row r="31153" customFormat="1" x14ac:dyDescent="0.25"/>
    <row r="31154" customFormat="1" x14ac:dyDescent="0.25"/>
    <row r="31155" customFormat="1" x14ac:dyDescent="0.25"/>
    <row r="31156" customFormat="1" x14ac:dyDescent="0.25"/>
    <row r="31157" customFormat="1" x14ac:dyDescent="0.25"/>
    <row r="31158" customFormat="1" x14ac:dyDescent="0.25"/>
    <row r="31159" customFormat="1" x14ac:dyDescent="0.25"/>
    <row r="31160" customFormat="1" x14ac:dyDescent="0.25"/>
    <row r="31161" customFormat="1" x14ac:dyDescent="0.25"/>
    <row r="31162" customFormat="1" x14ac:dyDescent="0.25"/>
    <row r="31163" customFormat="1" x14ac:dyDescent="0.25"/>
    <row r="31164" customFormat="1" x14ac:dyDescent="0.25"/>
    <row r="31165" customFormat="1" x14ac:dyDescent="0.25"/>
    <row r="31166" customFormat="1" x14ac:dyDescent="0.25"/>
    <row r="31167" customFormat="1" x14ac:dyDescent="0.25"/>
    <row r="31168" customFormat="1" x14ac:dyDescent="0.25"/>
    <row r="31169" customFormat="1" x14ac:dyDescent="0.25"/>
    <row r="31170" customFormat="1" x14ac:dyDescent="0.25"/>
    <row r="31171" customFormat="1" x14ac:dyDescent="0.25"/>
    <row r="31172" customFormat="1" x14ac:dyDescent="0.25"/>
    <row r="31173" customFormat="1" x14ac:dyDescent="0.25"/>
    <row r="31174" customFormat="1" x14ac:dyDescent="0.25"/>
    <row r="31175" customFormat="1" x14ac:dyDescent="0.25"/>
    <row r="31176" customFormat="1" x14ac:dyDescent="0.25"/>
    <row r="31177" customFormat="1" x14ac:dyDescent="0.25"/>
    <row r="31178" customFormat="1" x14ac:dyDescent="0.25"/>
    <row r="31179" customFormat="1" x14ac:dyDescent="0.25"/>
    <row r="31180" customFormat="1" x14ac:dyDescent="0.25"/>
    <row r="31181" customFormat="1" x14ac:dyDescent="0.25"/>
    <row r="31182" customFormat="1" x14ac:dyDescent="0.25"/>
    <row r="31183" customFormat="1" x14ac:dyDescent="0.25"/>
    <row r="31184" customFormat="1" x14ac:dyDescent="0.25"/>
    <row r="31185" customFormat="1" x14ac:dyDescent="0.25"/>
    <row r="31186" customFormat="1" x14ac:dyDescent="0.25"/>
    <row r="31187" customFormat="1" x14ac:dyDescent="0.25"/>
    <row r="31188" customFormat="1" x14ac:dyDescent="0.25"/>
    <row r="31189" customFormat="1" x14ac:dyDescent="0.25"/>
    <row r="31190" customFormat="1" x14ac:dyDescent="0.25"/>
    <row r="31191" customFormat="1" x14ac:dyDescent="0.25"/>
    <row r="31192" customFormat="1" x14ac:dyDescent="0.25"/>
    <row r="31193" customFormat="1" x14ac:dyDescent="0.25"/>
    <row r="31194" customFormat="1" x14ac:dyDescent="0.25"/>
    <row r="31195" customFormat="1" x14ac:dyDescent="0.25"/>
    <row r="31196" customFormat="1" x14ac:dyDescent="0.25"/>
    <row r="31197" customFormat="1" x14ac:dyDescent="0.25"/>
    <row r="31198" customFormat="1" x14ac:dyDescent="0.25"/>
    <row r="31199" customFormat="1" x14ac:dyDescent="0.25"/>
    <row r="31200" customFormat="1" x14ac:dyDescent="0.25"/>
    <row r="31201" customFormat="1" x14ac:dyDescent="0.25"/>
    <row r="31202" customFormat="1" x14ac:dyDescent="0.25"/>
    <row r="31203" customFormat="1" x14ac:dyDescent="0.25"/>
    <row r="31204" customFormat="1" x14ac:dyDescent="0.25"/>
    <row r="31205" customFormat="1" x14ac:dyDescent="0.25"/>
    <row r="31206" customFormat="1" x14ac:dyDescent="0.25"/>
    <row r="31207" customFormat="1" x14ac:dyDescent="0.25"/>
    <row r="31208" customFormat="1" x14ac:dyDescent="0.25"/>
    <row r="31209" customFormat="1" x14ac:dyDescent="0.25"/>
    <row r="31210" customFormat="1" x14ac:dyDescent="0.25"/>
    <row r="31211" customFormat="1" x14ac:dyDescent="0.25"/>
    <row r="31212" customFormat="1" x14ac:dyDescent="0.25"/>
    <row r="31213" customFormat="1" x14ac:dyDescent="0.25"/>
    <row r="31214" customFormat="1" x14ac:dyDescent="0.25"/>
    <row r="31215" customFormat="1" x14ac:dyDescent="0.25"/>
    <row r="31216" customFormat="1" x14ac:dyDescent="0.25"/>
    <row r="31217" customFormat="1" x14ac:dyDescent="0.25"/>
    <row r="31218" customFormat="1" x14ac:dyDescent="0.25"/>
    <row r="31219" customFormat="1" x14ac:dyDescent="0.25"/>
    <row r="31220" customFormat="1" x14ac:dyDescent="0.25"/>
    <row r="31221" customFormat="1" x14ac:dyDescent="0.25"/>
    <row r="31222" customFormat="1" x14ac:dyDescent="0.25"/>
    <row r="31223" customFormat="1" x14ac:dyDescent="0.25"/>
    <row r="31224" customFormat="1" x14ac:dyDescent="0.25"/>
    <row r="31225" customFormat="1" x14ac:dyDescent="0.25"/>
    <row r="31226" customFormat="1" x14ac:dyDescent="0.25"/>
    <row r="31227" customFormat="1" x14ac:dyDescent="0.25"/>
    <row r="31228" customFormat="1" x14ac:dyDescent="0.25"/>
    <row r="31229" customFormat="1" x14ac:dyDescent="0.25"/>
    <row r="31230" customFormat="1" x14ac:dyDescent="0.25"/>
    <row r="31231" customFormat="1" x14ac:dyDescent="0.25"/>
    <row r="31232" customFormat="1" x14ac:dyDescent="0.25"/>
    <row r="31233" customFormat="1" x14ac:dyDescent="0.25"/>
    <row r="31234" customFormat="1" x14ac:dyDescent="0.25"/>
    <row r="31235" customFormat="1" x14ac:dyDescent="0.25"/>
    <row r="31236" customFormat="1" x14ac:dyDescent="0.25"/>
    <row r="31237" customFormat="1" x14ac:dyDescent="0.25"/>
    <row r="31238" customFormat="1" x14ac:dyDescent="0.25"/>
    <row r="31239" customFormat="1" x14ac:dyDescent="0.25"/>
    <row r="31240" customFormat="1" x14ac:dyDescent="0.25"/>
    <row r="31241" customFormat="1" x14ac:dyDescent="0.25"/>
    <row r="31242" customFormat="1" x14ac:dyDescent="0.25"/>
    <row r="31243" customFormat="1" x14ac:dyDescent="0.25"/>
    <row r="31244" customFormat="1" x14ac:dyDescent="0.25"/>
    <row r="31245" customFormat="1" x14ac:dyDescent="0.25"/>
    <row r="31246" customFormat="1" x14ac:dyDescent="0.25"/>
    <row r="31247" customFormat="1" x14ac:dyDescent="0.25"/>
    <row r="31248" customFormat="1" x14ac:dyDescent="0.25"/>
    <row r="31249" customFormat="1" x14ac:dyDescent="0.25"/>
    <row r="31250" customFormat="1" x14ac:dyDescent="0.25"/>
    <row r="31251" customFormat="1" x14ac:dyDescent="0.25"/>
    <row r="31252" customFormat="1" x14ac:dyDescent="0.25"/>
    <row r="31253" customFormat="1" x14ac:dyDescent="0.25"/>
    <row r="31254" customFormat="1" x14ac:dyDescent="0.25"/>
    <row r="31255" customFormat="1" x14ac:dyDescent="0.25"/>
    <row r="31256" customFormat="1" x14ac:dyDescent="0.25"/>
    <row r="31257" customFormat="1" x14ac:dyDescent="0.25"/>
    <row r="31258" customFormat="1" x14ac:dyDescent="0.25"/>
    <row r="31259" customFormat="1" x14ac:dyDescent="0.25"/>
    <row r="31260" customFormat="1" x14ac:dyDescent="0.25"/>
    <row r="31261" customFormat="1" x14ac:dyDescent="0.25"/>
    <row r="31262" customFormat="1" x14ac:dyDescent="0.25"/>
    <row r="31263" customFormat="1" x14ac:dyDescent="0.25"/>
    <row r="31264" customFormat="1" x14ac:dyDescent="0.25"/>
    <row r="31265" customFormat="1" x14ac:dyDescent="0.25"/>
    <row r="31266" customFormat="1" x14ac:dyDescent="0.25"/>
    <row r="31267" customFormat="1" x14ac:dyDescent="0.25"/>
    <row r="31268" customFormat="1" x14ac:dyDescent="0.25"/>
    <row r="31269" customFormat="1" x14ac:dyDescent="0.25"/>
    <row r="31270" customFormat="1" x14ac:dyDescent="0.25"/>
    <row r="31271" customFormat="1" x14ac:dyDescent="0.25"/>
    <row r="31272" customFormat="1" x14ac:dyDescent="0.25"/>
    <row r="31273" customFormat="1" x14ac:dyDescent="0.25"/>
    <row r="31274" customFormat="1" x14ac:dyDescent="0.25"/>
    <row r="31275" customFormat="1" x14ac:dyDescent="0.25"/>
    <row r="31276" customFormat="1" x14ac:dyDescent="0.25"/>
    <row r="31277" customFormat="1" x14ac:dyDescent="0.25"/>
    <row r="31278" customFormat="1" x14ac:dyDescent="0.25"/>
    <row r="31279" customFormat="1" x14ac:dyDescent="0.25"/>
    <row r="31280" customFormat="1" x14ac:dyDescent="0.25"/>
    <row r="31281" customFormat="1" x14ac:dyDescent="0.25"/>
    <row r="31282" customFormat="1" x14ac:dyDescent="0.25"/>
    <row r="31283" customFormat="1" x14ac:dyDescent="0.25"/>
    <row r="31284" customFormat="1" x14ac:dyDescent="0.25"/>
    <row r="31285" customFormat="1" x14ac:dyDescent="0.25"/>
    <row r="31286" customFormat="1" x14ac:dyDescent="0.25"/>
    <row r="31287" customFormat="1" x14ac:dyDescent="0.25"/>
    <row r="31288" customFormat="1" x14ac:dyDescent="0.25"/>
    <row r="31289" customFormat="1" x14ac:dyDescent="0.25"/>
    <row r="31290" customFormat="1" x14ac:dyDescent="0.25"/>
    <row r="31291" customFormat="1" x14ac:dyDescent="0.25"/>
    <row r="31292" customFormat="1" x14ac:dyDescent="0.25"/>
    <row r="31293" customFormat="1" x14ac:dyDescent="0.25"/>
    <row r="31294" customFormat="1" x14ac:dyDescent="0.25"/>
    <row r="31295" customFormat="1" x14ac:dyDescent="0.25"/>
    <row r="31296" customFormat="1" x14ac:dyDescent="0.25"/>
    <row r="31297" customFormat="1" x14ac:dyDescent="0.25"/>
    <row r="31298" customFormat="1" x14ac:dyDescent="0.25"/>
    <row r="31299" customFormat="1" x14ac:dyDescent="0.25"/>
    <row r="31300" customFormat="1" x14ac:dyDescent="0.25"/>
    <row r="31301" customFormat="1" x14ac:dyDescent="0.25"/>
    <row r="31302" customFormat="1" x14ac:dyDescent="0.25"/>
    <row r="31303" customFormat="1" x14ac:dyDescent="0.25"/>
    <row r="31304" customFormat="1" x14ac:dyDescent="0.25"/>
    <row r="31305" customFormat="1" x14ac:dyDescent="0.25"/>
    <row r="31306" customFormat="1" x14ac:dyDescent="0.25"/>
    <row r="31307" customFormat="1" x14ac:dyDescent="0.25"/>
    <row r="31308" customFormat="1" x14ac:dyDescent="0.25"/>
    <row r="31309" customFormat="1" x14ac:dyDescent="0.25"/>
    <row r="31310" customFormat="1" x14ac:dyDescent="0.25"/>
    <row r="31311" customFormat="1" x14ac:dyDescent="0.25"/>
    <row r="31312" customFormat="1" x14ac:dyDescent="0.25"/>
    <row r="31313" customFormat="1" x14ac:dyDescent="0.25"/>
    <row r="31314" customFormat="1" x14ac:dyDescent="0.25"/>
    <row r="31315" customFormat="1" x14ac:dyDescent="0.25"/>
    <row r="31316" customFormat="1" x14ac:dyDescent="0.25"/>
    <row r="31317" customFormat="1" x14ac:dyDescent="0.25"/>
    <row r="31318" customFormat="1" x14ac:dyDescent="0.25"/>
    <row r="31319" customFormat="1" x14ac:dyDescent="0.25"/>
    <row r="31320" customFormat="1" x14ac:dyDescent="0.25"/>
    <row r="31321" customFormat="1" x14ac:dyDescent="0.25"/>
    <row r="31322" customFormat="1" x14ac:dyDescent="0.25"/>
    <row r="31323" customFormat="1" x14ac:dyDescent="0.25"/>
    <row r="31324" customFormat="1" x14ac:dyDescent="0.25"/>
    <row r="31325" customFormat="1" x14ac:dyDescent="0.25"/>
    <row r="31326" customFormat="1" x14ac:dyDescent="0.25"/>
    <row r="31327" customFormat="1" x14ac:dyDescent="0.25"/>
    <row r="31328" customFormat="1" x14ac:dyDescent="0.25"/>
    <row r="31329" customFormat="1" x14ac:dyDescent="0.25"/>
    <row r="31330" customFormat="1" x14ac:dyDescent="0.25"/>
    <row r="31331" customFormat="1" x14ac:dyDescent="0.25"/>
    <row r="31332" customFormat="1" x14ac:dyDescent="0.25"/>
    <row r="31333" customFormat="1" x14ac:dyDescent="0.25"/>
    <row r="31334" customFormat="1" x14ac:dyDescent="0.25"/>
    <row r="31335" customFormat="1" x14ac:dyDescent="0.25"/>
    <row r="31336" customFormat="1" x14ac:dyDescent="0.25"/>
    <row r="31337" customFormat="1" x14ac:dyDescent="0.25"/>
    <row r="31338" customFormat="1" x14ac:dyDescent="0.25"/>
    <row r="31339" customFormat="1" x14ac:dyDescent="0.25"/>
    <row r="31340" customFormat="1" x14ac:dyDescent="0.25"/>
    <row r="31341" customFormat="1" x14ac:dyDescent="0.25"/>
    <row r="31342" customFormat="1" x14ac:dyDescent="0.25"/>
    <row r="31343" customFormat="1" x14ac:dyDescent="0.25"/>
    <row r="31344" customFormat="1" x14ac:dyDescent="0.25"/>
    <row r="31345" customFormat="1" x14ac:dyDescent="0.25"/>
    <row r="31346" customFormat="1" x14ac:dyDescent="0.25"/>
    <row r="31347" customFormat="1" x14ac:dyDescent="0.25"/>
    <row r="31348" customFormat="1" x14ac:dyDescent="0.25"/>
    <row r="31349" customFormat="1" x14ac:dyDescent="0.25"/>
    <row r="31350" customFormat="1" x14ac:dyDescent="0.25"/>
    <row r="31351" customFormat="1" x14ac:dyDescent="0.25"/>
    <row r="31352" customFormat="1" x14ac:dyDescent="0.25"/>
    <row r="31353" customFormat="1" x14ac:dyDescent="0.25"/>
    <row r="31354" customFormat="1" x14ac:dyDescent="0.25"/>
    <row r="31355" customFormat="1" x14ac:dyDescent="0.25"/>
    <row r="31356" customFormat="1" x14ac:dyDescent="0.25"/>
    <row r="31357" customFormat="1" x14ac:dyDescent="0.25"/>
    <row r="31358" customFormat="1" x14ac:dyDescent="0.25"/>
    <row r="31359" customFormat="1" x14ac:dyDescent="0.25"/>
    <row r="31360" customFormat="1" x14ac:dyDescent="0.25"/>
    <row r="31361" customFormat="1" x14ac:dyDescent="0.25"/>
    <row r="31362" customFormat="1" x14ac:dyDescent="0.25"/>
    <row r="31363" customFormat="1" x14ac:dyDescent="0.25"/>
    <row r="31364" customFormat="1" x14ac:dyDescent="0.25"/>
    <row r="31365" customFormat="1" x14ac:dyDescent="0.25"/>
    <row r="31366" customFormat="1" x14ac:dyDescent="0.25"/>
    <row r="31367" customFormat="1" x14ac:dyDescent="0.25"/>
    <row r="31368" customFormat="1" x14ac:dyDescent="0.25"/>
    <row r="31369" customFormat="1" x14ac:dyDescent="0.25"/>
    <row r="31370" customFormat="1" x14ac:dyDescent="0.25"/>
    <row r="31371" customFormat="1" x14ac:dyDescent="0.25"/>
    <row r="31372" customFormat="1" x14ac:dyDescent="0.25"/>
    <row r="31373" customFormat="1" x14ac:dyDescent="0.25"/>
    <row r="31374" customFormat="1" x14ac:dyDescent="0.25"/>
    <row r="31375" customFormat="1" x14ac:dyDescent="0.25"/>
    <row r="31376" customFormat="1" x14ac:dyDescent="0.25"/>
    <row r="31377" customFormat="1" x14ac:dyDescent="0.25"/>
    <row r="31378" customFormat="1" x14ac:dyDescent="0.25"/>
    <row r="31379" customFormat="1" x14ac:dyDescent="0.25"/>
    <row r="31380" customFormat="1" x14ac:dyDescent="0.25"/>
    <row r="31381" customFormat="1" x14ac:dyDescent="0.25"/>
    <row r="31382" customFormat="1" x14ac:dyDescent="0.25"/>
    <row r="31383" customFormat="1" x14ac:dyDescent="0.25"/>
    <row r="31384" customFormat="1" x14ac:dyDescent="0.25"/>
    <row r="31385" customFormat="1" x14ac:dyDescent="0.25"/>
    <row r="31386" customFormat="1" x14ac:dyDescent="0.25"/>
    <row r="31387" customFormat="1" x14ac:dyDescent="0.25"/>
    <row r="31388" customFormat="1" x14ac:dyDescent="0.25"/>
    <row r="31389" customFormat="1" x14ac:dyDescent="0.25"/>
    <row r="31390" customFormat="1" x14ac:dyDescent="0.25"/>
    <row r="31391" customFormat="1" x14ac:dyDescent="0.25"/>
    <row r="31392" customFormat="1" x14ac:dyDescent="0.25"/>
    <row r="31393" customFormat="1" x14ac:dyDescent="0.25"/>
    <row r="31394" customFormat="1" x14ac:dyDescent="0.25"/>
    <row r="31395" customFormat="1" x14ac:dyDescent="0.25"/>
    <row r="31396" customFormat="1" x14ac:dyDescent="0.25"/>
    <row r="31397" customFormat="1" x14ac:dyDescent="0.25"/>
    <row r="31398" customFormat="1" x14ac:dyDescent="0.25"/>
    <row r="31399" customFormat="1" x14ac:dyDescent="0.25"/>
    <row r="31400" customFormat="1" x14ac:dyDescent="0.25"/>
    <row r="31401" customFormat="1" x14ac:dyDescent="0.25"/>
    <row r="31402" customFormat="1" x14ac:dyDescent="0.25"/>
    <row r="31403" customFormat="1" x14ac:dyDescent="0.25"/>
    <row r="31404" customFormat="1" x14ac:dyDescent="0.25"/>
    <row r="31405" customFormat="1" x14ac:dyDescent="0.25"/>
    <row r="31406" customFormat="1" x14ac:dyDescent="0.25"/>
    <row r="31407" customFormat="1" x14ac:dyDescent="0.25"/>
    <row r="31408" customFormat="1" x14ac:dyDescent="0.25"/>
    <row r="31409" customFormat="1" x14ac:dyDescent="0.25"/>
    <row r="31410" customFormat="1" x14ac:dyDescent="0.25"/>
    <row r="31411" customFormat="1" x14ac:dyDescent="0.25"/>
    <row r="31412" customFormat="1" x14ac:dyDescent="0.25"/>
    <row r="31413" customFormat="1" x14ac:dyDescent="0.25"/>
    <row r="31414" customFormat="1" x14ac:dyDescent="0.25"/>
    <row r="31415" customFormat="1" x14ac:dyDescent="0.25"/>
    <row r="31416" customFormat="1" x14ac:dyDescent="0.25"/>
    <row r="31417" customFormat="1" x14ac:dyDescent="0.25"/>
    <row r="31418" customFormat="1" x14ac:dyDescent="0.25"/>
    <row r="31419" customFormat="1" x14ac:dyDescent="0.25"/>
    <row r="31420" customFormat="1" x14ac:dyDescent="0.25"/>
    <row r="31421" customFormat="1" x14ac:dyDescent="0.25"/>
    <row r="31422" customFormat="1" x14ac:dyDescent="0.25"/>
    <row r="31423" customFormat="1" x14ac:dyDescent="0.25"/>
    <row r="31424" customFormat="1" x14ac:dyDescent="0.25"/>
    <row r="31425" customFormat="1" x14ac:dyDescent="0.25"/>
    <row r="31426" customFormat="1" x14ac:dyDescent="0.25"/>
    <row r="31427" customFormat="1" x14ac:dyDescent="0.25"/>
    <row r="31428" customFormat="1" x14ac:dyDescent="0.25"/>
    <row r="31429" customFormat="1" x14ac:dyDescent="0.25"/>
    <row r="31430" customFormat="1" x14ac:dyDescent="0.25"/>
    <row r="31431" customFormat="1" x14ac:dyDescent="0.25"/>
    <row r="31432" customFormat="1" x14ac:dyDescent="0.25"/>
    <row r="31433" customFormat="1" x14ac:dyDescent="0.25"/>
    <row r="31434" customFormat="1" x14ac:dyDescent="0.25"/>
    <row r="31435" customFormat="1" x14ac:dyDescent="0.25"/>
    <row r="31436" customFormat="1" x14ac:dyDescent="0.25"/>
    <row r="31437" customFormat="1" x14ac:dyDescent="0.25"/>
    <row r="31438" customFormat="1" x14ac:dyDescent="0.25"/>
    <row r="31439" customFormat="1" x14ac:dyDescent="0.25"/>
    <row r="31440" customFormat="1" x14ac:dyDescent="0.25"/>
    <row r="31441" customFormat="1" x14ac:dyDescent="0.25"/>
    <row r="31442" customFormat="1" x14ac:dyDescent="0.25"/>
    <row r="31443" customFormat="1" x14ac:dyDescent="0.25"/>
    <row r="31444" customFormat="1" x14ac:dyDescent="0.25"/>
    <row r="31445" customFormat="1" x14ac:dyDescent="0.25"/>
    <row r="31446" customFormat="1" x14ac:dyDescent="0.25"/>
    <row r="31447" customFormat="1" x14ac:dyDescent="0.25"/>
    <row r="31448" customFormat="1" x14ac:dyDescent="0.25"/>
    <row r="31449" customFormat="1" x14ac:dyDescent="0.25"/>
    <row r="31450" customFormat="1" x14ac:dyDescent="0.25"/>
    <row r="31451" customFormat="1" x14ac:dyDescent="0.25"/>
    <row r="31452" customFormat="1" x14ac:dyDescent="0.25"/>
    <row r="31453" customFormat="1" x14ac:dyDescent="0.25"/>
    <row r="31454" customFormat="1" x14ac:dyDescent="0.25"/>
    <row r="31455" customFormat="1" x14ac:dyDescent="0.25"/>
    <row r="31456" customFormat="1" x14ac:dyDescent="0.25"/>
    <row r="31457" customFormat="1" x14ac:dyDescent="0.25"/>
    <row r="31458" customFormat="1" x14ac:dyDescent="0.25"/>
    <row r="31459" customFormat="1" x14ac:dyDescent="0.25"/>
    <row r="31460" customFormat="1" x14ac:dyDescent="0.25"/>
    <row r="31461" customFormat="1" x14ac:dyDescent="0.25"/>
    <row r="31462" customFormat="1" x14ac:dyDescent="0.25"/>
    <row r="31463" customFormat="1" x14ac:dyDescent="0.25"/>
    <row r="31464" customFormat="1" x14ac:dyDescent="0.25"/>
    <row r="31465" customFormat="1" x14ac:dyDescent="0.25"/>
    <row r="31466" customFormat="1" x14ac:dyDescent="0.25"/>
    <row r="31467" customFormat="1" x14ac:dyDescent="0.25"/>
    <row r="31468" customFormat="1" x14ac:dyDescent="0.25"/>
    <row r="31469" customFormat="1" x14ac:dyDescent="0.25"/>
    <row r="31470" customFormat="1" x14ac:dyDescent="0.25"/>
    <row r="31471" customFormat="1" x14ac:dyDescent="0.25"/>
    <row r="31472" customFormat="1" x14ac:dyDescent="0.25"/>
    <row r="31473" customFormat="1" x14ac:dyDescent="0.25"/>
    <row r="31474" customFormat="1" x14ac:dyDescent="0.25"/>
    <row r="31475" customFormat="1" x14ac:dyDescent="0.25"/>
    <row r="31476" customFormat="1" x14ac:dyDescent="0.25"/>
    <row r="31477" customFormat="1" x14ac:dyDescent="0.25"/>
    <row r="31478" customFormat="1" x14ac:dyDescent="0.25"/>
    <row r="31479" customFormat="1" x14ac:dyDescent="0.25"/>
    <row r="31480" customFormat="1" x14ac:dyDescent="0.25"/>
    <row r="31481" customFormat="1" x14ac:dyDescent="0.25"/>
    <row r="31482" customFormat="1" x14ac:dyDescent="0.25"/>
    <row r="31483" customFormat="1" x14ac:dyDescent="0.25"/>
    <row r="31484" customFormat="1" x14ac:dyDescent="0.25"/>
    <row r="31485" customFormat="1" x14ac:dyDescent="0.25"/>
    <row r="31486" customFormat="1" x14ac:dyDescent="0.25"/>
    <row r="31487" customFormat="1" x14ac:dyDescent="0.25"/>
    <row r="31488" customFormat="1" x14ac:dyDescent="0.25"/>
    <row r="31489" customFormat="1" x14ac:dyDescent="0.25"/>
    <row r="31490" customFormat="1" x14ac:dyDescent="0.25"/>
    <row r="31491" customFormat="1" x14ac:dyDescent="0.25"/>
    <row r="31492" customFormat="1" x14ac:dyDescent="0.25"/>
    <row r="31493" customFormat="1" x14ac:dyDescent="0.25"/>
    <row r="31494" customFormat="1" x14ac:dyDescent="0.25"/>
    <row r="31495" customFormat="1" x14ac:dyDescent="0.25"/>
    <row r="31496" customFormat="1" x14ac:dyDescent="0.25"/>
    <row r="31497" customFormat="1" x14ac:dyDescent="0.25"/>
    <row r="31498" customFormat="1" x14ac:dyDescent="0.25"/>
    <row r="31499" customFormat="1" x14ac:dyDescent="0.25"/>
    <row r="31500" customFormat="1" x14ac:dyDescent="0.25"/>
    <row r="31501" customFormat="1" x14ac:dyDescent="0.25"/>
    <row r="31502" customFormat="1" x14ac:dyDescent="0.25"/>
    <row r="31503" customFormat="1" x14ac:dyDescent="0.25"/>
    <row r="31504" customFormat="1" x14ac:dyDescent="0.25"/>
    <row r="31505" customFormat="1" x14ac:dyDescent="0.25"/>
    <row r="31506" customFormat="1" x14ac:dyDescent="0.25"/>
    <row r="31507" customFormat="1" x14ac:dyDescent="0.25"/>
    <row r="31508" customFormat="1" x14ac:dyDescent="0.25"/>
    <row r="31509" customFormat="1" x14ac:dyDescent="0.25"/>
    <row r="31510" customFormat="1" x14ac:dyDescent="0.25"/>
    <row r="31511" customFormat="1" x14ac:dyDescent="0.25"/>
    <row r="31512" customFormat="1" x14ac:dyDescent="0.25"/>
    <row r="31513" customFormat="1" x14ac:dyDescent="0.25"/>
    <row r="31514" customFormat="1" x14ac:dyDescent="0.25"/>
    <row r="31515" customFormat="1" x14ac:dyDescent="0.25"/>
    <row r="31516" customFormat="1" x14ac:dyDescent="0.25"/>
    <row r="31517" customFormat="1" x14ac:dyDescent="0.25"/>
    <row r="31518" customFormat="1" x14ac:dyDescent="0.25"/>
    <row r="31519" customFormat="1" x14ac:dyDescent="0.25"/>
    <row r="31520" customFormat="1" x14ac:dyDescent="0.25"/>
    <row r="31521" customFormat="1" x14ac:dyDescent="0.25"/>
    <row r="31522" customFormat="1" x14ac:dyDescent="0.25"/>
    <row r="31523" customFormat="1" x14ac:dyDescent="0.25"/>
    <row r="31524" customFormat="1" x14ac:dyDescent="0.25"/>
    <row r="31525" customFormat="1" x14ac:dyDescent="0.25"/>
    <row r="31526" customFormat="1" x14ac:dyDescent="0.25"/>
    <row r="31527" customFormat="1" x14ac:dyDescent="0.25"/>
    <row r="31528" customFormat="1" x14ac:dyDescent="0.25"/>
    <row r="31529" customFormat="1" x14ac:dyDescent="0.25"/>
    <row r="31530" customFormat="1" x14ac:dyDescent="0.25"/>
    <row r="31531" customFormat="1" x14ac:dyDescent="0.25"/>
    <row r="31532" customFormat="1" x14ac:dyDescent="0.25"/>
    <row r="31533" customFormat="1" x14ac:dyDescent="0.25"/>
    <row r="31534" customFormat="1" x14ac:dyDescent="0.25"/>
    <row r="31535" customFormat="1" x14ac:dyDescent="0.25"/>
    <row r="31536" customFormat="1" x14ac:dyDescent="0.25"/>
    <row r="31537" customFormat="1" x14ac:dyDescent="0.25"/>
    <row r="31538" customFormat="1" x14ac:dyDescent="0.25"/>
    <row r="31539" customFormat="1" x14ac:dyDescent="0.25"/>
    <row r="31540" customFormat="1" x14ac:dyDescent="0.25"/>
    <row r="31541" customFormat="1" x14ac:dyDescent="0.25"/>
    <row r="31542" customFormat="1" x14ac:dyDescent="0.25"/>
    <row r="31543" customFormat="1" x14ac:dyDescent="0.25"/>
    <row r="31544" customFormat="1" x14ac:dyDescent="0.25"/>
    <row r="31545" customFormat="1" x14ac:dyDescent="0.25"/>
    <row r="31546" customFormat="1" x14ac:dyDescent="0.25"/>
    <row r="31547" customFormat="1" x14ac:dyDescent="0.25"/>
    <row r="31548" customFormat="1" x14ac:dyDescent="0.25"/>
    <row r="31549" customFormat="1" x14ac:dyDescent="0.25"/>
    <row r="31550" customFormat="1" x14ac:dyDescent="0.25"/>
    <row r="31551" customFormat="1" x14ac:dyDescent="0.25"/>
    <row r="31552" customFormat="1" x14ac:dyDescent="0.25"/>
    <row r="31553" customFormat="1" x14ac:dyDescent="0.25"/>
    <row r="31554" customFormat="1" x14ac:dyDescent="0.25"/>
    <row r="31555" customFormat="1" x14ac:dyDescent="0.25"/>
    <row r="31556" customFormat="1" x14ac:dyDescent="0.25"/>
    <row r="31557" customFormat="1" x14ac:dyDescent="0.25"/>
    <row r="31558" customFormat="1" x14ac:dyDescent="0.25"/>
    <row r="31559" customFormat="1" x14ac:dyDescent="0.25"/>
    <row r="31560" customFormat="1" x14ac:dyDescent="0.25"/>
    <row r="31561" customFormat="1" x14ac:dyDescent="0.25"/>
    <row r="31562" customFormat="1" x14ac:dyDescent="0.25"/>
    <row r="31563" customFormat="1" x14ac:dyDescent="0.25"/>
    <row r="31564" customFormat="1" x14ac:dyDescent="0.25"/>
    <row r="31565" customFormat="1" x14ac:dyDescent="0.25"/>
    <row r="31566" customFormat="1" x14ac:dyDescent="0.25"/>
    <row r="31567" customFormat="1" x14ac:dyDescent="0.25"/>
    <row r="31568" customFormat="1" x14ac:dyDescent="0.25"/>
    <row r="31569" customFormat="1" x14ac:dyDescent="0.25"/>
    <row r="31570" customFormat="1" x14ac:dyDescent="0.25"/>
    <row r="31571" customFormat="1" x14ac:dyDescent="0.25"/>
    <row r="31572" customFormat="1" x14ac:dyDescent="0.25"/>
    <row r="31573" customFormat="1" x14ac:dyDescent="0.25"/>
    <row r="31574" customFormat="1" x14ac:dyDescent="0.25"/>
    <row r="31575" customFormat="1" x14ac:dyDescent="0.25"/>
    <row r="31576" customFormat="1" x14ac:dyDescent="0.25"/>
    <row r="31577" customFormat="1" x14ac:dyDescent="0.25"/>
    <row r="31578" customFormat="1" x14ac:dyDescent="0.25"/>
    <row r="31579" customFormat="1" x14ac:dyDescent="0.25"/>
    <row r="31580" customFormat="1" x14ac:dyDescent="0.25"/>
    <row r="31581" customFormat="1" x14ac:dyDescent="0.25"/>
    <row r="31582" customFormat="1" x14ac:dyDescent="0.25"/>
    <row r="31583" customFormat="1" x14ac:dyDescent="0.25"/>
    <row r="31584" customFormat="1" x14ac:dyDescent="0.25"/>
    <row r="31585" customFormat="1" x14ac:dyDescent="0.25"/>
    <row r="31586" customFormat="1" x14ac:dyDescent="0.25"/>
    <row r="31587" customFormat="1" x14ac:dyDescent="0.25"/>
    <row r="31588" customFormat="1" x14ac:dyDescent="0.25"/>
    <row r="31589" customFormat="1" x14ac:dyDescent="0.25"/>
    <row r="31590" customFormat="1" x14ac:dyDescent="0.25"/>
    <row r="31591" customFormat="1" x14ac:dyDescent="0.25"/>
    <row r="31592" customFormat="1" x14ac:dyDescent="0.25"/>
    <row r="31593" customFormat="1" x14ac:dyDescent="0.25"/>
    <row r="31594" customFormat="1" x14ac:dyDescent="0.25"/>
    <row r="31595" customFormat="1" x14ac:dyDescent="0.25"/>
    <row r="31596" customFormat="1" x14ac:dyDescent="0.25"/>
    <row r="31597" customFormat="1" x14ac:dyDescent="0.25"/>
    <row r="31598" customFormat="1" x14ac:dyDescent="0.25"/>
    <row r="31599" customFormat="1" x14ac:dyDescent="0.25"/>
    <row r="31600" customFormat="1" x14ac:dyDescent="0.25"/>
    <row r="31601" customFormat="1" x14ac:dyDescent="0.25"/>
    <row r="31602" customFormat="1" x14ac:dyDescent="0.25"/>
    <row r="31603" customFormat="1" x14ac:dyDescent="0.25"/>
    <row r="31604" customFormat="1" x14ac:dyDescent="0.25"/>
    <row r="31605" customFormat="1" x14ac:dyDescent="0.25"/>
    <row r="31606" customFormat="1" x14ac:dyDescent="0.25"/>
    <row r="31607" customFormat="1" x14ac:dyDescent="0.25"/>
    <row r="31608" customFormat="1" x14ac:dyDescent="0.25"/>
    <row r="31609" customFormat="1" x14ac:dyDescent="0.25"/>
    <row r="31610" customFormat="1" x14ac:dyDescent="0.25"/>
    <row r="31611" customFormat="1" x14ac:dyDescent="0.25"/>
    <row r="31612" customFormat="1" x14ac:dyDescent="0.25"/>
    <row r="31613" customFormat="1" x14ac:dyDescent="0.25"/>
    <row r="31614" customFormat="1" x14ac:dyDescent="0.25"/>
    <row r="31615" customFormat="1" x14ac:dyDescent="0.25"/>
    <row r="31616" customFormat="1" x14ac:dyDescent="0.25"/>
    <row r="31617" customFormat="1" x14ac:dyDescent="0.25"/>
    <row r="31618" customFormat="1" x14ac:dyDescent="0.25"/>
    <row r="31619" customFormat="1" x14ac:dyDescent="0.25"/>
    <row r="31620" customFormat="1" x14ac:dyDescent="0.25"/>
    <row r="31621" customFormat="1" x14ac:dyDescent="0.25"/>
    <row r="31622" customFormat="1" x14ac:dyDescent="0.25"/>
    <row r="31623" customFormat="1" x14ac:dyDescent="0.25"/>
    <row r="31624" customFormat="1" x14ac:dyDescent="0.25"/>
    <row r="31625" customFormat="1" x14ac:dyDescent="0.25"/>
    <row r="31626" customFormat="1" x14ac:dyDescent="0.25"/>
    <row r="31627" customFormat="1" x14ac:dyDescent="0.25"/>
    <row r="31628" customFormat="1" x14ac:dyDescent="0.25"/>
    <row r="31629" customFormat="1" x14ac:dyDescent="0.25"/>
    <row r="31630" customFormat="1" x14ac:dyDescent="0.25"/>
    <row r="31631" customFormat="1" x14ac:dyDescent="0.25"/>
    <row r="31632" customFormat="1" x14ac:dyDescent="0.25"/>
    <row r="31633" customFormat="1" x14ac:dyDescent="0.25"/>
    <row r="31634" customFormat="1" x14ac:dyDescent="0.25"/>
    <row r="31635" customFormat="1" x14ac:dyDescent="0.25"/>
    <row r="31636" customFormat="1" x14ac:dyDescent="0.25"/>
    <row r="31637" customFormat="1" x14ac:dyDescent="0.25"/>
    <row r="31638" customFormat="1" x14ac:dyDescent="0.25"/>
    <row r="31639" customFormat="1" x14ac:dyDescent="0.25"/>
    <row r="31640" customFormat="1" x14ac:dyDescent="0.25"/>
    <row r="31641" customFormat="1" x14ac:dyDescent="0.25"/>
    <row r="31642" customFormat="1" x14ac:dyDescent="0.25"/>
    <row r="31643" customFormat="1" x14ac:dyDescent="0.25"/>
    <row r="31644" customFormat="1" x14ac:dyDescent="0.25"/>
    <row r="31645" customFormat="1" x14ac:dyDescent="0.25"/>
    <row r="31646" customFormat="1" x14ac:dyDescent="0.25"/>
    <row r="31647" customFormat="1" x14ac:dyDescent="0.25"/>
    <row r="31648" customFormat="1" x14ac:dyDescent="0.25"/>
    <row r="31649" customFormat="1" x14ac:dyDescent="0.25"/>
    <row r="31650" customFormat="1" x14ac:dyDescent="0.25"/>
    <row r="31651" customFormat="1" x14ac:dyDescent="0.25"/>
    <row r="31652" customFormat="1" x14ac:dyDescent="0.25"/>
    <row r="31653" customFormat="1" x14ac:dyDescent="0.25"/>
    <row r="31654" customFormat="1" x14ac:dyDescent="0.25"/>
    <row r="31655" customFormat="1" x14ac:dyDescent="0.25"/>
    <row r="31656" customFormat="1" x14ac:dyDescent="0.25"/>
    <row r="31657" customFormat="1" x14ac:dyDescent="0.25"/>
    <row r="31658" customFormat="1" x14ac:dyDescent="0.25"/>
    <row r="31659" customFormat="1" x14ac:dyDescent="0.25"/>
    <row r="31660" customFormat="1" x14ac:dyDescent="0.25"/>
    <row r="31661" customFormat="1" x14ac:dyDescent="0.25"/>
    <row r="31662" customFormat="1" x14ac:dyDescent="0.25"/>
    <row r="31663" customFormat="1" x14ac:dyDescent="0.25"/>
    <row r="31664" customFormat="1" x14ac:dyDescent="0.25"/>
    <row r="31665" customFormat="1" x14ac:dyDescent="0.25"/>
    <row r="31666" customFormat="1" x14ac:dyDescent="0.25"/>
    <row r="31667" customFormat="1" x14ac:dyDescent="0.25"/>
    <row r="31668" customFormat="1" x14ac:dyDescent="0.25"/>
    <row r="31669" customFormat="1" x14ac:dyDescent="0.25"/>
    <row r="31670" customFormat="1" x14ac:dyDescent="0.25"/>
    <row r="31671" customFormat="1" x14ac:dyDescent="0.25"/>
    <row r="31672" customFormat="1" x14ac:dyDescent="0.25"/>
    <row r="31673" customFormat="1" x14ac:dyDescent="0.25"/>
    <row r="31674" customFormat="1" x14ac:dyDescent="0.25"/>
    <row r="31675" customFormat="1" x14ac:dyDescent="0.25"/>
    <row r="31676" customFormat="1" x14ac:dyDescent="0.25"/>
    <row r="31677" customFormat="1" x14ac:dyDescent="0.25"/>
    <row r="31678" customFormat="1" x14ac:dyDescent="0.25"/>
    <row r="31679" customFormat="1" x14ac:dyDescent="0.25"/>
    <row r="31680" customFormat="1" x14ac:dyDescent="0.25"/>
    <row r="31681" customFormat="1" x14ac:dyDescent="0.25"/>
    <row r="31682" customFormat="1" x14ac:dyDescent="0.25"/>
    <row r="31683" customFormat="1" x14ac:dyDescent="0.25"/>
    <row r="31684" customFormat="1" x14ac:dyDescent="0.25"/>
    <row r="31685" customFormat="1" x14ac:dyDescent="0.25"/>
    <row r="31686" customFormat="1" x14ac:dyDescent="0.25"/>
    <row r="31687" customFormat="1" x14ac:dyDescent="0.25"/>
    <row r="31688" customFormat="1" x14ac:dyDescent="0.25"/>
    <row r="31689" customFormat="1" x14ac:dyDescent="0.25"/>
    <row r="31690" customFormat="1" x14ac:dyDescent="0.25"/>
    <row r="31691" customFormat="1" x14ac:dyDescent="0.25"/>
    <row r="31692" customFormat="1" x14ac:dyDescent="0.25"/>
    <row r="31693" customFormat="1" x14ac:dyDescent="0.25"/>
    <row r="31694" customFormat="1" x14ac:dyDescent="0.25"/>
    <row r="31695" customFormat="1" x14ac:dyDescent="0.25"/>
    <row r="31696" customFormat="1" x14ac:dyDescent="0.25"/>
    <row r="31697" customFormat="1" x14ac:dyDescent="0.25"/>
    <row r="31698" customFormat="1" x14ac:dyDescent="0.25"/>
    <row r="31699" customFormat="1" x14ac:dyDescent="0.25"/>
    <row r="31700" customFormat="1" x14ac:dyDescent="0.25"/>
    <row r="31701" customFormat="1" x14ac:dyDescent="0.25"/>
    <row r="31702" customFormat="1" x14ac:dyDescent="0.25"/>
    <row r="31703" customFormat="1" x14ac:dyDescent="0.25"/>
    <row r="31704" customFormat="1" x14ac:dyDescent="0.25"/>
    <row r="31705" customFormat="1" x14ac:dyDescent="0.25"/>
    <row r="31706" customFormat="1" x14ac:dyDescent="0.25"/>
    <row r="31707" customFormat="1" x14ac:dyDescent="0.25"/>
    <row r="31708" customFormat="1" x14ac:dyDescent="0.25"/>
    <row r="31709" customFormat="1" x14ac:dyDescent="0.25"/>
    <row r="31710" customFormat="1" x14ac:dyDescent="0.25"/>
    <row r="31711" customFormat="1" x14ac:dyDescent="0.25"/>
    <row r="31712" customFormat="1" x14ac:dyDescent="0.25"/>
    <row r="31713" customFormat="1" x14ac:dyDescent="0.25"/>
    <row r="31714" customFormat="1" x14ac:dyDescent="0.25"/>
    <row r="31715" customFormat="1" x14ac:dyDescent="0.25"/>
    <row r="31716" customFormat="1" x14ac:dyDescent="0.25"/>
    <row r="31717" customFormat="1" x14ac:dyDescent="0.25"/>
    <row r="31718" customFormat="1" x14ac:dyDescent="0.25"/>
    <row r="31719" customFormat="1" x14ac:dyDescent="0.25"/>
    <row r="31720" customFormat="1" x14ac:dyDescent="0.25"/>
    <row r="31721" customFormat="1" x14ac:dyDescent="0.25"/>
    <row r="31722" customFormat="1" x14ac:dyDescent="0.25"/>
    <row r="31723" customFormat="1" x14ac:dyDescent="0.25"/>
    <row r="31724" customFormat="1" x14ac:dyDescent="0.25"/>
    <row r="31725" customFormat="1" x14ac:dyDescent="0.25"/>
    <row r="31726" customFormat="1" x14ac:dyDescent="0.25"/>
    <row r="31727" customFormat="1" x14ac:dyDescent="0.25"/>
    <row r="31728" customFormat="1" x14ac:dyDescent="0.25"/>
    <row r="31729" customFormat="1" x14ac:dyDescent="0.25"/>
    <row r="31730" customFormat="1" x14ac:dyDescent="0.25"/>
    <row r="31731" customFormat="1" x14ac:dyDescent="0.25"/>
    <row r="31732" customFormat="1" x14ac:dyDescent="0.25"/>
    <row r="31733" customFormat="1" x14ac:dyDescent="0.25"/>
    <row r="31734" customFormat="1" x14ac:dyDescent="0.25"/>
    <row r="31735" customFormat="1" x14ac:dyDescent="0.25"/>
    <row r="31736" customFormat="1" x14ac:dyDescent="0.25"/>
    <row r="31737" customFormat="1" x14ac:dyDescent="0.25"/>
    <row r="31738" customFormat="1" x14ac:dyDescent="0.25"/>
    <row r="31739" customFormat="1" x14ac:dyDescent="0.25"/>
    <row r="31740" customFormat="1" x14ac:dyDescent="0.25"/>
    <row r="31741" customFormat="1" x14ac:dyDescent="0.25"/>
    <row r="31742" customFormat="1" x14ac:dyDescent="0.25"/>
    <row r="31743" customFormat="1" x14ac:dyDescent="0.25"/>
    <row r="31744" customFormat="1" x14ac:dyDescent="0.25"/>
    <row r="31745" customFormat="1" x14ac:dyDescent="0.25"/>
    <row r="31746" customFormat="1" x14ac:dyDescent="0.25"/>
    <row r="31747" customFormat="1" x14ac:dyDescent="0.25"/>
    <row r="31748" customFormat="1" x14ac:dyDescent="0.25"/>
    <row r="31749" customFormat="1" x14ac:dyDescent="0.25"/>
    <row r="31750" customFormat="1" x14ac:dyDescent="0.25"/>
    <row r="31751" customFormat="1" x14ac:dyDescent="0.25"/>
    <row r="31752" customFormat="1" x14ac:dyDescent="0.25"/>
    <row r="31753" customFormat="1" x14ac:dyDescent="0.25"/>
    <row r="31754" customFormat="1" x14ac:dyDescent="0.25"/>
    <row r="31755" customFormat="1" x14ac:dyDescent="0.25"/>
    <row r="31756" customFormat="1" x14ac:dyDescent="0.25"/>
    <row r="31757" customFormat="1" x14ac:dyDescent="0.25"/>
    <row r="31758" customFormat="1" x14ac:dyDescent="0.25"/>
    <row r="31759" customFormat="1" x14ac:dyDescent="0.25"/>
    <row r="31760" customFormat="1" x14ac:dyDescent="0.25"/>
    <row r="31761" customFormat="1" x14ac:dyDescent="0.25"/>
    <row r="31762" customFormat="1" x14ac:dyDescent="0.25"/>
    <row r="31763" customFormat="1" x14ac:dyDescent="0.25"/>
    <row r="31764" customFormat="1" x14ac:dyDescent="0.25"/>
    <row r="31765" customFormat="1" x14ac:dyDescent="0.25"/>
    <row r="31766" customFormat="1" x14ac:dyDescent="0.25"/>
    <row r="31767" customFormat="1" x14ac:dyDescent="0.25"/>
    <row r="31768" customFormat="1" x14ac:dyDescent="0.25"/>
    <row r="31769" customFormat="1" x14ac:dyDescent="0.25"/>
    <row r="31770" customFormat="1" x14ac:dyDescent="0.25"/>
    <row r="31771" customFormat="1" x14ac:dyDescent="0.25"/>
    <row r="31772" customFormat="1" x14ac:dyDescent="0.25"/>
    <row r="31773" customFormat="1" x14ac:dyDescent="0.25"/>
    <row r="31774" customFormat="1" x14ac:dyDescent="0.25"/>
    <row r="31775" customFormat="1" x14ac:dyDescent="0.25"/>
    <row r="31776" customFormat="1" x14ac:dyDescent="0.25"/>
    <row r="31777" customFormat="1" x14ac:dyDescent="0.25"/>
    <row r="31778" customFormat="1" x14ac:dyDescent="0.25"/>
    <row r="31779" customFormat="1" x14ac:dyDescent="0.25"/>
    <row r="31780" customFormat="1" x14ac:dyDescent="0.25"/>
    <row r="31781" customFormat="1" x14ac:dyDescent="0.25"/>
    <row r="31782" customFormat="1" x14ac:dyDescent="0.25"/>
    <row r="31783" customFormat="1" x14ac:dyDescent="0.25"/>
    <row r="31784" customFormat="1" x14ac:dyDescent="0.25"/>
    <row r="31785" customFormat="1" x14ac:dyDescent="0.25"/>
    <row r="31786" customFormat="1" x14ac:dyDescent="0.25"/>
    <row r="31787" customFormat="1" x14ac:dyDescent="0.25"/>
    <row r="31788" customFormat="1" x14ac:dyDescent="0.25"/>
    <row r="31789" customFormat="1" x14ac:dyDescent="0.25"/>
    <row r="31790" customFormat="1" x14ac:dyDescent="0.25"/>
    <row r="31791" customFormat="1" x14ac:dyDescent="0.25"/>
    <row r="31792" customFormat="1" x14ac:dyDescent="0.25"/>
    <row r="31793" customFormat="1" x14ac:dyDescent="0.25"/>
    <row r="31794" customFormat="1" x14ac:dyDescent="0.25"/>
    <row r="31795" customFormat="1" x14ac:dyDescent="0.25"/>
    <row r="31796" customFormat="1" x14ac:dyDescent="0.25"/>
    <row r="31797" customFormat="1" x14ac:dyDescent="0.25"/>
    <row r="31798" customFormat="1" x14ac:dyDescent="0.25"/>
    <row r="31799" customFormat="1" x14ac:dyDescent="0.25"/>
    <row r="31800" customFormat="1" x14ac:dyDescent="0.25"/>
    <row r="31801" customFormat="1" x14ac:dyDescent="0.25"/>
    <row r="31802" customFormat="1" x14ac:dyDescent="0.25"/>
    <row r="31803" customFormat="1" x14ac:dyDescent="0.25"/>
    <row r="31804" customFormat="1" x14ac:dyDescent="0.25"/>
    <row r="31805" customFormat="1" x14ac:dyDescent="0.25"/>
    <row r="31806" customFormat="1" x14ac:dyDescent="0.25"/>
    <row r="31807" customFormat="1" x14ac:dyDescent="0.25"/>
    <row r="31808" customFormat="1" x14ac:dyDescent="0.25"/>
    <row r="31809" customFormat="1" x14ac:dyDescent="0.25"/>
    <row r="31810" customFormat="1" x14ac:dyDescent="0.25"/>
    <row r="31811" customFormat="1" x14ac:dyDescent="0.25"/>
    <row r="31812" customFormat="1" x14ac:dyDescent="0.25"/>
    <row r="31813" customFormat="1" x14ac:dyDescent="0.25"/>
    <row r="31814" customFormat="1" x14ac:dyDescent="0.25"/>
    <row r="31815" customFormat="1" x14ac:dyDescent="0.25"/>
    <row r="31816" customFormat="1" x14ac:dyDescent="0.25"/>
    <row r="31817" customFormat="1" x14ac:dyDescent="0.25"/>
    <row r="31818" customFormat="1" x14ac:dyDescent="0.25"/>
    <row r="31819" customFormat="1" x14ac:dyDescent="0.25"/>
    <row r="31820" customFormat="1" x14ac:dyDescent="0.25"/>
    <row r="31821" customFormat="1" x14ac:dyDescent="0.25"/>
    <row r="31822" customFormat="1" x14ac:dyDescent="0.25"/>
    <row r="31823" customFormat="1" x14ac:dyDescent="0.25"/>
    <row r="31824" customFormat="1" x14ac:dyDescent="0.25"/>
    <row r="31825" customFormat="1" x14ac:dyDescent="0.25"/>
    <row r="31826" customFormat="1" x14ac:dyDescent="0.25"/>
    <row r="31827" customFormat="1" x14ac:dyDescent="0.25"/>
    <row r="31828" customFormat="1" x14ac:dyDescent="0.25"/>
    <row r="31829" customFormat="1" x14ac:dyDescent="0.25"/>
    <row r="31830" customFormat="1" x14ac:dyDescent="0.25"/>
    <row r="31831" customFormat="1" x14ac:dyDescent="0.25"/>
    <row r="31832" customFormat="1" x14ac:dyDescent="0.25"/>
    <row r="31833" customFormat="1" x14ac:dyDescent="0.25"/>
    <row r="31834" customFormat="1" x14ac:dyDescent="0.25"/>
    <row r="31835" customFormat="1" x14ac:dyDescent="0.25"/>
    <row r="31836" customFormat="1" x14ac:dyDescent="0.25"/>
    <row r="31837" customFormat="1" x14ac:dyDescent="0.25"/>
    <row r="31838" customFormat="1" x14ac:dyDescent="0.25"/>
    <row r="31839" customFormat="1" x14ac:dyDescent="0.25"/>
    <row r="31840" customFormat="1" x14ac:dyDescent="0.25"/>
    <row r="31841" customFormat="1" x14ac:dyDescent="0.25"/>
    <row r="31842" customFormat="1" x14ac:dyDescent="0.25"/>
    <row r="31843" customFormat="1" x14ac:dyDescent="0.25"/>
    <row r="31844" customFormat="1" x14ac:dyDescent="0.25"/>
    <row r="31845" customFormat="1" x14ac:dyDescent="0.25"/>
    <row r="31846" customFormat="1" x14ac:dyDescent="0.25"/>
    <row r="31847" customFormat="1" x14ac:dyDescent="0.25"/>
    <row r="31848" customFormat="1" x14ac:dyDescent="0.25"/>
    <row r="31849" customFormat="1" x14ac:dyDescent="0.25"/>
    <row r="31850" customFormat="1" x14ac:dyDescent="0.25"/>
    <row r="31851" customFormat="1" x14ac:dyDescent="0.25"/>
    <row r="31852" customFormat="1" x14ac:dyDescent="0.25"/>
    <row r="31853" customFormat="1" x14ac:dyDescent="0.25"/>
    <row r="31854" customFormat="1" x14ac:dyDescent="0.25"/>
    <row r="31855" customFormat="1" x14ac:dyDescent="0.25"/>
    <row r="31856" customFormat="1" x14ac:dyDescent="0.25"/>
    <row r="31857" customFormat="1" x14ac:dyDescent="0.25"/>
    <row r="31858" customFormat="1" x14ac:dyDescent="0.25"/>
    <row r="31859" customFormat="1" x14ac:dyDescent="0.25"/>
    <row r="31860" customFormat="1" x14ac:dyDescent="0.25"/>
    <row r="31861" customFormat="1" x14ac:dyDescent="0.25"/>
    <row r="31862" customFormat="1" x14ac:dyDescent="0.25"/>
    <row r="31863" customFormat="1" x14ac:dyDescent="0.25"/>
    <row r="31864" customFormat="1" x14ac:dyDescent="0.25"/>
    <row r="31865" customFormat="1" x14ac:dyDescent="0.25"/>
    <row r="31866" customFormat="1" x14ac:dyDescent="0.25"/>
    <row r="31867" customFormat="1" x14ac:dyDescent="0.25"/>
    <row r="31868" customFormat="1" x14ac:dyDescent="0.25"/>
    <row r="31869" customFormat="1" x14ac:dyDescent="0.25"/>
    <row r="31870" customFormat="1" x14ac:dyDescent="0.25"/>
    <row r="31871" customFormat="1" x14ac:dyDescent="0.25"/>
    <row r="31872" customFormat="1" x14ac:dyDescent="0.25"/>
    <row r="31873" customFormat="1" x14ac:dyDescent="0.25"/>
    <row r="31874" customFormat="1" x14ac:dyDescent="0.25"/>
    <row r="31875" customFormat="1" x14ac:dyDescent="0.25"/>
    <row r="31876" customFormat="1" x14ac:dyDescent="0.25"/>
    <row r="31877" customFormat="1" x14ac:dyDescent="0.25"/>
    <row r="31878" customFormat="1" x14ac:dyDescent="0.25"/>
    <row r="31879" customFormat="1" x14ac:dyDescent="0.25"/>
    <row r="31880" customFormat="1" x14ac:dyDescent="0.25"/>
    <row r="31881" customFormat="1" x14ac:dyDescent="0.25"/>
    <row r="31882" customFormat="1" x14ac:dyDescent="0.25"/>
    <row r="31883" customFormat="1" x14ac:dyDescent="0.25"/>
    <row r="31884" customFormat="1" x14ac:dyDescent="0.25"/>
    <row r="31885" customFormat="1" x14ac:dyDescent="0.25"/>
    <row r="31886" customFormat="1" x14ac:dyDescent="0.25"/>
    <row r="31887" customFormat="1" x14ac:dyDescent="0.25"/>
    <row r="31888" customFormat="1" x14ac:dyDescent="0.25"/>
    <row r="31889" customFormat="1" x14ac:dyDescent="0.25"/>
    <row r="31890" customFormat="1" x14ac:dyDescent="0.25"/>
    <row r="31891" customFormat="1" x14ac:dyDescent="0.25"/>
    <row r="31892" customFormat="1" x14ac:dyDescent="0.25"/>
    <row r="31893" customFormat="1" x14ac:dyDescent="0.25"/>
    <row r="31894" customFormat="1" x14ac:dyDescent="0.25"/>
    <row r="31895" customFormat="1" x14ac:dyDescent="0.25"/>
    <row r="31896" customFormat="1" x14ac:dyDescent="0.25"/>
    <row r="31897" customFormat="1" x14ac:dyDescent="0.25"/>
    <row r="31898" customFormat="1" x14ac:dyDescent="0.25"/>
    <row r="31899" customFormat="1" x14ac:dyDescent="0.25"/>
    <row r="31900" customFormat="1" x14ac:dyDescent="0.25"/>
    <row r="31901" customFormat="1" x14ac:dyDescent="0.25"/>
    <row r="31902" customFormat="1" x14ac:dyDescent="0.25"/>
    <row r="31903" customFormat="1" x14ac:dyDescent="0.25"/>
    <row r="31904" customFormat="1" x14ac:dyDescent="0.25"/>
    <row r="31905" customFormat="1" x14ac:dyDescent="0.25"/>
    <row r="31906" customFormat="1" x14ac:dyDescent="0.25"/>
    <row r="31907" customFormat="1" x14ac:dyDescent="0.25"/>
    <row r="31908" customFormat="1" x14ac:dyDescent="0.25"/>
    <row r="31909" customFormat="1" x14ac:dyDescent="0.25"/>
    <row r="31910" customFormat="1" x14ac:dyDescent="0.25"/>
    <row r="31911" customFormat="1" x14ac:dyDescent="0.25"/>
    <row r="31912" customFormat="1" x14ac:dyDescent="0.25"/>
    <row r="31913" customFormat="1" x14ac:dyDescent="0.25"/>
    <row r="31914" customFormat="1" x14ac:dyDescent="0.25"/>
    <row r="31915" customFormat="1" x14ac:dyDescent="0.25"/>
    <row r="31916" customFormat="1" x14ac:dyDescent="0.25"/>
    <row r="31917" customFormat="1" x14ac:dyDescent="0.25"/>
    <row r="31918" customFormat="1" x14ac:dyDescent="0.25"/>
    <row r="31919" customFormat="1" x14ac:dyDescent="0.25"/>
    <row r="31920" customFormat="1" x14ac:dyDescent="0.25"/>
    <row r="31921" customFormat="1" x14ac:dyDescent="0.25"/>
    <row r="31922" customFormat="1" x14ac:dyDescent="0.25"/>
    <row r="31923" customFormat="1" x14ac:dyDescent="0.25"/>
    <row r="31924" customFormat="1" x14ac:dyDescent="0.25"/>
    <row r="31925" customFormat="1" x14ac:dyDescent="0.25"/>
    <row r="31926" customFormat="1" x14ac:dyDescent="0.25"/>
    <row r="31927" customFormat="1" x14ac:dyDescent="0.25"/>
    <row r="31928" customFormat="1" x14ac:dyDescent="0.25"/>
    <row r="31929" customFormat="1" x14ac:dyDescent="0.25"/>
    <row r="31930" customFormat="1" x14ac:dyDescent="0.25"/>
    <row r="31931" customFormat="1" x14ac:dyDescent="0.25"/>
    <row r="31932" customFormat="1" x14ac:dyDescent="0.25"/>
    <row r="31933" customFormat="1" x14ac:dyDescent="0.25"/>
    <row r="31934" customFormat="1" x14ac:dyDescent="0.25"/>
    <row r="31935" customFormat="1" x14ac:dyDescent="0.25"/>
    <row r="31936" customFormat="1" x14ac:dyDescent="0.25"/>
    <row r="31937" customFormat="1" x14ac:dyDescent="0.25"/>
    <row r="31938" customFormat="1" x14ac:dyDescent="0.25"/>
    <row r="31939" customFormat="1" x14ac:dyDescent="0.25"/>
    <row r="31940" customFormat="1" x14ac:dyDescent="0.25"/>
    <row r="31941" customFormat="1" x14ac:dyDescent="0.25"/>
    <row r="31942" customFormat="1" x14ac:dyDescent="0.25"/>
    <row r="31943" customFormat="1" x14ac:dyDescent="0.25"/>
    <row r="31944" customFormat="1" x14ac:dyDescent="0.25"/>
    <row r="31945" customFormat="1" x14ac:dyDescent="0.25"/>
    <row r="31946" customFormat="1" x14ac:dyDescent="0.25"/>
    <row r="31947" customFormat="1" x14ac:dyDescent="0.25"/>
    <row r="31948" customFormat="1" x14ac:dyDescent="0.25"/>
    <row r="31949" customFormat="1" x14ac:dyDescent="0.25"/>
    <row r="31950" customFormat="1" x14ac:dyDescent="0.25"/>
    <row r="31951" customFormat="1" x14ac:dyDescent="0.25"/>
    <row r="31952" customFormat="1" x14ac:dyDescent="0.25"/>
    <row r="31953" customFormat="1" x14ac:dyDescent="0.25"/>
    <row r="31954" customFormat="1" x14ac:dyDescent="0.25"/>
    <row r="31955" customFormat="1" x14ac:dyDescent="0.25"/>
    <row r="31956" customFormat="1" x14ac:dyDescent="0.25"/>
    <row r="31957" customFormat="1" x14ac:dyDescent="0.25"/>
    <row r="31958" customFormat="1" x14ac:dyDescent="0.25"/>
    <row r="31959" customFormat="1" x14ac:dyDescent="0.25"/>
    <row r="31960" customFormat="1" x14ac:dyDescent="0.25"/>
    <row r="31961" customFormat="1" x14ac:dyDescent="0.25"/>
    <row r="31962" customFormat="1" x14ac:dyDescent="0.25"/>
    <row r="31963" customFormat="1" x14ac:dyDescent="0.25"/>
    <row r="31964" customFormat="1" x14ac:dyDescent="0.25"/>
    <row r="31965" customFormat="1" x14ac:dyDescent="0.25"/>
    <row r="31966" customFormat="1" x14ac:dyDescent="0.25"/>
    <row r="31967" customFormat="1" x14ac:dyDescent="0.25"/>
    <row r="31968" customFormat="1" x14ac:dyDescent="0.25"/>
    <row r="31969" customFormat="1" x14ac:dyDescent="0.25"/>
    <row r="31970" customFormat="1" x14ac:dyDescent="0.25"/>
    <row r="31971" customFormat="1" x14ac:dyDescent="0.25"/>
    <row r="31972" customFormat="1" x14ac:dyDescent="0.25"/>
    <row r="31973" customFormat="1" x14ac:dyDescent="0.25"/>
    <row r="31974" customFormat="1" x14ac:dyDescent="0.25"/>
    <row r="31975" customFormat="1" x14ac:dyDescent="0.25"/>
    <row r="31976" customFormat="1" x14ac:dyDescent="0.25"/>
    <row r="31977" customFormat="1" x14ac:dyDescent="0.25"/>
    <row r="31978" customFormat="1" x14ac:dyDescent="0.25"/>
    <row r="31979" customFormat="1" x14ac:dyDescent="0.25"/>
    <row r="31980" customFormat="1" x14ac:dyDescent="0.25"/>
    <row r="31981" customFormat="1" x14ac:dyDescent="0.25"/>
    <row r="31982" customFormat="1" x14ac:dyDescent="0.25"/>
    <row r="31983" customFormat="1" x14ac:dyDescent="0.25"/>
    <row r="31984" customFormat="1" x14ac:dyDescent="0.25"/>
    <row r="31985" customFormat="1" x14ac:dyDescent="0.25"/>
    <row r="31986" customFormat="1" x14ac:dyDescent="0.25"/>
    <row r="31987" customFormat="1" x14ac:dyDescent="0.25"/>
    <row r="31988" customFormat="1" x14ac:dyDescent="0.25"/>
    <row r="31989" customFormat="1" x14ac:dyDescent="0.25"/>
    <row r="31990" customFormat="1" x14ac:dyDescent="0.25"/>
    <row r="31991" customFormat="1" x14ac:dyDescent="0.25"/>
    <row r="31992" customFormat="1" x14ac:dyDescent="0.25"/>
    <row r="31993" customFormat="1" x14ac:dyDescent="0.25"/>
    <row r="31994" customFormat="1" x14ac:dyDescent="0.25"/>
    <row r="31995" customFormat="1" x14ac:dyDescent="0.25"/>
    <row r="31996" customFormat="1" x14ac:dyDescent="0.25"/>
    <row r="31997" customFormat="1" x14ac:dyDescent="0.25"/>
    <row r="31998" customFormat="1" x14ac:dyDescent="0.25"/>
    <row r="31999" customFormat="1" x14ac:dyDescent="0.25"/>
    <row r="32000" customFormat="1" x14ac:dyDescent="0.25"/>
    <row r="32001" customFormat="1" x14ac:dyDescent="0.25"/>
    <row r="32002" customFormat="1" x14ac:dyDescent="0.25"/>
    <row r="32003" customFormat="1" x14ac:dyDescent="0.25"/>
    <row r="32004" customFormat="1" x14ac:dyDescent="0.25"/>
    <row r="32005" customFormat="1" x14ac:dyDescent="0.25"/>
    <row r="32006" customFormat="1" x14ac:dyDescent="0.25"/>
    <row r="32007" customFormat="1" x14ac:dyDescent="0.25"/>
    <row r="32008" customFormat="1" x14ac:dyDescent="0.25"/>
    <row r="32009" customFormat="1" x14ac:dyDescent="0.25"/>
    <row r="32010" customFormat="1" x14ac:dyDescent="0.25"/>
    <row r="32011" customFormat="1" x14ac:dyDescent="0.25"/>
    <row r="32012" customFormat="1" x14ac:dyDescent="0.25"/>
    <row r="32013" customFormat="1" x14ac:dyDescent="0.25"/>
    <row r="32014" customFormat="1" x14ac:dyDescent="0.25"/>
    <row r="32015" customFormat="1" x14ac:dyDescent="0.25"/>
    <row r="32016" customFormat="1" x14ac:dyDescent="0.25"/>
    <row r="32017" customFormat="1" x14ac:dyDescent="0.25"/>
    <row r="32018" customFormat="1" x14ac:dyDescent="0.25"/>
    <row r="32019" customFormat="1" x14ac:dyDescent="0.25"/>
    <row r="32020" customFormat="1" x14ac:dyDescent="0.25"/>
    <row r="32021" customFormat="1" x14ac:dyDescent="0.25"/>
    <row r="32022" customFormat="1" x14ac:dyDescent="0.25"/>
    <row r="32023" customFormat="1" x14ac:dyDescent="0.25"/>
    <row r="32024" customFormat="1" x14ac:dyDescent="0.25"/>
    <row r="32025" customFormat="1" x14ac:dyDescent="0.25"/>
    <row r="32026" customFormat="1" x14ac:dyDescent="0.25"/>
    <row r="32027" customFormat="1" x14ac:dyDescent="0.25"/>
    <row r="32028" customFormat="1" x14ac:dyDescent="0.25"/>
    <row r="32029" customFormat="1" x14ac:dyDescent="0.25"/>
    <row r="32030" customFormat="1" x14ac:dyDescent="0.25"/>
    <row r="32031" customFormat="1" x14ac:dyDescent="0.25"/>
    <row r="32032" customFormat="1" x14ac:dyDescent="0.25"/>
    <row r="32033" customFormat="1" x14ac:dyDescent="0.25"/>
    <row r="32034" customFormat="1" x14ac:dyDescent="0.25"/>
    <row r="32035" customFormat="1" x14ac:dyDescent="0.25"/>
    <row r="32036" customFormat="1" x14ac:dyDescent="0.25"/>
    <row r="32037" customFormat="1" x14ac:dyDescent="0.25"/>
    <row r="32038" customFormat="1" x14ac:dyDescent="0.25"/>
    <row r="32039" customFormat="1" x14ac:dyDescent="0.25"/>
    <row r="32040" customFormat="1" x14ac:dyDescent="0.25"/>
    <row r="32041" customFormat="1" x14ac:dyDescent="0.25"/>
    <row r="32042" customFormat="1" x14ac:dyDescent="0.25"/>
    <row r="32043" customFormat="1" x14ac:dyDescent="0.25"/>
    <row r="32044" customFormat="1" x14ac:dyDescent="0.25"/>
    <row r="32045" customFormat="1" x14ac:dyDescent="0.25"/>
    <row r="32046" customFormat="1" x14ac:dyDescent="0.25"/>
    <row r="32047" customFormat="1" x14ac:dyDescent="0.25"/>
    <row r="32048" customFormat="1" x14ac:dyDescent="0.25"/>
    <row r="32049" customFormat="1" x14ac:dyDescent="0.25"/>
    <row r="32050" customFormat="1" x14ac:dyDescent="0.25"/>
    <row r="32051" customFormat="1" x14ac:dyDescent="0.25"/>
    <row r="32052" customFormat="1" x14ac:dyDescent="0.25"/>
    <row r="32053" customFormat="1" x14ac:dyDescent="0.25"/>
    <row r="32054" customFormat="1" x14ac:dyDescent="0.25"/>
    <row r="32055" customFormat="1" x14ac:dyDescent="0.25"/>
    <row r="32056" customFormat="1" x14ac:dyDescent="0.25"/>
    <row r="32057" customFormat="1" x14ac:dyDescent="0.25"/>
    <row r="32058" customFormat="1" x14ac:dyDescent="0.25"/>
    <row r="32059" customFormat="1" x14ac:dyDescent="0.25"/>
    <row r="32060" customFormat="1" x14ac:dyDescent="0.25"/>
    <row r="32061" customFormat="1" x14ac:dyDescent="0.25"/>
    <row r="32062" customFormat="1" x14ac:dyDescent="0.25"/>
    <row r="32063" customFormat="1" x14ac:dyDescent="0.25"/>
    <row r="32064" customFormat="1" x14ac:dyDescent="0.25"/>
    <row r="32065" customFormat="1" x14ac:dyDescent="0.25"/>
    <row r="32066" customFormat="1" x14ac:dyDescent="0.25"/>
    <row r="32067" customFormat="1" x14ac:dyDescent="0.25"/>
    <row r="32068" customFormat="1" x14ac:dyDescent="0.25"/>
    <row r="32069" customFormat="1" x14ac:dyDescent="0.25"/>
    <row r="32070" customFormat="1" x14ac:dyDescent="0.25"/>
    <row r="32071" customFormat="1" x14ac:dyDescent="0.25"/>
    <row r="32072" customFormat="1" x14ac:dyDescent="0.25"/>
    <row r="32073" customFormat="1" x14ac:dyDescent="0.25"/>
    <row r="32074" customFormat="1" x14ac:dyDescent="0.25"/>
    <row r="32075" customFormat="1" x14ac:dyDescent="0.25"/>
    <row r="32076" customFormat="1" x14ac:dyDescent="0.25"/>
    <row r="32077" customFormat="1" x14ac:dyDescent="0.25"/>
    <row r="32078" customFormat="1" x14ac:dyDescent="0.25"/>
    <row r="32079" customFormat="1" x14ac:dyDescent="0.25"/>
    <row r="32080" customFormat="1" x14ac:dyDescent="0.25"/>
    <row r="32081" customFormat="1" x14ac:dyDescent="0.25"/>
    <row r="32082" customFormat="1" x14ac:dyDescent="0.25"/>
    <row r="32083" customFormat="1" x14ac:dyDescent="0.25"/>
    <row r="32084" customFormat="1" x14ac:dyDescent="0.25"/>
    <row r="32085" customFormat="1" x14ac:dyDescent="0.25"/>
    <row r="32086" customFormat="1" x14ac:dyDescent="0.25"/>
    <row r="32087" customFormat="1" x14ac:dyDescent="0.25"/>
    <row r="32088" customFormat="1" x14ac:dyDescent="0.25"/>
    <row r="32089" customFormat="1" x14ac:dyDescent="0.25"/>
    <row r="32090" customFormat="1" x14ac:dyDescent="0.25"/>
    <row r="32091" customFormat="1" x14ac:dyDescent="0.25"/>
    <row r="32092" customFormat="1" x14ac:dyDescent="0.25"/>
    <row r="32093" customFormat="1" x14ac:dyDescent="0.25"/>
    <row r="32094" customFormat="1" x14ac:dyDescent="0.25"/>
    <row r="32095" customFormat="1" x14ac:dyDescent="0.25"/>
    <row r="32096" customFormat="1" x14ac:dyDescent="0.25"/>
    <row r="32097" customFormat="1" x14ac:dyDescent="0.25"/>
    <row r="32098" customFormat="1" x14ac:dyDescent="0.25"/>
    <row r="32099" customFormat="1" x14ac:dyDescent="0.25"/>
    <row r="32100" customFormat="1" x14ac:dyDescent="0.25"/>
    <row r="32101" customFormat="1" x14ac:dyDescent="0.25"/>
    <row r="32102" customFormat="1" x14ac:dyDescent="0.25"/>
    <row r="32103" customFormat="1" x14ac:dyDescent="0.25"/>
    <row r="32104" customFormat="1" x14ac:dyDescent="0.25"/>
    <row r="32105" customFormat="1" x14ac:dyDescent="0.25"/>
    <row r="32106" customFormat="1" x14ac:dyDescent="0.25"/>
    <row r="32107" customFormat="1" x14ac:dyDescent="0.25"/>
    <row r="32108" customFormat="1" x14ac:dyDescent="0.25"/>
    <row r="32109" customFormat="1" x14ac:dyDescent="0.25"/>
    <row r="32110" customFormat="1" x14ac:dyDescent="0.25"/>
    <row r="32111" customFormat="1" x14ac:dyDescent="0.25"/>
    <row r="32112" customFormat="1" x14ac:dyDescent="0.25"/>
    <row r="32113" customFormat="1" x14ac:dyDescent="0.25"/>
    <row r="32114" customFormat="1" x14ac:dyDescent="0.25"/>
    <row r="32115" customFormat="1" x14ac:dyDescent="0.25"/>
    <row r="32116" customFormat="1" x14ac:dyDescent="0.25"/>
    <row r="32117" customFormat="1" x14ac:dyDescent="0.25"/>
    <row r="32118" customFormat="1" x14ac:dyDescent="0.25"/>
    <row r="32119" customFormat="1" x14ac:dyDescent="0.25"/>
    <row r="32120" customFormat="1" x14ac:dyDescent="0.25"/>
    <row r="32121" customFormat="1" x14ac:dyDescent="0.25"/>
    <row r="32122" customFormat="1" x14ac:dyDescent="0.25"/>
    <row r="32123" customFormat="1" x14ac:dyDescent="0.25"/>
    <row r="32124" customFormat="1" x14ac:dyDescent="0.25"/>
    <row r="32125" customFormat="1" x14ac:dyDescent="0.25"/>
    <row r="32126" customFormat="1" x14ac:dyDescent="0.25"/>
    <row r="32127" customFormat="1" x14ac:dyDescent="0.25"/>
    <row r="32128" customFormat="1" x14ac:dyDescent="0.25"/>
    <row r="32129" customFormat="1" x14ac:dyDescent="0.25"/>
    <row r="32130" customFormat="1" x14ac:dyDescent="0.25"/>
    <row r="32131" customFormat="1" x14ac:dyDescent="0.25"/>
    <row r="32132" customFormat="1" x14ac:dyDescent="0.25"/>
    <row r="32133" customFormat="1" x14ac:dyDescent="0.25"/>
    <row r="32134" customFormat="1" x14ac:dyDescent="0.25"/>
    <row r="32135" customFormat="1" x14ac:dyDescent="0.25"/>
    <row r="32136" customFormat="1" x14ac:dyDescent="0.25"/>
    <row r="32137" customFormat="1" x14ac:dyDescent="0.25"/>
    <row r="32138" customFormat="1" x14ac:dyDescent="0.25"/>
    <row r="32139" customFormat="1" x14ac:dyDescent="0.25"/>
    <row r="32140" customFormat="1" x14ac:dyDescent="0.25"/>
    <row r="32141" customFormat="1" x14ac:dyDescent="0.25"/>
    <row r="32142" customFormat="1" x14ac:dyDescent="0.25"/>
    <row r="32143" customFormat="1" x14ac:dyDescent="0.25"/>
    <row r="32144" customFormat="1" x14ac:dyDescent="0.25"/>
    <row r="32145" customFormat="1" x14ac:dyDescent="0.25"/>
    <row r="32146" customFormat="1" x14ac:dyDescent="0.25"/>
    <row r="32147" customFormat="1" x14ac:dyDescent="0.25"/>
    <row r="32148" customFormat="1" x14ac:dyDescent="0.25"/>
    <row r="32149" customFormat="1" x14ac:dyDescent="0.25"/>
    <row r="32150" customFormat="1" x14ac:dyDescent="0.25"/>
    <row r="32151" customFormat="1" x14ac:dyDescent="0.25"/>
    <row r="32152" customFormat="1" x14ac:dyDescent="0.25"/>
    <row r="32153" customFormat="1" x14ac:dyDescent="0.25"/>
    <row r="32154" customFormat="1" x14ac:dyDescent="0.25"/>
    <row r="32155" customFormat="1" x14ac:dyDescent="0.25"/>
    <row r="32156" customFormat="1" x14ac:dyDescent="0.25"/>
    <row r="32157" customFormat="1" x14ac:dyDescent="0.25"/>
    <row r="32158" customFormat="1" x14ac:dyDescent="0.25"/>
    <row r="32159" customFormat="1" x14ac:dyDescent="0.25"/>
    <row r="32160" customFormat="1" x14ac:dyDescent="0.25"/>
    <row r="32161" customFormat="1" x14ac:dyDescent="0.25"/>
    <row r="32162" customFormat="1" x14ac:dyDescent="0.25"/>
    <row r="32163" customFormat="1" x14ac:dyDescent="0.25"/>
    <row r="32164" customFormat="1" x14ac:dyDescent="0.25"/>
    <row r="32165" customFormat="1" x14ac:dyDescent="0.25"/>
    <row r="32166" customFormat="1" x14ac:dyDescent="0.25"/>
    <row r="32167" customFormat="1" x14ac:dyDescent="0.25"/>
    <row r="32168" customFormat="1" x14ac:dyDescent="0.25"/>
    <row r="32169" customFormat="1" x14ac:dyDescent="0.25"/>
    <row r="32170" customFormat="1" x14ac:dyDescent="0.25"/>
    <row r="32171" customFormat="1" x14ac:dyDescent="0.25"/>
    <row r="32172" customFormat="1" x14ac:dyDescent="0.25"/>
    <row r="32173" customFormat="1" x14ac:dyDescent="0.25"/>
    <row r="32174" customFormat="1" x14ac:dyDescent="0.25"/>
    <row r="32175" customFormat="1" x14ac:dyDescent="0.25"/>
    <row r="32176" customFormat="1" x14ac:dyDescent="0.25"/>
    <row r="32177" customFormat="1" x14ac:dyDescent="0.25"/>
    <row r="32178" customFormat="1" x14ac:dyDescent="0.25"/>
    <row r="32179" customFormat="1" x14ac:dyDescent="0.25"/>
    <row r="32180" customFormat="1" x14ac:dyDescent="0.25"/>
    <row r="32181" customFormat="1" x14ac:dyDescent="0.25"/>
    <row r="32182" customFormat="1" x14ac:dyDescent="0.25"/>
    <row r="32183" customFormat="1" x14ac:dyDescent="0.25"/>
    <row r="32184" customFormat="1" x14ac:dyDescent="0.25"/>
    <row r="32185" customFormat="1" x14ac:dyDescent="0.25"/>
    <row r="32186" customFormat="1" x14ac:dyDescent="0.25"/>
    <row r="32187" customFormat="1" x14ac:dyDescent="0.25"/>
    <row r="32188" customFormat="1" x14ac:dyDescent="0.25"/>
    <row r="32189" customFormat="1" x14ac:dyDescent="0.25"/>
    <row r="32190" customFormat="1" x14ac:dyDescent="0.25"/>
    <row r="32191" customFormat="1" x14ac:dyDescent="0.25"/>
    <row r="32192" customFormat="1" x14ac:dyDescent="0.25"/>
    <row r="32193" customFormat="1" x14ac:dyDescent="0.25"/>
    <row r="32194" customFormat="1" x14ac:dyDescent="0.25"/>
    <row r="32195" customFormat="1" x14ac:dyDescent="0.25"/>
    <row r="32196" customFormat="1" x14ac:dyDescent="0.25"/>
    <row r="32197" customFormat="1" x14ac:dyDescent="0.25"/>
    <row r="32198" customFormat="1" x14ac:dyDescent="0.25"/>
    <row r="32199" customFormat="1" x14ac:dyDescent="0.25"/>
    <row r="32200" customFormat="1" x14ac:dyDescent="0.25"/>
    <row r="32201" customFormat="1" x14ac:dyDescent="0.25"/>
    <row r="32202" customFormat="1" x14ac:dyDescent="0.25"/>
    <row r="32203" customFormat="1" x14ac:dyDescent="0.25"/>
    <row r="32204" customFormat="1" x14ac:dyDescent="0.25"/>
    <row r="32205" customFormat="1" x14ac:dyDescent="0.25"/>
    <row r="32206" customFormat="1" x14ac:dyDescent="0.25"/>
    <row r="32207" customFormat="1" x14ac:dyDescent="0.25"/>
    <row r="32208" customFormat="1" x14ac:dyDescent="0.25"/>
    <row r="32209" customFormat="1" x14ac:dyDescent="0.25"/>
    <row r="32210" customFormat="1" x14ac:dyDescent="0.25"/>
    <row r="32211" customFormat="1" x14ac:dyDescent="0.25"/>
    <row r="32212" customFormat="1" x14ac:dyDescent="0.25"/>
    <row r="32213" customFormat="1" x14ac:dyDescent="0.25"/>
    <row r="32214" customFormat="1" x14ac:dyDescent="0.25"/>
    <row r="32215" customFormat="1" x14ac:dyDescent="0.25"/>
    <row r="32216" customFormat="1" x14ac:dyDescent="0.25"/>
    <row r="32217" customFormat="1" x14ac:dyDescent="0.25"/>
    <row r="32218" customFormat="1" x14ac:dyDescent="0.25"/>
    <row r="32219" customFormat="1" x14ac:dyDescent="0.25"/>
    <row r="32220" customFormat="1" x14ac:dyDescent="0.25"/>
    <row r="32221" customFormat="1" x14ac:dyDescent="0.25"/>
    <row r="32222" customFormat="1" x14ac:dyDescent="0.25"/>
    <row r="32223" customFormat="1" x14ac:dyDescent="0.25"/>
    <row r="32224" customFormat="1" x14ac:dyDescent="0.25"/>
    <row r="32225" customFormat="1" x14ac:dyDescent="0.25"/>
    <row r="32226" customFormat="1" x14ac:dyDescent="0.25"/>
    <row r="32227" customFormat="1" x14ac:dyDescent="0.25"/>
    <row r="32228" customFormat="1" x14ac:dyDescent="0.25"/>
    <row r="32229" customFormat="1" x14ac:dyDescent="0.25"/>
    <row r="32230" customFormat="1" x14ac:dyDescent="0.25"/>
    <row r="32231" customFormat="1" x14ac:dyDescent="0.25"/>
    <row r="32232" customFormat="1" x14ac:dyDescent="0.25"/>
    <row r="32233" customFormat="1" x14ac:dyDescent="0.25"/>
    <row r="32234" customFormat="1" x14ac:dyDescent="0.25"/>
    <row r="32235" customFormat="1" x14ac:dyDescent="0.25"/>
    <row r="32236" customFormat="1" x14ac:dyDescent="0.25"/>
    <row r="32237" customFormat="1" x14ac:dyDescent="0.25"/>
    <row r="32238" customFormat="1" x14ac:dyDescent="0.25"/>
    <row r="32239" customFormat="1" x14ac:dyDescent="0.25"/>
    <row r="32240" customFormat="1" x14ac:dyDescent="0.25"/>
    <row r="32241" customFormat="1" x14ac:dyDescent="0.25"/>
    <row r="32242" customFormat="1" x14ac:dyDescent="0.25"/>
    <row r="32243" customFormat="1" x14ac:dyDescent="0.25"/>
    <row r="32244" customFormat="1" x14ac:dyDescent="0.25"/>
    <row r="32245" customFormat="1" x14ac:dyDescent="0.25"/>
    <row r="32246" customFormat="1" x14ac:dyDescent="0.25"/>
    <row r="32247" customFormat="1" x14ac:dyDescent="0.25"/>
    <row r="32248" customFormat="1" x14ac:dyDescent="0.25"/>
    <row r="32249" customFormat="1" x14ac:dyDescent="0.25"/>
    <row r="32250" customFormat="1" x14ac:dyDescent="0.25"/>
    <row r="32251" customFormat="1" x14ac:dyDescent="0.25"/>
    <row r="32252" customFormat="1" x14ac:dyDescent="0.25"/>
    <row r="32253" customFormat="1" x14ac:dyDescent="0.25"/>
    <row r="32254" customFormat="1" x14ac:dyDescent="0.25"/>
    <row r="32255" customFormat="1" x14ac:dyDescent="0.25"/>
    <row r="32256" customFormat="1" x14ac:dyDescent="0.25"/>
    <row r="32257" customFormat="1" x14ac:dyDescent="0.25"/>
    <row r="32258" customFormat="1" x14ac:dyDescent="0.25"/>
    <row r="32259" customFormat="1" x14ac:dyDescent="0.25"/>
    <row r="32260" customFormat="1" x14ac:dyDescent="0.25"/>
    <row r="32261" customFormat="1" x14ac:dyDescent="0.25"/>
    <row r="32262" customFormat="1" x14ac:dyDescent="0.25"/>
    <row r="32263" customFormat="1" x14ac:dyDescent="0.25"/>
    <row r="32264" customFormat="1" x14ac:dyDescent="0.25"/>
    <row r="32265" customFormat="1" x14ac:dyDescent="0.25"/>
    <row r="32266" customFormat="1" x14ac:dyDescent="0.25"/>
    <row r="32267" customFormat="1" x14ac:dyDescent="0.25"/>
    <row r="32268" customFormat="1" x14ac:dyDescent="0.25"/>
    <row r="32269" customFormat="1" x14ac:dyDescent="0.25"/>
    <row r="32270" customFormat="1" x14ac:dyDescent="0.25"/>
    <row r="32271" customFormat="1" x14ac:dyDescent="0.25"/>
    <row r="32272" customFormat="1" x14ac:dyDescent="0.25"/>
    <row r="32273" customFormat="1" x14ac:dyDescent="0.25"/>
    <row r="32274" customFormat="1" x14ac:dyDescent="0.25"/>
    <row r="32275" customFormat="1" x14ac:dyDescent="0.25"/>
    <row r="32276" customFormat="1" x14ac:dyDescent="0.25"/>
    <row r="32277" customFormat="1" x14ac:dyDescent="0.25"/>
    <row r="32278" customFormat="1" x14ac:dyDescent="0.25"/>
    <row r="32279" customFormat="1" x14ac:dyDescent="0.25"/>
    <row r="32280" customFormat="1" x14ac:dyDescent="0.25"/>
    <row r="32281" customFormat="1" x14ac:dyDescent="0.25"/>
    <row r="32282" customFormat="1" x14ac:dyDescent="0.25"/>
    <row r="32283" customFormat="1" x14ac:dyDescent="0.25"/>
    <row r="32284" customFormat="1" x14ac:dyDescent="0.25"/>
    <row r="32285" customFormat="1" x14ac:dyDescent="0.25"/>
    <row r="32286" customFormat="1" x14ac:dyDescent="0.25"/>
    <row r="32287" customFormat="1" x14ac:dyDescent="0.25"/>
    <row r="32288" customFormat="1" x14ac:dyDescent="0.25"/>
    <row r="32289" customFormat="1" x14ac:dyDescent="0.25"/>
    <row r="32290" customFormat="1" x14ac:dyDescent="0.25"/>
    <row r="32291" customFormat="1" x14ac:dyDescent="0.25"/>
    <row r="32292" customFormat="1" x14ac:dyDescent="0.25"/>
    <row r="32293" customFormat="1" x14ac:dyDescent="0.25"/>
    <row r="32294" customFormat="1" x14ac:dyDescent="0.25"/>
    <row r="32295" customFormat="1" x14ac:dyDescent="0.25"/>
    <row r="32296" customFormat="1" x14ac:dyDescent="0.25"/>
    <row r="32297" customFormat="1" x14ac:dyDescent="0.25"/>
    <row r="32298" customFormat="1" x14ac:dyDescent="0.25"/>
    <row r="32299" customFormat="1" x14ac:dyDescent="0.25"/>
    <row r="32300" customFormat="1" x14ac:dyDescent="0.25"/>
    <row r="32301" customFormat="1" x14ac:dyDescent="0.25"/>
    <row r="32302" customFormat="1" x14ac:dyDescent="0.25"/>
    <row r="32303" customFormat="1" x14ac:dyDescent="0.25"/>
    <row r="32304" customFormat="1" x14ac:dyDescent="0.25"/>
    <row r="32305" customFormat="1" x14ac:dyDescent="0.25"/>
    <row r="32306" customFormat="1" x14ac:dyDescent="0.25"/>
    <row r="32307" customFormat="1" x14ac:dyDescent="0.25"/>
    <row r="32308" customFormat="1" x14ac:dyDescent="0.25"/>
    <row r="32309" customFormat="1" x14ac:dyDescent="0.25"/>
    <row r="32310" customFormat="1" x14ac:dyDescent="0.25"/>
    <row r="32311" customFormat="1" x14ac:dyDescent="0.25"/>
    <row r="32312" customFormat="1" x14ac:dyDescent="0.25"/>
    <row r="32313" customFormat="1" x14ac:dyDescent="0.25"/>
    <row r="32314" customFormat="1" x14ac:dyDescent="0.25"/>
    <row r="32315" customFormat="1" x14ac:dyDescent="0.25"/>
    <row r="32316" customFormat="1" x14ac:dyDescent="0.25"/>
    <row r="32317" customFormat="1" x14ac:dyDescent="0.25"/>
    <row r="32318" customFormat="1" x14ac:dyDescent="0.25"/>
    <row r="32319" customFormat="1" x14ac:dyDescent="0.25"/>
    <row r="32320" customFormat="1" x14ac:dyDescent="0.25"/>
    <row r="32321" customFormat="1" x14ac:dyDescent="0.25"/>
    <row r="32322" customFormat="1" x14ac:dyDescent="0.25"/>
    <row r="32323" customFormat="1" x14ac:dyDescent="0.25"/>
    <row r="32324" customFormat="1" x14ac:dyDescent="0.25"/>
    <row r="32325" customFormat="1" x14ac:dyDescent="0.25"/>
    <row r="32326" customFormat="1" x14ac:dyDescent="0.25"/>
    <row r="32327" customFormat="1" x14ac:dyDescent="0.25"/>
    <row r="32328" customFormat="1" x14ac:dyDescent="0.25"/>
    <row r="32329" customFormat="1" x14ac:dyDescent="0.25"/>
    <row r="32330" customFormat="1" x14ac:dyDescent="0.25"/>
    <row r="32331" customFormat="1" x14ac:dyDescent="0.25"/>
    <row r="32332" customFormat="1" x14ac:dyDescent="0.25"/>
    <row r="32333" customFormat="1" x14ac:dyDescent="0.25"/>
    <row r="32334" customFormat="1" x14ac:dyDescent="0.25"/>
    <row r="32335" customFormat="1" x14ac:dyDescent="0.25"/>
    <row r="32336" customFormat="1" x14ac:dyDescent="0.25"/>
    <row r="32337" customFormat="1" x14ac:dyDescent="0.25"/>
    <row r="32338" customFormat="1" x14ac:dyDescent="0.25"/>
    <row r="32339" customFormat="1" x14ac:dyDescent="0.25"/>
    <row r="32340" customFormat="1" x14ac:dyDescent="0.25"/>
    <row r="32341" customFormat="1" x14ac:dyDescent="0.25"/>
    <row r="32342" customFormat="1" x14ac:dyDescent="0.25"/>
    <row r="32343" customFormat="1" x14ac:dyDescent="0.25"/>
    <row r="32344" customFormat="1" x14ac:dyDescent="0.25"/>
    <row r="32345" customFormat="1" x14ac:dyDescent="0.25"/>
    <row r="32346" customFormat="1" x14ac:dyDescent="0.25"/>
    <row r="32347" customFormat="1" x14ac:dyDescent="0.25"/>
    <row r="32348" customFormat="1" x14ac:dyDescent="0.25"/>
    <row r="32349" customFormat="1" x14ac:dyDescent="0.25"/>
    <row r="32350" customFormat="1" x14ac:dyDescent="0.25"/>
    <row r="32351" customFormat="1" x14ac:dyDescent="0.25"/>
    <row r="32352" customFormat="1" x14ac:dyDescent="0.25"/>
    <row r="32353" customFormat="1" x14ac:dyDescent="0.25"/>
    <row r="32354" customFormat="1" x14ac:dyDescent="0.25"/>
    <row r="32355" customFormat="1" x14ac:dyDescent="0.25"/>
    <row r="32356" customFormat="1" x14ac:dyDescent="0.25"/>
    <row r="32357" customFormat="1" x14ac:dyDescent="0.25"/>
    <row r="32358" customFormat="1" x14ac:dyDescent="0.25"/>
    <row r="32359" customFormat="1" x14ac:dyDescent="0.25"/>
    <row r="32360" customFormat="1" x14ac:dyDescent="0.25"/>
    <row r="32361" customFormat="1" x14ac:dyDescent="0.25"/>
    <row r="32362" customFormat="1" x14ac:dyDescent="0.25"/>
    <row r="32363" customFormat="1" x14ac:dyDescent="0.25"/>
    <row r="32364" customFormat="1" x14ac:dyDescent="0.25"/>
    <row r="32365" customFormat="1" x14ac:dyDescent="0.25"/>
    <row r="32366" customFormat="1" x14ac:dyDescent="0.25"/>
    <row r="32367" customFormat="1" x14ac:dyDescent="0.25"/>
    <row r="32368" customFormat="1" x14ac:dyDescent="0.25"/>
    <row r="32369" customFormat="1" x14ac:dyDescent="0.25"/>
    <row r="32370" customFormat="1" x14ac:dyDescent="0.25"/>
    <row r="32371" customFormat="1" x14ac:dyDescent="0.25"/>
    <row r="32372" customFormat="1" x14ac:dyDescent="0.25"/>
    <row r="32373" customFormat="1" x14ac:dyDescent="0.25"/>
    <row r="32374" customFormat="1" x14ac:dyDescent="0.25"/>
    <row r="32375" customFormat="1" x14ac:dyDescent="0.25"/>
    <row r="32376" customFormat="1" x14ac:dyDescent="0.25"/>
    <row r="32377" customFormat="1" x14ac:dyDescent="0.25"/>
    <row r="32378" customFormat="1" x14ac:dyDescent="0.25"/>
    <row r="32379" customFormat="1" x14ac:dyDescent="0.25"/>
    <row r="32380" customFormat="1" x14ac:dyDescent="0.25"/>
    <row r="32381" customFormat="1" x14ac:dyDescent="0.25"/>
    <row r="32382" customFormat="1" x14ac:dyDescent="0.25"/>
    <row r="32383" customFormat="1" x14ac:dyDescent="0.25"/>
    <row r="32384" customFormat="1" x14ac:dyDescent="0.25"/>
    <row r="32385" customFormat="1" x14ac:dyDescent="0.25"/>
    <row r="32386" customFormat="1" x14ac:dyDescent="0.25"/>
    <row r="32387" customFormat="1" x14ac:dyDescent="0.25"/>
    <row r="32388" customFormat="1" x14ac:dyDescent="0.25"/>
    <row r="32389" customFormat="1" x14ac:dyDescent="0.25"/>
    <row r="32390" customFormat="1" x14ac:dyDescent="0.25"/>
    <row r="32391" customFormat="1" x14ac:dyDescent="0.25"/>
    <row r="32392" customFormat="1" x14ac:dyDescent="0.25"/>
    <row r="32393" customFormat="1" x14ac:dyDescent="0.25"/>
    <row r="32394" customFormat="1" x14ac:dyDescent="0.25"/>
    <row r="32395" customFormat="1" x14ac:dyDescent="0.25"/>
    <row r="32396" customFormat="1" x14ac:dyDescent="0.25"/>
    <row r="32397" customFormat="1" x14ac:dyDescent="0.25"/>
    <row r="32398" customFormat="1" x14ac:dyDescent="0.25"/>
    <row r="32399" customFormat="1" x14ac:dyDescent="0.25"/>
    <row r="32400" customFormat="1" x14ac:dyDescent="0.25"/>
    <row r="32401" customFormat="1" x14ac:dyDescent="0.25"/>
    <row r="32402" customFormat="1" x14ac:dyDescent="0.25"/>
    <row r="32403" customFormat="1" x14ac:dyDescent="0.25"/>
    <row r="32404" customFormat="1" x14ac:dyDescent="0.25"/>
    <row r="32405" customFormat="1" x14ac:dyDescent="0.25"/>
    <row r="32406" customFormat="1" x14ac:dyDescent="0.25"/>
    <row r="32407" customFormat="1" x14ac:dyDescent="0.25"/>
    <row r="32408" customFormat="1" x14ac:dyDescent="0.25"/>
    <row r="32409" customFormat="1" x14ac:dyDescent="0.25"/>
    <row r="32410" customFormat="1" x14ac:dyDescent="0.25"/>
    <row r="32411" customFormat="1" x14ac:dyDescent="0.25"/>
    <row r="32412" customFormat="1" x14ac:dyDescent="0.25"/>
    <row r="32413" customFormat="1" x14ac:dyDescent="0.25"/>
    <row r="32414" customFormat="1" x14ac:dyDescent="0.25"/>
    <row r="32415" customFormat="1" x14ac:dyDescent="0.25"/>
    <row r="32416" customFormat="1" x14ac:dyDescent="0.25"/>
    <row r="32417" customFormat="1" x14ac:dyDescent="0.25"/>
    <row r="32418" customFormat="1" x14ac:dyDescent="0.25"/>
    <row r="32419" customFormat="1" x14ac:dyDescent="0.25"/>
    <row r="32420" customFormat="1" x14ac:dyDescent="0.25"/>
    <row r="32421" customFormat="1" x14ac:dyDescent="0.25"/>
    <row r="32422" customFormat="1" x14ac:dyDescent="0.25"/>
    <row r="32423" customFormat="1" x14ac:dyDescent="0.25"/>
    <row r="32424" customFormat="1" x14ac:dyDescent="0.25"/>
    <row r="32425" customFormat="1" x14ac:dyDescent="0.25"/>
    <row r="32426" customFormat="1" x14ac:dyDescent="0.25"/>
    <row r="32427" customFormat="1" x14ac:dyDescent="0.25"/>
    <row r="32428" customFormat="1" x14ac:dyDescent="0.25"/>
    <row r="32429" customFormat="1" x14ac:dyDescent="0.25"/>
    <row r="32430" customFormat="1" x14ac:dyDescent="0.25"/>
    <row r="32431" customFormat="1" x14ac:dyDescent="0.25"/>
    <row r="32432" customFormat="1" x14ac:dyDescent="0.25"/>
    <row r="32433" customFormat="1" x14ac:dyDescent="0.25"/>
    <row r="32434" customFormat="1" x14ac:dyDescent="0.25"/>
    <row r="32435" customFormat="1" x14ac:dyDescent="0.25"/>
    <row r="32436" customFormat="1" x14ac:dyDescent="0.25"/>
    <row r="32437" customFormat="1" x14ac:dyDescent="0.25"/>
    <row r="32438" customFormat="1" x14ac:dyDescent="0.25"/>
    <row r="32439" customFormat="1" x14ac:dyDescent="0.25"/>
    <row r="32440" customFormat="1" x14ac:dyDescent="0.25"/>
    <row r="32441" customFormat="1" x14ac:dyDescent="0.25"/>
    <row r="32442" customFormat="1" x14ac:dyDescent="0.25"/>
    <row r="32443" customFormat="1" x14ac:dyDescent="0.25"/>
    <row r="32444" customFormat="1" x14ac:dyDescent="0.25"/>
    <row r="32445" customFormat="1" x14ac:dyDescent="0.25"/>
    <row r="32446" customFormat="1" x14ac:dyDescent="0.25"/>
    <row r="32447" customFormat="1" x14ac:dyDescent="0.25"/>
    <row r="32448" customFormat="1" x14ac:dyDescent="0.25"/>
    <row r="32449" customFormat="1" x14ac:dyDescent="0.25"/>
    <row r="32450" customFormat="1" x14ac:dyDescent="0.25"/>
    <row r="32451" customFormat="1" x14ac:dyDescent="0.25"/>
    <row r="32452" customFormat="1" x14ac:dyDescent="0.25"/>
    <row r="32453" customFormat="1" x14ac:dyDescent="0.25"/>
    <row r="32454" customFormat="1" x14ac:dyDescent="0.25"/>
    <row r="32455" customFormat="1" x14ac:dyDescent="0.25"/>
    <row r="32456" customFormat="1" x14ac:dyDescent="0.25"/>
    <row r="32457" customFormat="1" x14ac:dyDescent="0.25"/>
    <row r="32458" customFormat="1" x14ac:dyDescent="0.25"/>
    <row r="32459" customFormat="1" x14ac:dyDescent="0.25"/>
    <row r="32460" customFormat="1" x14ac:dyDescent="0.25"/>
    <row r="32461" customFormat="1" x14ac:dyDescent="0.25"/>
    <row r="32462" customFormat="1" x14ac:dyDescent="0.25"/>
    <row r="32463" customFormat="1" x14ac:dyDescent="0.25"/>
    <row r="32464" customFormat="1" x14ac:dyDescent="0.25"/>
    <row r="32465" customFormat="1" x14ac:dyDescent="0.25"/>
    <row r="32466" customFormat="1" x14ac:dyDescent="0.25"/>
    <row r="32467" customFormat="1" x14ac:dyDescent="0.25"/>
    <row r="32468" customFormat="1" x14ac:dyDescent="0.25"/>
    <row r="32469" customFormat="1" x14ac:dyDescent="0.25"/>
    <row r="32470" customFormat="1" x14ac:dyDescent="0.25"/>
    <row r="32471" customFormat="1" x14ac:dyDescent="0.25"/>
    <row r="32472" customFormat="1" x14ac:dyDescent="0.25"/>
    <row r="32473" customFormat="1" x14ac:dyDescent="0.25"/>
    <row r="32474" customFormat="1" x14ac:dyDescent="0.25"/>
    <row r="32475" customFormat="1" x14ac:dyDescent="0.25"/>
    <row r="32476" customFormat="1" x14ac:dyDescent="0.25"/>
    <row r="32477" customFormat="1" x14ac:dyDescent="0.25"/>
    <row r="32478" customFormat="1" x14ac:dyDescent="0.25"/>
    <row r="32479" customFormat="1" x14ac:dyDescent="0.25"/>
    <row r="32480" customFormat="1" x14ac:dyDescent="0.25"/>
    <row r="32481" customFormat="1" x14ac:dyDescent="0.25"/>
    <row r="32482" customFormat="1" x14ac:dyDescent="0.25"/>
    <row r="32483" customFormat="1" x14ac:dyDescent="0.25"/>
    <row r="32484" customFormat="1" x14ac:dyDescent="0.25"/>
    <row r="32485" customFormat="1" x14ac:dyDescent="0.25"/>
    <row r="32486" customFormat="1" x14ac:dyDescent="0.25"/>
    <row r="32487" customFormat="1" x14ac:dyDescent="0.25"/>
    <row r="32488" customFormat="1" x14ac:dyDescent="0.25"/>
    <row r="32489" customFormat="1" x14ac:dyDescent="0.25"/>
    <row r="32490" customFormat="1" x14ac:dyDescent="0.25"/>
    <row r="32491" customFormat="1" x14ac:dyDescent="0.25"/>
    <row r="32492" customFormat="1" x14ac:dyDescent="0.25"/>
    <row r="32493" customFormat="1" x14ac:dyDescent="0.25"/>
    <row r="32494" customFormat="1" x14ac:dyDescent="0.25"/>
    <row r="32495" customFormat="1" x14ac:dyDescent="0.25"/>
    <row r="32496" customFormat="1" x14ac:dyDescent="0.25"/>
    <row r="32497" customFormat="1" x14ac:dyDescent="0.25"/>
    <row r="32498" customFormat="1" x14ac:dyDescent="0.25"/>
    <row r="32499" customFormat="1" x14ac:dyDescent="0.25"/>
    <row r="32500" customFormat="1" x14ac:dyDescent="0.25"/>
    <row r="32501" customFormat="1" x14ac:dyDescent="0.25"/>
    <row r="32502" customFormat="1" x14ac:dyDescent="0.25"/>
    <row r="32503" customFormat="1" x14ac:dyDescent="0.25"/>
    <row r="32504" customFormat="1" x14ac:dyDescent="0.25"/>
    <row r="32505" customFormat="1" x14ac:dyDescent="0.25"/>
    <row r="32506" customFormat="1" x14ac:dyDescent="0.25"/>
    <row r="32507" customFormat="1" x14ac:dyDescent="0.25"/>
    <row r="32508" customFormat="1" x14ac:dyDescent="0.25"/>
    <row r="32509" customFormat="1" x14ac:dyDescent="0.25"/>
    <row r="32510" customFormat="1" x14ac:dyDescent="0.25"/>
    <row r="32511" customFormat="1" x14ac:dyDescent="0.25"/>
    <row r="32512" customFormat="1" x14ac:dyDescent="0.25"/>
    <row r="32513" customFormat="1" x14ac:dyDescent="0.25"/>
    <row r="32514" customFormat="1" x14ac:dyDescent="0.25"/>
    <row r="32515" customFormat="1" x14ac:dyDescent="0.25"/>
    <row r="32516" customFormat="1" x14ac:dyDescent="0.25"/>
    <row r="32517" customFormat="1" x14ac:dyDescent="0.25"/>
    <row r="32518" customFormat="1" x14ac:dyDescent="0.25"/>
    <row r="32519" customFormat="1" x14ac:dyDescent="0.25"/>
    <row r="32520" customFormat="1" x14ac:dyDescent="0.25"/>
    <row r="32521" customFormat="1" x14ac:dyDescent="0.25"/>
    <row r="32522" customFormat="1" x14ac:dyDescent="0.25"/>
    <row r="32523" customFormat="1" x14ac:dyDescent="0.25"/>
    <row r="32524" customFormat="1" x14ac:dyDescent="0.25"/>
    <row r="32525" customFormat="1" x14ac:dyDescent="0.25"/>
    <row r="32526" customFormat="1" x14ac:dyDescent="0.25"/>
    <row r="32527" customFormat="1" x14ac:dyDescent="0.25"/>
    <row r="32528" customFormat="1" x14ac:dyDescent="0.25"/>
    <row r="32529" customFormat="1" x14ac:dyDescent="0.25"/>
    <row r="32530" customFormat="1" x14ac:dyDescent="0.25"/>
    <row r="32531" customFormat="1" x14ac:dyDescent="0.25"/>
    <row r="32532" customFormat="1" x14ac:dyDescent="0.25"/>
    <row r="32533" customFormat="1" x14ac:dyDescent="0.25"/>
    <row r="32534" customFormat="1" x14ac:dyDescent="0.25"/>
    <row r="32535" customFormat="1" x14ac:dyDescent="0.25"/>
    <row r="32536" customFormat="1" x14ac:dyDescent="0.25"/>
    <row r="32537" customFormat="1" x14ac:dyDescent="0.25"/>
    <row r="32538" customFormat="1" x14ac:dyDescent="0.25"/>
    <row r="32539" customFormat="1" x14ac:dyDescent="0.25"/>
    <row r="32540" customFormat="1" x14ac:dyDescent="0.25"/>
    <row r="32541" customFormat="1" x14ac:dyDescent="0.25"/>
    <row r="32542" customFormat="1" x14ac:dyDescent="0.25"/>
    <row r="32543" customFormat="1" x14ac:dyDescent="0.25"/>
    <row r="32544" customFormat="1" x14ac:dyDescent="0.25"/>
    <row r="32545" customFormat="1" x14ac:dyDescent="0.25"/>
    <row r="32546" customFormat="1" x14ac:dyDescent="0.25"/>
    <row r="32547" customFormat="1" x14ac:dyDescent="0.25"/>
    <row r="32548" customFormat="1" x14ac:dyDescent="0.25"/>
    <row r="32549" customFormat="1" x14ac:dyDescent="0.25"/>
    <row r="32550" customFormat="1" x14ac:dyDescent="0.25"/>
    <row r="32551" customFormat="1" x14ac:dyDescent="0.25"/>
    <row r="32552" customFormat="1" x14ac:dyDescent="0.25"/>
    <row r="32553" customFormat="1" x14ac:dyDescent="0.25"/>
    <row r="32554" customFormat="1" x14ac:dyDescent="0.25"/>
    <row r="32555" customFormat="1" x14ac:dyDescent="0.25"/>
    <row r="32556" customFormat="1" x14ac:dyDescent="0.25"/>
    <row r="32557" customFormat="1" x14ac:dyDescent="0.25"/>
    <row r="32558" customFormat="1" x14ac:dyDescent="0.25"/>
    <row r="32559" customFormat="1" x14ac:dyDescent="0.25"/>
    <row r="32560" customFormat="1" x14ac:dyDescent="0.25"/>
    <row r="32561" customFormat="1" x14ac:dyDescent="0.25"/>
    <row r="32562" customFormat="1" x14ac:dyDescent="0.25"/>
    <row r="32563" customFormat="1" x14ac:dyDescent="0.25"/>
    <row r="32564" customFormat="1" x14ac:dyDescent="0.25"/>
    <row r="32565" customFormat="1" x14ac:dyDescent="0.25"/>
    <row r="32566" customFormat="1" x14ac:dyDescent="0.25"/>
    <row r="32567" customFormat="1" x14ac:dyDescent="0.25"/>
    <row r="32568" customFormat="1" x14ac:dyDescent="0.25"/>
    <row r="32569" customFormat="1" x14ac:dyDescent="0.25"/>
    <row r="32570" customFormat="1" x14ac:dyDescent="0.25"/>
    <row r="32571" customFormat="1" x14ac:dyDescent="0.25"/>
    <row r="32572" customFormat="1" x14ac:dyDescent="0.25"/>
    <row r="32573" customFormat="1" x14ac:dyDescent="0.25"/>
    <row r="32574" customFormat="1" x14ac:dyDescent="0.25"/>
    <row r="32575" customFormat="1" x14ac:dyDescent="0.25"/>
    <row r="32576" customFormat="1" x14ac:dyDescent="0.25"/>
    <row r="32577" customFormat="1" x14ac:dyDescent="0.25"/>
    <row r="32578" customFormat="1" x14ac:dyDescent="0.25"/>
    <row r="32579" customFormat="1" x14ac:dyDescent="0.25"/>
    <row r="32580" customFormat="1" x14ac:dyDescent="0.25"/>
    <row r="32581" customFormat="1" x14ac:dyDescent="0.25"/>
    <row r="32582" customFormat="1" x14ac:dyDescent="0.25"/>
    <row r="32583" customFormat="1" x14ac:dyDescent="0.25"/>
    <row r="32584" customFormat="1" x14ac:dyDescent="0.25"/>
    <row r="32585" customFormat="1" x14ac:dyDescent="0.25"/>
    <row r="32586" customFormat="1" x14ac:dyDescent="0.25"/>
    <row r="32587" customFormat="1" x14ac:dyDescent="0.25"/>
    <row r="32588" customFormat="1" x14ac:dyDescent="0.25"/>
    <row r="32589" customFormat="1" x14ac:dyDescent="0.25"/>
    <row r="32590" customFormat="1" x14ac:dyDescent="0.25"/>
    <row r="32591" customFormat="1" x14ac:dyDescent="0.25"/>
    <row r="32592" customFormat="1" x14ac:dyDescent="0.25"/>
    <row r="32593" customFormat="1" x14ac:dyDescent="0.25"/>
    <row r="32594" customFormat="1" x14ac:dyDescent="0.25"/>
    <row r="32595" customFormat="1" x14ac:dyDescent="0.25"/>
    <row r="32596" customFormat="1" x14ac:dyDescent="0.25"/>
    <row r="32597" customFormat="1" x14ac:dyDescent="0.25"/>
    <row r="32598" customFormat="1" x14ac:dyDescent="0.25"/>
    <row r="32599" customFormat="1" x14ac:dyDescent="0.25"/>
    <row r="32600" customFormat="1" x14ac:dyDescent="0.25"/>
    <row r="32601" customFormat="1" x14ac:dyDescent="0.25"/>
    <row r="32602" customFormat="1" x14ac:dyDescent="0.25"/>
    <row r="32603" customFormat="1" x14ac:dyDescent="0.25"/>
    <row r="32604" customFormat="1" x14ac:dyDescent="0.25"/>
    <row r="32605" customFormat="1" x14ac:dyDescent="0.25"/>
    <row r="32606" customFormat="1" x14ac:dyDescent="0.25"/>
    <row r="32607" customFormat="1" x14ac:dyDescent="0.25"/>
    <row r="32608" customFormat="1" x14ac:dyDescent="0.25"/>
    <row r="32609" customFormat="1" x14ac:dyDescent="0.25"/>
    <row r="32610" customFormat="1" x14ac:dyDescent="0.25"/>
    <row r="32611" customFormat="1" x14ac:dyDescent="0.25"/>
    <row r="32612" customFormat="1" x14ac:dyDescent="0.25"/>
    <row r="32613" customFormat="1" x14ac:dyDescent="0.25"/>
    <row r="32614" customFormat="1" x14ac:dyDescent="0.25"/>
    <row r="32615" customFormat="1" x14ac:dyDescent="0.25"/>
    <row r="32616" customFormat="1" x14ac:dyDescent="0.25"/>
    <row r="32617" customFormat="1" x14ac:dyDescent="0.25"/>
    <row r="32618" customFormat="1" x14ac:dyDescent="0.25"/>
    <row r="32619" customFormat="1" x14ac:dyDescent="0.25"/>
    <row r="32620" customFormat="1" x14ac:dyDescent="0.25"/>
    <row r="32621" customFormat="1" x14ac:dyDescent="0.25"/>
    <row r="32622" customFormat="1" x14ac:dyDescent="0.25"/>
    <row r="32623" customFormat="1" x14ac:dyDescent="0.25"/>
    <row r="32624" customFormat="1" x14ac:dyDescent="0.25"/>
    <row r="32625" customFormat="1" x14ac:dyDescent="0.25"/>
    <row r="32626" customFormat="1" x14ac:dyDescent="0.25"/>
    <row r="32627" customFormat="1" x14ac:dyDescent="0.25"/>
    <row r="32628" customFormat="1" x14ac:dyDescent="0.25"/>
    <row r="32629" customFormat="1" x14ac:dyDescent="0.25"/>
    <row r="32630" customFormat="1" x14ac:dyDescent="0.25"/>
    <row r="32631" customFormat="1" x14ac:dyDescent="0.25"/>
    <row r="32632" customFormat="1" x14ac:dyDescent="0.25"/>
    <row r="32633" customFormat="1" x14ac:dyDescent="0.25"/>
    <row r="32634" customFormat="1" x14ac:dyDescent="0.25"/>
    <row r="32635" customFormat="1" x14ac:dyDescent="0.25"/>
    <row r="32636" customFormat="1" x14ac:dyDescent="0.25"/>
    <row r="32637" customFormat="1" x14ac:dyDescent="0.25"/>
    <row r="32638" customFormat="1" x14ac:dyDescent="0.25"/>
    <row r="32639" customFormat="1" x14ac:dyDescent="0.25"/>
    <row r="32640" customFormat="1" x14ac:dyDescent="0.25"/>
    <row r="32641" customFormat="1" x14ac:dyDescent="0.25"/>
    <row r="32642" customFormat="1" x14ac:dyDescent="0.25"/>
    <row r="32643" customFormat="1" x14ac:dyDescent="0.25"/>
    <row r="32644" customFormat="1" x14ac:dyDescent="0.25"/>
    <row r="32645" customFormat="1" x14ac:dyDescent="0.25"/>
    <row r="32646" customFormat="1" x14ac:dyDescent="0.25"/>
    <row r="32647" customFormat="1" x14ac:dyDescent="0.25"/>
    <row r="32648" customFormat="1" x14ac:dyDescent="0.25"/>
    <row r="32649" customFormat="1" x14ac:dyDescent="0.25"/>
    <row r="32650" customFormat="1" x14ac:dyDescent="0.25"/>
    <row r="32651" customFormat="1" x14ac:dyDescent="0.25"/>
    <row r="32652" customFormat="1" x14ac:dyDescent="0.25"/>
    <row r="32653" customFormat="1" x14ac:dyDescent="0.25"/>
    <row r="32654" customFormat="1" x14ac:dyDescent="0.25"/>
    <row r="32655" customFormat="1" x14ac:dyDescent="0.25"/>
    <row r="32656" customFormat="1" x14ac:dyDescent="0.25"/>
    <row r="32657" customFormat="1" x14ac:dyDescent="0.25"/>
    <row r="32658" customFormat="1" x14ac:dyDescent="0.25"/>
    <row r="32659" customFormat="1" x14ac:dyDescent="0.25"/>
    <row r="32660" customFormat="1" x14ac:dyDescent="0.25"/>
    <row r="32661" customFormat="1" x14ac:dyDescent="0.25"/>
    <row r="32662" customFormat="1" x14ac:dyDescent="0.25"/>
    <row r="32663" customFormat="1" x14ac:dyDescent="0.25"/>
    <row r="32664" customFormat="1" x14ac:dyDescent="0.25"/>
    <row r="32665" customFormat="1" x14ac:dyDescent="0.25"/>
    <row r="32666" customFormat="1" x14ac:dyDescent="0.25"/>
    <row r="32667" customFormat="1" x14ac:dyDescent="0.25"/>
    <row r="32668" customFormat="1" x14ac:dyDescent="0.25"/>
    <row r="32669" customFormat="1" x14ac:dyDescent="0.25"/>
    <row r="32670" customFormat="1" x14ac:dyDescent="0.25"/>
    <row r="32671" customFormat="1" x14ac:dyDescent="0.25"/>
    <row r="32672" customFormat="1" x14ac:dyDescent="0.25"/>
    <row r="32673" customFormat="1" x14ac:dyDescent="0.25"/>
    <row r="32674" customFormat="1" x14ac:dyDescent="0.25"/>
    <row r="32675" customFormat="1" x14ac:dyDescent="0.25"/>
    <row r="32676" customFormat="1" x14ac:dyDescent="0.25"/>
    <row r="32677" customFormat="1" x14ac:dyDescent="0.25"/>
    <row r="32678" customFormat="1" x14ac:dyDescent="0.25"/>
    <row r="32679" customFormat="1" x14ac:dyDescent="0.25"/>
    <row r="32680" customFormat="1" x14ac:dyDescent="0.25"/>
    <row r="32681" customFormat="1" x14ac:dyDescent="0.25"/>
    <row r="32682" customFormat="1" x14ac:dyDescent="0.25"/>
    <row r="32683" customFormat="1" x14ac:dyDescent="0.25"/>
    <row r="32684" customFormat="1" x14ac:dyDescent="0.25"/>
    <row r="32685" customFormat="1" x14ac:dyDescent="0.25"/>
    <row r="32686" customFormat="1" x14ac:dyDescent="0.25"/>
    <row r="32687" customFormat="1" x14ac:dyDescent="0.25"/>
    <row r="32688" customFormat="1" x14ac:dyDescent="0.25"/>
    <row r="32689" customFormat="1" x14ac:dyDescent="0.25"/>
    <row r="32690" customFormat="1" x14ac:dyDescent="0.25"/>
    <row r="32691" customFormat="1" x14ac:dyDescent="0.25"/>
    <row r="32692" customFormat="1" x14ac:dyDescent="0.25"/>
    <row r="32693" customFormat="1" x14ac:dyDescent="0.25"/>
    <row r="32694" customFormat="1" x14ac:dyDescent="0.25"/>
    <row r="32695" customFormat="1" x14ac:dyDescent="0.25"/>
    <row r="32696" customFormat="1" x14ac:dyDescent="0.25"/>
    <row r="32697" customFormat="1" x14ac:dyDescent="0.25"/>
    <row r="32698" customFormat="1" x14ac:dyDescent="0.25"/>
    <row r="32699" customFormat="1" x14ac:dyDescent="0.25"/>
    <row r="32700" customFormat="1" x14ac:dyDescent="0.25"/>
    <row r="32701" customFormat="1" x14ac:dyDescent="0.25"/>
    <row r="32702" customFormat="1" x14ac:dyDescent="0.25"/>
    <row r="32703" customFormat="1" x14ac:dyDescent="0.25"/>
    <row r="32704" customFormat="1" x14ac:dyDescent="0.25"/>
    <row r="32705" customFormat="1" x14ac:dyDescent="0.25"/>
    <row r="32706" customFormat="1" x14ac:dyDescent="0.25"/>
    <row r="32707" customFormat="1" x14ac:dyDescent="0.25"/>
    <row r="32708" customFormat="1" x14ac:dyDescent="0.25"/>
    <row r="32709" customFormat="1" x14ac:dyDescent="0.25"/>
    <row r="32710" customFormat="1" x14ac:dyDescent="0.25"/>
    <row r="32711" customFormat="1" x14ac:dyDescent="0.25"/>
    <row r="32712" customFormat="1" x14ac:dyDescent="0.25"/>
    <row r="32713" customFormat="1" x14ac:dyDescent="0.25"/>
    <row r="32714" customFormat="1" x14ac:dyDescent="0.25"/>
    <row r="32715" customFormat="1" x14ac:dyDescent="0.25"/>
    <row r="32716" customFormat="1" x14ac:dyDescent="0.25"/>
    <row r="32717" customFormat="1" x14ac:dyDescent="0.25"/>
    <row r="32718" customFormat="1" x14ac:dyDescent="0.25"/>
    <row r="32719" customFormat="1" x14ac:dyDescent="0.25"/>
    <row r="32720" customFormat="1" x14ac:dyDescent="0.25"/>
    <row r="32721" customFormat="1" x14ac:dyDescent="0.25"/>
    <row r="32722" customFormat="1" x14ac:dyDescent="0.25"/>
    <row r="32723" customFormat="1" x14ac:dyDescent="0.25"/>
    <row r="32724" customFormat="1" x14ac:dyDescent="0.25"/>
    <row r="32725" customFormat="1" x14ac:dyDescent="0.25"/>
    <row r="32726" customFormat="1" x14ac:dyDescent="0.25"/>
    <row r="32727" customFormat="1" x14ac:dyDescent="0.25"/>
    <row r="32728" customFormat="1" x14ac:dyDescent="0.25"/>
    <row r="32729" customFormat="1" x14ac:dyDescent="0.25"/>
    <row r="32730" customFormat="1" x14ac:dyDescent="0.25"/>
    <row r="32731" customFormat="1" x14ac:dyDescent="0.25"/>
    <row r="32732" customFormat="1" x14ac:dyDescent="0.25"/>
    <row r="32733" customFormat="1" x14ac:dyDescent="0.25"/>
    <row r="32734" customFormat="1" x14ac:dyDescent="0.25"/>
    <row r="32735" customFormat="1" x14ac:dyDescent="0.25"/>
    <row r="32736" customFormat="1" x14ac:dyDescent="0.25"/>
    <row r="32737" customFormat="1" x14ac:dyDescent="0.25"/>
    <row r="32738" customFormat="1" x14ac:dyDescent="0.25"/>
    <row r="32739" customFormat="1" x14ac:dyDescent="0.25"/>
    <row r="32740" customFormat="1" x14ac:dyDescent="0.25"/>
    <row r="32741" customFormat="1" x14ac:dyDescent="0.25"/>
    <row r="32742" customFormat="1" x14ac:dyDescent="0.25"/>
    <row r="32743" customFormat="1" x14ac:dyDescent="0.25"/>
    <row r="32744" customFormat="1" x14ac:dyDescent="0.25"/>
    <row r="32745" customFormat="1" x14ac:dyDescent="0.25"/>
    <row r="32746" customFormat="1" x14ac:dyDescent="0.25"/>
    <row r="32747" customFormat="1" x14ac:dyDescent="0.25"/>
    <row r="32748" customFormat="1" x14ac:dyDescent="0.25"/>
    <row r="32749" customFormat="1" x14ac:dyDescent="0.25"/>
    <row r="32750" customFormat="1" x14ac:dyDescent="0.25"/>
    <row r="32751" customFormat="1" x14ac:dyDescent="0.25"/>
    <row r="32752" customFormat="1" x14ac:dyDescent="0.25"/>
    <row r="32753" customFormat="1" x14ac:dyDescent="0.25"/>
    <row r="32754" customFormat="1" x14ac:dyDescent="0.25"/>
    <row r="32755" customFormat="1" x14ac:dyDescent="0.25"/>
    <row r="32756" customFormat="1" x14ac:dyDescent="0.25"/>
    <row r="32757" customFormat="1" x14ac:dyDescent="0.25"/>
    <row r="32758" customFormat="1" x14ac:dyDescent="0.25"/>
    <row r="32759" customFormat="1" x14ac:dyDescent="0.25"/>
    <row r="32760" customFormat="1" x14ac:dyDescent="0.25"/>
    <row r="32761" customFormat="1" x14ac:dyDescent="0.25"/>
    <row r="32762" customFormat="1" x14ac:dyDescent="0.25"/>
    <row r="32763" customFormat="1" x14ac:dyDescent="0.25"/>
    <row r="32764" customFormat="1" x14ac:dyDescent="0.25"/>
    <row r="32765" customFormat="1" x14ac:dyDescent="0.25"/>
    <row r="32766" customFormat="1" x14ac:dyDescent="0.25"/>
    <row r="32767" customFormat="1" x14ac:dyDescent="0.25"/>
    <row r="32768" customFormat="1" x14ac:dyDescent="0.25"/>
    <row r="32769" customFormat="1" x14ac:dyDescent="0.25"/>
    <row r="32770" customFormat="1" x14ac:dyDescent="0.25"/>
    <row r="32771" customFormat="1" x14ac:dyDescent="0.25"/>
    <row r="32772" customFormat="1" x14ac:dyDescent="0.25"/>
    <row r="32773" customFormat="1" x14ac:dyDescent="0.25"/>
    <row r="32774" customFormat="1" x14ac:dyDescent="0.25"/>
    <row r="32775" customFormat="1" x14ac:dyDescent="0.25"/>
    <row r="32776" customFormat="1" x14ac:dyDescent="0.25"/>
    <row r="32777" customFormat="1" x14ac:dyDescent="0.25"/>
    <row r="32778" customFormat="1" x14ac:dyDescent="0.25"/>
    <row r="32779" customFormat="1" x14ac:dyDescent="0.25"/>
    <row r="32780" customFormat="1" x14ac:dyDescent="0.25"/>
    <row r="32781" customFormat="1" x14ac:dyDescent="0.25"/>
    <row r="32782" customFormat="1" x14ac:dyDescent="0.25"/>
    <row r="32783" customFormat="1" x14ac:dyDescent="0.25"/>
    <row r="32784" customFormat="1" x14ac:dyDescent="0.25"/>
    <row r="32785" customFormat="1" x14ac:dyDescent="0.25"/>
    <row r="32786" customFormat="1" x14ac:dyDescent="0.25"/>
    <row r="32787" customFormat="1" x14ac:dyDescent="0.25"/>
    <row r="32788" customFormat="1" x14ac:dyDescent="0.25"/>
    <row r="32789" customFormat="1" x14ac:dyDescent="0.25"/>
    <row r="32790" customFormat="1" x14ac:dyDescent="0.25"/>
    <row r="32791" customFormat="1" x14ac:dyDescent="0.25"/>
    <row r="32792" customFormat="1" x14ac:dyDescent="0.25"/>
    <row r="32793" customFormat="1" x14ac:dyDescent="0.25"/>
    <row r="32794" customFormat="1" x14ac:dyDescent="0.25"/>
    <row r="32795" customFormat="1" x14ac:dyDescent="0.25"/>
    <row r="32796" customFormat="1" x14ac:dyDescent="0.25"/>
    <row r="32797" customFormat="1" x14ac:dyDescent="0.25"/>
    <row r="32798" customFormat="1" x14ac:dyDescent="0.25"/>
    <row r="32799" customFormat="1" x14ac:dyDescent="0.25"/>
    <row r="32800" customFormat="1" x14ac:dyDescent="0.25"/>
    <row r="32801" customFormat="1" x14ac:dyDescent="0.25"/>
    <row r="32802" customFormat="1" x14ac:dyDescent="0.25"/>
    <row r="32803" customFormat="1" x14ac:dyDescent="0.25"/>
    <row r="32804" customFormat="1" x14ac:dyDescent="0.25"/>
    <row r="32805" customFormat="1" x14ac:dyDescent="0.25"/>
    <row r="32806" customFormat="1" x14ac:dyDescent="0.25"/>
    <row r="32807" customFormat="1" x14ac:dyDescent="0.25"/>
    <row r="32808" customFormat="1" x14ac:dyDescent="0.25"/>
    <row r="32809" customFormat="1" x14ac:dyDescent="0.25"/>
    <row r="32810" customFormat="1" x14ac:dyDescent="0.25"/>
    <row r="32811" customFormat="1" x14ac:dyDescent="0.25"/>
    <row r="32812" customFormat="1" x14ac:dyDescent="0.25"/>
    <row r="32813" customFormat="1" x14ac:dyDescent="0.25"/>
    <row r="32814" customFormat="1" x14ac:dyDescent="0.25"/>
    <row r="32815" customFormat="1" x14ac:dyDescent="0.25"/>
    <row r="32816" customFormat="1" x14ac:dyDescent="0.25"/>
    <row r="32817" customFormat="1" x14ac:dyDescent="0.25"/>
    <row r="32818" customFormat="1" x14ac:dyDescent="0.25"/>
    <row r="32819" customFormat="1" x14ac:dyDescent="0.25"/>
    <row r="32820" customFormat="1" x14ac:dyDescent="0.25"/>
    <row r="32821" customFormat="1" x14ac:dyDescent="0.25"/>
    <row r="32822" customFormat="1" x14ac:dyDescent="0.25"/>
    <row r="32823" customFormat="1" x14ac:dyDescent="0.25"/>
    <row r="32824" customFormat="1" x14ac:dyDescent="0.25"/>
    <row r="32825" customFormat="1" x14ac:dyDescent="0.25"/>
    <row r="32826" customFormat="1" x14ac:dyDescent="0.25"/>
    <row r="32827" customFormat="1" x14ac:dyDescent="0.25"/>
    <row r="32828" customFormat="1" x14ac:dyDescent="0.25"/>
    <row r="32829" customFormat="1" x14ac:dyDescent="0.25"/>
    <row r="32830" customFormat="1" x14ac:dyDescent="0.25"/>
    <row r="32831" customFormat="1" x14ac:dyDescent="0.25"/>
    <row r="32832" customFormat="1" x14ac:dyDescent="0.25"/>
    <row r="32833" customFormat="1" x14ac:dyDescent="0.25"/>
    <row r="32834" customFormat="1" x14ac:dyDescent="0.25"/>
    <row r="32835" customFormat="1" x14ac:dyDescent="0.25"/>
    <row r="32836" customFormat="1" x14ac:dyDescent="0.25"/>
    <row r="32837" customFormat="1" x14ac:dyDescent="0.25"/>
    <row r="32838" customFormat="1" x14ac:dyDescent="0.25"/>
    <row r="32839" customFormat="1" x14ac:dyDescent="0.25"/>
    <row r="32840" customFormat="1" x14ac:dyDescent="0.25"/>
    <row r="32841" customFormat="1" x14ac:dyDescent="0.25"/>
    <row r="32842" customFormat="1" x14ac:dyDescent="0.25"/>
    <row r="32843" customFormat="1" x14ac:dyDescent="0.25"/>
    <row r="32844" customFormat="1" x14ac:dyDescent="0.25"/>
    <row r="32845" customFormat="1" x14ac:dyDescent="0.25"/>
    <row r="32846" customFormat="1" x14ac:dyDescent="0.25"/>
    <row r="32847" customFormat="1" x14ac:dyDescent="0.25"/>
    <row r="32848" customFormat="1" x14ac:dyDescent="0.25"/>
    <row r="32849" customFormat="1" x14ac:dyDescent="0.25"/>
    <row r="32850" customFormat="1" x14ac:dyDescent="0.25"/>
    <row r="32851" customFormat="1" x14ac:dyDescent="0.25"/>
    <row r="32852" customFormat="1" x14ac:dyDescent="0.25"/>
    <row r="32853" customFormat="1" x14ac:dyDescent="0.25"/>
    <row r="32854" customFormat="1" x14ac:dyDescent="0.25"/>
    <row r="32855" customFormat="1" x14ac:dyDescent="0.25"/>
    <row r="32856" customFormat="1" x14ac:dyDescent="0.25"/>
    <row r="32857" customFormat="1" x14ac:dyDescent="0.25"/>
    <row r="32858" customFormat="1" x14ac:dyDescent="0.25"/>
    <row r="32859" customFormat="1" x14ac:dyDescent="0.25"/>
    <row r="32860" customFormat="1" x14ac:dyDescent="0.25"/>
    <row r="32861" customFormat="1" x14ac:dyDescent="0.25"/>
    <row r="32862" customFormat="1" x14ac:dyDescent="0.25"/>
    <row r="32863" customFormat="1" x14ac:dyDescent="0.25"/>
    <row r="32864" customFormat="1" x14ac:dyDescent="0.25"/>
    <row r="32865" customFormat="1" x14ac:dyDescent="0.25"/>
    <row r="32866" customFormat="1" x14ac:dyDescent="0.25"/>
    <row r="32867" customFormat="1" x14ac:dyDescent="0.25"/>
    <row r="32868" customFormat="1" x14ac:dyDescent="0.25"/>
    <row r="32869" customFormat="1" x14ac:dyDescent="0.25"/>
    <row r="32870" customFormat="1" x14ac:dyDescent="0.25"/>
    <row r="32871" customFormat="1" x14ac:dyDescent="0.25"/>
    <row r="32872" customFormat="1" x14ac:dyDescent="0.25"/>
    <row r="32873" customFormat="1" x14ac:dyDescent="0.25"/>
    <row r="32874" customFormat="1" x14ac:dyDescent="0.25"/>
    <row r="32875" customFormat="1" x14ac:dyDescent="0.25"/>
    <row r="32876" customFormat="1" x14ac:dyDescent="0.25"/>
    <row r="32877" customFormat="1" x14ac:dyDescent="0.25"/>
    <row r="32878" customFormat="1" x14ac:dyDescent="0.25"/>
    <row r="32879" customFormat="1" x14ac:dyDescent="0.25"/>
    <row r="32880" customFormat="1" x14ac:dyDescent="0.25"/>
    <row r="32881" customFormat="1" x14ac:dyDescent="0.25"/>
    <row r="32882" customFormat="1" x14ac:dyDescent="0.25"/>
    <row r="32883" customFormat="1" x14ac:dyDescent="0.25"/>
    <row r="32884" customFormat="1" x14ac:dyDescent="0.25"/>
    <row r="32885" customFormat="1" x14ac:dyDescent="0.25"/>
    <row r="32886" customFormat="1" x14ac:dyDescent="0.25"/>
    <row r="32887" customFormat="1" x14ac:dyDescent="0.25"/>
    <row r="32888" customFormat="1" x14ac:dyDescent="0.25"/>
    <row r="32889" customFormat="1" x14ac:dyDescent="0.25"/>
    <row r="32890" customFormat="1" x14ac:dyDescent="0.25"/>
    <row r="32891" customFormat="1" x14ac:dyDescent="0.25"/>
    <row r="32892" customFormat="1" x14ac:dyDescent="0.25"/>
    <row r="32893" customFormat="1" x14ac:dyDescent="0.25"/>
    <row r="32894" customFormat="1" x14ac:dyDescent="0.25"/>
    <row r="32895" customFormat="1" x14ac:dyDescent="0.25"/>
    <row r="32896" customFormat="1" x14ac:dyDescent="0.25"/>
    <row r="32897" customFormat="1" x14ac:dyDescent="0.25"/>
    <row r="32898" customFormat="1" x14ac:dyDescent="0.25"/>
    <row r="32899" customFormat="1" x14ac:dyDescent="0.25"/>
    <row r="32900" customFormat="1" x14ac:dyDescent="0.25"/>
    <row r="32901" customFormat="1" x14ac:dyDescent="0.25"/>
    <row r="32902" customFormat="1" x14ac:dyDescent="0.25"/>
    <row r="32903" customFormat="1" x14ac:dyDescent="0.25"/>
    <row r="32904" customFormat="1" x14ac:dyDescent="0.25"/>
    <row r="32905" customFormat="1" x14ac:dyDescent="0.25"/>
    <row r="32906" customFormat="1" x14ac:dyDescent="0.25"/>
    <row r="32907" customFormat="1" x14ac:dyDescent="0.25"/>
    <row r="32908" customFormat="1" x14ac:dyDescent="0.25"/>
    <row r="32909" customFormat="1" x14ac:dyDescent="0.25"/>
    <row r="32910" customFormat="1" x14ac:dyDescent="0.25"/>
    <row r="32911" customFormat="1" x14ac:dyDescent="0.25"/>
    <row r="32912" customFormat="1" x14ac:dyDescent="0.25"/>
    <row r="32913" customFormat="1" x14ac:dyDescent="0.25"/>
    <row r="32914" customFormat="1" x14ac:dyDescent="0.25"/>
    <row r="32915" customFormat="1" x14ac:dyDescent="0.25"/>
    <row r="32916" customFormat="1" x14ac:dyDescent="0.25"/>
    <row r="32917" customFormat="1" x14ac:dyDescent="0.25"/>
    <row r="32918" customFormat="1" x14ac:dyDescent="0.25"/>
    <row r="32919" customFormat="1" x14ac:dyDescent="0.25"/>
    <row r="32920" customFormat="1" x14ac:dyDescent="0.25"/>
    <row r="32921" customFormat="1" x14ac:dyDescent="0.25"/>
    <row r="32922" customFormat="1" x14ac:dyDescent="0.25"/>
    <row r="32923" customFormat="1" x14ac:dyDescent="0.25"/>
    <row r="32924" customFormat="1" x14ac:dyDescent="0.25"/>
    <row r="32925" customFormat="1" x14ac:dyDescent="0.25"/>
    <row r="32926" customFormat="1" x14ac:dyDescent="0.25"/>
    <row r="32927" customFormat="1" x14ac:dyDescent="0.25"/>
    <row r="32928" customFormat="1" x14ac:dyDescent="0.25"/>
    <row r="32929" customFormat="1" x14ac:dyDescent="0.25"/>
    <row r="32930" customFormat="1" x14ac:dyDescent="0.25"/>
    <row r="32931" customFormat="1" x14ac:dyDescent="0.25"/>
    <row r="32932" customFormat="1" x14ac:dyDescent="0.25"/>
    <row r="32933" customFormat="1" x14ac:dyDescent="0.25"/>
    <row r="32934" customFormat="1" x14ac:dyDescent="0.25"/>
    <row r="32935" customFormat="1" x14ac:dyDescent="0.25"/>
    <row r="32936" customFormat="1" x14ac:dyDescent="0.25"/>
    <row r="32937" customFormat="1" x14ac:dyDescent="0.25"/>
    <row r="32938" customFormat="1" x14ac:dyDescent="0.25"/>
    <row r="32939" customFormat="1" x14ac:dyDescent="0.25"/>
    <row r="32940" customFormat="1" x14ac:dyDescent="0.25"/>
    <row r="32941" customFormat="1" x14ac:dyDescent="0.25"/>
    <row r="32942" customFormat="1" x14ac:dyDescent="0.25"/>
    <row r="32943" customFormat="1" x14ac:dyDescent="0.25"/>
    <row r="32944" customFormat="1" x14ac:dyDescent="0.25"/>
    <row r="32945" customFormat="1" x14ac:dyDescent="0.25"/>
    <row r="32946" customFormat="1" x14ac:dyDescent="0.25"/>
    <row r="32947" customFormat="1" x14ac:dyDescent="0.25"/>
    <row r="32948" customFormat="1" x14ac:dyDescent="0.25"/>
    <row r="32949" customFormat="1" x14ac:dyDescent="0.25"/>
    <row r="32950" customFormat="1" x14ac:dyDescent="0.25"/>
    <row r="32951" customFormat="1" x14ac:dyDescent="0.25"/>
    <row r="32952" customFormat="1" x14ac:dyDescent="0.25"/>
    <row r="32953" customFormat="1" x14ac:dyDescent="0.25"/>
    <row r="32954" customFormat="1" x14ac:dyDescent="0.25"/>
    <row r="32955" customFormat="1" x14ac:dyDescent="0.25"/>
    <row r="32956" customFormat="1" x14ac:dyDescent="0.25"/>
    <row r="32957" customFormat="1" x14ac:dyDescent="0.25"/>
    <row r="32958" customFormat="1" x14ac:dyDescent="0.25"/>
    <row r="32959" customFormat="1" x14ac:dyDescent="0.25"/>
    <row r="32960" customFormat="1" x14ac:dyDescent="0.25"/>
    <row r="32961" customFormat="1" x14ac:dyDescent="0.25"/>
    <row r="32962" customFormat="1" x14ac:dyDescent="0.25"/>
    <row r="32963" customFormat="1" x14ac:dyDescent="0.25"/>
    <row r="32964" customFormat="1" x14ac:dyDescent="0.25"/>
    <row r="32965" customFormat="1" x14ac:dyDescent="0.25"/>
    <row r="32966" customFormat="1" x14ac:dyDescent="0.25"/>
    <row r="32967" customFormat="1" x14ac:dyDescent="0.25"/>
    <row r="32968" customFormat="1" x14ac:dyDescent="0.25"/>
    <row r="32969" customFormat="1" x14ac:dyDescent="0.25"/>
    <row r="32970" customFormat="1" x14ac:dyDescent="0.25"/>
    <row r="32971" customFormat="1" x14ac:dyDescent="0.25"/>
    <row r="32972" customFormat="1" x14ac:dyDescent="0.25"/>
    <row r="32973" customFormat="1" x14ac:dyDescent="0.25"/>
    <row r="32974" customFormat="1" x14ac:dyDescent="0.25"/>
    <row r="32975" customFormat="1" x14ac:dyDescent="0.25"/>
    <row r="32976" customFormat="1" x14ac:dyDescent="0.25"/>
    <row r="32977" customFormat="1" x14ac:dyDescent="0.25"/>
    <row r="32978" customFormat="1" x14ac:dyDescent="0.25"/>
    <row r="32979" customFormat="1" x14ac:dyDescent="0.25"/>
    <row r="32980" customFormat="1" x14ac:dyDescent="0.25"/>
    <row r="32981" customFormat="1" x14ac:dyDescent="0.25"/>
    <row r="32982" customFormat="1" x14ac:dyDescent="0.25"/>
    <row r="32983" customFormat="1" x14ac:dyDescent="0.25"/>
    <row r="32984" customFormat="1" x14ac:dyDescent="0.25"/>
    <row r="32985" customFormat="1" x14ac:dyDescent="0.25"/>
    <row r="32986" customFormat="1" x14ac:dyDescent="0.25"/>
    <row r="32987" customFormat="1" x14ac:dyDescent="0.25"/>
    <row r="32988" customFormat="1" x14ac:dyDescent="0.25"/>
    <row r="32989" customFormat="1" x14ac:dyDescent="0.25"/>
    <row r="32990" customFormat="1" x14ac:dyDescent="0.25"/>
    <row r="32991" customFormat="1" x14ac:dyDescent="0.25"/>
    <row r="32992" customFormat="1" x14ac:dyDescent="0.25"/>
    <row r="32993" customFormat="1" x14ac:dyDescent="0.25"/>
    <row r="32994" customFormat="1" x14ac:dyDescent="0.25"/>
    <row r="32995" customFormat="1" x14ac:dyDescent="0.25"/>
    <row r="32996" customFormat="1" x14ac:dyDescent="0.25"/>
    <row r="32997" customFormat="1" x14ac:dyDescent="0.25"/>
    <row r="32998" customFormat="1" x14ac:dyDescent="0.25"/>
    <row r="32999" customFormat="1" x14ac:dyDescent="0.25"/>
    <row r="33000" customFormat="1" x14ac:dyDescent="0.25"/>
    <row r="33001" customFormat="1" x14ac:dyDescent="0.25"/>
    <row r="33002" customFormat="1" x14ac:dyDescent="0.25"/>
    <row r="33003" customFormat="1" x14ac:dyDescent="0.25"/>
    <row r="33004" customFormat="1" x14ac:dyDescent="0.25"/>
    <row r="33005" customFormat="1" x14ac:dyDescent="0.25"/>
    <row r="33006" customFormat="1" x14ac:dyDescent="0.25"/>
    <row r="33007" customFormat="1" x14ac:dyDescent="0.25"/>
    <row r="33008" customFormat="1" x14ac:dyDescent="0.25"/>
    <row r="33009" customFormat="1" x14ac:dyDescent="0.25"/>
    <row r="33010" customFormat="1" x14ac:dyDescent="0.25"/>
    <row r="33011" customFormat="1" x14ac:dyDescent="0.25"/>
    <row r="33012" customFormat="1" x14ac:dyDescent="0.25"/>
    <row r="33013" customFormat="1" x14ac:dyDescent="0.25"/>
    <row r="33014" customFormat="1" x14ac:dyDescent="0.25"/>
    <row r="33015" customFormat="1" x14ac:dyDescent="0.25"/>
    <row r="33016" customFormat="1" x14ac:dyDescent="0.25"/>
    <row r="33017" customFormat="1" x14ac:dyDescent="0.25"/>
    <row r="33018" customFormat="1" x14ac:dyDescent="0.25"/>
    <row r="33019" customFormat="1" x14ac:dyDescent="0.25"/>
    <row r="33020" customFormat="1" x14ac:dyDescent="0.25"/>
    <row r="33021" customFormat="1" x14ac:dyDescent="0.25"/>
    <row r="33022" customFormat="1" x14ac:dyDescent="0.25"/>
    <row r="33023" customFormat="1" x14ac:dyDescent="0.25"/>
    <row r="33024" customFormat="1" x14ac:dyDescent="0.25"/>
    <row r="33025" customFormat="1" x14ac:dyDescent="0.25"/>
    <row r="33026" customFormat="1" x14ac:dyDescent="0.25"/>
    <row r="33027" customFormat="1" x14ac:dyDescent="0.25"/>
    <row r="33028" customFormat="1" x14ac:dyDescent="0.25"/>
    <row r="33029" customFormat="1" x14ac:dyDescent="0.25"/>
    <row r="33030" customFormat="1" x14ac:dyDescent="0.25"/>
    <row r="33031" customFormat="1" x14ac:dyDescent="0.25"/>
    <row r="33032" customFormat="1" x14ac:dyDescent="0.25"/>
    <row r="33033" customFormat="1" x14ac:dyDescent="0.25"/>
    <row r="33034" customFormat="1" x14ac:dyDescent="0.25"/>
    <row r="33035" customFormat="1" x14ac:dyDescent="0.25"/>
    <row r="33036" customFormat="1" x14ac:dyDescent="0.25"/>
    <row r="33037" customFormat="1" x14ac:dyDescent="0.25"/>
    <row r="33038" customFormat="1" x14ac:dyDescent="0.25"/>
    <row r="33039" customFormat="1" x14ac:dyDescent="0.25"/>
    <row r="33040" customFormat="1" x14ac:dyDescent="0.25"/>
    <row r="33041" customFormat="1" x14ac:dyDescent="0.25"/>
    <row r="33042" customFormat="1" x14ac:dyDescent="0.25"/>
    <row r="33043" customFormat="1" x14ac:dyDescent="0.25"/>
    <row r="33044" customFormat="1" x14ac:dyDescent="0.25"/>
    <row r="33045" customFormat="1" x14ac:dyDescent="0.25"/>
    <row r="33046" customFormat="1" x14ac:dyDescent="0.25"/>
    <row r="33047" customFormat="1" x14ac:dyDescent="0.25"/>
    <row r="33048" customFormat="1" x14ac:dyDescent="0.25"/>
    <row r="33049" customFormat="1" x14ac:dyDescent="0.25"/>
    <row r="33050" customFormat="1" x14ac:dyDescent="0.25"/>
    <row r="33051" customFormat="1" x14ac:dyDescent="0.25"/>
    <row r="33052" customFormat="1" x14ac:dyDescent="0.25"/>
    <row r="33053" customFormat="1" x14ac:dyDescent="0.25"/>
    <row r="33054" customFormat="1" x14ac:dyDescent="0.25"/>
    <row r="33055" customFormat="1" x14ac:dyDescent="0.25"/>
    <row r="33056" customFormat="1" x14ac:dyDescent="0.25"/>
    <row r="33057" customFormat="1" x14ac:dyDescent="0.25"/>
    <row r="33058" customFormat="1" x14ac:dyDescent="0.25"/>
    <row r="33059" customFormat="1" x14ac:dyDescent="0.25"/>
    <row r="33060" customFormat="1" x14ac:dyDescent="0.25"/>
    <row r="33061" customFormat="1" x14ac:dyDescent="0.25"/>
    <row r="33062" customFormat="1" x14ac:dyDescent="0.25"/>
    <row r="33063" customFormat="1" x14ac:dyDescent="0.25"/>
    <row r="33064" customFormat="1" x14ac:dyDescent="0.25"/>
    <row r="33065" customFormat="1" x14ac:dyDescent="0.25"/>
    <row r="33066" customFormat="1" x14ac:dyDescent="0.25"/>
    <row r="33067" customFormat="1" x14ac:dyDescent="0.25"/>
    <row r="33068" customFormat="1" x14ac:dyDescent="0.25"/>
    <row r="33069" customFormat="1" x14ac:dyDescent="0.25"/>
    <row r="33070" customFormat="1" x14ac:dyDescent="0.25"/>
    <row r="33071" customFormat="1" x14ac:dyDescent="0.25"/>
    <row r="33072" customFormat="1" x14ac:dyDescent="0.25"/>
    <row r="33073" customFormat="1" x14ac:dyDescent="0.25"/>
    <row r="33074" customFormat="1" x14ac:dyDescent="0.25"/>
    <row r="33075" customFormat="1" x14ac:dyDescent="0.25"/>
    <row r="33076" customFormat="1" x14ac:dyDescent="0.25"/>
    <row r="33077" customFormat="1" x14ac:dyDescent="0.25"/>
    <row r="33078" customFormat="1" x14ac:dyDescent="0.25"/>
    <row r="33079" customFormat="1" x14ac:dyDescent="0.25"/>
    <row r="33080" customFormat="1" x14ac:dyDescent="0.25"/>
    <row r="33081" customFormat="1" x14ac:dyDescent="0.25"/>
    <row r="33082" customFormat="1" x14ac:dyDescent="0.25"/>
    <row r="33083" customFormat="1" x14ac:dyDescent="0.25"/>
    <row r="33084" customFormat="1" x14ac:dyDescent="0.25"/>
    <row r="33085" customFormat="1" x14ac:dyDescent="0.25"/>
    <row r="33086" customFormat="1" x14ac:dyDescent="0.25"/>
    <row r="33087" customFormat="1" x14ac:dyDescent="0.25"/>
    <row r="33088" customFormat="1" x14ac:dyDescent="0.25"/>
    <row r="33089" customFormat="1" x14ac:dyDescent="0.25"/>
    <row r="33090" customFormat="1" x14ac:dyDescent="0.25"/>
    <row r="33091" customFormat="1" x14ac:dyDescent="0.25"/>
    <row r="33092" customFormat="1" x14ac:dyDescent="0.25"/>
    <row r="33093" customFormat="1" x14ac:dyDescent="0.25"/>
    <row r="33094" customFormat="1" x14ac:dyDescent="0.25"/>
    <row r="33095" customFormat="1" x14ac:dyDescent="0.25"/>
    <row r="33096" customFormat="1" x14ac:dyDescent="0.25"/>
    <row r="33097" customFormat="1" x14ac:dyDescent="0.25"/>
    <row r="33098" customFormat="1" x14ac:dyDescent="0.25"/>
    <row r="33099" customFormat="1" x14ac:dyDescent="0.25"/>
    <row r="33100" customFormat="1" x14ac:dyDescent="0.25"/>
    <row r="33101" customFormat="1" x14ac:dyDescent="0.25"/>
    <row r="33102" customFormat="1" x14ac:dyDescent="0.25"/>
    <row r="33103" customFormat="1" x14ac:dyDescent="0.25"/>
    <row r="33104" customFormat="1" x14ac:dyDescent="0.25"/>
    <row r="33105" customFormat="1" x14ac:dyDescent="0.25"/>
    <row r="33106" customFormat="1" x14ac:dyDescent="0.25"/>
    <row r="33107" customFormat="1" x14ac:dyDescent="0.25"/>
    <row r="33108" customFormat="1" x14ac:dyDescent="0.25"/>
    <row r="33109" customFormat="1" x14ac:dyDescent="0.25"/>
    <row r="33110" customFormat="1" x14ac:dyDescent="0.25"/>
    <row r="33111" customFormat="1" x14ac:dyDescent="0.25"/>
    <row r="33112" customFormat="1" x14ac:dyDescent="0.25"/>
    <row r="33113" customFormat="1" x14ac:dyDescent="0.25"/>
    <row r="33114" customFormat="1" x14ac:dyDescent="0.25"/>
    <row r="33115" customFormat="1" x14ac:dyDescent="0.25"/>
    <row r="33116" customFormat="1" x14ac:dyDescent="0.25"/>
    <row r="33117" customFormat="1" x14ac:dyDescent="0.25"/>
    <row r="33118" customFormat="1" x14ac:dyDescent="0.25"/>
    <row r="33119" customFormat="1" x14ac:dyDescent="0.25"/>
    <row r="33120" customFormat="1" x14ac:dyDescent="0.25"/>
    <row r="33121" customFormat="1" x14ac:dyDescent="0.25"/>
    <row r="33122" customFormat="1" x14ac:dyDescent="0.25"/>
    <row r="33123" customFormat="1" x14ac:dyDescent="0.25"/>
    <row r="33124" customFormat="1" x14ac:dyDescent="0.25"/>
    <row r="33125" customFormat="1" x14ac:dyDescent="0.25"/>
    <row r="33126" customFormat="1" x14ac:dyDescent="0.25"/>
    <row r="33127" customFormat="1" x14ac:dyDescent="0.25"/>
    <row r="33128" customFormat="1" x14ac:dyDescent="0.25"/>
    <row r="33129" customFormat="1" x14ac:dyDescent="0.25"/>
    <row r="33130" customFormat="1" x14ac:dyDescent="0.25"/>
    <row r="33131" customFormat="1" x14ac:dyDescent="0.25"/>
    <row r="33132" customFormat="1" x14ac:dyDescent="0.25"/>
    <row r="33133" customFormat="1" x14ac:dyDescent="0.25"/>
    <row r="33134" customFormat="1" x14ac:dyDescent="0.25"/>
    <row r="33135" customFormat="1" x14ac:dyDescent="0.25"/>
    <row r="33136" customFormat="1" x14ac:dyDescent="0.25"/>
    <row r="33137" customFormat="1" x14ac:dyDescent="0.25"/>
    <row r="33138" customFormat="1" x14ac:dyDescent="0.25"/>
    <row r="33139" customFormat="1" x14ac:dyDescent="0.25"/>
    <row r="33140" customFormat="1" x14ac:dyDescent="0.25"/>
    <row r="33141" customFormat="1" x14ac:dyDescent="0.25"/>
    <row r="33142" customFormat="1" x14ac:dyDescent="0.25"/>
    <row r="33143" customFormat="1" x14ac:dyDescent="0.25"/>
    <row r="33144" customFormat="1" x14ac:dyDescent="0.25"/>
    <row r="33145" customFormat="1" x14ac:dyDescent="0.25"/>
    <row r="33146" customFormat="1" x14ac:dyDescent="0.25"/>
    <row r="33147" customFormat="1" x14ac:dyDescent="0.25"/>
    <row r="33148" customFormat="1" x14ac:dyDescent="0.25"/>
    <row r="33149" customFormat="1" x14ac:dyDescent="0.25"/>
    <row r="33150" customFormat="1" x14ac:dyDescent="0.25"/>
    <row r="33151" customFormat="1" x14ac:dyDescent="0.25"/>
    <row r="33152" customFormat="1" x14ac:dyDescent="0.25"/>
    <row r="33153" customFormat="1" x14ac:dyDescent="0.25"/>
    <row r="33154" customFormat="1" x14ac:dyDescent="0.25"/>
    <row r="33155" customFormat="1" x14ac:dyDescent="0.25"/>
    <row r="33156" customFormat="1" x14ac:dyDescent="0.25"/>
    <row r="33157" customFormat="1" x14ac:dyDescent="0.25"/>
    <row r="33158" customFormat="1" x14ac:dyDescent="0.25"/>
    <row r="33159" customFormat="1" x14ac:dyDescent="0.25"/>
    <row r="33160" customFormat="1" x14ac:dyDescent="0.25"/>
    <row r="33161" customFormat="1" x14ac:dyDescent="0.25"/>
    <row r="33162" customFormat="1" x14ac:dyDescent="0.25"/>
    <row r="33163" customFormat="1" x14ac:dyDescent="0.25"/>
    <row r="33164" customFormat="1" x14ac:dyDescent="0.25"/>
    <row r="33165" customFormat="1" x14ac:dyDescent="0.25"/>
    <row r="33166" customFormat="1" x14ac:dyDescent="0.25"/>
    <row r="33167" customFormat="1" x14ac:dyDescent="0.25"/>
    <row r="33168" customFormat="1" x14ac:dyDescent="0.25"/>
    <row r="33169" customFormat="1" x14ac:dyDescent="0.25"/>
    <row r="33170" customFormat="1" x14ac:dyDescent="0.25"/>
    <row r="33171" customFormat="1" x14ac:dyDescent="0.25"/>
    <row r="33172" customFormat="1" x14ac:dyDescent="0.25"/>
    <row r="33173" customFormat="1" x14ac:dyDescent="0.25"/>
    <row r="33174" customFormat="1" x14ac:dyDescent="0.25"/>
    <row r="33175" customFormat="1" x14ac:dyDescent="0.25"/>
    <row r="33176" customFormat="1" x14ac:dyDescent="0.25"/>
    <row r="33177" customFormat="1" x14ac:dyDescent="0.25"/>
    <row r="33178" customFormat="1" x14ac:dyDescent="0.25"/>
    <row r="33179" customFormat="1" x14ac:dyDescent="0.25"/>
    <row r="33180" customFormat="1" x14ac:dyDescent="0.25"/>
    <row r="33181" customFormat="1" x14ac:dyDescent="0.25"/>
    <row r="33182" customFormat="1" x14ac:dyDescent="0.25"/>
    <row r="33183" customFormat="1" x14ac:dyDescent="0.25"/>
    <row r="33184" customFormat="1" x14ac:dyDescent="0.25"/>
    <row r="33185" customFormat="1" x14ac:dyDescent="0.25"/>
    <row r="33186" customFormat="1" x14ac:dyDescent="0.25"/>
    <row r="33187" customFormat="1" x14ac:dyDescent="0.25"/>
    <row r="33188" customFormat="1" x14ac:dyDescent="0.25"/>
    <row r="33189" customFormat="1" x14ac:dyDescent="0.25"/>
    <row r="33190" customFormat="1" x14ac:dyDescent="0.25"/>
    <row r="33191" customFormat="1" x14ac:dyDescent="0.25"/>
    <row r="33192" customFormat="1" x14ac:dyDescent="0.25"/>
    <row r="33193" customFormat="1" x14ac:dyDescent="0.25"/>
    <row r="33194" customFormat="1" x14ac:dyDescent="0.25"/>
    <row r="33195" customFormat="1" x14ac:dyDescent="0.25"/>
    <row r="33196" customFormat="1" x14ac:dyDescent="0.25"/>
    <row r="33197" customFormat="1" x14ac:dyDescent="0.25"/>
    <row r="33198" customFormat="1" x14ac:dyDescent="0.25"/>
    <row r="33199" customFormat="1" x14ac:dyDescent="0.25"/>
    <row r="33200" customFormat="1" x14ac:dyDescent="0.25"/>
    <row r="33201" customFormat="1" x14ac:dyDescent="0.25"/>
    <row r="33202" customFormat="1" x14ac:dyDescent="0.25"/>
    <row r="33203" customFormat="1" x14ac:dyDescent="0.25"/>
    <row r="33204" customFormat="1" x14ac:dyDescent="0.25"/>
    <row r="33205" customFormat="1" x14ac:dyDescent="0.25"/>
    <row r="33206" customFormat="1" x14ac:dyDescent="0.25"/>
    <row r="33207" customFormat="1" x14ac:dyDescent="0.25"/>
    <row r="33208" customFormat="1" x14ac:dyDescent="0.25"/>
    <row r="33209" customFormat="1" x14ac:dyDescent="0.25"/>
    <row r="33210" customFormat="1" x14ac:dyDescent="0.25"/>
    <row r="33211" customFormat="1" x14ac:dyDescent="0.25"/>
    <row r="33212" customFormat="1" x14ac:dyDescent="0.25"/>
    <row r="33213" customFormat="1" x14ac:dyDescent="0.25"/>
    <row r="33214" customFormat="1" x14ac:dyDescent="0.25"/>
    <row r="33215" customFormat="1" x14ac:dyDescent="0.25"/>
    <row r="33216" customFormat="1" x14ac:dyDescent="0.25"/>
    <row r="33217" customFormat="1" x14ac:dyDescent="0.25"/>
    <row r="33218" customFormat="1" x14ac:dyDescent="0.25"/>
    <row r="33219" customFormat="1" x14ac:dyDescent="0.25"/>
    <row r="33220" customFormat="1" x14ac:dyDescent="0.25"/>
    <row r="33221" customFormat="1" x14ac:dyDescent="0.25"/>
    <row r="33222" customFormat="1" x14ac:dyDescent="0.25"/>
    <row r="33223" customFormat="1" x14ac:dyDescent="0.25"/>
    <row r="33224" customFormat="1" x14ac:dyDescent="0.25"/>
    <row r="33225" customFormat="1" x14ac:dyDescent="0.25"/>
    <row r="33226" customFormat="1" x14ac:dyDescent="0.25"/>
    <row r="33227" customFormat="1" x14ac:dyDescent="0.25"/>
    <row r="33228" customFormat="1" x14ac:dyDescent="0.25"/>
    <row r="33229" customFormat="1" x14ac:dyDescent="0.25"/>
    <row r="33230" customFormat="1" x14ac:dyDescent="0.25"/>
    <row r="33231" customFormat="1" x14ac:dyDescent="0.25"/>
    <row r="33232" customFormat="1" x14ac:dyDescent="0.25"/>
    <row r="33233" customFormat="1" x14ac:dyDescent="0.25"/>
    <row r="33234" customFormat="1" x14ac:dyDescent="0.25"/>
    <row r="33235" customFormat="1" x14ac:dyDescent="0.25"/>
    <row r="33236" customFormat="1" x14ac:dyDescent="0.25"/>
    <row r="33237" customFormat="1" x14ac:dyDescent="0.25"/>
    <row r="33238" customFormat="1" x14ac:dyDescent="0.25"/>
    <row r="33239" customFormat="1" x14ac:dyDescent="0.25"/>
    <row r="33240" customFormat="1" x14ac:dyDescent="0.25"/>
    <row r="33241" customFormat="1" x14ac:dyDescent="0.25"/>
    <row r="33242" customFormat="1" x14ac:dyDescent="0.25"/>
    <row r="33243" customFormat="1" x14ac:dyDescent="0.25"/>
    <row r="33244" customFormat="1" x14ac:dyDescent="0.25"/>
    <row r="33245" customFormat="1" x14ac:dyDescent="0.25"/>
    <row r="33246" customFormat="1" x14ac:dyDescent="0.25"/>
    <row r="33247" customFormat="1" x14ac:dyDescent="0.25"/>
    <row r="33248" customFormat="1" x14ac:dyDescent="0.25"/>
    <row r="33249" customFormat="1" x14ac:dyDescent="0.25"/>
    <row r="33250" customFormat="1" x14ac:dyDescent="0.25"/>
    <row r="33251" customFormat="1" x14ac:dyDescent="0.25"/>
    <row r="33252" customFormat="1" x14ac:dyDescent="0.25"/>
    <row r="33253" customFormat="1" x14ac:dyDescent="0.25"/>
    <row r="33254" customFormat="1" x14ac:dyDescent="0.25"/>
    <row r="33255" customFormat="1" x14ac:dyDescent="0.25"/>
    <row r="33256" customFormat="1" x14ac:dyDescent="0.25"/>
    <row r="33257" customFormat="1" x14ac:dyDescent="0.25"/>
    <row r="33258" customFormat="1" x14ac:dyDescent="0.25"/>
    <row r="33259" customFormat="1" x14ac:dyDescent="0.25"/>
    <row r="33260" customFormat="1" x14ac:dyDescent="0.25"/>
    <row r="33261" customFormat="1" x14ac:dyDescent="0.25"/>
    <row r="33262" customFormat="1" x14ac:dyDescent="0.25"/>
    <row r="33263" customFormat="1" x14ac:dyDescent="0.25"/>
    <row r="33264" customFormat="1" x14ac:dyDescent="0.25"/>
    <row r="33265" customFormat="1" x14ac:dyDescent="0.25"/>
    <row r="33266" customFormat="1" x14ac:dyDescent="0.25"/>
    <row r="33267" customFormat="1" x14ac:dyDescent="0.25"/>
    <row r="33268" customFormat="1" x14ac:dyDescent="0.25"/>
    <row r="33269" customFormat="1" x14ac:dyDescent="0.25"/>
    <row r="33270" customFormat="1" x14ac:dyDescent="0.25"/>
    <row r="33271" customFormat="1" x14ac:dyDescent="0.25"/>
    <row r="33272" customFormat="1" x14ac:dyDescent="0.25"/>
    <row r="33273" customFormat="1" x14ac:dyDescent="0.25"/>
    <row r="33274" customFormat="1" x14ac:dyDescent="0.25"/>
    <row r="33275" customFormat="1" x14ac:dyDescent="0.25"/>
    <row r="33276" customFormat="1" x14ac:dyDescent="0.25"/>
    <row r="33277" customFormat="1" x14ac:dyDescent="0.25"/>
    <row r="33278" customFormat="1" x14ac:dyDescent="0.25"/>
    <row r="33279" customFormat="1" x14ac:dyDescent="0.25"/>
    <row r="33280" customFormat="1" x14ac:dyDescent="0.25"/>
    <row r="33281" customFormat="1" x14ac:dyDescent="0.25"/>
    <row r="33282" customFormat="1" x14ac:dyDescent="0.25"/>
    <row r="33283" customFormat="1" x14ac:dyDescent="0.25"/>
    <row r="33284" customFormat="1" x14ac:dyDescent="0.25"/>
    <row r="33285" customFormat="1" x14ac:dyDescent="0.25"/>
    <row r="33286" customFormat="1" x14ac:dyDescent="0.25"/>
    <row r="33287" customFormat="1" x14ac:dyDescent="0.25"/>
    <row r="33288" customFormat="1" x14ac:dyDescent="0.25"/>
    <row r="33289" customFormat="1" x14ac:dyDescent="0.25"/>
    <row r="33290" customFormat="1" x14ac:dyDescent="0.25"/>
    <row r="33291" customFormat="1" x14ac:dyDescent="0.25"/>
    <row r="33292" customFormat="1" x14ac:dyDescent="0.25"/>
    <row r="33293" customFormat="1" x14ac:dyDescent="0.25"/>
    <row r="33294" customFormat="1" x14ac:dyDescent="0.25"/>
    <row r="33295" customFormat="1" x14ac:dyDescent="0.25"/>
    <row r="33296" customFormat="1" x14ac:dyDescent="0.25"/>
    <row r="33297" customFormat="1" x14ac:dyDescent="0.25"/>
    <row r="33298" customFormat="1" x14ac:dyDescent="0.25"/>
    <row r="33299" customFormat="1" x14ac:dyDescent="0.25"/>
    <row r="33300" customFormat="1" x14ac:dyDescent="0.25"/>
    <row r="33301" customFormat="1" x14ac:dyDescent="0.25"/>
    <row r="33302" customFormat="1" x14ac:dyDescent="0.25"/>
    <row r="33303" customFormat="1" x14ac:dyDescent="0.25"/>
    <row r="33304" customFormat="1" x14ac:dyDescent="0.25"/>
    <row r="33305" customFormat="1" x14ac:dyDescent="0.25"/>
    <row r="33306" customFormat="1" x14ac:dyDescent="0.25"/>
    <row r="33307" customFormat="1" x14ac:dyDescent="0.25"/>
    <row r="33308" customFormat="1" x14ac:dyDescent="0.25"/>
    <row r="33309" customFormat="1" x14ac:dyDescent="0.25"/>
    <row r="33310" customFormat="1" x14ac:dyDescent="0.25"/>
    <row r="33311" customFormat="1" x14ac:dyDescent="0.25"/>
    <row r="33312" customFormat="1" x14ac:dyDescent="0.25"/>
    <row r="33313" customFormat="1" x14ac:dyDescent="0.25"/>
    <row r="33314" customFormat="1" x14ac:dyDescent="0.25"/>
    <row r="33315" customFormat="1" x14ac:dyDescent="0.25"/>
    <row r="33316" customFormat="1" x14ac:dyDescent="0.25"/>
    <row r="33317" customFormat="1" x14ac:dyDescent="0.25"/>
    <row r="33318" customFormat="1" x14ac:dyDescent="0.25"/>
    <row r="33319" customFormat="1" x14ac:dyDescent="0.25"/>
    <row r="33320" customFormat="1" x14ac:dyDescent="0.25"/>
    <row r="33321" customFormat="1" x14ac:dyDescent="0.25"/>
    <row r="33322" customFormat="1" x14ac:dyDescent="0.25"/>
    <row r="33323" customFormat="1" x14ac:dyDescent="0.25"/>
    <row r="33324" customFormat="1" x14ac:dyDescent="0.25"/>
    <row r="33325" customFormat="1" x14ac:dyDescent="0.25"/>
    <row r="33326" customFormat="1" x14ac:dyDescent="0.25"/>
    <row r="33327" customFormat="1" x14ac:dyDescent="0.25"/>
    <row r="33328" customFormat="1" x14ac:dyDescent="0.25"/>
    <row r="33329" customFormat="1" x14ac:dyDescent="0.25"/>
    <row r="33330" customFormat="1" x14ac:dyDescent="0.25"/>
    <row r="33331" customFormat="1" x14ac:dyDescent="0.25"/>
    <row r="33332" customFormat="1" x14ac:dyDescent="0.25"/>
    <row r="33333" customFormat="1" x14ac:dyDescent="0.25"/>
    <row r="33334" customFormat="1" x14ac:dyDescent="0.25"/>
    <row r="33335" customFormat="1" x14ac:dyDescent="0.25"/>
    <row r="33336" customFormat="1" x14ac:dyDescent="0.25"/>
    <row r="33337" customFormat="1" x14ac:dyDescent="0.25"/>
    <row r="33338" customFormat="1" x14ac:dyDescent="0.25"/>
    <row r="33339" customFormat="1" x14ac:dyDescent="0.25"/>
    <row r="33340" customFormat="1" x14ac:dyDescent="0.25"/>
    <row r="33341" customFormat="1" x14ac:dyDescent="0.25"/>
    <row r="33342" customFormat="1" x14ac:dyDescent="0.25"/>
    <row r="33343" customFormat="1" x14ac:dyDescent="0.25"/>
    <row r="33344" customFormat="1" x14ac:dyDescent="0.25"/>
    <row r="33345" customFormat="1" x14ac:dyDescent="0.25"/>
    <row r="33346" customFormat="1" x14ac:dyDescent="0.25"/>
    <row r="33347" customFormat="1" x14ac:dyDescent="0.25"/>
    <row r="33348" customFormat="1" x14ac:dyDescent="0.25"/>
    <row r="33349" customFormat="1" x14ac:dyDescent="0.25"/>
    <row r="33350" customFormat="1" x14ac:dyDescent="0.25"/>
    <row r="33351" customFormat="1" x14ac:dyDescent="0.25"/>
    <row r="33352" customFormat="1" x14ac:dyDescent="0.25"/>
    <row r="33353" customFormat="1" x14ac:dyDescent="0.25"/>
    <row r="33354" customFormat="1" x14ac:dyDescent="0.25"/>
    <row r="33355" customFormat="1" x14ac:dyDescent="0.25"/>
    <row r="33356" customFormat="1" x14ac:dyDescent="0.25"/>
    <row r="33357" customFormat="1" x14ac:dyDescent="0.25"/>
    <row r="33358" customFormat="1" x14ac:dyDescent="0.25"/>
    <row r="33359" customFormat="1" x14ac:dyDescent="0.25"/>
    <row r="33360" customFormat="1" x14ac:dyDescent="0.25"/>
    <row r="33361" customFormat="1" x14ac:dyDescent="0.25"/>
    <row r="33362" customFormat="1" x14ac:dyDescent="0.25"/>
    <row r="33363" customFormat="1" x14ac:dyDescent="0.25"/>
    <row r="33364" customFormat="1" x14ac:dyDescent="0.25"/>
    <row r="33365" customFormat="1" x14ac:dyDescent="0.25"/>
    <row r="33366" customFormat="1" x14ac:dyDescent="0.25"/>
    <row r="33367" customFormat="1" x14ac:dyDescent="0.25"/>
    <row r="33368" customFormat="1" x14ac:dyDescent="0.25"/>
    <row r="33369" customFormat="1" x14ac:dyDescent="0.25"/>
    <row r="33370" customFormat="1" x14ac:dyDescent="0.25"/>
    <row r="33371" customFormat="1" x14ac:dyDescent="0.25"/>
    <row r="33372" customFormat="1" x14ac:dyDescent="0.25"/>
    <row r="33373" customFormat="1" x14ac:dyDescent="0.25"/>
    <row r="33374" customFormat="1" x14ac:dyDescent="0.25"/>
    <row r="33375" customFormat="1" x14ac:dyDescent="0.25"/>
    <row r="33376" customFormat="1" x14ac:dyDescent="0.25"/>
    <row r="33377" customFormat="1" x14ac:dyDescent="0.25"/>
    <row r="33378" customFormat="1" x14ac:dyDescent="0.25"/>
    <row r="33379" customFormat="1" x14ac:dyDescent="0.25"/>
    <row r="33380" customFormat="1" x14ac:dyDescent="0.25"/>
    <row r="33381" customFormat="1" x14ac:dyDescent="0.25"/>
    <row r="33382" customFormat="1" x14ac:dyDescent="0.25"/>
    <row r="33383" customFormat="1" x14ac:dyDescent="0.25"/>
    <row r="33384" customFormat="1" x14ac:dyDescent="0.25"/>
    <row r="33385" customFormat="1" x14ac:dyDescent="0.25"/>
    <row r="33386" customFormat="1" x14ac:dyDescent="0.25"/>
    <row r="33387" customFormat="1" x14ac:dyDescent="0.25"/>
    <row r="33388" customFormat="1" x14ac:dyDescent="0.25"/>
    <row r="33389" customFormat="1" x14ac:dyDescent="0.25"/>
    <row r="33390" customFormat="1" x14ac:dyDescent="0.25"/>
    <row r="33391" customFormat="1" x14ac:dyDescent="0.25"/>
    <row r="33392" customFormat="1" x14ac:dyDescent="0.25"/>
    <row r="33393" customFormat="1" x14ac:dyDescent="0.25"/>
    <row r="33394" customFormat="1" x14ac:dyDescent="0.25"/>
    <row r="33395" customFormat="1" x14ac:dyDescent="0.25"/>
    <row r="33396" customFormat="1" x14ac:dyDescent="0.25"/>
    <row r="33397" customFormat="1" x14ac:dyDescent="0.25"/>
    <row r="33398" customFormat="1" x14ac:dyDescent="0.25"/>
    <row r="33399" customFormat="1" x14ac:dyDescent="0.25"/>
    <row r="33400" customFormat="1" x14ac:dyDescent="0.25"/>
    <row r="33401" customFormat="1" x14ac:dyDescent="0.25"/>
    <row r="33402" customFormat="1" x14ac:dyDescent="0.25"/>
    <row r="33403" customFormat="1" x14ac:dyDescent="0.25"/>
    <row r="33404" customFormat="1" x14ac:dyDescent="0.25"/>
    <row r="33405" customFormat="1" x14ac:dyDescent="0.25"/>
    <row r="33406" customFormat="1" x14ac:dyDescent="0.25"/>
    <row r="33407" customFormat="1" x14ac:dyDescent="0.25"/>
    <row r="33408" customFormat="1" x14ac:dyDescent="0.25"/>
    <row r="33409" customFormat="1" x14ac:dyDescent="0.25"/>
    <row r="33410" customFormat="1" x14ac:dyDescent="0.25"/>
    <row r="33411" customFormat="1" x14ac:dyDescent="0.25"/>
    <row r="33412" customFormat="1" x14ac:dyDescent="0.25"/>
    <row r="33413" customFormat="1" x14ac:dyDescent="0.25"/>
    <row r="33414" customFormat="1" x14ac:dyDescent="0.25"/>
    <row r="33415" customFormat="1" x14ac:dyDescent="0.25"/>
    <row r="33416" customFormat="1" x14ac:dyDescent="0.25"/>
    <row r="33417" customFormat="1" x14ac:dyDescent="0.25"/>
    <row r="33418" customFormat="1" x14ac:dyDescent="0.25"/>
    <row r="33419" customFormat="1" x14ac:dyDescent="0.25"/>
    <row r="33420" customFormat="1" x14ac:dyDescent="0.25"/>
    <row r="33421" customFormat="1" x14ac:dyDescent="0.25"/>
    <row r="33422" customFormat="1" x14ac:dyDescent="0.25"/>
    <row r="33423" customFormat="1" x14ac:dyDescent="0.25"/>
    <row r="33424" customFormat="1" x14ac:dyDescent="0.25"/>
    <row r="33425" customFormat="1" x14ac:dyDescent="0.25"/>
    <row r="33426" customFormat="1" x14ac:dyDescent="0.25"/>
    <row r="33427" customFormat="1" x14ac:dyDescent="0.25"/>
    <row r="33428" customFormat="1" x14ac:dyDescent="0.25"/>
    <row r="33429" customFormat="1" x14ac:dyDescent="0.25"/>
    <row r="33430" customFormat="1" x14ac:dyDescent="0.25"/>
    <row r="33431" customFormat="1" x14ac:dyDescent="0.25"/>
    <row r="33432" customFormat="1" x14ac:dyDescent="0.25"/>
    <row r="33433" customFormat="1" x14ac:dyDescent="0.25"/>
    <row r="33434" customFormat="1" x14ac:dyDescent="0.25"/>
    <row r="33435" customFormat="1" x14ac:dyDescent="0.25"/>
    <row r="33436" customFormat="1" x14ac:dyDescent="0.25"/>
    <row r="33437" customFormat="1" x14ac:dyDescent="0.25"/>
    <row r="33438" customFormat="1" x14ac:dyDescent="0.25"/>
    <row r="33439" customFormat="1" x14ac:dyDescent="0.25"/>
    <row r="33440" customFormat="1" x14ac:dyDescent="0.25"/>
    <row r="33441" customFormat="1" x14ac:dyDescent="0.25"/>
    <row r="33442" customFormat="1" x14ac:dyDescent="0.25"/>
    <row r="33443" customFormat="1" x14ac:dyDescent="0.25"/>
    <row r="33444" customFormat="1" x14ac:dyDescent="0.25"/>
    <row r="33445" customFormat="1" x14ac:dyDescent="0.25"/>
    <row r="33446" customFormat="1" x14ac:dyDescent="0.25"/>
    <row r="33447" customFormat="1" x14ac:dyDescent="0.25"/>
    <row r="33448" customFormat="1" x14ac:dyDescent="0.25"/>
    <row r="33449" customFormat="1" x14ac:dyDescent="0.25"/>
    <row r="33450" customFormat="1" x14ac:dyDescent="0.25"/>
    <row r="33451" customFormat="1" x14ac:dyDescent="0.25"/>
    <row r="33452" customFormat="1" x14ac:dyDescent="0.25"/>
    <row r="33453" customFormat="1" x14ac:dyDescent="0.25"/>
    <row r="33454" customFormat="1" x14ac:dyDescent="0.25"/>
    <row r="33455" customFormat="1" x14ac:dyDescent="0.25"/>
    <row r="33456" customFormat="1" x14ac:dyDescent="0.25"/>
    <row r="33457" customFormat="1" x14ac:dyDescent="0.25"/>
    <row r="33458" customFormat="1" x14ac:dyDescent="0.25"/>
    <row r="33459" customFormat="1" x14ac:dyDescent="0.25"/>
    <row r="33460" customFormat="1" x14ac:dyDescent="0.25"/>
    <row r="33461" customFormat="1" x14ac:dyDescent="0.25"/>
    <row r="33462" customFormat="1" x14ac:dyDescent="0.25"/>
    <row r="33463" customFormat="1" x14ac:dyDescent="0.25"/>
    <row r="33464" customFormat="1" x14ac:dyDescent="0.25"/>
    <row r="33465" customFormat="1" x14ac:dyDescent="0.25"/>
    <row r="33466" customFormat="1" x14ac:dyDescent="0.25"/>
    <row r="33467" customFormat="1" x14ac:dyDescent="0.25"/>
    <row r="33468" customFormat="1" x14ac:dyDescent="0.25"/>
    <row r="33469" customFormat="1" x14ac:dyDescent="0.25"/>
    <row r="33470" customFormat="1" x14ac:dyDescent="0.25"/>
    <row r="33471" customFormat="1" x14ac:dyDescent="0.25"/>
    <row r="33472" customFormat="1" x14ac:dyDescent="0.25"/>
    <row r="33473" customFormat="1" x14ac:dyDescent="0.25"/>
    <row r="33474" customFormat="1" x14ac:dyDescent="0.25"/>
    <row r="33475" customFormat="1" x14ac:dyDescent="0.25"/>
    <row r="33476" customFormat="1" x14ac:dyDescent="0.25"/>
    <row r="33477" customFormat="1" x14ac:dyDescent="0.25"/>
    <row r="33478" customFormat="1" x14ac:dyDescent="0.25"/>
    <row r="33479" customFormat="1" x14ac:dyDescent="0.25"/>
    <row r="33480" customFormat="1" x14ac:dyDescent="0.25"/>
    <row r="33481" customFormat="1" x14ac:dyDescent="0.25"/>
    <row r="33482" customFormat="1" x14ac:dyDescent="0.25"/>
    <row r="33483" customFormat="1" x14ac:dyDescent="0.25"/>
    <row r="33484" customFormat="1" x14ac:dyDescent="0.25"/>
    <row r="33485" customFormat="1" x14ac:dyDescent="0.25"/>
    <row r="33486" customFormat="1" x14ac:dyDescent="0.25"/>
    <row r="33487" customFormat="1" x14ac:dyDescent="0.25"/>
    <row r="33488" customFormat="1" x14ac:dyDescent="0.25"/>
    <row r="33489" customFormat="1" x14ac:dyDescent="0.25"/>
    <row r="33490" customFormat="1" x14ac:dyDescent="0.25"/>
    <row r="33491" customFormat="1" x14ac:dyDescent="0.25"/>
    <row r="33492" customFormat="1" x14ac:dyDescent="0.25"/>
    <row r="33493" customFormat="1" x14ac:dyDescent="0.25"/>
    <row r="33494" customFormat="1" x14ac:dyDescent="0.25"/>
    <row r="33495" customFormat="1" x14ac:dyDescent="0.25"/>
    <row r="33496" customFormat="1" x14ac:dyDescent="0.25"/>
    <row r="33497" customFormat="1" x14ac:dyDescent="0.25"/>
    <row r="33498" customFormat="1" x14ac:dyDescent="0.25"/>
    <row r="33499" customFormat="1" x14ac:dyDescent="0.25"/>
    <row r="33500" customFormat="1" x14ac:dyDescent="0.25"/>
    <row r="33501" customFormat="1" x14ac:dyDescent="0.25"/>
    <row r="33502" customFormat="1" x14ac:dyDescent="0.25"/>
    <row r="33503" customFormat="1" x14ac:dyDescent="0.25"/>
    <row r="33504" customFormat="1" x14ac:dyDescent="0.25"/>
    <row r="33505" customFormat="1" x14ac:dyDescent="0.25"/>
    <row r="33506" customFormat="1" x14ac:dyDescent="0.25"/>
    <row r="33507" customFormat="1" x14ac:dyDescent="0.25"/>
    <row r="33508" customFormat="1" x14ac:dyDescent="0.25"/>
    <row r="33509" customFormat="1" x14ac:dyDescent="0.25"/>
    <row r="33510" customFormat="1" x14ac:dyDescent="0.25"/>
    <row r="33511" customFormat="1" x14ac:dyDescent="0.25"/>
    <row r="33512" customFormat="1" x14ac:dyDescent="0.25"/>
    <row r="33513" customFormat="1" x14ac:dyDescent="0.25"/>
    <row r="33514" customFormat="1" x14ac:dyDescent="0.25"/>
    <row r="33515" customFormat="1" x14ac:dyDescent="0.25"/>
    <row r="33516" customFormat="1" x14ac:dyDescent="0.25"/>
    <row r="33517" customFormat="1" x14ac:dyDescent="0.25"/>
    <row r="33518" customFormat="1" x14ac:dyDescent="0.25"/>
    <row r="33519" customFormat="1" x14ac:dyDescent="0.25"/>
    <row r="33520" customFormat="1" x14ac:dyDescent="0.25"/>
    <row r="33521" customFormat="1" x14ac:dyDescent="0.25"/>
    <row r="33522" customFormat="1" x14ac:dyDescent="0.25"/>
    <row r="33523" customFormat="1" x14ac:dyDescent="0.25"/>
    <row r="33524" customFormat="1" x14ac:dyDescent="0.25"/>
    <row r="33525" customFormat="1" x14ac:dyDescent="0.25"/>
    <row r="33526" customFormat="1" x14ac:dyDescent="0.25"/>
    <row r="33527" customFormat="1" x14ac:dyDescent="0.25"/>
    <row r="33528" customFormat="1" x14ac:dyDescent="0.25"/>
    <row r="33529" customFormat="1" x14ac:dyDescent="0.25"/>
    <row r="33530" customFormat="1" x14ac:dyDescent="0.25"/>
    <row r="33531" customFormat="1" x14ac:dyDescent="0.25"/>
    <row r="33532" customFormat="1" x14ac:dyDescent="0.25"/>
    <row r="33533" customFormat="1" x14ac:dyDescent="0.25"/>
    <row r="33534" customFormat="1" x14ac:dyDescent="0.25"/>
    <row r="33535" customFormat="1" x14ac:dyDescent="0.25"/>
    <row r="33536" customFormat="1" x14ac:dyDescent="0.25"/>
    <row r="33537" customFormat="1" x14ac:dyDescent="0.25"/>
    <row r="33538" customFormat="1" x14ac:dyDescent="0.25"/>
    <row r="33539" customFormat="1" x14ac:dyDescent="0.25"/>
    <row r="33540" customFormat="1" x14ac:dyDescent="0.25"/>
    <row r="33541" customFormat="1" x14ac:dyDescent="0.25"/>
    <row r="33542" customFormat="1" x14ac:dyDescent="0.25"/>
    <row r="33543" customFormat="1" x14ac:dyDescent="0.25"/>
    <row r="33544" customFormat="1" x14ac:dyDescent="0.25"/>
    <row r="33545" customFormat="1" x14ac:dyDescent="0.25"/>
    <row r="33546" customFormat="1" x14ac:dyDescent="0.25"/>
    <row r="33547" customFormat="1" x14ac:dyDescent="0.25"/>
    <row r="33548" customFormat="1" x14ac:dyDescent="0.25"/>
    <row r="33549" customFormat="1" x14ac:dyDescent="0.25"/>
    <row r="33550" customFormat="1" x14ac:dyDescent="0.25"/>
    <row r="33551" customFormat="1" x14ac:dyDescent="0.25"/>
    <row r="33552" customFormat="1" x14ac:dyDescent="0.25"/>
    <row r="33553" customFormat="1" x14ac:dyDescent="0.25"/>
    <row r="33554" customFormat="1" x14ac:dyDescent="0.25"/>
    <row r="33555" customFormat="1" x14ac:dyDescent="0.25"/>
    <row r="33556" customFormat="1" x14ac:dyDescent="0.25"/>
    <row r="33557" customFormat="1" x14ac:dyDescent="0.25"/>
    <row r="33558" customFormat="1" x14ac:dyDescent="0.25"/>
    <row r="33559" customFormat="1" x14ac:dyDescent="0.25"/>
    <row r="33560" customFormat="1" x14ac:dyDescent="0.25"/>
    <row r="33561" customFormat="1" x14ac:dyDescent="0.25"/>
    <row r="33562" customFormat="1" x14ac:dyDescent="0.25"/>
    <row r="33563" customFormat="1" x14ac:dyDescent="0.25"/>
    <row r="33564" customFormat="1" x14ac:dyDescent="0.25"/>
    <row r="33565" customFormat="1" x14ac:dyDescent="0.25"/>
    <row r="33566" customFormat="1" x14ac:dyDescent="0.25"/>
    <row r="33567" customFormat="1" x14ac:dyDescent="0.25"/>
    <row r="33568" customFormat="1" x14ac:dyDescent="0.25"/>
    <row r="33569" customFormat="1" x14ac:dyDescent="0.25"/>
    <row r="33570" customFormat="1" x14ac:dyDescent="0.25"/>
    <row r="33571" customFormat="1" x14ac:dyDescent="0.25"/>
    <row r="33572" customFormat="1" x14ac:dyDescent="0.25"/>
    <row r="33573" customFormat="1" x14ac:dyDescent="0.25"/>
    <row r="33574" customFormat="1" x14ac:dyDescent="0.25"/>
    <row r="33575" customFormat="1" x14ac:dyDescent="0.25"/>
    <row r="33576" customFormat="1" x14ac:dyDescent="0.25"/>
    <row r="33577" customFormat="1" x14ac:dyDescent="0.25"/>
    <row r="33578" customFormat="1" x14ac:dyDescent="0.25"/>
    <row r="33579" customFormat="1" x14ac:dyDescent="0.25"/>
    <row r="33580" customFormat="1" x14ac:dyDescent="0.25"/>
    <row r="33581" customFormat="1" x14ac:dyDescent="0.25"/>
    <row r="33582" customFormat="1" x14ac:dyDescent="0.25"/>
    <row r="33583" customFormat="1" x14ac:dyDescent="0.25"/>
    <row r="33584" customFormat="1" x14ac:dyDescent="0.25"/>
    <row r="33585" customFormat="1" x14ac:dyDescent="0.25"/>
    <row r="33586" customFormat="1" x14ac:dyDescent="0.25"/>
    <row r="33587" customFormat="1" x14ac:dyDescent="0.25"/>
    <row r="33588" customFormat="1" x14ac:dyDescent="0.25"/>
    <row r="33589" customFormat="1" x14ac:dyDescent="0.25"/>
    <row r="33590" customFormat="1" x14ac:dyDescent="0.25"/>
    <row r="33591" customFormat="1" x14ac:dyDescent="0.25"/>
    <row r="33592" customFormat="1" x14ac:dyDescent="0.25"/>
    <row r="33593" customFormat="1" x14ac:dyDescent="0.25"/>
    <row r="33594" customFormat="1" x14ac:dyDescent="0.25"/>
    <row r="33595" customFormat="1" x14ac:dyDescent="0.25"/>
    <row r="33596" customFormat="1" x14ac:dyDescent="0.25"/>
    <row r="33597" customFormat="1" x14ac:dyDescent="0.25"/>
    <row r="33598" customFormat="1" x14ac:dyDescent="0.25"/>
    <row r="33599" customFormat="1" x14ac:dyDescent="0.25"/>
    <row r="33600" customFormat="1" x14ac:dyDescent="0.25"/>
    <row r="33601" customFormat="1" x14ac:dyDescent="0.25"/>
    <row r="33602" customFormat="1" x14ac:dyDescent="0.25"/>
    <row r="33603" customFormat="1" x14ac:dyDescent="0.25"/>
    <row r="33604" customFormat="1" x14ac:dyDescent="0.25"/>
    <row r="33605" customFormat="1" x14ac:dyDescent="0.25"/>
    <row r="33606" customFormat="1" x14ac:dyDescent="0.25"/>
    <row r="33607" customFormat="1" x14ac:dyDescent="0.25"/>
    <row r="33608" customFormat="1" x14ac:dyDescent="0.25"/>
    <row r="33609" customFormat="1" x14ac:dyDescent="0.25"/>
    <row r="33610" customFormat="1" x14ac:dyDescent="0.25"/>
    <row r="33611" customFormat="1" x14ac:dyDescent="0.25"/>
    <row r="33612" customFormat="1" x14ac:dyDescent="0.25"/>
    <row r="33613" customFormat="1" x14ac:dyDescent="0.25"/>
    <row r="33614" customFormat="1" x14ac:dyDescent="0.25"/>
    <row r="33615" customFormat="1" x14ac:dyDescent="0.25"/>
    <row r="33616" customFormat="1" x14ac:dyDescent="0.25"/>
    <row r="33617" customFormat="1" x14ac:dyDescent="0.25"/>
    <row r="33618" customFormat="1" x14ac:dyDescent="0.25"/>
    <row r="33619" customFormat="1" x14ac:dyDescent="0.25"/>
    <row r="33620" customFormat="1" x14ac:dyDescent="0.25"/>
    <row r="33621" customFormat="1" x14ac:dyDescent="0.25"/>
    <row r="33622" customFormat="1" x14ac:dyDescent="0.25"/>
    <row r="33623" customFormat="1" x14ac:dyDescent="0.25"/>
    <row r="33624" customFormat="1" x14ac:dyDescent="0.25"/>
    <row r="33625" customFormat="1" x14ac:dyDescent="0.25"/>
    <row r="33626" customFormat="1" x14ac:dyDescent="0.25"/>
    <row r="33627" customFormat="1" x14ac:dyDescent="0.25"/>
    <row r="33628" customFormat="1" x14ac:dyDescent="0.25"/>
    <row r="33629" customFormat="1" x14ac:dyDescent="0.25"/>
    <row r="33630" customFormat="1" x14ac:dyDescent="0.25"/>
    <row r="33631" customFormat="1" x14ac:dyDescent="0.25"/>
    <row r="33632" customFormat="1" x14ac:dyDescent="0.25"/>
    <row r="33633" customFormat="1" x14ac:dyDescent="0.25"/>
    <row r="33634" customFormat="1" x14ac:dyDescent="0.25"/>
    <row r="33635" customFormat="1" x14ac:dyDescent="0.25"/>
    <row r="33636" customFormat="1" x14ac:dyDescent="0.25"/>
    <row r="33637" customFormat="1" x14ac:dyDescent="0.25"/>
    <row r="33638" customFormat="1" x14ac:dyDescent="0.25"/>
    <row r="33639" customFormat="1" x14ac:dyDescent="0.25"/>
    <row r="33640" customFormat="1" x14ac:dyDescent="0.25"/>
    <row r="33641" customFormat="1" x14ac:dyDescent="0.25"/>
    <row r="33642" customFormat="1" x14ac:dyDescent="0.25"/>
    <row r="33643" customFormat="1" x14ac:dyDescent="0.25"/>
    <row r="33644" customFormat="1" x14ac:dyDescent="0.25"/>
    <row r="33645" customFormat="1" x14ac:dyDescent="0.25"/>
    <row r="33646" customFormat="1" x14ac:dyDescent="0.25"/>
    <row r="33647" customFormat="1" x14ac:dyDescent="0.25"/>
    <row r="33648" customFormat="1" x14ac:dyDescent="0.25"/>
    <row r="33649" customFormat="1" x14ac:dyDescent="0.25"/>
    <row r="33650" customFormat="1" x14ac:dyDescent="0.25"/>
    <row r="33651" customFormat="1" x14ac:dyDescent="0.25"/>
    <row r="33652" customFormat="1" x14ac:dyDescent="0.25"/>
    <row r="33653" customFormat="1" x14ac:dyDescent="0.25"/>
    <row r="33654" customFormat="1" x14ac:dyDescent="0.25"/>
    <row r="33655" customFormat="1" x14ac:dyDescent="0.25"/>
    <row r="33656" customFormat="1" x14ac:dyDescent="0.25"/>
    <row r="33657" customFormat="1" x14ac:dyDescent="0.25"/>
    <row r="33658" customFormat="1" x14ac:dyDescent="0.25"/>
    <row r="33659" customFormat="1" x14ac:dyDescent="0.25"/>
    <row r="33660" customFormat="1" x14ac:dyDescent="0.25"/>
    <row r="33661" customFormat="1" x14ac:dyDescent="0.25"/>
    <row r="33662" customFormat="1" x14ac:dyDescent="0.25"/>
    <row r="33663" customFormat="1" x14ac:dyDescent="0.25"/>
    <row r="33664" customFormat="1" x14ac:dyDescent="0.25"/>
    <row r="33665" customFormat="1" x14ac:dyDescent="0.25"/>
    <row r="33666" customFormat="1" x14ac:dyDescent="0.25"/>
    <row r="33667" customFormat="1" x14ac:dyDescent="0.25"/>
    <row r="33668" customFormat="1" x14ac:dyDescent="0.25"/>
    <row r="33669" customFormat="1" x14ac:dyDescent="0.25"/>
    <row r="33670" customFormat="1" x14ac:dyDescent="0.25"/>
    <row r="33671" customFormat="1" x14ac:dyDescent="0.25"/>
    <row r="33672" customFormat="1" x14ac:dyDescent="0.25"/>
    <row r="33673" customFormat="1" x14ac:dyDescent="0.25"/>
    <row r="33674" customFormat="1" x14ac:dyDescent="0.25"/>
    <row r="33675" customFormat="1" x14ac:dyDescent="0.25"/>
    <row r="33676" customFormat="1" x14ac:dyDescent="0.25"/>
    <row r="33677" customFormat="1" x14ac:dyDescent="0.25"/>
    <row r="33678" customFormat="1" x14ac:dyDescent="0.25"/>
    <row r="33679" customFormat="1" x14ac:dyDescent="0.25"/>
    <row r="33680" customFormat="1" x14ac:dyDescent="0.25"/>
    <row r="33681" customFormat="1" x14ac:dyDescent="0.25"/>
    <row r="33682" customFormat="1" x14ac:dyDescent="0.25"/>
    <row r="33683" customFormat="1" x14ac:dyDescent="0.25"/>
    <row r="33684" customFormat="1" x14ac:dyDescent="0.25"/>
    <row r="33685" customFormat="1" x14ac:dyDescent="0.25"/>
    <row r="33686" customFormat="1" x14ac:dyDescent="0.25"/>
    <row r="33687" customFormat="1" x14ac:dyDescent="0.25"/>
    <row r="33688" customFormat="1" x14ac:dyDescent="0.25"/>
    <row r="33689" customFormat="1" x14ac:dyDescent="0.25"/>
    <row r="33690" customFormat="1" x14ac:dyDescent="0.25"/>
    <row r="33691" customFormat="1" x14ac:dyDescent="0.25"/>
    <row r="33692" customFormat="1" x14ac:dyDescent="0.25"/>
    <row r="33693" customFormat="1" x14ac:dyDescent="0.25"/>
    <row r="33694" customFormat="1" x14ac:dyDescent="0.25"/>
    <row r="33695" customFormat="1" x14ac:dyDescent="0.25"/>
    <row r="33696" customFormat="1" x14ac:dyDescent="0.25"/>
    <row r="33697" customFormat="1" x14ac:dyDescent="0.25"/>
    <row r="33698" customFormat="1" x14ac:dyDescent="0.25"/>
    <row r="33699" customFormat="1" x14ac:dyDescent="0.25"/>
    <row r="33700" customFormat="1" x14ac:dyDescent="0.25"/>
    <row r="33701" customFormat="1" x14ac:dyDescent="0.25"/>
    <row r="33702" customFormat="1" x14ac:dyDescent="0.25"/>
    <row r="33703" customFormat="1" x14ac:dyDescent="0.25"/>
    <row r="33704" customFormat="1" x14ac:dyDescent="0.25"/>
    <row r="33705" customFormat="1" x14ac:dyDescent="0.25"/>
    <row r="33706" customFormat="1" x14ac:dyDescent="0.25"/>
    <row r="33707" customFormat="1" x14ac:dyDescent="0.25"/>
    <row r="33708" customFormat="1" x14ac:dyDescent="0.25"/>
    <row r="33709" customFormat="1" x14ac:dyDescent="0.25"/>
    <row r="33710" customFormat="1" x14ac:dyDescent="0.25"/>
    <row r="33711" customFormat="1" x14ac:dyDescent="0.25"/>
    <row r="33712" customFormat="1" x14ac:dyDescent="0.25"/>
    <row r="33713" customFormat="1" x14ac:dyDescent="0.25"/>
    <row r="33714" customFormat="1" x14ac:dyDescent="0.25"/>
    <row r="33715" customFormat="1" x14ac:dyDescent="0.25"/>
    <row r="33716" customFormat="1" x14ac:dyDescent="0.25"/>
    <row r="33717" customFormat="1" x14ac:dyDescent="0.25"/>
    <row r="33718" customFormat="1" x14ac:dyDescent="0.25"/>
    <row r="33719" customFormat="1" x14ac:dyDescent="0.25"/>
    <row r="33720" customFormat="1" x14ac:dyDescent="0.25"/>
    <row r="33721" customFormat="1" x14ac:dyDescent="0.25"/>
    <row r="33722" customFormat="1" x14ac:dyDescent="0.25"/>
    <row r="33723" customFormat="1" x14ac:dyDescent="0.25"/>
    <row r="33724" customFormat="1" x14ac:dyDescent="0.25"/>
    <row r="33725" customFormat="1" x14ac:dyDescent="0.25"/>
    <row r="33726" customFormat="1" x14ac:dyDescent="0.25"/>
    <row r="33727" customFormat="1" x14ac:dyDescent="0.25"/>
    <row r="33728" customFormat="1" x14ac:dyDescent="0.25"/>
    <row r="33729" customFormat="1" x14ac:dyDescent="0.25"/>
    <row r="33730" customFormat="1" x14ac:dyDescent="0.25"/>
    <row r="33731" customFormat="1" x14ac:dyDescent="0.25"/>
    <row r="33732" customFormat="1" x14ac:dyDescent="0.25"/>
    <row r="33733" customFormat="1" x14ac:dyDescent="0.25"/>
    <row r="33734" customFormat="1" x14ac:dyDescent="0.25"/>
    <row r="33735" customFormat="1" x14ac:dyDescent="0.25"/>
    <row r="33736" customFormat="1" x14ac:dyDescent="0.25"/>
    <row r="33737" customFormat="1" x14ac:dyDescent="0.25"/>
    <row r="33738" customFormat="1" x14ac:dyDescent="0.25"/>
    <row r="33739" customFormat="1" x14ac:dyDescent="0.25"/>
    <row r="33740" customFormat="1" x14ac:dyDescent="0.25"/>
    <row r="33741" customFormat="1" x14ac:dyDescent="0.25"/>
    <row r="33742" customFormat="1" x14ac:dyDescent="0.25"/>
    <row r="33743" customFormat="1" x14ac:dyDescent="0.25"/>
    <row r="33744" customFormat="1" x14ac:dyDescent="0.25"/>
    <row r="33745" customFormat="1" x14ac:dyDescent="0.25"/>
    <row r="33746" customFormat="1" x14ac:dyDescent="0.25"/>
    <row r="33747" customFormat="1" x14ac:dyDescent="0.25"/>
    <row r="33748" customFormat="1" x14ac:dyDescent="0.25"/>
    <row r="33749" customFormat="1" x14ac:dyDescent="0.25"/>
    <row r="33750" customFormat="1" x14ac:dyDescent="0.25"/>
    <row r="33751" customFormat="1" x14ac:dyDescent="0.25"/>
    <row r="33752" customFormat="1" x14ac:dyDescent="0.25"/>
    <row r="33753" customFormat="1" x14ac:dyDescent="0.25"/>
    <row r="33754" customFormat="1" x14ac:dyDescent="0.25"/>
    <row r="33755" customFormat="1" x14ac:dyDescent="0.25"/>
    <row r="33756" customFormat="1" x14ac:dyDescent="0.25"/>
    <row r="33757" customFormat="1" x14ac:dyDescent="0.25"/>
    <row r="33758" customFormat="1" x14ac:dyDescent="0.25"/>
    <row r="33759" customFormat="1" x14ac:dyDescent="0.25"/>
    <row r="33760" customFormat="1" x14ac:dyDescent="0.25"/>
    <row r="33761" customFormat="1" x14ac:dyDescent="0.25"/>
    <row r="33762" customFormat="1" x14ac:dyDescent="0.25"/>
    <row r="33763" customFormat="1" x14ac:dyDescent="0.25"/>
    <row r="33764" customFormat="1" x14ac:dyDescent="0.25"/>
    <row r="33765" customFormat="1" x14ac:dyDescent="0.25"/>
    <row r="33766" customFormat="1" x14ac:dyDescent="0.25"/>
    <row r="33767" customFormat="1" x14ac:dyDescent="0.25"/>
    <row r="33768" customFormat="1" x14ac:dyDescent="0.25"/>
    <row r="33769" customFormat="1" x14ac:dyDescent="0.25"/>
    <row r="33770" customFormat="1" x14ac:dyDescent="0.25"/>
    <row r="33771" customFormat="1" x14ac:dyDescent="0.25"/>
    <row r="33772" customFormat="1" x14ac:dyDescent="0.25"/>
    <row r="33773" customFormat="1" x14ac:dyDescent="0.25"/>
    <row r="33774" customFormat="1" x14ac:dyDescent="0.25"/>
    <row r="33775" customFormat="1" x14ac:dyDescent="0.25"/>
    <row r="33776" customFormat="1" x14ac:dyDescent="0.25"/>
    <row r="33777" customFormat="1" x14ac:dyDescent="0.25"/>
    <row r="33778" customFormat="1" x14ac:dyDescent="0.25"/>
    <row r="33779" customFormat="1" x14ac:dyDescent="0.25"/>
    <row r="33780" customFormat="1" x14ac:dyDescent="0.25"/>
    <row r="33781" customFormat="1" x14ac:dyDescent="0.25"/>
    <row r="33782" customFormat="1" x14ac:dyDescent="0.25"/>
    <row r="33783" customFormat="1" x14ac:dyDescent="0.25"/>
    <row r="33784" customFormat="1" x14ac:dyDescent="0.25"/>
    <row r="33785" customFormat="1" x14ac:dyDescent="0.25"/>
    <row r="33786" customFormat="1" x14ac:dyDescent="0.25"/>
    <row r="33787" customFormat="1" x14ac:dyDescent="0.25"/>
    <row r="33788" customFormat="1" x14ac:dyDescent="0.25"/>
    <row r="33789" customFormat="1" x14ac:dyDescent="0.25"/>
    <row r="33790" customFormat="1" x14ac:dyDescent="0.25"/>
    <row r="33791" customFormat="1" x14ac:dyDescent="0.25"/>
    <row r="33792" customFormat="1" x14ac:dyDescent="0.25"/>
    <row r="33793" customFormat="1" x14ac:dyDescent="0.25"/>
    <row r="33794" customFormat="1" x14ac:dyDescent="0.25"/>
    <row r="33795" customFormat="1" x14ac:dyDescent="0.25"/>
    <row r="33796" customFormat="1" x14ac:dyDescent="0.25"/>
    <row r="33797" customFormat="1" x14ac:dyDescent="0.25"/>
    <row r="33798" customFormat="1" x14ac:dyDescent="0.25"/>
    <row r="33799" customFormat="1" x14ac:dyDescent="0.25"/>
    <row r="33800" customFormat="1" x14ac:dyDescent="0.25"/>
    <row r="33801" customFormat="1" x14ac:dyDescent="0.25"/>
    <row r="33802" customFormat="1" x14ac:dyDescent="0.25"/>
    <row r="33803" customFormat="1" x14ac:dyDescent="0.25"/>
    <row r="33804" customFormat="1" x14ac:dyDescent="0.25"/>
    <row r="33805" customFormat="1" x14ac:dyDescent="0.25"/>
    <row r="33806" customFormat="1" x14ac:dyDescent="0.25"/>
    <row r="33807" customFormat="1" x14ac:dyDescent="0.25"/>
    <row r="33808" customFormat="1" x14ac:dyDescent="0.25"/>
    <row r="33809" customFormat="1" x14ac:dyDescent="0.25"/>
    <row r="33810" customFormat="1" x14ac:dyDescent="0.25"/>
    <row r="33811" customFormat="1" x14ac:dyDescent="0.25"/>
    <row r="33812" customFormat="1" x14ac:dyDescent="0.25"/>
    <row r="33813" customFormat="1" x14ac:dyDescent="0.25"/>
    <row r="33814" customFormat="1" x14ac:dyDescent="0.25"/>
    <row r="33815" customFormat="1" x14ac:dyDescent="0.25"/>
    <row r="33816" customFormat="1" x14ac:dyDescent="0.25"/>
    <row r="33817" customFormat="1" x14ac:dyDescent="0.25"/>
    <row r="33818" customFormat="1" x14ac:dyDescent="0.25"/>
    <row r="33819" customFormat="1" x14ac:dyDescent="0.25"/>
    <row r="33820" customFormat="1" x14ac:dyDescent="0.25"/>
    <row r="33821" customFormat="1" x14ac:dyDescent="0.25"/>
    <row r="33822" customFormat="1" x14ac:dyDescent="0.25"/>
    <row r="33823" customFormat="1" x14ac:dyDescent="0.25"/>
    <row r="33824" customFormat="1" x14ac:dyDescent="0.25"/>
    <row r="33825" customFormat="1" x14ac:dyDescent="0.25"/>
    <row r="33826" customFormat="1" x14ac:dyDescent="0.25"/>
    <row r="33827" customFormat="1" x14ac:dyDescent="0.25"/>
    <row r="33828" customFormat="1" x14ac:dyDescent="0.25"/>
    <row r="33829" customFormat="1" x14ac:dyDescent="0.25"/>
    <row r="33830" customFormat="1" x14ac:dyDescent="0.25"/>
    <row r="33831" customFormat="1" x14ac:dyDescent="0.25"/>
    <row r="33832" customFormat="1" x14ac:dyDescent="0.25"/>
    <row r="33833" customFormat="1" x14ac:dyDescent="0.25"/>
    <row r="33834" customFormat="1" x14ac:dyDescent="0.25"/>
    <row r="33835" customFormat="1" x14ac:dyDescent="0.25"/>
    <row r="33836" customFormat="1" x14ac:dyDescent="0.25"/>
    <row r="33837" customFormat="1" x14ac:dyDescent="0.25"/>
    <row r="33838" customFormat="1" x14ac:dyDescent="0.25"/>
    <row r="33839" customFormat="1" x14ac:dyDescent="0.25"/>
    <row r="33840" customFormat="1" x14ac:dyDescent="0.25"/>
    <row r="33841" customFormat="1" x14ac:dyDescent="0.25"/>
    <row r="33842" customFormat="1" x14ac:dyDescent="0.25"/>
    <row r="33843" customFormat="1" x14ac:dyDescent="0.25"/>
    <row r="33844" customFormat="1" x14ac:dyDescent="0.25"/>
    <row r="33845" customFormat="1" x14ac:dyDescent="0.25"/>
    <row r="33846" customFormat="1" x14ac:dyDescent="0.25"/>
    <row r="33847" customFormat="1" x14ac:dyDescent="0.25"/>
    <row r="33848" customFormat="1" x14ac:dyDescent="0.25"/>
    <row r="33849" customFormat="1" x14ac:dyDescent="0.25"/>
    <row r="33850" customFormat="1" x14ac:dyDescent="0.25"/>
    <row r="33851" customFormat="1" x14ac:dyDescent="0.25"/>
    <row r="33852" customFormat="1" x14ac:dyDescent="0.25"/>
    <row r="33853" customFormat="1" x14ac:dyDescent="0.25"/>
    <row r="33854" customFormat="1" x14ac:dyDescent="0.25"/>
    <row r="33855" customFormat="1" x14ac:dyDescent="0.25"/>
    <row r="33856" customFormat="1" x14ac:dyDescent="0.25"/>
    <row r="33857" customFormat="1" x14ac:dyDescent="0.25"/>
    <row r="33858" customFormat="1" x14ac:dyDescent="0.25"/>
    <row r="33859" customFormat="1" x14ac:dyDescent="0.25"/>
    <row r="33860" customFormat="1" x14ac:dyDescent="0.25"/>
    <row r="33861" customFormat="1" x14ac:dyDescent="0.25"/>
    <row r="33862" customFormat="1" x14ac:dyDescent="0.25"/>
    <row r="33863" customFormat="1" x14ac:dyDescent="0.25"/>
    <row r="33864" customFormat="1" x14ac:dyDescent="0.25"/>
    <row r="33865" customFormat="1" x14ac:dyDescent="0.25"/>
    <row r="33866" customFormat="1" x14ac:dyDescent="0.25"/>
    <row r="33867" customFormat="1" x14ac:dyDescent="0.25"/>
    <row r="33868" customFormat="1" x14ac:dyDescent="0.25"/>
    <row r="33869" customFormat="1" x14ac:dyDescent="0.25"/>
    <row r="33870" customFormat="1" x14ac:dyDescent="0.25"/>
    <row r="33871" customFormat="1" x14ac:dyDescent="0.25"/>
    <row r="33872" customFormat="1" x14ac:dyDescent="0.25"/>
    <row r="33873" customFormat="1" x14ac:dyDescent="0.25"/>
    <row r="33874" customFormat="1" x14ac:dyDescent="0.25"/>
    <row r="33875" customFormat="1" x14ac:dyDescent="0.25"/>
    <row r="33876" customFormat="1" x14ac:dyDescent="0.25"/>
    <row r="33877" customFormat="1" x14ac:dyDescent="0.25"/>
    <row r="33878" customFormat="1" x14ac:dyDescent="0.25"/>
    <row r="33879" customFormat="1" x14ac:dyDescent="0.25"/>
    <row r="33880" customFormat="1" x14ac:dyDescent="0.25"/>
    <row r="33881" customFormat="1" x14ac:dyDescent="0.25"/>
    <row r="33882" customFormat="1" x14ac:dyDescent="0.25"/>
    <row r="33883" customFormat="1" x14ac:dyDescent="0.25"/>
    <row r="33884" customFormat="1" x14ac:dyDescent="0.25"/>
    <row r="33885" customFormat="1" x14ac:dyDescent="0.25"/>
    <row r="33886" customFormat="1" x14ac:dyDescent="0.25"/>
    <row r="33887" customFormat="1" x14ac:dyDescent="0.25"/>
    <row r="33888" customFormat="1" x14ac:dyDescent="0.25"/>
    <row r="33889" customFormat="1" x14ac:dyDescent="0.25"/>
    <row r="33890" customFormat="1" x14ac:dyDescent="0.25"/>
    <row r="33891" customFormat="1" x14ac:dyDescent="0.25"/>
    <row r="33892" customFormat="1" x14ac:dyDescent="0.25"/>
    <row r="33893" customFormat="1" x14ac:dyDescent="0.25"/>
    <row r="33894" customFormat="1" x14ac:dyDescent="0.25"/>
    <row r="33895" customFormat="1" x14ac:dyDescent="0.25"/>
    <row r="33896" customFormat="1" x14ac:dyDescent="0.25"/>
    <row r="33897" customFormat="1" x14ac:dyDescent="0.25"/>
    <row r="33898" customFormat="1" x14ac:dyDescent="0.25"/>
    <row r="33899" customFormat="1" x14ac:dyDescent="0.25"/>
    <row r="33900" customFormat="1" x14ac:dyDescent="0.25"/>
    <row r="33901" customFormat="1" x14ac:dyDescent="0.25"/>
    <row r="33902" customFormat="1" x14ac:dyDescent="0.25"/>
    <row r="33903" customFormat="1" x14ac:dyDescent="0.25"/>
    <row r="33904" customFormat="1" x14ac:dyDescent="0.25"/>
    <row r="33905" customFormat="1" x14ac:dyDescent="0.25"/>
    <row r="33906" customFormat="1" x14ac:dyDescent="0.25"/>
    <row r="33907" customFormat="1" x14ac:dyDescent="0.25"/>
    <row r="33908" customFormat="1" x14ac:dyDescent="0.25"/>
    <row r="33909" customFormat="1" x14ac:dyDescent="0.25"/>
    <row r="33910" customFormat="1" x14ac:dyDescent="0.25"/>
    <row r="33911" customFormat="1" x14ac:dyDescent="0.25"/>
    <row r="33912" customFormat="1" x14ac:dyDescent="0.25"/>
    <row r="33913" customFormat="1" x14ac:dyDescent="0.25"/>
    <row r="33914" customFormat="1" x14ac:dyDescent="0.25"/>
    <row r="33915" customFormat="1" x14ac:dyDescent="0.25"/>
    <row r="33916" customFormat="1" x14ac:dyDescent="0.25"/>
    <row r="33917" customFormat="1" x14ac:dyDescent="0.25"/>
    <row r="33918" customFormat="1" x14ac:dyDescent="0.25"/>
    <row r="33919" customFormat="1" x14ac:dyDescent="0.25"/>
    <row r="33920" customFormat="1" x14ac:dyDescent="0.25"/>
    <row r="33921" customFormat="1" x14ac:dyDescent="0.25"/>
    <row r="33922" customFormat="1" x14ac:dyDescent="0.25"/>
    <row r="33923" customFormat="1" x14ac:dyDescent="0.25"/>
    <row r="33924" customFormat="1" x14ac:dyDescent="0.25"/>
    <row r="33925" customFormat="1" x14ac:dyDescent="0.25"/>
    <row r="33926" customFormat="1" x14ac:dyDescent="0.25"/>
    <row r="33927" customFormat="1" x14ac:dyDescent="0.25"/>
    <row r="33928" customFormat="1" x14ac:dyDescent="0.25"/>
    <row r="33929" customFormat="1" x14ac:dyDescent="0.25"/>
    <row r="33930" customFormat="1" x14ac:dyDescent="0.25"/>
    <row r="33931" customFormat="1" x14ac:dyDescent="0.25"/>
    <row r="33932" customFormat="1" x14ac:dyDescent="0.25"/>
    <row r="33933" customFormat="1" x14ac:dyDescent="0.25"/>
    <row r="33934" customFormat="1" x14ac:dyDescent="0.25"/>
    <row r="33935" customFormat="1" x14ac:dyDescent="0.25"/>
    <row r="33936" customFormat="1" x14ac:dyDescent="0.25"/>
    <row r="33937" customFormat="1" x14ac:dyDescent="0.25"/>
    <row r="33938" customFormat="1" x14ac:dyDescent="0.25"/>
    <row r="33939" customFormat="1" x14ac:dyDescent="0.25"/>
    <row r="33940" customFormat="1" x14ac:dyDescent="0.25"/>
    <row r="33941" customFormat="1" x14ac:dyDescent="0.25"/>
    <row r="33942" customFormat="1" x14ac:dyDescent="0.25"/>
    <row r="33943" customFormat="1" x14ac:dyDescent="0.25"/>
    <row r="33944" customFormat="1" x14ac:dyDescent="0.25"/>
    <row r="33945" customFormat="1" x14ac:dyDescent="0.25"/>
    <row r="33946" customFormat="1" x14ac:dyDescent="0.25"/>
    <row r="33947" customFormat="1" x14ac:dyDescent="0.25"/>
    <row r="33948" customFormat="1" x14ac:dyDescent="0.25"/>
    <row r="33949" customFormat="1" x14ac:dyDescent="0.25"/>
    <row r="33950" customFormat="1" x14ac:dyDescent="0.25"/>
    <row r="33951" customFormat="1" x14ac:dyDescent="0.25"/>
    <row r="33952" customFormat="1" x14ac:dyDescent="0.25"/>
    <row r="33953" customFormat="1" x14ac:dyDescent="0.25"/>
    <row r="33954" customFormat="1" x14ac:dyDescent="0.25"/>
    <row r="33955" customFormat="1" x14ac:dyDescent="0.25"/>
    <row r="33956" customFormat="1" x14ac:dyDescent="0.25"/>
    <row r="33957" customFormat="1" x14ac:dyDescent="0.25"/>
    <row r="33958" customFormat="1" x14ac:dyDescent="0.25"/>
    <row r="33959" customFormat="1" x14ac:dyDescent="0.25"/>
    <row r="33960" customFormat="1" x14ac:dyDescent="0.25"/>
    <row r="33961" customFormat="1" x14ac:dyDescent="0.25"/>
    <row r="33962" customFormat="1" x14ac:dyDescent="0.25"/>
    <row r="33963" customFormat="1" x14ac:dyDescent="0.25"/>
    <row r="33964" customFormat="1" x14ac:dyDescent="0.25"/>
    <row r="33965" customFormat="1" x14ac:dyDescent="0.25"/>
    <row r="33966" customFormat="1" x14ac:dyDescent="0.25"/>
    <row r="33967" customFormat="1" x14ac:dyDescent="0.25"/>
    <row r="33968" customFormat="1" x14ac:dyDescent="0.25"/>
    <row r="33969" customFormat="1" x14ac:dyDescent="0.25"/>
    <row r="33970" customFormat="1" x14ac:dyDescent="0.25"/>
    <row r="33971" customFormat="1" x14ac:dyDescent="0.25"/>
    <row r="33972" customFormat="1" x14ac:dyDescent="0.25"/>
    <row r="33973" customFormat="1" x14ac:dyDescent="0.25"/>
    <row r="33974" customFormat="1" x14ac:dyDescent="0.25"/>
    <row r="33975" customFormat="1" x14ac:dyDescent="0.25"/>
    <row r="33976" customFormat="1" x14ac:dyDescent="0.25"/>
    <row r="33977" customFormat="1" x14ac:dyDescent="0.25"/>
    <row r="33978" customFormat="1" x14ac:dyDescent="0.25"/>
    <row r="33979" customFormat="1" x14ac:dyDescent="0.25"/>
    <row r="33980" customFormat="1" x14ac:dyDescent="0.25"/>
    <row r="33981" customFormat="1" x14ac:dyDescent="0.25"/>
    <row r="33982" customFormat="1" x14ac:dyDescent="0.25"/>
    <row r="33983" customFormat="1" x14ac:dyDescent="0.25"/>
    <row r="33984" customFormat="1" x14ac:dyDescent="0.25"/>
    <row r="33985" customFormat="1" x14ac:dyDescent="0.25"/>
    <row r="33986" customFormat="1" x14ac:dyDescent="0.25"/>
    <row r="33987" customFormat="1" x14ac:dyDescent="0.25"/>
    <row r="33988" customFormat="1" x14ac:dyDescent="0.25"/>
    <row r="33989" customFormat="1" x14ac:dyDescent="0.25"/>
    <row r="33990" customFormat="1" x14ac:dyDescent="0.25"/>
    <row r="33991" customFormat="1" x14ac:dyDescent="0.25"/>
    <row r="33992" customFormat="1" x14ac:dyDescent="0.25"/>
    <row r="33993" customFormat="1" x14ac:dyDescent="0.25"/>
    <row r="33994" customFormat="1" x14ac:dyDescent="0.25"/>
    <row r="33995" customFormat="1" x14ac:dyDescent="0.25"/>
    <row r="33996" customFormat="1" x14ac:dyDescent="0.25"/>
    <row r="33997" customFormat="1" x14ac:dyDescent="0.25"/>
    <row r="33998" customFormat="1" x14ac:dyDescent="0.25"/>
    <row r="33999" customFormat="1" x14ac:dyDescent="0.25"/>
    <row r="34000" customFormat="1" x14ac:dyDescent="0.25"/>
    <row r="34001" customFormat="1" x14ac:dyDescent="0.25"/>
    <row r="34002" customFormat="1" x14ac:dyDescent="0.25"/>
    <row r="34003" customFormat="1" x14ac:dyDescent="0.25"/>
    <row r="34004" customFormat="1" x14ac:dyDescent="0.25"/>
    <row r="34005" customFormat="1" x14ac:dyDescent="0.25"/>
    <row r="34006" customFormat="1" x14ac:dyDescent="0.25"/>
    <row r="34007" customFormat="1" x14ac:dyDescent="0.25"/>
    <row r="34008" customFormat="1" x14ac:dyDescent="0.25"/>
    <row r="34009" customFormat="1" x14ac:dyDescent="0.25"/>
    <row r="34010" customFormat="1" x14ac:dyDescent="0.25"/>
    <row r="34011" customFormat="1" x14ac:dyDescent="0.25"/>
    <row r="34012" customFormat="1" x14ac:dyDescent="0.25"/>
    <row r="34013" customFormat="1" x14ac:dyDescent="0.25"/>
    <row r="34014" customFormat="1" x14ac:dyDescent="0.25"/>
    <row r="34015" customFormat="1" x14ac:dyDescent="0.25"/>
    <row r="34016" customFormat="1" x14ac:dyDescent="0.25"/>
    <row r="34017" customFormat="1" x14ac:dyDescent="0.25"/>
    <row r="34018" customFormat="1" x14ac:dyDescent="0.25"/>
    <row r="34019" customFormat="1" x14ac:dyDescent="0.25"/>
    <row r="34020" customFormat="1" x14ac:dyDescent="0.25"/>
    <row r="34021" customFormat="1" x14ac:dyDescent="0.25"/>
    <row r="34022" customFormat="1" x14ac:dyDescent="0.25"/>
    <row r="34023" customFormat="1" x14ac:dyDescent="0.25"/>
    <row r="34024" customFormat="1" x14ac:dyDescent="0.25"/>
    <row r="34025" customFormat="1" x14ac:dyDescent="0.25"/>
    <row r="34026" customFormat="1" x14ac:dyDescent="0.25"/>
    <row r="34027" customFormat="1" x14ac:dyDescent="0.25"/>
    <row r="34028" customFormat="1" x14ac:dyDescent="0.25"/>
    <row r="34029" customFormat="1" x14ac:dyDescent="0.25"/>
    <row r="34030" customFormat="1" x14ac:dyDescent="0.25"/>
    <row r="34031" customFormat="1" x14ac:dyDescent="0.25"/>
    <row r="34032" customFormat="1" x14ac:dyDescent="0.25"/>
    <row r="34033" customFormat="1" x14ac:dyDescent="0.25"/>
    <row r="34034" customFormat="1" x14ac:dyDescent="0.25"/>
    <row r="34035" customFormat="1" x14ac:dyDescent="0.25"/>
    <row r="34036" customFormat="1" x14ac:dyDescent="0.25"/>
    <row r="34037" customFormat="1" x14ac:dyDescent="0.25"/>
    <row r="34038" customFormat="1" x14ac:dyDescent="0.25"/>
    <row r="34039" customFormat="1" x14ac:dyDescent="0.25"/>
    <row r="34040" customFormat="1" x14ac:dyDescent="0.25"/>
    <row r="34041" customFormat="1" x14ac:dyDescent="0.25"/>
    <row r="34042" customFormat="1" x14ac:dyDescent="0.25"/>
    <row r="34043" customFormat="1" x14ac:dyDescent="0.25"/>
    <row r="34044" customFormat="1" x14ac:dyDescent="0.25"/>
    <row r="34045" customFormat="1" x14ac:dyDescent="0.25"/>
    <row r="34046" customFormat="1" x14ac:dyDescent="0.25"/>
    <row r="34047" customFormat="1" x14ac:dyDescent="0.25"/>
    <row r="34048" customFormat="1" x14ac:dyDescent="0.25"/>
    <row r="34049" customFormat="1" x14ac:dyDescent="0.25"/>
    <row r="34050" customFormat="1" x14ac:dyDescent="0.25"/>
    <row r="34051" customFormat="1" x14ac:dyDescent="0.25"/>
    <row r="34052" customFormat="1" x14ac:dyDescent="0.25"/>
    <row r="34053" customFormat="1" x14ac:dyDescent="0.25"/>
    <row r="34054" customFormat="1" x14ac:dyDescent="0.25"/>
    <row r="34055" customFormat="1" x14ac:dyDescent="0.25"/>
    <row r="34056" customFormat="1" x14ac:dyDescent="0.25"/>
    <row r="34057" customFormat="1" x14ac:dyDescent="0.25"/>
    <row r="34058" customFormat="1" x14ac:dyDescent="0.25"/>
    <row r="34059" customFormat="1" x14ac:dyDescent="0.25"/>
    <row r="34060" customFormat="1" x14ac:dyDescent="0.25"/>
    <row r="34061" customFormat="1" x14ac:dyDescent="0.25"/>
    <row r="34062" customFormat="1" x14ac:dyDescent="0.25"/>
    <row r="34063" customFormat="1" x14ac:dyDescent="0.25"/>
    <row r="34064" customFormat="1" x14ac:dyDescent="0.25"/>
    <row r="34065" customFormat="1" x14ac:dyDescent="0.25"/>
    <row r="34066" customFormat="1" x14ac:dyDescent="0.25"/>
    <row r="34067" customFormat="1" x14ac:dyDescent="0.25"/>
    <row r="34068" customFormat="1" x14ac:dyDescent="0.25"/>
    <row r="34069" customFormat="1" x14ac:dyDescent="0.25"/>
    <row r="34070" customFormat="1" x14ac:dyDescent="0.25"/>
    <row r="34071" customFormat="1" x14ac:dyDescent="0.25"/>
    <row r="34072" customFormat="1" x14ac:dyDescent="0.25"/>
    <row r="34073" customFormat="1" x14ac:dyDescent="0.25"/>
    <row r="34074" customFormat="1" x14ac:dyDescent="0.25"/>
    <row r="34075" customFormat="1" x14ac:dyDescent="0.25"/>
    <row r="34076" customFormat="1" x14ac:dyDescent="0.25"/>
    <row r="34077" customFormat="1" x14ac:dyDescent="0.25"/>
    <row r="34078" customFormat="1" x14ac:dyDescent="0.25"/>
    <row r="34079" customFormat="1" x14ac:dyDescent="0.25"/>
    <row r="34080" customFormat="1" x14ac:dyDescent="0.25"/>
    <row r="34081" customFormat="1" x14ac:dyDescent="0.25"/>
    <row r="34082" customFormat="1" x14ac:dyDescent="0.25"/>
    <row r="34083" customFormat="1" x14ac:dyDescent="0.25"/>
    <row r="34084" customFormat="1" x14ac:dyDescent="0.25"/>
    <row r="34085" customFormat="1" x14ac:dyDescent="0.25"/>
    <row r="34086" customFormat="1" x14ac:dyDescent="0.25"/>
    <row r="34087" customFormat="1" x14ac:dyDescent="0.25"/>
    <row r="34088" customFormat="1" x14ac:dyDescent="0.25"/>
    <row r="34089" customFormat="1" x14ac:dyDescent="0.25"/>
    <row r="34090" customFormat="1" x14ac:dyDescent="0.25"/>
    <row r="34091" customFormat="1" x14ac:dyDescent="0.25"/>
    <row r="34092" customFormat="1" x14ac:dyDescent="0.25"/>
    <row r="34093" customFormat="1" x14ac:dyDescent="0.25"/>
    <row r="34094" customFormat="1" x14ac:dyDescent="0.25"/>
    <row r="34095" customFormat="1" x14ac:dyDescent="0.25"/>
    <row r="34096" customFormat="1" x14ac:dyDescent="0.25"/>
    <row r="34097" customFormat="1" x14ac:dyDescent="0.25"/>
    <row r="34098" customFormat="1" x14ac:dyDescent="0.25"/>
    <row r="34099" customFormat="1" x14ac:dyDescent="0.25"/>
    <row r="34100" customFormat="1" x14ac:dyDescent="0.25"/>
    <row r="34101" customFormat="1" x14ac:dyDescent="0.25"/>
    <row r="34102" customFormat="1" x14ac:dyDescent="0.25"/>
    <row r="34103" customFormat="1" x14ac:dyDescent="0.25"/>
    <row r="34104" customFormat="1" x14ac:dyDescent="0.25"/>
    <row r="34105" customFormat="1" x14ac:dyDescent="0.25"/>
    <row r="34106" customFormat="1" x14ac:dyDescent="0.25"/>
    <row r="34107" customFormat="1" x14ac:dyDescent="0.25"/>
    <row r="34108" customFormat="1" x14ac:dyDescent="0.25"/>
    <row r="34109" customFormat="1" x14ac:dyDescent="0.25"/>
    <row r="34110" customFormat="1" x14ac:dyDescent="0.25"/>
    <row r="34111" customFormat="1" x14ac:dyDescent="0.25"/>
    <row r="34112" customFormat="1" x14ac:dyDescent="0.25"/>
    <row r="34113" customFormat="1" x14ac:dyDescent="0.25"/>
    <row r="34114" customFormat="1" x14ac:dyDescent="0.25"/>
    <row r="34115" customFormat="1" x14ac:dyDescent="0.25"/>
    <row r="34116" customFormat="1" x14ac:dyDescent="0.25"/>
    <row r="34117" customFormat="1" x14ac:dyDescent="0.25"/>
    <row r="34118" customFormat="1" x14ac:dyDescent="0.25"/>
    <row r="34119" customFormat="1" x14ac:dyDescent="0.25"/>
    <row r="34120" customFormat="1" x14ac:dyDescent="0.25"/>
    <row r="34121" customFormat="1" x14ac:dyDescent="0.25"/>
    <row r="34122" customFormat="1" x14ac:dyDescent="0.25"/>
    <row r="34123" customFormat="1" x14ac:dyDescent="0.25"/>
    <row r="34124" customFormat="1" x14ac:dyDescent="0.25"/>
    <row r="34125" customFormat="1" x14ac:dyDescent="0.25"/>
    <row r="34126" customFormat="1" x14ac:dyDescent="0.25"/>
    <row r="34127" customFormat="1" x14ac:dyDescent="0.25"/>
    <row r="34128" customFormat="1" x14ac:dyDescent="0.25"/>
    <row r="34129" customFormat="1" x14ac:dyDescent="0.25"/>
    <row r="34130" customFormat="1" x14ac:dyDescent="0.25"/>
    <row r="34131" customFormat="1" x14ac:dyDescent="0.25"/>
    <row r="34132" customFormat="1" x14ac:dyDescent="0.25"/>
    <row r="34133" customFormat="1" x14ac:dyDescent="0.25"/>
    <row r="34134" customFormat="1" x14ac:dyDescent="0.25"/>
    <row r="34135" customFormat="1" x14ac:dyDescent="0.25"/>
    <row r="34136" customFormat="1" x14ac:dyDescent="0.25"/>
    <row r="34137" customFormat="1" x14ac:dyDescent="0.25"/>
    <row r="34138" customFormat="1" x14ac:dyDescent="0.25"/>
    <row r="34139" customFormat="1" x14ac:dyDescent="0.25"/>
    <row r="34140" customFormat="1" x14ac:dyDescent="0.25"/>
    <row r="34141" customFormat="1" x14ac:dyDescent="0.25"/>
    <row r="34142" customFormat="1" x14ac:dyDescent="0.25"/>
    <row r="34143" customFormat="1" x14ac:dyDescent="0.25"/>
    <row r="34144" customFormat="1" x14ac:dyDescent="0.25"/>
    <row r="34145" customFormat="1" x14ac:dyDescent="0.25"/>
    <row r="34146" customFormat="1" x14ac:dyDescent="0.25"/>
    <row r="34147" customFormat="1" x14ac:dyDescent="0.25"/>
    <row r="34148" customFormat="1" x14ac:dyDescent="0.25"/>
    <row r="34149" customFormat="1" x14ac:dyDescent="0.25"/>
    <row r="34150" customFormat="1" x14ac:dyDescent="0.25"/>
    <row r="34151" customFormat="1" x14ac:dyDescent="0.25"/>
    <row r="34152" customFormat="1" x14ac:dyDescent="0.25"/>
    <row r="34153" customFormat="1" x14ac:dyDescent="0.25"/>
    <row r="34154" customFormat="1" x14ac:dyDescent="0.25"/>
    <row r="34155" customFormat="1" x14ac:dyDescent="0.25"/>
    <row r="34156" customFormat="1" x14ac:dyDescent="0.25"/>
    <row r="34157" customFormat="1" x14ac:dyDescent="0.25"/>
    <row r="34158" customFormat="1" x14ac:dyDescent="0.25"/>
    <row r="34159" customFormat="1" x14ac:dyDescent="0.25"/>
    <row r="34160" customFormat="1" x14ac:dyDescent="0.25"/>
    <row r="34161" customFormat="1" x14ac:dyDescent="0.25"/>
    <row r="34162" customFormat="1" x14ac:dyDescent="0.25"/>
    <row r="34163" customFormat="1" x14ac:dyDescent="0.25"/>
    <row r="34164" customFormat="1" x14ac:dyDescent="0.25"/>
    <row r="34165" customFormat="1" x14ac:dyDescent="0.25"/>
    <row r="34166" customFormat="1" x14ac:dyDescent="0.25"/>
    <row r="34167" customFormat="1" x14ac:dyDescent="0.25"/>
    <row r="34168" customFormat="1" x14ac:dyDescent="0.25"/>
    <row r="34169" customFormat="1" x14ac:dyDescent="0.25"/>
    <row r="34170" customFormat="1" x14ac:dyDescent="0.25"/>
    <row r="34171" customFormat="1" x14ac:dyDescent="0.25"/>
    <row r="34172" customFormat="1" x14ac:dyDescent="0.25"/>
    <row r="34173" customFormat="1" x14ac:dyDescent="0.25"/>
    <row r="34174" customFormat="1" x14ac:dyDescent="0.25"/>
    <row r="34175" customFormat="1" x14ac:dyDescent="0.25"/>
    <row r="34176" customFormat="1" x14ac:dyDescent="0.25"/>
    <row r="34177" customFormat="1" x14ac:dyDescent="0.25"/>
    <row r="34178" customFormat="1" x14ac:dyDescent="0.25"/>
    <row r="34179" customFormat="1" x14ac:dyDescent="0.25"/>
    <row r="34180" customFormat="1" x14ac:dyDescent="0.25"/>
    <row r="34181" customFormat="1" x14ac:dyDescent="0.25"/>
    <row r="34182" customFormat="1" x14ac:dyDescent="0.25"/>
    <row r="34183" customFormat="1" x14ac:dyDescent="0.25"/>
    <row r="34184" customFormat="1" x14ac:dyDescent="0.25"/>
    <row r="34185" customFormat="1" x14ac:dyDescent="0.25"/>
    <row r="34186" customFormat="1" x14ac:dyDescent="0.25"/>
    <row r="34187" customFormat="1" x14ac:dyDescent="0.25"/>
    <row r="34188" customFormat="1" x14ac:dyDescent="0.25"/>
    <row r="34189" customFormat="1" x14ac:dyDescent="0.25"/>
    <row r="34190" customFormat="1" x14ac:dyDescent="0.25"/>
    <row r="34191" customFormat="1" x14ac:dyDescent="0.25"/>
    <row r="34192" customFormat="1" x14ac:dyDescent="0.25"/>
    <row r="34193" customFormat="1" x14ac:dyDescent="0.25"/>
    <row r="34194" customFormat="1" x14ac:dyDescent="0.25"/>
    <row r="34195" customFormat="1" x14ac:dyDescent="0.25"/>
    <row r="34196" customFormat="1" x14ac:dyDescent="0.25"/>
    <row r="34197" customFormat="1" x14ac:dyDescent="0.25"/>
    <row r="34198" customFormat="1" x14ac:dyDescent="0.25"/>
    <row r="34199" customFormat="1" x14ac:dyDescent="0.25"/>
    <row r="34200" customFormat="1" x14ac:dyDescent="0.25"/>
    <row r="34201" customFormat="1" x14ac:dyDescent="0.25"/>
    <row r="34202" customFormat="1" x14ac:dyDescent="0.25"/>
    <row r="34203" customFormat="1" x14ac:dyDescent="0.25"/>
    <row r="34204" customFormat="1" x14ac:dyDescent="0.25"/>
    <row r="34205" customFormat="1" x14ac:dyDescent="0.25"/>
    <row r="34206" customFormat="1" x14ac:dyDescent="0.25"/>
    <row r="34207" customFormat="1" x14ac:dyDescent="0.25"/>
    <row r="34208" customFormat="1" x14ac:dyDescent="0.25"/>
    <row r="34209" customFormat="1" x14ac:dyDescent="0.25"/>
    <row r="34210" customFormat="1" x14ac:dyDescent="0.25"/>
    <row r="34211" customFormat="1" x14ac:dyDescent="0.25"/>
    <row r="34212" customFormat="1" x14ac:dyDescent="0.25"/>
    <row r="34213" customFormat="1" x14ac:dyDescent="0.25"/>
    <row r="34214" customFormat="1" x14ac:dyDescent="0.25"/>
    <row r="34215" customFormat="1" x14ac:dyDescent="0.25"/>
    <row r="34216" customFormat="1" x14ac:dyDescent="0.25"/>
    <row r="34217" customFormat="1" x14ac:dyDescent="0.25"/>
    <row r="34218" customFormat="1" x14ac:dyDescent="0.25"/>
    <row r="34219" customFormat="1" x14ac:dyDescent="0.25"/>
    <row r="34220" customFormat="1" x14ac:dyDescent="0.25"/>
    <row r="34221" customFormat="1" x14ac:dyDescent="0.25"/>
    <row r="34222" customFormat="1" x14ac:dyDescent="0.25"/>
    <row r="34223" customFormat="1" x14ac:dyDescent="0.25"/>
    <row r="34224" customFormat="1" x14ac:dyDescent="0.25"/>
    <row r="34225" customFormat="1" x14ac:dyDescent="0.25"/>
    <row r="34226" customFormat="1" x14ac:dyDescent="0.25"/>
    <row r="34227" customFormat="1" x14ac:dyDescent="0.25"/>
    <row r="34228" customFormat="1" x14ac:dyDescent="0.25"/>
    <row r="34229" customFormat="1" x14ac:dyDescent="0.25"/>
    <row r="34230" customFormat="1" x14ac:dyDescent="0.25"/>
    <row r="34231" customFormat="1" x14ac:dyDescent="0.25"/>
    <row r="34232" customFormat="1" x14ac:dyDescent="0.25"/>
    <row r="34233" customFormat="1" x14ac:dyDescent="0.25"/>
    <row r="34234" customFormat="1" x14ac:dyDescent="0.25"/>
    <row r="34235" customFormat="1" x14ac:dyDescent="0.25"/>
    <row r="34236" customFormat="1" x14ac:dyDescent="0.25"/>
    <row r="34237" customFormat="1" x14ac:dyDescent="0.25"/>
    <row r="34238" customFormat="1" x14ac:dyDescent="0.25"/>
    <row r="34239" customFormat="1" x14ac:dyDescent="0.25"/>
    <row r="34240" customFormat="1" x14ac:dyDescent="0.25"/>
    <row r="34241" customFormat="1" x14ac:dyDescent="0.25"/>
    <row r="34242" customFormat="1" x14ac:dyDescent="0.25"/>
    <row r="34243" customFormat="1" x14ac:dyDescent="0.25"/>
    <row r="34244" customFormat="1" x14ac:dyDescent="0.25"/>
    <row r="34245" customFormat="1" x14ac:dyDescent="0.25"/>
    <row r="34246" customFormat="1" x14ac:dyDescent="0.25"/>
    <row r="34247" customFormat="1" x14ac:dyDescent="0.25"/>
    <row r="34248" customFormat="1" x14ac:dyDescent="0.25"/>
    <row r="34249" customFormat="1" x14ac:dyDescent="0.25"/>
    <row r="34250" customFormat="1" x14ac:dyDescent="0.25"/>
    <row r="34251" customFormat="1" x14ac:dyDescent="0.25"/>
    <row r="34252" customFormat="1" x14ac:dyDescent="0.25"/>
    <row r="34253" customFormat="1" x14ac:dyDescent="0.25"/>
    <row r="34254" customFormat="1" x14ac:dyDescent="0.25"/>
    <row r="34255" customFormat="1" x14ac:dyDescent="0.25"/>
    <row r="34256" customFormat="1" x14ac:dyDescent="0.25"/>
    <row r="34257" customFormat="1" x14ac:dyDescent="0.25"/>
    <row r="34258" customFormat="1" x14ac:dyDescent="0.25"/>
    <row r="34259" customFormat="1" x14ac:dyDescent="0.25"/>
    <row r="34260" customFormat="1" x14ac:dyDescent="0.25"/>
    <row r="34261" customFormat="1" x14ac:dyDescent="0.25"/>
    <row r="34262" customFormat="1" x14ac:dyDescent="0.25"/>
    <row r="34263" customFormat="1" x14ac:dyDescent="0.25"/>
    <row r="34264" customFormat="1" x14ac:dyDescent="0.25"/>
    <row r="34265" customFormat="1" x14ac:dyDescent="0.25"/>
    <row r="34266" customFormat="1" x14ac:dyDescent="0.25"/>
    <row r="34267" customFormat="1" x14ac:dyDescent="0.25"/>
    <row r="34268" customFormat="1" x14ac:dyDescent="0.25"/>
    <row r="34269" customFormat="1" x14ac:dyDescent="0.25"/>
    <row r="34270" customFormat="1" x14ac:dyDescent="0.25"/>
    <row r="34271" customFormat="1" x14ac:dyDescent="0.25"/>
    <row r="34272" customFormat="1" x14ac:dyDescent="0.25"/>
    <row r="34273" customFormat="1" x14ac:dyDescent="0.25"/>
    <row r="34274" customFormat="1" x14ac:dyDescent="0.25"/>
    <row r="34275" customFormat="1" x14ac:dyDescent="0.25"/>
    <row r="34276" customFormat="1" x14ac:dyDescent="0.25"/>
    <row r="34277" customFormat="1" x14ac:dyDescent="0.25"/>
    <row r="34278" customFormat="1" x14ac:dyDescent="0.25"/>
    <row r="34279" customFormat="1" x14ac:dyDescent="0.25"/>
    <row r="34280" customFormat="1" x14ac:dyDescent="0.25"/>
    <row r="34281" customFormat="1" x14ac:dyDescent="0.25"/>
    <row r="34282" customFormat="1" x14ac:dyDescent="0.25"/>
    <row r="34283" customFormat="1" x14ac:dyDescent="0.25"/>
    <row r="34284" customFormat="1" x14ac:dyDescent="0.25"/>
    <row r="34285" customFormat="1" x14ac:dyDescent="0.25"/>
    <row r="34286" customFormat="1" x14ac:dyDescent="0.25"/>
    <row r="34287" customFormat="1" x14ac:dyDescent="0.25"/>
    <row r="34288" customFormat="1" x14ac:dyDescent="0.25"/>
    <row r="34289" customFormat="1" x14ac:dyDescent="0.25"/>
    <row r="34290" customFormat="1" x14ac:dyDescent="0.25"/>
    <row r="34291" customFormat="1" x14ac:dyDescent="0.25"/>
    <row r="34292" customFormat="1" x14ac:dyDescent="0.25"/>
    <row r="34293" customFormat="1" x14ac:dyDescent="0.25"/>
    <row r="34294" customFormat="1" x14ac:dyDescent="0.25"/>
    <row r="34295" customFormat="1" x14ac:dyDescent="0.25"/>
    <row r="34296" customFormat="1" x14ac:dyDescent="0.25"/>
    <row r="34297" customFormat="1" x14ac:dyDescent="0.25"/>
    <row r="34298" customFormat="1" x14ac:dyDescent="0.25"/>
    <row r="34299" customFormat="1" x14ac:dyDescent="0.25"/>
    <row r="34300" customFormat="1" x14ac:dyDescent="0.25"/>
    <row r="34301" customFormat="1" x14ac:dyDescent="0.25"/>
    <row r="34302" customFormat="1" x14ac:dyDescent="0.25"/>
    <row r="34303" customFormat="1" x14ac:dyDescent="0.25"/>
    <row r="34304" customFormat="1" x14ac:dyDescent="0.25"/>
    <row r="34305" customFormat="1" x14ac:dyDescent="0.25"/>
    <row r="34306" customFormat="1" x14ac:dyDescent="0.25"/>
    <row r="34307" customFormat="1" x14ac:dyDescent="0.25"/>
    <row r="34308" customFormat="1" x14ac:dyDescent="0.25"/>
    <row r="34309" customFormat="1" x14ac:dyDescent="0.25"/>
    <row r="34310" customFormat="1" x14ac:dyDescent="0.25"/>
    <row r="34311" customFormat="1" x14ac:dyDescent="0.25"/>
    <row r="34312" customFormat="1" x14ac:dyDescent="0.25"/>
    <row r="34313" customFormat="1" x14ac:dyDescent="0.25"/>
    <row r="34314" customFormat="1" x14ac:dyDescent="0.25"/>
    <row r="34315" customFormat="1" x14ac:dyDescent="0.25"/>
    <row r="34316" customFormat="1" x14ac:dyDescent="0.25"/>
    <row r="34317" customFormat="1" x14ac:dyDescent="0.25"/>
    <row r="34318" customFormat="1" x14ac:dyDescent="0.25"/>
    <row r="34319" customFormat="1" x14ac:dyDescent="0.25"/>
    <row r="34320" customFormat="1" x14ac:dyDescent="0.25"/>
    <row r="34321" customFormat="1" x14ac:dyDescent="0.25"/>
    <row r="34322" customFormat="1" x14ac:dyDescent="0.25"/>
    <row r="34323" customFormat="1" x14ac:dyDescent="0.25"/>
    <row r="34324" customFormat="1" x14ac:dyDescent="0.25"/>
    <row r="34325" customFormat="1" x14ac:dyDescent="0.25"/>
    <row r="34326" customFormat="1" x14ac:dyDescent="0.25"/>
    <row r="34327" customFormat="1" x14ac:dyDescent="0.25"/>
    <row r="34328" customFormat="1" x14ac:dyDescent="0.25"/>
    <row r="34329" customFormat="1" x14ac:dyDescent="0.25"/>
    <row r="34330" customFormat="1" x14ac:dyDescent="0.25"/>
    <row r="34331" customFormat="1" x14ac:dyDescent="0.25"/>
    <row r="34332" customFormat="1" x14ac:dyDescent="0.25"/>
    <row r="34333" customFormat="1" x14ac:dyDescent="0.25"/>
    <row r="34334" customFormat="1" x14ac:dyDescent="0.25"/>
    <row r="34335" customFormat="1" x14ac:dyDescent="0.25"/>
    <row r="34336" customFormat="1" x14ac:dyDescent="0.25"/>
    <row r="34337" customFormat="1" x14ac:dyDescent="0.25"/>
    <row r="34338" customFormat="1" x14ac:dyDescent="0.25"/>
    <row r="34339" customFormat="1" x14ac:dyDescent="0.25"/>
    <row r="34340" customFormat="1" x14ac:dyDescent="0.25"/>
    <row r="34341" customFormat="1" x14ac:dyDescent="0.25"/>
    <row r="34342" customFormat="1" x14ac:dyDescent="0.25"/>
    <row r="34343" customFormat="1" x14ac:dyDescent="0.25"/>
    <row r="34344" customFormat="1" x14ac:dyDescent="0.25"/>
    <row r="34345" customFormat="1" x14ac:dyDescent="0.25"/>
    <row r="34346" customFormat="1" x14ac:dyDescent="0.25"/>
    <row r="34347" customFormat="1" x14ac:dyDescent="0.25"/>
    <row r="34348" customFormat="1" x14ac:dyDescent="0.25"/>
    <row r="34349" customFormat="1" x14ac:dyDescent="0.25"/>
    <row r="34350" customFormat="1" x14ac:dyDescent="0.25"/>
    <row r="34351" customFormat="1" x14ac:dyDescent="0.25"/>
    <row r="34352" customFormat="1" x14ac:dyDescent="0.25"/>
    <row r="34353" customFormat="1" x14ac:dyDescent="0.25"/>
    <row r="34354" customFormat="1" x14ac:dyDescent="0.25"/>
    <row r="34355" customFormat="1" x14ac:dyDescent="0.25"/>
    <row r="34356" customFormat="1" x14ac:dyDescent="0.25"/>
    <row r="34357" customFormat="1" x14ac:dyDescent="0.25"/>
    <row r="34358" customFormat="1" x14ac:dyDescent="0.25"/>
    <row r="34359" customFormat="1" x14ac:dyDescent="0.25"/>
    <row r="34360" customFormat="1" x14ac:dyDescent="0.25"/>
    <row r="34361" customFormat="1" x14ac:dyDescent="0.25"/>
    <row r="34362" customFormat="1" x14ac:dyDescent="0.25"/>
    <row r="34363" customFormat="1" x14ac:dyDescent="0.25"/>
    <row r="34364" customFormat="1" x14ac:dyDescent="0.25"/>
    <row r="34365" customFormat="1" x14ac:dyDescent="0.25"/>
    <row r="34366" customFormat="1" x14ac:dyDescent="0.25"/>
    <row r="34367" customFormat="1" x14ac:dyDescent="0.25"/>
    <row r="34368" customFormat="1" x14ac:dyDescent="0.25"/>
    <row r="34369" customFormat="1" x14ac:dyDescent="0.25"/>
    <row r="34370" customFormat="1" x14ac:dyDescent="0.25"/>
    <row r="34371" customFormat="1" x14ac:dyDescent="0.25"/>
    <row r="34372" customFormat="1" x14ac:dyDescent="0.25"/>
    <row r="34373" customFormat="1" x14ac:dyDescent="0.25"/>
    <row r="34374" customFormat="1" x14ac:dyDescent="0.25"/>
    <row r="34375" customFormat="1" x14ac:dyDescent="0.25"/>
    <row r="34376" customFormat="1" x14ac:dyDescent="0.25"/>
    <row r="34377" customFormat="1" x14ac:dyDescent="0.25"/>
    <row r="34378" customFormat="1" x14ac:dyDescent="0.25"/>
    <row r="34379" customFormat="1" x14ac:dyDescent="0.25"/>
    <row r="34380" customFormat="1" x14ac:dyDescent="0.25"/>
    <row r="34381" customFormat="1" x14ac:dyDescent="0.25"/>
    <row r="34382" customFormat="1" x14ac:dyDescent="0.25"/>
    <row r="34383" customFormat="1" x14ac:dyDescent="0.25"/>
    <row r="34384" customFormat="1" x14ac:dyDescent="0.25"/>
    <row r="34385" customFormat="1" x14ac:dyDescent="0.25"/>
    <row r="34386" customFormat="1" x14ac:dyDescent="0.25"/>
    <row r="34387" customFormat="1" x14ac:dyDescent="0.25"/>
    <row r="34388" customFormat="1" x14ac:dyDescent="0.25"/>
    <row r="34389" customFormat="1" x14ac:dyDescent="0.25"/>
    <row r="34390" customFormat="1" x14ac:dyDescent="0.25"/>
    <row r="34391" customFormat="1" x14ac:dyDescent="0.25"/>
    <row r="34392" customFormat="1" x14ac:dyDescent="0.25"/>
    <row r="34393" customFormat="1" x14ac:dyDescent="0.25"/>
    <row r="34394" customFormat="1" x14ac:dyDescent="0.25"/>
    <row r="34395" customFormat="1" x14ac:dyDescent="0.25"/>
    <row r="34396" customFormat="1" x14ac:dyDescent="0.25"/>
    <row r="34397" customFormat="1" x14ac:dyDescent="0.25"/>
    <row r="34398" customFormat="1" x14ac:dyDescent="0.25"/>
    <row r="34399" customFormat="1" x14ac:dyDescent="0.25"/>
    <row r="34400" customFormat="1" x14ac:dyDescent="0.25"/>
    <row r="34401" customFormat="1" x14ac:dyDescent="0.25"/>
    <row r="34402" customFormat="1" x14ac:dyDescent="0.25"/>
    <row r="34403" customFormat="1" x14ac:dyDescent="0.25"/>
    <row r="34404" customFormat="1" x14ac:dyDescent="0.25"/>
    <row r="34405" customFormat="1" x14ac:dyDescent="0.25"/>
    <row r="34406" customFormat="1" x14ac:dyDescent="0.25"/>
    <row r="34407" customFormat="1" x14ac:dyDescent="0.25"/>
    <row r="34408" customFormat="1" x14ac:dyDescent="0.25"/>
    <row r="34409" customFormat="1" x14ac:dyDescent="0.25"/>
    <row r="34410" customFormat="1" x14ac:dyDescent="0.25"/>
    <row r="34411" customFormat="1" x14ac:dyDescent="0.25"/>
    <row r="34412" customFormat="1" x14ac:dyDescent="0.25"/>
    <row r="34413" customFormat="1" x14ac:dyDescent="0.25"/>
    <row r="34414" customFormat="1" x14ac:dyDescent="0.25"/>
    <row r="34415" customFormat="1" x14ac:dyDescent="0.25"/>
    <row r="34416" customFormat="1" x14ac:dyDescent="0.25"/>
    <row r="34417" customFormat="1" x14ac:dyDescent="0.25"/>
    <row r="34418" customFormat="1" x14ac:dyDescent="0.25"/>
    <row r="34419" customFormat="1" x14ac:dyDescent="0.25"/>
    <row r="34420" customFormat="1" x14ac:dyDescent="0.25"/>
    <row r="34421" customFormat="1" x14ac:dyDescent="0.25"/>
    <row r="34422" customFormat="1" x14ac:dyDescent="0.25"/>
    <row r="34423" customFormat="1" x14ac:dyDescent="0.25"/>
    <row r="34424" customFormat="1" x14ac:dyDescent="0.25"/>
    <row r="34425" customFormat="1" x14ac:dyDescent="0.25"/>
    <row r="34426" customFormat="1" x14ac:dyDescent="0.25"/>
    <row r="34427" customFormat="1" x14ac:dyDescent="0.25"/>
    <row r="34428" customFormat="1" x14ac:dyDescent="0.25"/>
    <row r="34429" customFormat="1" x14ac:dyDescent="0.25"/>
    <row r="34430" customFormat="1" x14ac:dyDescent="0.25"/>
    <row r="34431" customFormat="1" x14ac:dyDescent="0.25"/>
    <row r="34432" customFormat="1" x14ac:dyDescent="0.25"/>
    <row r="34433" customFormat="1" x14ac:dyDescent="0.25"/>
    <row r="34434" customFormat="1" x14ac:dyDescent="0.25"/>
    <row r="34435" customFormat="1" x14ac:dyDescent="0.25"/>
    <row r="34436" customFormat="1" x14ac:dyDescent="0.25"/>
    <row r="34437" customFormat="1" x14ac:dyDescent="0.25"/>
    <row r="34438" customFormat="1" x14ac:dyDescent="0.25"/>
    <row r="34439" customFormat="1" x14ac:dyDescent="0.25"/>
    <row r="34440" customFormat="1" x14ac:dyDescent="0.25"/>
    <row r="34441" customFormat="1" x14ac:dyDescent="0.25"/>
    <row r="34442" customFormat="1" x14ac:dyDescent="0.25"/>
    <row r="34443" customFormat="1" x14ac:dyDescent="0.25"/>
    <row r="34444" customFormat="1" x14ac:dyDescent="0.25"/>
    <row r="34445" customFormat="1" x14ac:dyDescent="0.25"/>
    <row r="34446" customFormat="1" x14ac:dyDescent="0.25"/>
    <row r="34447" customFormat="1" x14ac:dyDescent="0.25"/>
    <row r="34448" customFormat="1" x14ac:dyDescent="0.25"/>
    <row r="34449" customFormat="1" x14ac:dyDescent="0.25"/>
    <row r="34450" customFormat="1" x14ac:dyDescent="0.25"/>
    <row r="34451" customFormat="1" x14ac:dyDescent="0.25"/>
    <row r="34452" customFormat="1" x14ac:dyDescent="0.25"/>
    <row r="34453" customFormat="1" x14ac:dyDescent="0.25"/>
    <row r="34454" customFormat="1" x14ac:dyDescent="0.25"/>
    <row r="34455" customFormat="1" x14ac:dyDescent="0.25"/>
    <row r="34456" customFormat="1" x14ac:dyDescent="0.25"/>
    <row r="34457" customFormat="1" x14ac:dyDescent="0.25"/>
    <row r="34458" customFormat="1" x14ac:dyDescent="0.25"/>
    <row r="34459" customFormat="1" x14ac:dyDescent="0.25"/>
    <row r="34460" customFormat="1" x14ac:dyDescent="0.25"/>
    <row r="34461" customFormat="1" x14ac:dyDescent="0.25"/>
    <row r="34462" customFormat="1" x14ac:dyDescent="0.25"/>
    <row r="34463" customFormat="1" x14ac:dyDescent="0.25"/>
    <row r="34464" customFormat="1" x14ac:dyDescent="0.25"/>
    <row r="34465" customFormat="1" x14ac:dyDescent="0.25"/>
    <row r="34466" customFormat="1" x14ac:dyDescent="0.25"/>
    <row r="34467" customFormat="1" x14ac:dyDescent="0.25"/>
    <row r="34468" customFormat="1" x14ac:dyDescent="0.25"/>
    <row r="34469" customFormat="1" x14ac:dyDescent="0.25"/>
    <row r="34470" customFormat="1" x14ac:dyDescent="0.25"/>
    <row r="34471" customFormat="1" x14ac:dyDescent="0.25"/>
    <row r="34472" customFormat="1" x14ac:dyDescent="0.25"/>
    <row r="34473" customFormat="1" x14ac:dyDescent="0.25"/>
    <row r="34474" customFormat="1" x14ac:dyDescent="0.25"/>
    <row r="34475" customFormat="1" x14ac:dyDescent="0.25"/>
    <row r="34476" customFormat="1" x14ac:dyDescent="0.25"/>
    <row r="34477" customFormat="1" x14ac:dyDescent="0.25"/>
    <row r="34478" customFormat="1" x14ac:dyDescent="0.25"/>
    <row r="34479" customFormat="1" x14ac:dyDescent="0.25"/>
    <row r="34480" customFormat="1" x14ac:dyDescent="0.25"/>
    <row r="34481" customFormat="1" x14ac:dyDescent="0.25"/>
    <row r="34482" customFormat="1" x14ac:dyDescent="0.25"/>
    <row r="34483" customFormat="1" x14ac:dyDescent="0.25"/>
    <row r="34484" customFormat="1" x14ac:dyDescent="0.25"/>
    <row r="34485" customFormat="1" x14ac:dyDescent="0.25"/>
    <row r="34486" customFormat="1" x14ac:dyDescent="0.25"/>
    <row r="34487" customFormat="1" x14ac:dyDescent="0.25"/>
    <row r="34488" customFormat="1" x14ac:dyDescent="0.25"/>
    <row r="34489" customFormat="1" x14ac:dyDescent="0.25"/>
    <row r="34490" customFormat="1" x14ac:dyDescent="0.25"/>
    <row r="34491" customFormat="1" x14ac:dyDescent="0.25"/>
    <row r="34492" customFormat="1" x14ac:dyDescent="0.25"/>
    <row r="34493" customFormat="1" x14ac:dyDescent="0.25"/>
    <row r="34494" customFormat="1" x14ac:dyDescent="0.25"/>
    <row r="34495" customFormat="1" x14ac:dyDescent="0.25"/>
    <row r="34496" customFormat="1" x14ac:dyDescent="0.25"/>
    <row r="34497" customFormat="1" x14ac:dyDescent="0.25"/>
    <row r="34498" customFormat="1" x14ac:dyDescent="0.25"/>
    <row r="34499" customFormat="1" x14ac:dyDescent="0.25"/>
    <row r="34500" customFormat="1" x14ac:dyDescent="0.25"/>
    <row r="34501" customFormat="1" x14ac:dyDescent="0.25"/>
    <row r="34502" customFormat="1" x14ac:dyDescent="0.25"/>
    <row r="34503" customFormat="1" x14ac:dyDescent="0.25"/>
    <row r="34504" customFormat="1" x14ac:dyDescent="0.25"/>
    <row r="34505" customFormat="1" x14ac:dyDescent="0.25"/>
    <row r="34506" customFormat="1" x14ac:dyDescent="0.25"/>
    <row r="34507" customFormat="1" x14ac:dyDescent="0.25"/>
    <row r="34508" customFormat="1" x14ac:dyDescent="0.25"/>
    <row r="34509" customFormat="1" x14ac:dyDescent="0.25"/>
    <row r="34510" customFormat="1" x14ac:dyDescent="0.25"/>
    <row r="34511" customFormat="1" x14ac:dyDescent="0.25"/>
    <row r="34512" customFormat="1" x14ac:dyDescent="0.25"/>
    <row r="34513" customFormat="1" x14ac:dyDescent="0.25"/>
    <row r="34514" customFormat="1" x14ac:dyDescent="0.25"/>
    <row r="34515" customFormat="1" x14ac:dyDescent="0.25"/>
    <row r="34516" customFormat="1" x14ac:dyDescent="0.25"/>
    <row r="34517" customFormat="1" x14ac:dyDescent="0.25"/>
    <row r="34518" customFormat="1" x14ac:dyDescent="0.25"/>
    <row r="34519" customFormat="1" x14ac:dyDescent="0.25"/>
    <row r="34520" customFormat="1" x14ac:dyDescent="0.25"/>
    <row r="34521" customFormat="1" x14ac:dyDescent="0.25"/>
    <row r="34522" customFormat="1" x14ac:dyDescent="0.25"/>
    <row r="34523" customFormat="1" x14ac:dyDescent="0.25"/>
    <row r="34524" customFormat="1" x14ac:dyDescent="0.25"/>
    <row r="34525" customFormat="1" x14ac:dyDescent="0.25"/>
    <row r="34526" customFormat="1" x14ac:dyDescent="0.25"/>
    <row r="34527" customFormat="1" x14ac:dyDescent="0.25"/>
    <row r="34528" customFormat="1" x14ac:dyDescent="0.25"/>
    <row r="34529" customFormat="1" x14ac:dyDescent="0.25"/>
    <row r="34530" customFormat="1" x14ac:dyDescent="0.25"/>
    <row r="34531" customFormat="1" x14ac:dyDescent="0.25"/>
    <row r="34532" customFormat="1" x14ac:dyDescent="0.25"/>
    <row r="34533" customFormat="1" x14ac:dyDescent="0.25"/>
    <row r="34534" customFormat="1" x14ac:dyDescent="0.25"/>
    <row r="34535" customFormat="1" x14ac:dyDescent="0.25"/>
    <row r="34536" customFormat="1" x14ac:dyDescent="0.25"/>
    <row r="34537" customFormat="1" x14ac:dyDescent="0.25"/>
    <row r="34538" customFormat="1" x14ac:dyDescent="0.25"/>
    <row r="34539" customFormat="1" x14ac:dyDescent="0.25"/>
    <row r="34540" customFormat="1" x14ac:dyDescent="0.25"/>
    <row r="34541" customFormat="1" x14ac:dyDescent="0.25"/>
    <row r="34542" customFormat="1" x14ac:dyDescent="0.25"/>
    <row r="34543" customFormat="1" x14ac:dyDescent="0.25"/>
    <row r="34544" customFormat="1" x14ac:dyDescent="0.25"/>
    <row r="34545" customFormat="1" x14ac:dyDescent="0.25"/>
    <row r="34546" customFormat="1" x14ac:dyDescent="0.25"/>
    <row r="34547" customFormat="1" x14ac:dyDescent="0.25"/>
    <row r="34548" customFormat="1" x14ac:dyDescent="0.25"/>
    <row r="34549" customFormat="1" x14ac:dyDescent="0.25"/>
    <row r="34550" customFormat="1" x14ac:dyDescent="0.25"/>
    <row r="34551" customFormat="1" x14ac:dyDescent="0.25"/>
    <row r="34552" customFormat="1" x14ac:dyDescent="0.25"/>
    <row r="34553" customFormat="1" x14ac:dyDescent="0.25"/>
    <row r="34554" customFormat="1" x14ac:dyDescent="0.25"/>
    <row r="34555" customFormat="1" x14ac:dyDescent="0.25"/>
    <row r="34556" customFormat="1" x14ac:dyDescent="0.25"/>
    <row r="34557" customFormat="1" x14ac:dyDescent="0.25"/>
    <row r="34558" customFormat="1" x14ac:dyDescent="0.25"/>
    <row r="34559" customFormat="1" x14ac:dyDescent="0.25"/>
    <row r="34560" customFormat="1" x14ac:dyDescent="0.25"/>
    <row r="34561" customFormat="1" x14ac:dyDescent="0.25"/>
    <row r="34562" customFormat="1" x14ac:dyDescent="0.25"/>
    <row r="34563" customFormat="1" x14ac:dyDescent="0.25"/>
    <row r="34564" customFormat="1" x14ac:dyDescent="0.25"/>
    <row r="34565" customFormat="1" x14ac:dyDescent="0.25"/>
    <row r="34566" customFormat="1" x14ac:dyDescent="0.25"/>
    <row r="34567" customFormat="1" x14ac:dyDescent="0.25"/>
    <row r="34568" customFormat="1" x14ac:dyDescent="0.25"/>
    <row r="34569" customFormat="1" x14ac:dyDescent="0.25"/>
    <row r="34570" customFormat="1" x14ac:dyDescent="0.25"/>
    <row r="34571" customFormat="1" x14ac:dyDescent="0.25"/>
    <row r="34572" customFormat="1" x14ac:dyDescent="0.25"/>
    <row r="34573" customFormat="1" x14ac:dyDescent="0.25"/>
    <row r="34574" customFormat="1" x14ac:dyDescent="0.25"/>
    <row r="34575" customFormat="1" x14ac:dyDescent="0.25"/>
    <row r="34576" customFormat="1" x14ac:dyDescent="0.25"/>
    <row r="34577" customFormat="1" x14ac:dyDescent="0.25"/>
    <row r="34578" customFormat="1" x14ac:dyDescent="0.25"/>
    <row r="34579" customFormat="1" x14ac:dyDescent="0.25"/>
    <row r="34580" customFormat="1" x14ac:dyDescent="0.25"/>
    <row r="34581" customFormat="1" x14ac:dyDescent="0.25"/>
    <row r="34582" customFormat="1" x14ac:dyDescent="0.25"/>
    <row r="34583" customFormat="1" x14ac:dyDescent="0.25"/>
    <row r="34584" customFormat="1" x14ac:dyDescent="0.25"/>
    <row r="34585" customFormat="1" x14ac:dyDescent="0.25"/>
    <row r="34586" customFormat="1" x14ac:dyDescent="0.25"/>
    <row r="34587" customFormat="1" x14ac:dyDescent="0.25"/>
    <row r="34588" customFormat="1" x14ac:dyDescent="0.25"/>
    <row r="34589" customFormat="1" x14ac:dyDescent="0.25"/>
    <row r="34590" customFormat="1" x14ac:dyDescent="0.25"/>
    <row r="34591" customFormat="1" x14ac:dyDescent="0.25"/>
    <row r="34592" customFormat="1" x14ac:dyDescent="0.25"/>
    <row r="34593" customFormat="1" x14ac:dyDescent="0.25"/>
    <row r="34594" customFormat="1" x14ac:dyDescent="0.25"/>
    <row r="34595" customFormat="1" x14ac:dyDescent="0.25"/>
    <row r="34596" customFormat="1" x14ac:dyDescent="0.25"/>
    <row r="34597" customFormat="1" x14ac:dyDescent="0.25"/>
    <row r="34598" customFormat="1" x14ac:dyDescent="0.25"/>
    <row r="34599" customFormat="1" x14ac:dyDescent="0.25"/>
    <row r="34600" customFormat="1" x14ac:dyDescent="0.25"/>
    <row r="34601" customFormat="1" x14ac:dyDescent="0.25"/>
    <row r="34602" customFormat="1" x14ac:dyDescent="0.25"/>
    <row r="34603" customFormat="1" x14ac:dyDescent="0.25"/>
    <row r="34604" customFormat="1" x14ac:dyDescent="0.25"/>
    <row r="34605" customFormat="1" x14ac:dyDescent="0.25"/>
    <row r="34606" customFormat="1" x14ac:dyDescent="0.25"/>
    <row r="34607" customFormat="1" x14ac:dyDescent="0.25"/>
    <row r="34608" customFormat="1" x14ac:dyDescent="0.25"/>
    <row r="34609" customFormat="1" x14ac:dyDescent="0.25"/>
    <row r="34610" customFormat="1" x14ac:dyDescent="0.25"/>
    <row r="34611" customFormat="1" x14ac:dyDescent="0.25"/>
    <row r="34612" customFormat="1" x14ac:dyDescent="0.25"/>
    <row r="34613" customFormat="1" x14ac:dyDescent="0.25"/>
    <row r="34614" customFormat="1" x14ac:dyDescent="0.25"/>
    <row r="34615" customFormat="1" x14ac:dyDescent="0.25"/>
    <row r="34616" customFormat="1" x14ac:dyDescent="0.25"/>
    <row r="34617" customFormat="1" x14ac:dyDescent="0.25"/>
    <row r="34618" customFormat="1" x14ac:dyDescent="0.25"/>
    <row r="34619" customFormat="1" x14ac:dyDescent="0.25"/>
    <row r="34620" customFormat="1" x14ac:dyDescent="0.25"/>
    <row r="34621" customFormat="1" x14ac:dyDescent="0.25"/>
    <row r="34622" customFormat="1" x14ac:dyDescent="0.25"/>
    <row r="34623" customFormat="1" x14ac:dyDescent="0.25"/>
    <row r="34624" customFormat="1" x14ac:dyDescent="0.25"/>
    <row r="34625" customFormat="1" x14ac:dyDescent="0.25"/>
    <row r="34626" customFormat="1" x14ac:dyDescent="0.25"/>
    <row r="34627" customFormat="1" x14ac:dyDescent="0.25"/>
    <row r="34628" customFormat="1" x14ac:dyDescent="0.25"/>
    <row r="34629" customFormat="1" x14ac:dyDescent="0.25"/>
    <row r="34630" customFormat="1" x14ac:dyDescent="0.25"/>
    <row r="34631" customFormat="1" x14ac:dyDescent="0.25"/>
    <row r="34632" customFormat="1" x14ac:dyDescent="0.25"/>
    <row r="34633" customFormat="1" x14ac:dyDescent="0.25"/>
    <row r="34634" customFormat="1" x14ac:dyDescent="0.25"/>
    <row r="34635" customFormat="1" x14ac:dyDescent="0.25"/>
    <row r="34636" customFormat="1" x14ac:dyDescent="0.25"/>
    <row r="34637" customFormat="1" x14ac:dyDescent="0.25"/>
    <row r="34638" customFormat="1" x14ac:dyDescent="0.25"/>
    <row r="34639" customFormat="1" x14ac:dyDescent="0.25"/>
    <row r="34640" customFormat="1" x14ac:dyDescent="0.25"/>
    <row r="34641" customFormat="1" x14ac:dyDescent="0.25"/>
    <row r="34642" customFormat="1" x14ac:dyDescent="0.25"/>
    <row r="34643" customFormat="1" x14ac:dyDescent="0.25"/>
    <row r="34644" customFormat="1" x14ac:dyDescent="0.25"/>
    <row r="34645" customFormat="1" x14ac:dyDescent="0.25"/>
    <row r="34646" customFormat="1" x14ac:dyDescent="0.25"/>
    <row r="34647" customFormat="1" x14ac:dyDescent="0.25"/>
    <row r="34648" customFormat="1" x14ac:dyDescent="0.25"/>
    <row r="34649" customFormat="1" x14ac:dyDescent="0.25"/>
    <row r="34650" customFormat="1" x14ac:dyDescent="0.25"/>
    <row r="34651" customFormat="1" x14ac:dyDescent="0.25"/>
    <row r="34652" customFormat="1" x14ac:dyDescent="0.25"/>
    <row r="34653" customFormat="1" x14ac:dyDescent="0.25"/>
    <row r="34654" customFormat="1" x14ac:dyDescent="0.25"/>
    <row r="34655" customFormat="1" x14ac:dyDescent="0.25"/>
    <row r="34656" customFormat="1" x14ac:dyDescent="0.25"/>
    <row r="34657" customFormat="1" x14ac:dyDescent="0.25"/>
    <row r="34658" customFormat="1" x14ac:dyDescent="0.25"/>
    <row r="34659" customFormat="1" x14ac:dyDescent="0.25"/>
    <row r="34660" customFormat="1" x14ac:dyDescent="0.25"/>
    <row r="34661" customFormat="1" x14ac:dyDescent="0.25"/>
    <row r="34662" customFormat="1" x14ac:dyDescent="0.25"/>
    <row r="34663" customFormat="1" x14ac:dyDescent="0.25"/>
    <row r="34664" customFormat="1" x14ac:dyDescent="0.25"/>
    <row r="34665" customFormat="1" x14ac:dyDescent="0.25"/>
    <row r="34666" customFormat="1" x14ac:dyDescent="0.25"/>
    <row r="34667" customFormat="1" x14ac:dyDescent="0.25"/>
    <row r="34668" customFormat="1" x14ac:dyDescent="0.25"/>
    <row r="34669" customFormat="1" x14ac:dyDescent="0.25"/>
    <row r="34670" customFormat="1" x14ac:dyDescent="0.25"/>
    <row r="34671" customFormat="1" x14ac:dyDescent="0.25"/>
    <row r="34672" customFormat="1" x14ac:dyDescent="0.25"/>
    <row r="34673" customFormat="1" x14ac:dyDescent="0.25"/>
    <row r="34674" customFormat="1" x14ac:dyDescent="0.25"/>
    <row r="34675" customFormat="1" x14ac:dyDescent="0.25"/>
    <row r="34676" customFormat="1" x14ac:dyDescent="0.25"/>
    <row r="34677" customFormat="1" x14ac:dyDescent="0.25"/>
    <row r="34678" customFormat="1" x14ac:dyDescent="0.25"/>
    <row r="34679" customFormat="1" x14ac:dyDescent="0.25"/>
    <row r="34680" customFormat="1" x14ac:dyDescent="0.25"/>
    <row r="34681" customFormat="1" x14ac:dyDescent="0.25"/>
    <row r="34682" customFormat="1" x14ac:dyDescent="0.25"/>
    <row r="34683" customFormat="1" x14ac:dyDescent="0.25"/>
    <row r="34684" customFormat="1" x14ac:dyDescent="0.25"/>
    <row r="34685" customFormat="1" x14ac:dyDescent="0.25"/>
    <row r="34686" customFormat="1" x14ac:dyDescent="0.25"/>
    <row r="34687" customFormat="1" x14ac:dyDescent="0.25"/>
    <row r="34688" customFormat="1" x14ac:dyDescent="0.25"/>
    <row r="34689" customFormat="1" x14ac:dyDescent="0.25"/>
    <row r="34690" customFormat="1" x14ac:dyDescent="0.25"/>
    <row r="34691" customFormat="1" x14ac:dyDescent="0.25"/>
    <row r="34692" customFormat="1" x14ac:dyDescent="0.25"/>
    <row r="34693" customFormat="1" x14ac:dyDescent="0.25"/>
    <row r="34694" customFormat="1" x14ac:dyDescent="0.25"/>
    <row r="34695" customFormat="1" x14ac:dyDescent="0.25"/>
    <row r="34696" customFormat="1" x14ac:dyDescent="0.25"/>
    <row r="34697" customFormat="1" x14ac:dyDescent="0.25"/>
    <row r="34698" customFormat="1" x14ac:dyDescent="0.25"/>
    <row r="34699" customFormat="1" x14ac:dyDescent="0.25"/>
    <row r="34700" customFormat="1" x14ac:dyDescent="0.25"/>
    <row r="34701" customFormat="1" x14ac:dyDescent="0.25"/>
    <row r="34702" customFormat="1" x14ac:dyDescent="0.25"/>
    <row r="34703" customFormat="1" x14ac:dyDescent="0.25"/>
    <row r="34704" customFormat="1" x14ac:dyDescent="0.25"/>
    <row r="34705" customFormat="1" x14ac:dyDescent="0.25"/>
    <row r="34706" customFormat="1" x14ac:dyDescent="0.25"/>
    <row r="34707" customFormat="1" x14ac:dyDescent="0.25"/>
    <row r="34708" customFormat="1" x14ac:dyDescent="0.25"/>
    <row r="34709" customFormat="1" x14ac:dyDescent="0.25"/>
    <row r="34710" customFormat="1" x14ac:dyDescent="0.25"/>
    <row r="34711" customFormat="1" x14ac:dyDescent="0.25"/>
    <row r="34712" customFormat="1" x14ac:dyDescent="0.25"/>
    <row r="34713" customFormat="1" x14ac:dyDescent="0.25"/>
    <row r="34714" customFormat="1" x14ac:dyDescent="0.25"/>
    <row r="34715" customFormat="1" x14ac:dyDescent="0.25"/>
    <row r="34716" customFormat="1" x14ac:dyDescent="0.25"/>
    <row r="34717" customFormat="1" x14ac:dyDescent="0.25"/>
    <row r="34718" customFormat="1" x14ac:dyDescent="0.25"/>
    <row r="34719" customFormat="1" x14ac:dyDescent="0.25"/>
    <row r="34720" customFormat="1" x14ac:dyDescent="0.25"/>
    <row r="34721" customFormat="1" x14ac:dyDescent="0.25"/>
    <row r="34722" customFormat="1" x14ac:dyDescent="0.25"/>
    <row r="34723" customFormat="1" x14ac:dyDescent="0.25"/>
    <row r="34724" customFormat="1" x14ac:dyDescent="0.25"/>
    <row r="34725" customFormat="1" x14ac:dyDescent="0.25"/>
    <row r="34726" customFormat="1" x14ac:dyDescent="0.25"/>
    <row r="34727" customFormat="1" x14ac:dyDescent="0.25"/>
    <row r="34728" customFormat="1" x14ac:dyDescent="0.25"/>
    <row r="34729" customFormat="1" x14ac:dyDescent="0.25"/>
    <row r="34730" customFormat="1" x14ac:dyDescent="0.25"/>
    <row r="34731" customFormat="1" x14ac:dyDescent="0.25"/>
    <row r="34732" customFormat="1" x14ac:dyDescent="0.25"/>
    <row r="34733" customFormat="1" x14ac:dyDescent="0.25"/>
    <row r="34734" customFormat="1" x14ac:dyDescent="0.25"/>
    <row r="34735" customFormat="1" x14ac:dyDescent="0.25"/>
    <row r="34736" customFormat="1" x14ac:dyDescent="0.25"/>
    <row r="34737" customFormat="1" x14ac:dyDescent="0.25"/>
    <row r="34738" customFormat="1" x14ac:dyDescent="0.25"/>
    <row r="34739" customFormat="1" x14ac:dyDescent="0.25"/>
    <row r="34740" customFormat="1" x14ac:dyDescent="0.25"/>
    <row r="34741" customFormat="1" x14ac:dyDescent="0.25"/>
    <row r="34742" customFormat="1" x14ac:dyDescent="0.25"/>
    <row r="34743" customFormat="1" x14ac:dyDescent="0.25"/>
    <row r="34744" customFormat="1" x14ac:dyDescent="0.25"/>
    <row r="34745" customFormat="1" x14ac:dyDescent="0.25"/>
    <row r="34746" customFormat="1" x14ac:dyDescent="0.25"/>
    <row r="34747" customFormat="1" x14ac:dyDescent="0.25"/>
    <row r="34748" customFormat="1" x14ac:dyDescent="0.25"/>
    <row r="34749" customFormat="1" x14ac:dyDescent="0.25"/>
    <row r="34750" customFormat="1" x14ac:dyDescent="0.25"/>
    <row r="34751" customFormat="1" x14ac:dyDescent="0.25"/>
    <row r="34752" customFormat="1" x14ac:dyDescent="0.25"/>
    <row r="34753" customFormat="1" x14ac:dyDescent="0.25"/>
    <row r="34754" customFormat="1" x14ac:dyDescent="0.25"/>
    <row r="34755" customFormat="1" x14ac:dyDescent="0.25"/>
    <row r="34756" customFormat="1" x14ac:dyDescent="0.25"/>
    <row r="34757" customFormat="1" x14ac:dyDescent="0.25"/>
    <row r="34758" customFormat="1" x14ac:dyDescent="0.25"/>
    <row r="34759" customFormat="1" x14ac:dyDescent="0.25"/>
    <row r="34760" customFormat="1" x14ac:dyDescent="0.25"/>
    <row r="34761" customFormat="1" x14ac:dyDescent="0.25"/>
    <row r="34762" customFormat="1" x14ac:dyDescent="0.25"/>
    <row r="34763" customFormat="1" x14ac:dyDescent="0.25"/>
    <row r="34764" customFormat="1" x14ac:dyDescent="0.25"/>
    <row r="34765" customFormat="1" x14ac:dyDescent="0.25"/>
    <row r="34766" customFormat="1" x14ac:dyDescent="0.25"/>
    <row r="34767" customFormat="1" x14ac:dyDescent="0.25"/>
    <row r="34768" customFormat="1" x14ac:dyDescent="0.25"/>
    <row r="34769" customFormat="1" x14ac:dyDescent="0.25"/>
    <row r="34770" customFormat="1" x14ac:dyDescent="0.25"/>
    <row r="34771" customFormat="1" x14ac:dyDescent="0.25"/>
    <row r="34772" customFormat="1" x14ac:dyDescent="0.25"/>
    <row r="34773" customFormat="1" x14ac:dyDescent="0.25"/>
    <row r="34774" customFormat="1" x14ac:dyDescent="0.25"/>
    <row r="34775" customFormat="1" x14ac:dyDescent="0.25"/>
    <row r="34776" customFormat="1" x14ac:dyDescent="0.25"/>
    <row r="34777" customFormat="1" x14ac:dyDescent="0.25"/>
    <row r="34778" customFormat="1" x14ac:dyDescent="0.25"/>
    <row r="34779" customFormat="1" x14ac:dyDescent="0.25"/>
    <row r="34780" customFormat="1" x14ac:dyDescent="0.25"/>
    <row r="34781" customFormat="1" x14ac:dyDescent="0.25"/>
    <row r="34782" customFormat="1" x14ac:dyDescent="0.25"/>
    <row r="34783" customFormat="1" x14ac:dyDescent="0.25"/>
    <row r="34784" customFormat="1" x14ac:dyDescent="0.25"/>
    <row r="34785" customFormat="1" x14ac:dyDescent="0.25"/>
    <row r="34786" customFormat="1" x14ac:dyDescent="0.25"/>
    <row r="34787" customFormat="1" x14ac:dyDescent="0.25"/>
    <row r="34788" customFormat="1" x14ac:dyDescent="0.25"/>
    <row r="34789" customFormat="1" x14ac:dyDescent="0.25"/>
    <row r="34790" customFormat="1" x14ac:dyDescent="0.25"/>
    <row r="34791" customFormat="1" x14ac:dyDescent="0.25"/>
    <row r="34792" customFormat="1" x14ac:dyDescent="0.25"/>
    <row r="34793" customFormat="1" x14ac:dyDescent="0.25"/>
    <row r="34794" customFormat="1" x14ac:dyDescent="0.25"/>
    <row r="34795" customFormat="1" x14ac:dyDescent="0.25"/>
    <row r="34796" customFormat="1" x14ac:dyDescent="0.25"/>
    <row r="34797" customFormat="1" x14ac:dyDescent="0.25"/>
    <row r="34798" customFormat="1" x14ac:dyDescent="0.25"/>
    <row r="34799" customFormat="1" x14ac:dyDescent="0.25"/>
    <row r="34800" customFormat="1" x14ac:dyDescent="0.25"/>
    <row r="34801" customFormat="1" x14ac:dyDescent="0.25"/>
    <row r="34802" customFormat="1" x14ac:dyDescent="0.25"/>
    <row r="34803" customFormat="1" x14ac:dyDescent="0.25"/>
    <row r="34804" customFormat="1" x14ac:dyDescent="0.25"/>
    <row r="34805" customFormat="1" x14ac:dyDescent="0.25"/>
    <row r="34806" customFormat="1" x14ac:dyDescent="0.25"/>
    <row r="34807" customFormat="1" x14ac:dyDescent="0.25"/>
    <row r="34808" customFormat="1" x14ac:dyDescent="0.25"/>
    <row r="34809" customFormat="1" x14ac:dyDescent="0.25"/>
    <row r="34810" customFormat="1" x14ac:dyDescent="0.25"/>
    <row r="34811" customFormat="1" x14ac:dyDescent="0.25"/>
    <row r="34812" customFormat="1" x14ac:dyDescent="0.25"/>
    <row r="34813" customFormat="1" x14ac:dyDescent="0.25"/>
    <row r="34814" customFormat="1" x14ac:dyDescent="0.25"/>
    <row r="34815" customFormat="1" x14ac:dyDescent="0.25"/>
    <row r="34816" customFormat="1" x14ac:dyDescent="0.25"/>
    <row r="34817" customFormat="1" x14ac:dyDescent="0.25"/>
    <row r="34818" customFormat="1" x14ac:dyDescent="0.25"/>
    <row r="34819" customFormat="1" x14ac:dyDescent="0.25"/>
    <row r="34820" customFormat="1" x14ac:dyDescent="0.25"/>
    <row r="34821" customFormat="1" x14ac:dyDescent="0.25"/>
    <row r="34822" customFormat="1" x14ac:dyDescent="0.25"/>
    <row r="34823" customFormat="1" x14ac:dyDescent="0.25"/>
    <row r="34824" customFormat="1" x14ac:dyDescent="0.25"/>
    <row r="34825" customFormat="1" x14ac:dyDescent="0.25"/>
    <row r="34826" customFormat="1" x14ac:dyDescent="0.25"/>
    <row r="34827" customFormat="1" x14ac:dyDescent="0.25"/>
    <row r="34828" customFormat="1" x14ac:dyDescent="0.25"/>
    <row r="34829" customFormat="1" x14ac:dyDescent="0.25"/>
    <row r="34830" customFormat="1" x14ac:dyDescent="0.25"/>
    <row r="34831" customFormat="1" x14ac:dyDescent="0.25"/>
    <row r="34832" customFormat="1" x14ac:dyDescent="0.25"/>
    <row r="34833" customFormat="1" x14ac:dyDescent="0.25"/>
    <row r="34834" customFormat="1" x14ac:dyDescent="0.25"/>
    <row r="34835" customFormat="1" x14ac:dyDescent="0.25"/>
    <row r="34836" customFormat="1" x14ac:dyDescent="0.25"/>
    <row r="34837" customFormat="1" x14ac:dyDescent="0.25"/>
    <row r="34838" customFormat="1" x14ac:dyDescent="0.25"/>
    <row r="34839" customFormat="1" x14ac:dyDescent="0.25"/>
    <row r="34840" customFormat="1" x14ac:dyDescent="0.25"/>
    <row r="34841" customFormat="1" x14ac:dyDescent="0.25"/>
    <row r="34842" customFormat="1" x14ac:dyDescent="0.25"/>
    <row r="34843" customFormat="1" x14ac:dyDescent="0.25"/>
    <row r="34844" customFormat="1" x14ac:dyDescent="0.25"/>
    <row r="34845" customFormat="1" x14ac:dyDescent="0.25"/>
    <row r="34846" customFormat="1" x14ac:dyDescent="0.25"/>
    <row r="34847" customFormat="1" x14ac:dyDescent="0.25"/>
    <row r="34848" customFormat="1" x14ac:dyDescent="0.25"/>
    <row r="34849" customFormat="1" x14ac:dyDescent="0.25"/>
    <row r="34850" customFormat="1" x14ac:dyDescent="0.25"/>
    <row r="34851" customFormat="1" x14ac:dyDescent="0.25"/>
    <row r="34852" customFormat="1" x14ac:dyDescent="0.25"/>
    <row r="34853" customFormat="1" x14ac:dyDescent="0.25"/>
    <row r="34854" customFormat="1" x14ac:dyDescent="0.25"/>
    <row r="34855" customFormat="1" x14ac:dyDescent="0.25"/>
    <row r="34856" customFormat="1" x14ac:dyDescent="0.25"/>
    <row r="34857" customFormat="1" x14ac:dyDescent="0.25"/>
    <row r="34858" customFormat="1" x14ac:dyDescent="0.25"/>
    <row r="34859" customFormat="1" x14ac:dyDescent="0.25"/>
    <row r="34860" customFormat="1" x14ac:dyDescent="0.25"/>
    <row r="34861" customFormat="1" x14ac:dyDescent="0.25"/>
    <row r="34862" customFormat="1" x14ac:dyDescent="0.25"/>
    <row r="34863" customFormat="1" x14ac:dyDescent="0.25"/>
    <row r="34864" customFormat="1" x14ac:dyDescent="0.25"/>
    <row r="34865" customFormat="1" x14ac:dyDescent="0.25"/>
    <row r="34866" customFormat="1" x14ac:dyDescent="0.25"/>
    <row r="34867" customFormat="1" x14ac:dyDescent="0.25"/>
    <row r="34868" customFormat="1" x14ac:dyDescent="0.25"/>
    <row r="34869" customFormat="1" x14ac:dyDescent="0.25"/>
    <row r="34870" customFormat="1" x14ac:dyDescent="0.25"/>
    <row r="34871" customFormat="1" x14ac:dyDescent="0.25"/>
    <row r="34872" customFormat="1" x14ac:dyDescent="0.25"/>
    <row r="34873" customFormat="1" x14ac:dyDescent="0.25"/>
    <row r="34874" customFormat="1" x14ac:dyDescent="0.25"/>
    <row r="34875" customFormat="1" x14ac:dyDescent="0.25"/>
    <row r="34876" customFormat="1" x14ac:dyDescent="0.25"/>
    <row r="34877" customFormat="1" x14ac:dyDescent="0.25"/>
    <row r="34878" customFormat="1" x14ac:dyDescent="0.25"/>
    <row r="34879" customFormat="1" x14ac:dyDescent="0.25"/>
    <row r="34880" customFormat="1" x14ac:dyDescent="0.25"/>
    <row r="34881" customFormat="1" x14ac:dyDescent="0.25"/>
    <row r="34882" customFormat="1" x14ac:dyDescent="0.25"/>
    <row r="34883" customFormat="1" x14ac:dyDescent="0.25"/>
    <row r="34884" customFormat="1" x14ac:dyDescent="0.25"/>
    <row r="34885" customFormat="1" x14ac:dyDescent="0.25"/>
    <row r="34886" customFormat="1" x14ac:dyDescent="0.25"/>
    <row r="34887" customFormat="1" x14ac:dyDescent="0.25"/>
    <row r="34888" customFormat="1" x14ac:dyDescent="0.25"/>
    <row r="34889" customFormat="1" x14ac:dyDescent="0.25"/>
    <row r="34890" customFormat="1" x14ac:dyDescent="0.25"/>
    <row r="34891" customFormat="1" x14ac:dyDescent="0.25"/>
    <row r="34892" customFormat="1" x14ac:dyDescent="0.25"/>
    <row r="34893" customFormat="1" x14ac:dyDescent="0.25"/>
    <row r="34894" customFormat="1" x14ac:dyDescent="0.25"/>
    <row r="34895" customFormat="1" x14ac:dyDescent="0.25"/>
    <row r="34896" customFormat="1" x14ac:dyDescent="0.25"/>
    <row r="34897" customFormat="1" x14ac:dyDescent="0.25"/>
    <row r="34898" customFormat="1" x14ac:dyDescent="0.25"/>
    <row r="34899" customFormat="1" x14ac:dyDescent="0.25"/>
    <row r="34900" customFormat="1" x14ac:dyDescent="0.25"/>
    <row r="34901" customFormat="1" x14ac:dyDescent="0.25"/>
    <row r="34902" customFormat="1" x14ac:dyDescent="0.25"/>
    <row r="34903" customFormat="1" x14ac:dyDescent="0.25"/>
    <row r="34904" customFormat="1" x14ac:dyDescent="0.25"/>
    <row r="34905" customFormat="1" x14ac:dyDescent="0.25"/>
    <row r="34906" customFormat="1" x14ac:dyDescent="0.25"/>
    <row r="34907" customFormat="1" x14ac:dyDescent="0.25"/>
    <row r="34908" customFormat="1" x14ac:dyDescent="0.25"/>
    <row r="34909" customFormat="1" x14ac:dyDescent="0.25"/>
    <row r="34910" customFormat="1" x14ac:dyDescent="0.25"/>
    <row r="34911" customFormat="1" x14ac:dyDescent="0.25"/>
    <row r="34912" customFormat="1" x14ac:dyDescent="0.25"/>
    <row r="34913" customFormat="1" x14ac:dyDescent="0.25"/>
    <row r="34914" customFormat="1" x14ac:dyDescent="0.25"/>
    <row r="34915" customFormat="1" x14ac:dyDescent="0.25"/>
    <row r="34916" customFormat="1" x14ac:dyDescent="0.25"/>
    <row r="34917" customFormat="1" x14ac:dyDescent="0.25"/>
    <row r="34918" customFormat="1" x14ac:dyDescent="0.25"/>
    <row r="34919" customFormat="1" x14ac:dyDescent="0.25"/>
    <row r="34920" customFormat="1" x14ac:dyDescent="0.25"/>
    <row r="34921" customFormat="1" x14ac:dyDescent="0.25"/>
    <row r="34922" customFormat="1" x14ac:dyDescent="0.25"/>
    <row r="34923" customFormat="1" x14ac:dyDescent="0.25"/>
    <row r="34924" customFormat="1" x14ac:dyDescent="0.25"/>
    <row r="34925" customFormat="1" x14ac:dyDescent="0.25"/>
    <row r="34926" customFormat="1" x14ac:dyDescent="0.25"/>
    <row r="34927" customFormat="1" x14ac:dyDescent="0.25"/>
    <row r="34928" customFormat="1" x14ac:dyDescent="0.25"/>
    <row r="34929" customFormat="1" x14ac:dyDescent="0.25"/>
    <row r="34930" customFormat="1" x14ac:dyDescent="0.25"/>
    <row r="34931" customFormat="1" x14ac:dyDescent="0.25"/>
    <row r="34932" customFormat="1" x14ac:dyDescent="0.25"/>
    <row r="34933" customFormat="1" x14ac:dyDescent="0.25"/>
    <row r="34934" customFormat="1" x14ac:dyDescent="0.25"/>
    <row r="34935" customFormat="1" x14ac:dyDescent="0.25"/>
    <row r="34936" customFormat="1" x14ac:dyDescent="0.25"/>
    <row r="34937" customFormat="1" x14ac:dyDescent="0.25"/>
    <row r="34938" customFormat="1" x14ac:dyDescent="0.25"/>
    <row r="34939" customFormat="1" x14ac:dyDescent="0.25"/>
    <row r="34940" customFormat="1" x14ac:dyDescent="0.25"/>
    <row r="34941" customFormat="1" x14ac:dyDescent="0.25"/>
    <row r="34942" customFormat="1" x14ac:dyDescent="0.25"/>
    <row r="34943" customFormat="1" x14ac:dyDescent="0.25"/>
    <row r="34944" customFormat="1" x14ac:dyDescent="0.25"/>
    <row r="34945" customFormat="1" x14ac:dyDescent="0.25"/>
    <row r="34946" customFormat="1" x14ac:dyDescent="0.25"/>
    <row r="34947" customFormat="1" x14ac:dyDescent="0.25"/>
    <row r="34948" customFormat="1" x14ac:dyDescent="0.25"/>
    <row r="34949" customFormat="1" x14ac:dyDescent="0.25"/>
    <row r="34950" customFormat="1" x14ac:dyDescent="0.25"/>
    <row r="34951" customFormat="1" x14ac:dyDescent="0.25"/>
    <row r="34952" customFormat="1" x14ac:dyDescent="0.25"/>
    <row r="34953" customFormat="1" x14ac:dyDescent="0.25"/>
    <row r="34954" customFormat="1" x14ac:dyDescent="0.25"/>
    <row r="34955" customFormat="1" x14ac:dyDescent="0.25"/>
    <row r="34956" customFormat="1" x14ac:dyDescent="0.25"/>
    <row r="34957" customFormat="1" x14ac:dyDescent="0.25"/>
    <row r="34958" customFormat="1" x14ac:dyDescent="0.25"/>
    <row r="34959" customFormat="1" x14ac:dyDescent="0.25"/>
    <row r="34960" customFormat="1" x14ac:dyDescent="0.25"/>
    <row r="34961" customFormat="1" x14ac:dyDescent="0.25"/>
    <row r="34962" customFormat="1" x14ac:dyDescent="0.25"/>
    <row r="34963" customFormat="1" x14ac:dyDescent="0.25"/>
    <row r="34964" customFormat="1" x14ac:dyDescent="0.25"/>
    <row r="34965" customFormat="1" x14ac:dyDescent="0.25"/>
    <row r="34966" customFormat="1" x14ac:dyDescent="0.25"/>
    <row r="34967" customFormat="1" x14ac:dyDescent="0.25"/>
    <row r="34968" customFormat="1" x14ac:dyDescent="0.25"/>
    <row r="34969" customFormat="1" x14ac:dyDescent="0.25"/>
    <row r="34970" customFormat="1" x14ac:dyDescent="0.25"/>
    <row r="34971" customFormat="1" x14ac:dyDescent="0.25"/>
    <row r="34972" customFormat="1" x14ac:dyDescent="0.25"/>
    <row r="34973" customFormat="1" x14ac:dyDescent="0.25"/>
    <row r="34974" customFormat="1" x14ac:dyDescent="0.25"/>
    <row r="34975" customFormat="1" x14ac:dyDescent="0.25"/>
    <row r="34976" customFormat="1" x14ac:dyDescent="0.25"/>
    <row r="34977" customFormat="1" x14ac:dyDescent="0.25"/>
    <row r="34978" customFormat="1" x14ac:dyDescent="0.25"/>
    <row r="34979" customFormat="1" x14ac:dyDescent="0.25"/>
    <row r="34980" customFormat="1" x14ac:dyDescent="0.25"/>
    <row r="34981" customFormat="1" x14ac:dyDescent="0.25"/>
    <row r="34982" customFormat="1" x14ac:dyDescent="0.25"/>
    <row r="34983" customFormat="1" x14ac:dyDescent="0.25"/>
    <row r="34984" customFormat="1" x14ac:dyDescent="0.25"/>
    <row r="34985" customFormat="1" x14ac:dyDescent="0.25"/>
    <row r="34986" customFormat="1" x14ac:dyDescent="0.25"/>
    <row r="34987" customFormat="1" x14ac:dyDescent="0.25"/>
    <row r="34988" customFormat="1" x14ac:dyDescent="0.25"/>
    <row r="34989" customFormat="1" x14ac:dyDescent="0.25"/>
    <row r="34990" customFormat="1" x14ac:dyDescent="0.25"/>
    <row r="34991" customFormat="1" x14ac:dyDescent="0.25"/>
    <row r="34992" customFormat="1" x14ac:dyDescent="0.25"/>
    <row r="34993" customFormat="1" x14ac:dyDescent="0.25"/>
    <row r="34994" customFormat="1" x14ac:dyDescent="0.25"/>
    <row r="34995" customFormat="1" x14ac:dyDescent="0.25"/>
    <row r="34996" customFormat="1" x14ac:dyDescent="0.25"/>
    <row r="34997" customFormat="1" x14ac:dyDescent="0.25"/>
    <row r="34998" customFormat="1" x14ac:dyDescent="0.25"/>
    <row r="34999" customFormat="1" x14ac:dyDescent="0.25"/>
    <row r="35000" customFormat="1" x14ac:dyDescent="0.25"/>
    <row r="35001" customFormat="1" x14ac:dyDescent="0.25"/>
    <row r="35002" customFormat="1" x14ac:dyDescent="0.25"/>
    <row r="35003" customFormat="1" x14ac:dyDescent="0.25"/>
    <row r="35004" customFormat="1" x14ac:dyDescent="0.25"/>
    <row r="35005" customFormat="1" x14ac:dyDescent="0.25"/>
    <row r="35006" customFormat="1" x14ac:dyDescent="0.25"/>
    <row r="35007" customFormat="1" x14ac:dyDescent="0.25"/>
    <row r="35008" customFormat="1" x14ac:dyDescent="0.25"/>
    <row r="35009" customFormat="1" x14ac:dyDescent="0.25"/>
    <row r="35010" customFormat="1" x14ac:dyDescent="0.25"/>
    <row r="35011" customFormat="1" x14ac:dyDescent="0.25"/>
    <row r="35012" customFormat="1" x14ac:dyDescent="0.25"/>
    <row r="35013" customFormat="1" x14ac:dyDescent="0.25"/>
    <row r="35014" customFormat="1" x14ac:dyDescent="0.25"/>
    <row r="35015" customFormat="1" x14ac:dyDescent="0.25"/>
    <row r="35016" customFormat="1" x14ac:dyDescent="0.25"/>
    <row r="35017" customFormat="1" x14ac:dyDescent="0.25"/>
    <row r="35018" customFormat="1" x14ac:dyDescent="0.25"/>
    <row r="35019" customFormat="1" x14ac:dyDescent="0.25"/>
    <row r="35020" customFormat="1" x14ac:dyDescent="0.25"/>
    <row r="35021" customFormat="1" x14ac:dyDescent="0.25"/>
    <row r="35022" customFormat="1" x14ac:dyDescent="0.25"/>
    <row r="35023" customFormat="1" x14ac:dyDescent="0.25"/>
    <row r="35024" customFormat="1" x14ac:dyDescent="0.25"/>
    <row r="35025" customFormat="1" x14ac:dyDescent="0.25"/>
    <row r="35026" customFormat="1" x14ac:dyDescent="0.25"/>
    <row r="35027" customFormat="1" x14ac:dyDescent="0.25"/>
    <row r="35028" customFormat="1" x14ac:dyDescent="0.25"/>
    <row r="35029" customFormat="1" x14ac:dyDescent="0.25"/>
    <row r="35030" customFormat="1" x14ac:dyDescent="0.25"/>
    <row r="35031" customFormat="1" x14ac:dyDescent="0.25"/>
    <row r="35032" customFormat="1" x14ac:dyDescent="0.25"/>
    <row r="35033" customFormat="1" x14ac:dyDescent="0.25"/>
    <row r="35034" customFormat="1" x14ac:dyDescent="0.25"/>
    <row r="35035" customFormat="1" x14ac:dyDescent="0.25"/>
    <row r="35036" customFormat="1" x14ac:dyDescent="0.25"/>
    <row r="35037" customFormat="1" x14ac:dyDescent="0.25"/>
    <row r="35038" customFormat="1" x14ac:dyDescent="0.25"/>
    <row r="35039" customFormat="1" x14ac:dyDescent="0.25"/>
    <row r="35040" customFormat="1" x14ac:dyDescent="0.25"/>
    <row r="35041" customFormat="1" x14ac:dyDescent="0.25"/>
    <row r="35042" customFormat="1" x14ac:dyDescent="0.25"/>
    <row r="35043" customFormat="1" x14ac:dyDescent="0.25"/>
    <row r="35044" customFormat="1" x14ac:dyDescent="0.25"/>
    <row r="35045" customFormat="1" x14ac:dyDescent="0.25"/>
    <row r="35046" customFormat="1" x14ac:dyDescent="0.25"/>
    <row r="35047" customFormat="1" x14ac:dyDescent="0.25"/>
    <row r="35048" customFormat="1" x14ac:dyDescent="0.25"/>
    <row r="35049" customFormat="1" x14ac:dyDescent="0.25"/>
    <row r="35050" customFormat="1" x14ac:dyDescent="0.25"/>
    <row r="35051" customFormat="1" x14ac:dyDescent="0.25"/>
    <row r="35052" customFormat="1" x14ac:dyDescent="0.25"/>
    <row r="35053" customFormat="1" x14ac:dyDescent="0.25"/>
    <row r="35054" customFormat="1" x14ac:dyDescent="0.25"/>
    <row r="35055" customFormat="1" x14ac:dyDescent="0.25"/>
    <row r="35056" customFormat="1" x14ac:dyDescent="0.25"/>
    <row r="35057" customFormat="1" x14ac:dyDescent="0.25"/>
    <row r="35058" customFormat="1" x14ac:dyDescent="0.25"/>
    <row r="35059" customFormat="1" x14ac:dyDescent="0.25"/>
    <row r="35060" customFormat="1" x14ac:dyDescent="0.25"/>
    <row r="35061" customFormat="1" x14ac:dyDescent="0.25"/>
    <row r="35062" customFormat="1" x14ac:dyDescent="0.25"/>
    <row r="35063" customFormat="1" x14ac:dyDescent="0.25"/>
    <row r="35064" customFormat="1" x14ac:dyDescent="0.25"/>
    <row r="35065" customFormat="1" x14ac:dyDescent="0.25"/>
    <row r="35066" customFormat="1" x14ac:dyDescent="0.25"/>
    <row r="35067" customFormat="1" x14ac:dyDescent="0.25"/>
    <row r="35068" customFormat="1" x14ac:dyDescent="0.25"/>
    <row r="35069" customFormat="1" x14ac:dyDescent="0.25"/>
    <row r="35070" customFormat="1" x14ac:dyDescent="0.25"/>
    <row r="35071" customFormat="1" x14ac:dyDescent="0.25"/>
    <row r="35072" customFormat="1" x14ac:dyDescent="0.25"/>
    <row r="35073" customFormat="1" x14ac:dyDescent="0.25"/>
    <row r="35074" customFormat="1" x14ac:dyDescent="0.25"/>
    <row r="35075" customFormat="1" x14ac:dyDescent="0.25"/>
    <row r="35076" customFormat="1" x14ac:dyDescent="0.25"/>
    <row r="35077" customFormat="1" x14ac:dyDescent="0.25"/>
    <row r="35078" customFormat="1" x14ac:dyDescent="0.25"/>
    <row r="35079" customFormat="1" x14ac:dyDescent="0.25"/>
    <row r="35080" customFormat="1" x14ac:dyDescent="0.25"/>
    <row r="35081" customFormat="1" x14ac:dyDescent="0.25"/>
    <row r="35082" customFormat="1" x14ac:dyDescent="0.25"/>
    <row r="35083" customFormat="1" x14ac:dyDescent="0.25"/>
    <row r="35084" customFormat="1" x14ac:dyDescent="0.25"/>
    <row r="35085" customFormat="1" x14ac:dyDescent="0.25"/>
    <row r="35086" customFormat="1" x14ac:dyDescent="0.25"/>
    <row r="35087" customFormat="1" x14ac:dyDescent="0.25"/>
    <row r="35088" customFormat="1" x14ac:dyDescent="0.25"/>
    <row r="35089" customFormat="1" x14ac:dyDescent="0.25"/>
    <row r="35090" customFormat="1" x14ac:dyDescent="0.25"/>
    <row r="35091" customFormat="1" x14ac:dyDescent="0.25"/>
    <row r="35092" customFormat="1" x14ac:dyDescent="0.25"/>
    <row r="35093" customFormat="1" x14ac:dyDescent="0.25"/>
    <row r="35094" customFormat="1" x14ac:dyDescent="0.25"/>
    <row r="35095" customFormat="1" x14ac:dyDescent="0.25"/>
    <row r="35096" customFormat="1" x14ac:dyDescent="0.25"/>
    <row r="35097" customFormat="1" x14ac:dyDescent="0.25"/>
    <row r="35098" customFormat="1" x14ac:dyDescent="0.25"/>
    <row r="35099" customFormat="1" x14ac:dyDescent="0.25"/>
    <row r="35100" customFormat="1" x14ac:dyDescent="0.25"/>
    <row r="35101" customFormat="1" x14ac:dyDescent="0.25"/>
    <row r="35102" customFormat="1" x14ac:dyDescent="0.25"/>
    <row r="35103" customFormat="1" x14ac:dyDescent="0.25"/>
    <row r="35104" customFormat="1" x14ac:dyDescent="0.25"/>
    <row r="35105" customFormat="1" x14ac:dyDescent="0.25"/>
    <row r="35106" customFormat="1" x14ac:dyDescent="0.25"/>
    <row r="35107" customFormat="1" x14ac:dyDescent="0.25"/>
    <row r="35108" customFormat="1" x14ac:dyDescent="0.25"/>
    <row r="35109" customFormat="1" x14ac:dyDescent="0.25"/>
    <row r="35110" customFormat="1" x14ac:dyDescent="0.25"/>
    <row r="35111" customFormat="1" x14ac:dyDescent="0.25"/>
    <row r="35112" customFormat="1" x14ac:dyDescent="0.25"/>
    <row r="35113" customFormat="1" x14ac:dyDescent="0.25"/>
    <row r="35114" customFormat="1" x14ac:dyDescent="0.25"/>
    <row r="35115" customFormat="1" x14ac:dyDescent="0.25"/>
    <row r="35116" customFormat="1" x14ac:dyDescent="0.25"/>
    <row r="35117" customFormat="1" x14ac:dyDescent="0.25"/>
    <row r="35118" customFormat="1" x14ac:dyDescent="0.25"/>
    <row r="35119" customFormat="1" x14ac:dyDescent="0.25"/>
    <row r="35120" customFormat="1" x14ac:dyDescent="0.25"/>
    <row r="35121" customFormat="1" x14ac:dyDescent="0.25"/>
    <row r="35122" customFormat="1" x14ac:dyDescent="0.25"/>
    <row r="35123" customFormat="1" x14ac:dyDescent="0.25"/>
    <row r="35124" customFormat="1" x14ac:dyDescent="0.25"/>
    <row r="35125" customFormat="1" x14ac:dyDescent="0.25"/>
    <row r="35126" customFormat="1" x14ac:dyDescent="0.25"/>
    <row r="35127" customFormat="1" x14ac:dyDescent="0.25"/>
    <row r="35128" customFormat="1" x14ac:dyDescent="0.25"/>
    <row r="35129" customFormat="1" x14ac:dyDescent="0.25"/>
    <row r="35130" customFormat="1" x14ac:dyDescent="0.25"/>
    <row r="35131" customFormat="1" x14ac:dyDescent="0.25"/>
    <row r="35132" customFormat="1" x14ac:dyDescent="0.25"/>
    <row r="35133" customFormat="1" x14ac:dyDescent="0.25"/>
    <row r="35134" customFormat="1" x14ac:dyDescent="0.25"/>
    <row r="35135" customFormat="1" x14ac:dyDescent="0.25"/>
    <row r="35136" customFormat="1" x14ac:dyDescent="0.25"/>
    <row r="35137" customFormat="1" x14ac:dyDescent="0.25"/>
    <row r="35138" customFormat="1" x14ac:dyDescent="0.25"/>
    <row r="35139" customFormat="1" x14ac:dyDescent="0.25"/>
    <row r="35140" customFormat="1" x14ac:dyDescent="0.25"/>
    <row r="35141" customFormat="1" x14ac:dyDescent="0.25"/>
    <row r="35142" customFormat="1" x14ac:dyDescent="0.25"/>
    <row r="35143" customFormat="1" x14ac:dyDescent="0.25"/>
    <row r="35144" customFormat="1" x14ac:dyDescent="0.25"/>
    <row r="35145" customFormat="1" x14ac:dyDescent="0.25"/>
    <row r="35146" customFormat="1" x14ac:dyDescent="0.25"/>
    <row r="35147" customFormat="1" x14ac:dyDescent="0.25"/>
    <row r="35148" customFormat="1" x14ac:dyDescent="0.25"/>
    <row r="35149" customFormat="1" x14ac:dyDescent="0.25"/>
    <row r="35150" customFormat="1" x14ac:dyDescent="0.25"/>
    <row r="35151" customFormat="1" x14ac:dyDescent="0.25"/>
    <row r="35152" customFormat="1" x14ac:dyDescent="0.25"/>
    <row r="35153" customFormat="1" x14ac:dyDescent="0.25"/>
    <row r="35154" customFormat="1" x14ac:dyDescent="0.25"/>
    <row r="35155" customFormat="1" x14ac:dyDescent="0.25"/>
    <row r="35156" customFormat="1" x14ac:dyDescent="0.25"/>
    <row r="35157" customFormat="1" x14ac:dyDescent="0.25"/>
    <row r="35158" customFormat="1" x14ac:dyDescent="0.25"/>
    <row r="35159" customFormat="1" x14ac:dyDescent="0.25"/>
    <row r="35160" customFormat="1" x14ac:dyDescent="0.25"/>
    <row r="35161" customFormat="1" x14ac:dyDescent="0.25"/>
    <row r="35162" customFormat="1" x14ac:dyDescent="0.25"/>
    <row r="35163" customFormat="1" x14ac:dyDescent="0.25"/>
    <row r="35164" customFormat="1" x14ac:dyDescent="0.25"/>
    <row r="35165" customFormat="1" x14ac:dyDescent="0.25"/>
    <row r="35166" customFormat="1" x14ac:dyDescent="0.25"/>
    <row r="35167" customFormat="1" x14ac:dyDescent="0.25"/>
    <row r="35168" customFormat="1" x14ac:dyDescent="0.25"/>
    <row r="35169" customFormat="1" x14ac:dyDescent="0.25"/>
    <row r="35170" customFormat="1" x14ac:dyDescent="0.25"/>
    <row r="35171" customFormat="1" x14ac:dyDescent="0.25"/>
    <row r="35172" customFormat="1" x14ac:dyDescent="0.25"/>
    <row r="35173" customFormat="1" x14ac:dyDescent="0.25"/>
    <row r="35174" customFormat="1" x14ac:dyDescent="0.25"/>
    <row r="35175" customFormat="1" x14ac:dyDescent="0.25"/>
    <row r="35176" customFormat="1" x14ac:dyDescent="0.25"/>
    <row r="35177" customFormat="1" x14ac:dyDescent="0.25"/>
    <row r="35178" customFormat="1" x14ac:dyDescent="0.25"/>
    <row r="35179" customFormat="1" x14ac:dyDescent="0.25"/>
    <row r="35180" customFormat="1" x14ac:dyDescent="0.25"/>
    <row r="35181" customFormat="1" x14ac:dyDescent="0.25"/>
    <row r="35182" customFormat="1" x14ac:dyDescent="0.25"/>
    <row r="35183" customFormat="1" x14ac:dyDescent="0.25"/>
    <row r="35184" customFormat="1" x14ac:dyDescent="0.25"/>
    <row r="35185" customFormat="1" x14ac:dyDescent="0.25"/>
    <row r="35186" customFormat="1" x14ac:dyDescent="0.25"/>
    <row r="35187" customFormat="1" x14ac:dyDescent="0.25"/>
    <row r="35188" customFormat="1" x14ac:dyDescent="0.25"/>
    <row r="35189" customFormat="1" x14ac:dyDescent="0.25"/>
    <row r="35190" customFormat="1" x14ac:dyDescent="0.25"/>
    <row r="35191" customFormat="1" x14ac:dyDescent="0.25"/>
    <row r="35192" customFormat="1" x14ac:dyDescent="0.25"/>
    <row r="35193" customFormat="1" x14ac:dyDescent="0.25"/>
    <row r="35194" customFormat="1" x14ac:dyDescent="0.25"/>
    <row r="35195" customFormat="1" x14ac:dyDescent="0.25"/>
    <row r="35196" customFormat="1" x14ac:dyDescent="0.25"/>
    <row r="35197" customFormat="1" x14ac:dyDescent="0.25"/>
    <row r="35198" customFormat="1" x14ac:dyDescent="0.25"/>
    <row r="35199" customFormat="1" x14ac:dyDescent="0.25"/>
    <row r="35200" customFormat="1" x14ac:dyDescent="0.25"/>
    <row r="35201" customFormat="1" x14ac:dyDescent="0.25"/>
    <row r="35202" customFormat="1" x14ac:dyDescent="0.25"/>
    <row r="35203" customFormat="1" x14ac:dyDescent="0.25"/>
    <row r="35204" customFormat="1" x14ac:dyDescent="0.25"/>
    <row r="35205" customFormat="1" x14ac:dyDescent="0.25"/>
    <row r="35206" customFormat="1" x14ac:dyDescent="0.25"/>
    <row r="35207" customFormat="1" x14ac:dyDescent="0.25"/>
    <row r="35208" customFormat="1" x14ac:dyDescent="0.25"/>
    <row r="35209" customFormat="1" x14ac:dyDescent="0.25"/>
    <row r="35210" customFormat="1" x14ac:dyDescent="0.25"/>
    <row r="35211" customFormat="1" x14ac:dyDescent="0.25"/>
    <row r="35212" customFormat="1" x14ac:dyDescent="0.25"/>
    <row r="35213" customFormat="1" x14ac:dyDescent="0.25"/>
    <row r="35214" customFormat="1" x14ac:dyDescent="0.25"/>
    <row r="35215" customFormat="1" x14ac:dyDescent="0.25"/>
    <row r="35216" customFormat="1" x14ac:dyDescent="0.25"/>
    <row r="35217" customFormat="1" x14ac:dyDescent="0.25"/>
    <row r="35218" customFormat="1" x14ac:dyDescent="0.25"/>
    <row r="35219" customFormat="1" x14ac:dyDescent="0.25"/>
    <row r="35220" customFormat="1" x14ac:dyDescent="0.25"/>
    <row r="35221" customFormat="1" x14ac:dyDescent="0.25"/>
    <row r="35222" customFormat="1" x14ac:dyDescent="0.25"/>
    <row r="35223" customFormat="1" x14ac:dyDescent="0.25"/>
    <row r="35224" customFormat="1" x14ac:dyDescent="0.25"/>
    <row r="35225" customFormat="1" x14ac:dyDescent="0.25"/>
    <row r="35226" customFormat="1" x14ac:dyDescent="0.25"/>
    <row r="35227" customFormat="1" x14ac:dyDescent="0.25"/>
    <row r="35228" customFormat="1" x14ac:dyDescent="0.25"/>
    <row r="35229" customFormat="1" x14ac:dyDescent="0.25"/>
    <row r="35230" customFormat="1" x14ac:dyDescent="0.25"/>
    <row r="35231" customFormat="1" x14ac:dyDescent="0.25"/>
    <row r="35232" customFormat="1" x14ac:dyDescent="0.25"/>
    <row r="35233" customFormat="1" x14ac:dyDescent="0.25"/>
    <row r="35234" customFormat="1" x14ac:dyDescent="0.25"/>
    <row r="35235" customFormat="1" x14ac:dyDescent="0.25"/>
    <row r="35236" customFormat="1" x14ac:dyDescent="0.25"/>
    <row r="35237" customFormat="1" x14ac:dyDescent="0.25"/>
    <row r="35238" customFormat="1" x14ac:dyDescent="0.25"/>
    <row r="35239" customFormat="1" x14ac:dyDescent="0.25"/>
    <row r="35240" customFormat="1" x14ac:dyDescent="0.25"/>
    <row r="35241" customFormat="1" x14ac:dyDescent="0.25"/>
    <row r="35242" customFormat="1" x14ac:dyDescent="0.25"/>
    <row r="35243" customFormat="1" x14ac:dyDescent="0.25"/>
    <row r="35244" customFormat="1" x14ac:dyDescent="0.25"/>
    <row r="35245" customFormat="1" x14ac:dyDescent="0.25"/>
    <row r="35246" customFormat="1" x14ac:dyDescent="0.25"/>
    <row r="35247" customFormat="1" x14ac:dyDescent="0.25"/>
    <row r="35248" customFormat="1" x14ac:dyDescent="0.25"/>
    <row r="35249" customFormat="1" x14ac:dyDescent="0.25"/>
    <row r="35250" customFormat="1" x14ac:dyDescent="0.25"/>
    <row r="35251" customFormat="1" x14ac:dyDescent="0.25"/>
    <row r="35252" customFormat="1" x14ac:dyDescent="0.25"/>
    <row r="35253" customFormat="1" x14ac:dyDescent="0.25"/>
    <row r="35254" customFormat="1" x14ac:dyDescent="0.25"/>
    <row r="35255" customFormat="1" x14ac:dyDescent="0.25"/>
    <row r="35256" customFormat="1" x14ac:dyDescent="0.25"/>
    <row r="35257" customFormat="1" x14ac:dyDescent="0.25"/>
    <row r="35258" customFormat="1" x14ac:dyDescent="0.25"/>
    <row r="35259" customFormat="1" x14ac:dyDescent="0.25"/>
    <row r="35260" customFormat="1" x14ac:dyDescent="0.25"/>
    <row r="35261" customFormat="1" x14ac:dyDescent="0.25"/>
    <row r="35262" customFormat="1" x14ac:dyDescent="0.25"/>
    <row r="35263" customFormat="1" x14ac:dyDescent="0.25"/>
    <row r="35264" customFormat="1" x14ac:dyDescent="0.25"/>
    <row r="35265" customFormat="1" x14ac:dyDescent="0.25"/>
    <row r="35266" customFormat="1" x14ac:dyDescent="0.25"/>
    <row r="35267" customFormat="1" x14ac:dyDescent="0.25"/>
    <row r="35268" customFormat="1" x14ac:dyDescent="0.25"/>
    <row r="35269" customFormat="1" x14ac:dyDescent="0.25"/>
    <row r="35270" customFormat="1" x14ac:dyDescent="0.25"/>
    <row r="35271" customFormat="1" x14ac:dyDescent="0.25"/>
    <row r="35272" customFormat="1" x14ac:dyDescent="0.25"/>
    <row r="35273" customFormat="1" x14ac:dyDescent="0.25"/>
    <row r="35274" customFormat="1" x14ac:dyDescent="0.25"/>
    <row r="35275" customFormat="1" x14ac:dyDescent="0.25"/>
    <row r="35276" customFormat="1" x14ac:dyDescent="0.25"/>
    <row r="35277" customFormat="1" x14ac:dyDescent="0.25"/>
    <row r="35278" customFormat="1" x14ac:dyDescent="0.25"/>
    <row r="35279" customFormat="1" x14ac:dyDescent="0.25"/>
    <row r="35280" customFormat="1" x14ac:dyDescent="0.25"/>
    <row r="35281" customFormat="1" x14ac:dyDescent="0.25"/>
    <row r="35282" customFormat="1" x14ac:dyDescent="0.25"/>
    <row r="35283" customFormat="1" x14ac:dyDescent="0.25"/>
    <row r="35284" customFormat="1" x14ac:dyDescent="0.25"/>
    <row r="35285" customFormat="1" x14ac:dyDescent="0.25"/>
    <row r="35286" customFormat="1" x14ac:dyDescent="0.25"/>
    <row r="35287" customFormat="1" x14ac:dyDescent="0.25"/>
    <row r="35288" customFormat="1" x14ac:dyDescent="0.25"/>
    <row r="35289" customFormat="1" x14ac:dyDescent="0.25"/>
    <row r="35290" customFormat="1" x14ac:dyDescent="0.25"/>
    <row r="35291" customFormat="1" x14ac:dyDescent="0.25"/>
    <row r="35292" customFormat="1" x14ac:dyDescent="0.25"/>
    <row r="35293" customFormat="1" x14ac:dyDescent="0.25"/>
    <row r="35294" customFormat="1" x14ac:dyDescent="0.25"/>
    <row r="35295" customFormat="1" x14ac:dyDescent="0.25"/>
    <row r="35296" customFormat="1" x14ac:dyDescent="0.25"/>
    <row r="35297" customFormat="1" x14ac:dyDescent="0.25"/>
    <row r="35298" customFormat="1" x14ac:dyDescent="0.25"/>
    <row r="35299" customFormat="1" x14ac:dyDescent="0.25"/>
    <row r="35300" customFormat="1" x14ac:dyDescent="0.25"/>
    <row r="35301" customFormat="1" x14ac:dyDescent="0.25"/>
    <row r="35302" customFormat="1" x14ac:dyDescent="0.25"/>
    <row r="35303" customFormat="1" x14ac:dyDescent="0.25"/>
    <row r="35304" customFormat="1" x14ac:dyDescent="0.25"/>
    <row r="35305" customFormat="1" x14ac:dyDescent="0.25"/>
    <row r="35306" customFormat="1" x14ac:dyDescent="0.25"/>
    <row r="35307" customFormat="1" x14ac:dyDescent="0.25"/>
    <row r="35308" customFormat="1" x14ac:dyDescent="0.25"/>
    <row r="35309" customFormat="1" x14ac:dyDescent="0.25"/>
    <row r="35310" customFormat="1" x14ac:dyDescent="0.25"/>
    <row r="35311" customFormat="1" x14ac:dyDescent="0.25"/>
    <row r="35312" customFormat="1" x14ac:dyDescent="0.25"/>
    <row r="35313" customFormat="1" x14ac:dyDescent="0.25"/>
    <row r="35314" customFormat="1" x14ac:dyDescent="0.25"/>
    <row r="35315" customFormat="1" x14ac:dyDescent="0.25"/>
    <row r="35316" customFormat="1" x14ac:dyDescent="0.25"/>
    <row r="35317" customFormat="1" x14ac:dyDescent="0.25"/>
    <row r="35318" customFormat="1" x14ac:dyDescent="0.25"/>
    <row r="35319" customFormat="1" x14ac:dyDescent="0.25"/>
    <row r="35320" customFormat="1" x14ac:dyDescent="0.25"/>
    <row r="35321" customFormat="1" x14ac:dyDescent="0.25"/>
    <row r="35322" customFormat="1" x14ac:dyDescent="0.25"/>
    <row r="35323" customFormat="1" x14ac:dyDescent="0.25"/>
    <row r="35324" customFormat="1" x14ac:dyDescent="0.25"/>
    <row r="35325" customFormat="1" x14ac:dyDescent="0.25"/>
    <row r="35326" customFormat="1" x14ac:dyDescent="0.25"/>
    <row r="35327" customFormat="1" x14ac:dyDescent="0.25"/>
    <row r="35328" customFormat="1" x14ac:dyDescent="0.25"/>
    <row r="35329" customFormat="1" x14ac:dyDescent="0.25"/>
    <row r="35330" customFormat="1" x14ac:dyDescent="0.25"/>
    <row r="35331" customFormat="1" x14ac:dyDescent="0.25"/>
    <row r="35332" customFormat="1" x14ac:dyDescent="0.25"/>
    <row r="35333" customFormat="1" x14ac:dyDescent="0.25"/>
    <row r="35334" customFormat="1" x14ac:dyDescent="0.25"/>
    <row r="35335" customFormat="1" x14ac:dyDescent="0.25"/>
    <row r="35336" customFormat="1" x14ac:dyDescent="0.25"/>
    <row r="35337" customFormat="1" x14ac:dyDescent="0.25"/>
    <row r="35338" customFormat="1" x14ac:dyDescent="0.25"/>
    <row r="35339" customFormat="1" x14ac:dyDescent="0.25"/>
    <row r="35340" customFormat="1" x14ac:dyDescent="0.25"/>
    <row r="35341" customFormat="1" x14ac:dyDescent="0.25"/>
    <row r="35342" customFormat="1" x14ac:dyDescent="0.25"/>
    <row r="35343" customFormat="1" x14ac:dyDescent="0.25"/>
    <row r="35344" customFormat="1" x14ac:dyDescent="0.25"/>
    <row r="35345" customFormat="1" x14ac:dyDescent="0.25"/>
    <row r="35346" customFormat="1" x14ac:dyDescent="0.25"/>
    <row r="35347" customFormat="1" x14ac:dyDescent="0.25"/>
    <row r="35348" customFormat="1" x14ac:dyDescent="0.25"/>
    <row r="35349" customFormat="1" x14ac:dyDescent="0.25"/>
    <row r="35350" customFormat="1" x14ac:dyDescent="0.25"/>
    <row r="35351" customFormat="1" x14ac:dyDescent="0.25"/>
    <row r="35352" customFormat="1" x14ac:dyDescent="0.25"/>
    <row r="35353" customFormat="1" x14ac:dyDescent="0.25"/>
    <row r="35354" customFormat="1" x14ac:dyDescent="0.25"/>
    <row r="35355" customFormat="1" x14ac:dyDescent="0.25"/>
    <row r="35356" customFormat="1" x14ac:dyDescent="0.25"/>
    <row r="35357" customFormat="1" x14ac:dyDescent="0.25"/>
    <row r="35358" customFormat="1" x14ac:dyDescent="0.25"/>
    <row r="35359" customFormat="1" x14ac:dyDescent="0.25"/>
    <row r="35360" customFormat="1" x14ac:dyDescent="0.25"/>
    <row r="35361" customFormat="1" x14ac:dyDescent="0.25"/>
    <row r="35362" customFormat="1" x14ac:dyDescent="0.25"/>
    <row r="35363" customFormat="1" x14ac:dyDescent="0.25"/>
    <row r="35364" customFormat="1" x14ac:dyDescent="0.25"/>
    <row r="35365" customFormat="1" x14ac:dyDescent="0.25"/>
    <row r="35366" customFormat="1" x14ac:dyDescent="0.25"/>
    <row r="35367" customFormat="1" x14ac:dyDescent="0.25"/>
    <row r="35368" customFormat="1" x14ac:dyDescent="0.25"/>
    <row r="35369" customFormat="1" x14ac:dyDescent="0.25"/>
    <row r="35370" customFormat="1" x14ac:dyDescent="0.25"/>
    <row r="35371" customFormat="1" x14ac:dyDescent="0.25"/>
    <row r="35372" customFormat="1" x14ac:dyDescent="0.25"/>
    <row r="35373" customFormat="1" x14ac:dyDescent="0.25"/>
    <row r="35374" customFormat="1" x14ac:dyDescent="0.25"/>
    <row r="35375" customFormat="1" x14ac:dyDescent="0.25"/>
    <row r="35376" customFormat="1" x14ac:dyDescent="0.25"/>
    <row r="35377" customFormat="1" x14ac:dyDescent="0.25"/>
    <row r="35378" customFormat="1" x14ac:dyDescent="0.25"/>
    <row r="35379" customFormat="1" x14ac:dyDescent="0.25"/>
    <row r="35380" customFormat="1" x14ac:dyDescent="0.25"/>
    <row r="35381" customFormat="1" x14ac:dyDescent="0.25"/>
    <row r="35382" customFormat="1" x14ac:dyDescent="0.25"/>
    <row r="35383" customFormat="1" x14ac:dyDescent="0.25"/>
    <row r="35384" customFormat="1" x14ac:dyDescent="0.25"/>
    <row r="35385" customFormat="1" x14ac:dyDescent="0.25"/>
    <row r="35386" customFormat="1" x14ac:dyDescent="0.25"/>
    <row r="35387" customFormat="1" x14ac:dyDescent="0.25"/>
    <row r="35388" customFormat="1" x14ac:dyDescent="0.25"/>
    <row r="35389" customFormat="1" x14ac:dyDescent="0.25"/>
    <row r="35390" customFormat="1" x14ac:dyDescent="0.25"/>
    <row r="35391" customFormat="1" x14ac:dyDescent="0.25"/>
    <row r="35392" customFormat="1" x14ac:dyDescent="0.25"/>
    <row r="35393" customFormat="1" x14ac:dyDescent="0.25"/>
    <row r="35394" customFormat="1" x14ac:dyDescent="0.25"/>
    <row r="35395" customFormat="1" x14ac:dyDescent="0.25"/>
    <row r="35396" customFormat="1" x14ac:dyDescent="0.25"/>
    <row r="35397" customFormat="1" x14ac:dyDescent="0.25"/>
    <row r="35398" customFormat="1" x14ac:dyDescent="0.25"/>
    <row r="35399" customFormat="1" x14ac:dyDescent="0.25"/>
    <row r="35400" customFormat="1" x14ac:dyDescent="0.25"/>
    <row r="35401" customFormat="1" x14ac:dyDescent="0.25"/>
    <row r="35402" customFormat="1" x14ac:dyDescent="0.25"/>
    <row r="35403" customFormat="1" x14ac:dyDescent="0.25"/>
    <row r="35404" customFormat="1" x14ac:dyDescent="0.25"/>
    <row r="35405" customFormat="1" x14ac:dyDescent="0.25"/>
    <row r="35406" customFormat="1" x14ac:dyDescent="0.25"/>
    <row r="35407" customFormat="1" x14ac:dyDescent="0.25"/>
    <row r="35408" customFormat="1" x14ac:dyDescent="0.25"/>
    <row r="35409" customFormat="1" x14ac:dyDescent="0.25"/>
    <row r="35410" customFormat="1" x14ac:dyDescent="0.25"/>
    <row r="35411" customFormat="1" x14ac:dyDescent="0.25"/>
    <row r="35412" customFormat="1" x14ac:dyDescent="0.25"/>
    <row r="35413" customFormat="1" x14ac:dyDescent="0.25"/>
    <row r="35414" customFormat="1" x14ac:dyDescent="0.25"/>
    <row r="35415" customFormat="1" x14ac:dyDescent="0.25"/>
    <row r="35416" customFormat="1" x14ac:dyDescent="0.25"/>
    <row r="35417" customFormat="1" x14ac:dyDescent="0.25"/>
    <row r="35418" customFormat="1" x14ac:dyDescent="0.25"/>
    <row r="35419" customFormat="1" x14ac:dyDescent="0.25"/>
    <row r="35420" customFormat="1" x14ac:dyDescent="0.25"/>
    <row r="35421" customFormat="1" x14ac:dyDescent="0.25"/>
    <row r="35422" customFormat="1" x14ac:dyDescent="0.25"/>
    <row r="35423" customFormat="1" x14ac:dyDescent="0.25"/>
    <row r="35424" customFormat="1" x14ac:dyDescent="0.25"/>
    <row r="35425" customFormat="1" x14ac:dyDescent="0.25"/>
    <row r="35426" customFormat="1" x14ac:dyDescent="0.25"/>
    <row r="35427" customFormat="1" x14ac:dyDescent="0.25"/>
    <row r="35428" customFormat="1" x14ac:dyDescent="0.25"/>
    <row r="35429" customFormat="1" x14ac:dyDescent="0.25"/>
    <row r="35430" customFormat="1" x14ac:dyDescent="0.25"/>
    <row r="35431" customFormat="1" x14ac:dyDescent="0.25"/>
    <row r="35432" customFormat="1" x14ac:dyDescent="0.25"/>
    <row r="35433" customFormat="1" x14ac:dyDescent="0.25"/>
    <row r="35434" customFormat="1" x14ac:dyDescent="0.25"/>
    <row r="35435" customFormat="1" x14ac:dyDescent="0.25"/>
    <row r="35436" customFormat="1" x14ac:dyDescent="0.25"/>
    <row r="35437" customFormat="1" x14ac:dyDescent="0.25"/>
    <row r="35438" customFormat="1" x14ac:dyDescent="0.25"/>
    <row r="35439" customFormat="1" x14ac:dyDescent="0.25"/>
    <row r="35440" customFormat="1" x14ac:dyDescent="0.25"/>
    <row r="35441" customFormat="1" x14ac:dyDescent="0.25"/>
    <row r="35442" customFormat="1" x14ac:dyDescent="0.25"/>
    <row r="35443" customFormat="1" x14ac:dyDescent="0.25"/>
    <row r="35444" customFormat="1" x14ac:dyDescent="0.25"/>
    <row r="35445" customFormat="1" x14ac:dyDescent="0.25"/>
    <row r="35446" customFormat="1" x14ac:dyDescent="0.25"/>
    <row r="35447" customFormat="1" x14ac:dyDescent="0.25"/>
    <row r="35448" customFormat="1" x14ac:dyDescent="0.25"/>
    <row r="35449" customFormat="1" x14ac:dyDescent="0.25"/>
    <row r="35450" customFormat="1" x14ac:dyDescent="0.25"/>
    <row r="35451" customFormat="1" x14ac:dyDescent="0.25"/>
    <row r="35452" customFormat="1" x14ac:dyDescent="0.25"/>
    <row r="35453" customFormat="1" x14ac:dyDescent="0.25"/>
    <row r="35454" customFormat="1" x14ac:dyDescent="0.25"/>
    <row r="35455" customFormat="1" x14ac:dyDescent="0.25"/>
    <row r="35456" customFormat="1" x14ac:dyDescent="0.25"/>
    <row r="35457" customFormat="1" x14ac:dyDescent="0.25"/>
    <row r="35458" customFormat="1" x14ac:dyDescent="0.25"/>
    <row r="35459" customFormat="1" x14ac:dyDescent="0.25"/>
    <row r="35460" customFormat="1" x14ac:dyDescent="0.25"/>
    <row r="35461" customFormat="1" x14ac:dyDescent="0.25"/>
    <row r="35462" customFormat="1" x14ac:dyDescent="0.25"/>
    <row r="35463" customFormat="1" x14ac:dyDescent="0.25"/>
    <row r="35464" customFormat="1" x14ac:dyDescent="0.25"/>
    <row r="35465" customFormat="1" x14ac:dyDescent="0.25"/>
    <row r="35466" customFormat="1" x14ac:dyDescent="0.25"/>
    <row r="35467" customFormat="1" x14ac:dyDescent="0.25"/>
    <row r="35468" customFormat="1" x14ac:dyDescent="0.25"/>
    <row r="35469" customFormat="1" x14ac:dyDescent="0.25"/>
    <row r="35470" customFormat="1" x14ac:dyDescent="0.25"/>
    <row r="35471" customFormat="1" x14ac:dyDescent="0.25"/>
    <row r="35472" customFormat="1" x14ac:dyDescent="0.25"/>
    <row r="35473" customFormat="1" x14ac:dyDescent="0.25"/>
    <row r="35474" customFormat="1" x14ac:dyDescent="0.25"/>
    <row r="35475" customFormat="1" x14ac:dyDescent="0.25"/>
    <row r="35476" customFormat="1" x14ac:dyDescent="0.25"/>
    <row r="35477" customFormat="1" x14ac:dyDescent="0.25"/>
    <row r="35478" customFormat="1" x14ac:dyDescent="0.25"/>
    <row r="35479" customFormat="1" x14ac:dyDescent="0.25"/>
    <row r="35480" customFormat="1" x14ac:dyDescent="0.25"/>
    <row r="35481" customFormat="1" x14ac:dyDescent="0.25"/>
    <row r="35482" customFormat="1" x14ac:dyDescent="0.25"/>
    <row r="35483" customFormat="1" x14ac:dyDescent="0.25"/>
    <row r="35484" customFormat="1" x14ac:dyDescent="0.25"/>
    <row r="35485" customFormat="1" x14ac:dyDescent="0.25"/>
    <row r="35486" customFormat="1" x14ac:dyDescent="0.25"/>
    <row r="35487" customFormat="1" x14ac:dyDescent="0.25"/>
    <row r="35488" customFormat="1" x14ac:dyDescent="0.25"/>
    <row r="35489" customFormat="1" x14ac:dyDescent="0.25"/>
    <row r="35490" customFormat="1" x14ac:dyDescent="0.25"/>
    <row r="35491" customFormat="1" x14ac:dyDescent="0.25"/>
    <row r="35492" customFormat="1" x14ac:dyDescent="0.25"/>
    <row r="35493" customFormat="1" x14ac:dyDescent="0.25"/>
    <row r="35494" customFormat="1" x14ac:dyDescent="0.25"/>
    <row r="35495" customFormat="1" x14ac:dyDescent="0.25"/>
    <row r="35496" customFormat="1" x14ac:dyDescent="0.25"/>
    <row r="35497" customFormat="1" x14ac:dyDescent="0.25"/>
    <row r="35498" customFormat="1" x14ac:dyDescent="0.25"/>
    <row r="35499" customFormat="1" x14ac:dyDescent="0.25"/>
    <row r="35500" customFormat="1" x14ac:dyDescent="0.25"/>
    <row r="35501" customFormat="1" x14ac:dyDescent="0.25"/>
    <row r="35502" customFormat="1" x14ac:dyDescent="0.25"/>
    <row r="35503" customFormat="1" x14ac:dyDescent="0.25"/>
    <row r="35504" customFormat="1" x14ac:dyDescent="0.25"/>
    <row r="35505" customFormat="1" x14ac:dyDescent="0.25"/>
    <row r="35506" customFormat="1" x14ac:dyDescent="0.25"/>
    <row r="35507" customFormat="1" x14ac:dyDescent="0.25"/>
    <row r="35508" customFormat="1" x14ac:dyDescent="0.25"/>
    <row r="35509" customFormat="1" x14ac:dyDescent="0.25"/>
    <row r="35510" customFormat="1" x14ac:dyDescent="0.25"/>
    <row r="35511" customFormat="1" x14ac:dyDescent="0.25"/>
    <row r="35512" customFormat="1" x14ac:dyDescent="0.25"/>
    <row r="35513" customFormat="1" x14ac:dyDescent="0.25"/>
    <row r="35514" customFormat="1" x14ac:dyDescent="0.25"/>
    <row r="35515" customFormat="1" x14ac:dyDescent="0.25"/>
    <row r="35516" customFormat="1" x14ac:dyDescent="0.25"/>
    <row r="35517" customFormat="1" x14ac:dyDescent="0.25"/>
    <row r="35518" customFormat="1" x14ac:dyDescent="0.25"/>
    <row r="35519" customFormat="1" x14ac:dyDescent="0.25"/>
    <row r="35520" customFormat="1" x14ac:dyDescent="0.25"/>
    <row r="35521" customFormat="1" x14ac:dyDescent="0.25"/>
    <row r="35522" customFormat="1" x14ac:dyDescent="0.25"/>
    <row r="35523" customFormat="1" x14ac:dyDescent="0.25"/>
    <row r="35524" customFormat="1" x14ac:dyDescent="0.25"/>
    <row r="35525" customFormat="1" x14ac:dyDescent="0.25"/>
    <row r="35526" customFormat="1" x14ac:dyDescent="0.25"/>
    <row r="35527" customFormat="1" x14ac:dyDescent="0.25"/>
    <row r="35528" customFormat="1" x14ac:dyDescent="0.25"/>
    <row r="35529" customFormat="1" x14ac:dyDescent="0.25"/>
    <row r="35530" customFormat="1" x14ac:dyDescent="0.25"/>
    <row r="35531" customFormat="1" x14ac:dyDescent="0.25"/>
    <row r="35532" customFormat="1" x14ac:dyDescent="0.25"/>
    <row r="35533" customFormat="1" x14ac:dyDescent="0.25"/>
    <row r="35534" customFormat="1" x14ac:dyDescent="0.25"/>
    <row r="35535" customFormat="1" x14ac:dyDescent="0.25"/>
    <row r="35536" customFormat="1" x14ac:dyDescent="0.25"/>
    <row r="35537" customFormat="1" x14ac:dyDescent="0.25"/>
    <row r="35538" customFormat="1" x14ac:dyDescent="0.25"/>
    <row r="35539" customFormat="1" x14ac:dyDescent="0.25"/>
    <row r="35540" customFormat="1" x14ac:dyDescent="0.25"/>
    <row r="35541" customFormat="1" x14ac:dyDescent="0.25"/>
    <row r="35542" customFormat="1" x14ac:dyDescent="0.25"/>
    <row r="35543" customFormat="1" x14ac:dyDescent="0.25"/>
    <row r="35544" customFormat="1" x14ac:dyDescent="0.25"/>
    <row r="35545" customFormat="1" x14ac:dyDescent="0.25"/>
    <row r="35546" customFormat="1" x14ac:dyDescent="0.25"/>
    <row r="35547" customFormat="1" x14ac:dyDescent="0.25"/>
    <row r="35548" customFormat="1" x14ac:dyDescent="0.25"/>
    <row r="35549" customFormat="1" x14ac:dyDescent="0.25"/>
    <row r="35550" customFormat="1" x14ac:dyDescent="0.25"/>
    <row r="35551" customFormat="1" x14ac:dyDescent="0.25"/>
    <row r="35552" customFormat="1" x14ac:dyDescent="0.25"/>
    <row r="35553" customFormat="1" x14ac:dyDescent="0.25"/>
    <row r="35554" customFormat="1" x14ac:dyDescent="0.25"/>
    <row r="35555" customFormat="1" x14ac:dyDescent="0.25"/>
    <row r="35556" customFormat="1" x14ac:dyDescent="0.25"/>
    <row r="35557" customFormat="1" x14ac:dyDescent="0.25"/>
    <row r="35558" customFormat="1" x14ac:dyDescent="0.25"/>
    <row r="35559" customFormat="1" x14ac:dyDescent="0.25"/>
    <row r="35560" customFormat="1" x14ac:dyDescent="0.25"/>
    <row r="35561" customFormat="1" x14ac:dyDescent="0.25"/>
    <row r="35562" customFormat="1" x14ac:dyDescent="0.25"/>
    <row r="35563" customFormat="1" x14ac:dyDescent="0.25"/>
    <row r="35564" customFormat="1" x14ac:dyDescent="0.25"/>
    <row r="35565" customFormat="1" x14ac:dyDescent="0.25"/>
    <row r="35566" customFormat="1" x14ac:dyDescent="0.25"/>
    <row r="35567" customFormat="1" x14ac:dyDescent="0.25"/>
    <row r="35568" customFormat="1" x14ac:dyDescent="0.25"/>
    <row r="35569" customFormat="1" x14ac:dyDescent="0.25"/>
    <row r="35570" customFormat="1" x14ac:dyDescent="0.25"/>
    <row r="35571" customFormat="1" x14ac:dyDescent="0.25"/>
    <row r="35572" customFormat="1" x14ac:dyDescent="0.25"/>
    <row r="35573" customFormat="1" x14ac:dyDescent="0.25"/>
    <row r="35574" customFormat="1" x14ac:dyDescent="0.25"/>
    <row r="35575" customFormat="1" x14ac:dyDescent="0.25"/>
    <row r="35576" customFormat="1" x14ac:dyDescent="0.25"/>
    <row r="35577" customFormat="1" x14ac:dyDescent="0.25"/>
    <row r="35578" customFormat="1" x14ac:dyDescent="0.25"/>
    <row r="35579" customFormat="1" x14ac:dyDescent="0.25"/>
    <row r="35580" customFormat="1" x14ac:dyDescent="0.25"/>
    <row r="35581" customFormat="1" x14ac:dyDescent="0.25"/>
    <row r="35582" customFormat="1" x14ac:dyDescent="0.25"/>
    <row r="35583" customFormat="1" x14ac:dyDescent="0.25"/>
    <row r="35584" customFormat="1" x14ac:dyDescent="0.25"/>
    <row r="35585" customFormat="1" x14ac:dyDescent="0.25"/>
    <row r="35586" customFormat="1" x14ac:dyDescent="0.25"/>
    <row r="35587" customFormat="1" x14ac:dyDescent="0.25"/>
    <row r="35588" customFormat="1" x14ac:dyDescent="0.25"/>
    <row r="35589" customFormat="1" x14ac:dyDescent="0.25"/>
    <row r="35590" customFormat="1" x14ac:dyDescent="0.25"/>
    <row r="35591" customFormat="1" x14ac:dyDescent="0.25"/>
    <row r="35592" customFormat="1" x14ac:dyDescent="0.25"/>
    <row r="35593" customFormat="1" x14ac:dyDescent="0.25"/>
    <row r="35594" customFormat="1" x14ac:dyDescent="0.25"/>
    <row r="35595" customFormat="1" x14ac:dyDescent="0.25"/>
    <row r="35596" customFormat="1" x14ac:dyDescent="0.25"/>
    <row r="35597" customFormat="1" x14ac:dyDescent="0.25"/>
    <row r="35598" customFormat="1" x14ac:dyDescent="0.25"/>
    <row r="35599" customFormat="1" x14ac:dyDescent="0.25"/>
    <row r="35600" customFormat="1" x14ac:dyDescent="0.25"/>
    <row r="35601" customFormat="1" x14ac:dyDescent="0.25"/>
    <row r="35602" customFormat="1" x14ac:dyDescent="0.25"/>
    <row r="35603" customFormat="1" x14ac:dyDescent="0.25"/>
    <row r="35604" customFormat="1" x14ac:dyDescent="0.25"/>
    <row r="35605" customFormat="1" x14ac:dyDescent="0.25"/>
    <row r="35606" customFormat="1" x14ac:dyDescent="0.25"/>
    <row r="35607" customFormat="1" x14ac:dyDescent="0.25"/>
    <row r="35608" customFormat="1" x14ac:dyDescent="0.25"/>
    <row r="35609" customFormat="1" x14ac:dyDescent="0.25"/>
    <row r="35610" customFormat="1" x14ac:dyDescent="0.25"/>
    <row r="35611" customFormat="1" x14ac:dyDescent="0.25"/>
    <row r="35612" customFormat="1" x14ac:dyDescent="0.25"/>
    <row r="35613" customFormat="1" x14ac:dyDescent="0.25"/>
    <row r="35614" customFormat="1" x14ac:dyDescent="0.25"/>
    <row r="35615" customFormat="1" x14ac:dyDescent="0.25"/>
    <row r="35616" customFormat="1" x14ac:dyDescent="0.25"/>
    <row r="35617" customFormat="1" x14ac:dyDescent="0.25"/>
    <row r="35618" customFormat="1" x14ac:dyDescent="0.25"/>
    <row r="35619" customFormat="1" x14ac:dyDescent="0.25"/>
    <row r="35620" customFormat="1" x14ac:dyDescent="0.25"/>
    <row r="35621" customFormat="1" x14ac:dyDescent="0.25"/>
    <row r="35622" customFormat="1" x14ac:dyDescent="0.25"/>
    <row r="35623" customFormat="1" x14ac:dyDescent="0.25"/>
    <row r="35624" customFormat="1" x14ac:dyDescent="0.25"/>
    <row r="35625" customFormat="1" x14ac:dyDescent="0.25"/>
    <row r="35626" customFormat="1" x14ac:dyDescent="0.25"/>
    <row r="35627" customFormat="1" x14ac:dyDescent="0.25"/>
    <row r="35628" customFormat="1" x14ac:dyDescent="0.25"/>
    <row r="35629" customFormat="1" x14ac:dyDescent="0.25"/>
    <row r="35630" customFormat="1" x14ac:dyDescent="0.25"/>
    <row r="35631" customFormat="1" x14ac:dyDescent="0.25"/>
    <row r="35632" customFormat="1" x14ac:dyDescent="0.25"/>
    <row r="35633" customFormat="1" x14ac:dyDescent="0.25"/>
    <row r="35634" customFormat="1" x14ac:dyDescent="0.25"/>
    <row r="35635" customFormat="1" x14ac:dyDescent="0.25"/>
    <row r="35636" customFormat="1" x14ac:dyDescent="0.25"/>
    <row r="35637" customFormat="1" x14ac:dyDescent="0.25"/>
    <row r="35638" customFormat="1" x14ac:dyDescent="0.25"/>
    <row r="35639" customFormat="1" x14ac:dyDescent="0.25"/>
    <row r="35640" customFormat="1" x14ac:dyDescent="0.25"/>
    <row r="35641" customFormat="1" x14ac:dyDescent="0.25"/>
    <row r="35642" customFormat="1" x14ac:dyDescent="0.25"/>
    <row r="35643" customFormat="1" x14ac:dyDescent="0.25"/>
    <row r="35644" customFormat="1" x14ac:dyDescent="0.25"/>
    <row r="35645" customFormat="1" x14ac:dyDescent="0.25"/>
    <row r="35646" customFormat="1" x14ac:dyDescent="0.25"/>
    <row r="35647" customFormat="1" x14ac:dyDescent="0.25"/>
    <row r="35648" customFormat="1" x14ac:dyDescent="0.25"/>
    <row r="35649" customFormat="1" x14ac:dyDescent="0.25"/>
    <row r="35650" customFormat="1" x14ac:dyDescent="0.25"/>
    <row r="35651" customFormat="1" x14ac:dyDescent="0.25"/>
    <row r="35652" customFormat="1" x14ac:dyDescent="0.25"/>
    <row r="35653" customFormat="1" x14ac:dyDescent="0.25"/>
    <row r="35654" customFormat="1" x14ac:dyDescent="0.25"/>
    <row r="35655" customFormat="1" x14ac:dyDescent="0.25"/>
    <row r="35656" customFormat="1" x14ac:dyDescent="0.25"/>
    <row r="35657" customFormat="1" x14ac:dyDescent="0.25"/>
    <row r="35658" customFormat="1" x14ac:dyDescent="0.25"/>
    <row r="35659" customFormat="1" x14ac:dyDescent="0.25"/>
    <row r="35660" customFormat="1" x14ac:dyDescent="0.25"/>
    <row r="35661" customFormat="1" x14ac:dyDescent="0.25"/>
    <row r="35662" customFormat="1" x14ac:dyDescent="0.25"/>
    <row r="35663" customFormat="1" x14ac:dyDescent="0.25"/>
    <row r="35664" customFormat="1" x14ac:dyDescent="0.25"/>
    <row r="35665" customFormat="1" x14ac:dyDescent="0.25"/>
    <row r="35666" customFormat="1" x14ac:dyDescent="0.25"/>
    <row r="35667" customFormat="1" x14ac:dyDescent="0.25"/>
    <row r="35668" customFormat="1" x14ac:dyDescent="0.25"/>
    <row r="35669" customFormat="1" x14ac:dyDescent="0.25"/>
    <row r="35670" customFormat="1" x14ac:dyDescent="0.25"/>
    <row r="35671" customFormat="1" x14ac:dyDescent="0.25"/>
    <row r="35672" customFormat="1" x14ac:dyDescent="0.25"/>
    <row r="35673" customFormat="1" x14ac:dyDescent="0.25"/>
    <row r="35674" customFormat="1" x14ac:dyDescent="0.25"/>
    <row r="35675" customFormat="1" x14ac:dyDescent="0.25"/>
    <row r="35676" customFormat="1" x14ac:dyDescent="0.25"/>
    <row r="35677" customFormat="1" x14ac:dyDescent="0.25"/>
    <row r="35678" customFormat="1" x14ac:dyDescent="0.25"/>
    <row r="35679" customFormat="1" x14ac:dyDescent="0.25"/>
    <row r="35680" customFormat="1" x14ac:dyDescent="0.25"/>
    <row r="35681" customFormat="1" x14ac:dyDescent="0.25"/>
    <row r="35682" customFormat="1" x14ac:dyDescent="0.25"/>
    <row r="35683" customFormat="1" x14ac:dyDescent="0.25"/>
    <row r="35684" customFormat="1" x14ac:dyDescent="0.25"/>
    <row r="35685" customFormat="1" x14ac:dyDescent="0.25"/>
    <row r="35686" customFormat="1" x14ac:dyDescent="0.25"/>
    <row r="35687" customFormat="1" x14ac:dyDescent="0.25"/>
    <row r="35688" customFormat="1" x14ac:dyDescent="0.25"/>
    <row r="35689" customFormat="1" x14ac:dyDescent="0.25"/>
    <row r="35690" customFormat="1" x14ac:dyDescent="0.25"/>
    <row r="35691" customFormat="1" x14ac:dyDescent="0.25"/>
    <row r="35692" customFormat="1" x14ac:dyDescent="0.25"/>
    <row r="35693" customFormat="1" x14ac:dyDescent="0.25"/>
    <row r="35694" customFormat="1" x14ac:dyDescent="0.25"/>
    <row r="35695" customFormat="1" x14ac:dyDescent="0.25"/>
    <row r="35696" customFormat="1" x14ac:dyDescent="0.25"/>
    <row r="35697" customFormat="1" x14ac:dyDescent="0.25"/>
    <row r="35698" customFormat="1" x14ac:dyDescent="0.25"/>
    <row r="35699" customFormat="1" x14ac:dyDescent="0.25"/>
    <row r="35700" customFormat="1" x14ac:dyDescent="0.25"/>
    <row r="35701" customFormat="1" x14ac:dyDescent="0.25"/>
    <row r="35702" customFormat="1" x14ac:dyDescent="0.25"/>
    <row r="35703" customFormat="1" x14ac:dyDescent="0.25"/>
    <row r="35704" customFormat="1" x14ac:dyDescent="0.25"/>
    <row r="35705" customFormat="1" x14ac:dyDescent="0.25"/>
    <row r="35706" customFormat="1" x14ac:dyDescent="0.25"/>
    <row r="35707" customFormat="1" x14ac:dyDescent="0.25"/>
    <row r="35708" customFormat="1" x14ac:dyDescent="0.25"/>
    <row r="35709" customFormat="1" x14ac:dyDescent="0.25"/>
    <row r="35710" customFormat="1" x14ac:dyDescent="0.25"/>
    <row r="35711" customFormat="1" x14ac:dyDescent="0.25"/>
    <row r="35712" customFormat="1" x14ac:dyDescent="0.25"/>
    <row r="35713" customFormat="1" x14ac:dyDescent="0.25"/>
    <row r="35714" customFormat="1" x14ac:dyDescent="0.25"/>
    <row r="35715" customFormat="1" x14ac:dyDescent="0.25"/>
    <row r="35716" customFormat="1" x14ac:dyDescent="0.25"/>
    <row r="35717" customFormat="1" x14ac:dyDescent="0.25"/>
    <row r="35718" customFormat="1" x14ac:dyDescent="0.25"/>
    <row r="35719" customFormat="1" x14ac:dyDescent="0.25"/>
    <row r="35720" customFormat="1" x14ac:dyDescent="0.25"/>
    <row r="35721" customFormat="1" x14ac:dyDescent="0.25"/>
    <row r="35722" customFormat="1" x14ac:dyDescent="0.25"/>
    <row r="35723" customFormat="1" x14ac:dyDescent="0.25"/>
    <row r="35724" customFormat="1" x14ac:dyDescent="0.25"/>
    <row r="35725" customFormat="1" x14ac:dyDescent="0.25"/>
    <row r="35726" customFormat="1" x14ac:dyDescent="0.25"/>
    <row r="35727" customFormat="1" x14ac:dyDescent="0.25"/>
    <row r="35728" customFormat="1" x14ac:dyDescent="0.25"/>
    <row r="35729" customFormat="1" x14ac:dyDescent="0.25"/>
    <row r="35730" customFormat="1" x14ac:dyDescent="0.25"/>
    <row r="35731" customFormat="1" x14ac:dyDescent="0.25"/>
    <row r="35732" customFormat="1" x14ac:dyDescent="0.25"/>
    <row r="35733" customFormat="1" x14ac:dyDescent="0.25"/>
    <row r="35734" customFormat="1" x14ac:dyDescent="0.25"/>
    <row r="35735" customFormat="1" x14ac:dyDescent="0.25"/>
    <row r="35736" customFormat="1" x14ac:dyDescent="0.25"/>
    <row r="35737" customFormat="1" x14ac:dyDescent="0.25"/>
    <row r="35738" customFormat="1" x14ac:dyDescent="0.25"/>
    <row r="35739" customFormat="1" x14ac:dyDescent="0.25"/>
    <row r="35740" customFormat="1" x14ac:dyDescent="0.25"/>
    <row r="35741" customFormat="1" x14ac:dyDescent="0.25"/>
    <row r="35742" customFormat="1" x14ac:dyDescent="0.25"/>
    <row r="35743" customFormat="1" x14ac:dyDescent="0.25"/>
    <row r="35744" customFormat="1" x14ac:dyDescent="0.25"/>
    <row r="35745" customFormat="1" x14ac:dyDescent="0.25"/>
    <row r="35746" customFormat="1" x14ac:dyDescent="0.25"/>
    <row r="35747" customFormat="1" x14ac:dyDescent="0.25"/>
    <row r="35748" customFormat="1" x14ac:dyDescent="0.25"/>
    <row r="35749" customFormat="1" x14ac:dyDescent="0.25"/>
    <row r="35750" customFormat="1" x14ac:dyDescent="0.25"/>
    <row r="35751" customFormat="1" x14ac:dyDescent="0.25"/>
    <row r="35752" customFormat="1" x14ac:dyDescent="0.25"/>
    <row r="35753" customFormat="1" x14ac:dyDescent="0.25"/>
    <row r="35754" customFormat="1" x14ac:dyDescent="0.25"/>
    <row r="35755" customFormat="1" x14ac:dyDescent="0.25"/>
    <row r="35756" customFormat="1" x14ac:dyDescent="0.25"/>
    <row r="35757" customFormat="1" x14ac:dyDescent="0.25"/>
    <row r="35758" customFormat="1" x14ac:dyDescent="0.25"/>
    <row r="35759" customFormat="1" x14ac:dyDescent="0.25"/>
    <row r="35760" customFormat="1" x14ac:dyDescent="0.25"/>
    <row r="35761" customFormat="1" x14ac:dyDescent="0.25"/>
    <row r="35762" customFormat="1" x14ac:dyDescent="0.25"/>
    <row r="35763" customFormat="1" x14ac:dyDescent="0.25"/>
    <row r="35764" customFormat="1" x14ac:dyDescent="0.25"/>
    <row r="35765" customFormat="1" x14ac:dyDescent="0.25"/>
    <row r="35766" customFormat="1" x14ac:dyDescent="0.25"/>
    <row r="35767" customFormat="1" x14ac:dyDescent="0.25"/>
    <row r="35768" customFormat="1" x14ac:dyDescent="0.25"/>
    <row r="35769" customFormat="1" x14ac:dyDescent="0.25"/>
    <row r="35770" customFormat="1" x14ac:dyDescent="0.25"/>
    <row r="35771" customFormat="1" x14ac:dyDescent="0.25"/>
    <row r="35772" customFormat="1" x14ac:dyDescent="0.25"/>
    <row r="35773" customFormat="1" x14ac:dyDescent="0.25"/>
    <row r="35774" customFormat="1" x14ac:dyDescent="0.25"/>
    <row r="35775" customFormat="1" x14ac:dyDescent="0.25"/>
    <row r="35776" customFormat="1" x14ac:dyDescent="0.25"/>
    <row r="35777" customFormat="1" x14ac:dyDescent="0.25"/>
    <row r="35778" customFormat="1" x14ac:dyDescent="0.25"/>
    <row r="35779" customFormat="1" x14ac:dyDescent="0.25"/>
    <row r="35780" customFormat="1" x14ac:dyDescent="0.25"/>
    <row r="35781" customFormat="1" x14ac:dyDescent="0.25"/>
    <row r="35782" customFormat="1" x14ac:dyDescent="0.25"/>
    <row r="35783" customFormat="1" x14ac:dyDescent="0.25"/>
    <row r="35784" customFormat="1" x14ac:dyDescent="0.25"/>
    <row r="35785" customFormat="1" x14ac:dyDescent="0.25"/>
    <row r="35786" customFormat="1" x14ac:dyDescent="0.25"/>
    <row r="35787" customFormat="1" x14ac:dyDescent="0.25"/>
    <row r="35788" customFormat="1" x14ac:dyDescent="0.25"/>
    <row r="35789" customFormat="1" x14ac:dyDescent="0.25"/>
    <row r="35790" customFormat="1" x14ac:dyDescent="0.25"/>
    <row r="35791" customFormat="1" x14ac:dyDescent="0.25"/>
    <row r="35792" customFormat="1" x14ac:dyDescent="0.25"/>
    <row r="35793" customFormat="1" x14ac:dyDescent="0.25"/>
    <row r="35794" customFormat="1" x14ac:dyDescent="0.25"/>
    <row r="35795" customFormat="1" x14ac:dyDescent="0.25"/>
    <row r="35796" customFormat="1" x14ac:dyDescent="0.25"/>
    <row r="35797" customFormat="1" x14ac:dyDescent="0.25"/>
    <row r="35798" customFormat="1" x14ac:dyDescent="0.25"/>
    <row r="35799" customFormat="1" x14ac:dyDescent="0.25"/>
    <row r="35800" customFormat="1" x14ac:dyDescent="0.25"/>
    <row r="35801" customFormat="1" x14ac:dyDescent="0.25"/>
    <row r="35802" customFormat="1" x14ac:dyDescent="0.25"/>
    <row r="35803" customFormat="1" x14ac:dyDescent="0.25"/>
    <row r="35804" customFormat="1" x14ac:dyDescent="0.25"/>
    <row r="35805" customFormat="1" x14ac:dyDescent="0.25"/>
    <row r="35806" customFormat="1" x14ac:dyDescent="0.25"/>
    <row r="35807" customFormat="1" x14ac:dyDescent="0.25"/>
    <row r="35808" customFormat="1" x14ac:dyDescent="0.25"/>
    <row r="35809" customFormat="1" x14ac:dyDescent="0.25"/>
    <row r="35810" customFormat="1" x14ac:dyDescent="0.25"/>
    <row r="35811" customFormat="1" x14ac:dyDescent="0.25"/>
    <row r="35812" customFormat="1" x14ac:dyDescent="0.25"/>
    <row r="35813" customFormat="1" x14ac:dyDescent="0.25"/>
    <row r="35814" customFormat="1" x14ac:dyDescent="0.25"/>
    <row r="35815" customFormat="1" x14ac:dyDescent="0.25"/>
    <row r="35816" customFormat="1" x14ac:dyDescent="0.25"/>
    <row r="35817" customFormat="1" x14ac:dyDescent="0.25"/>
    <row r="35818" customFormat="1" x14ac:dyDescent="0.25"/>
    <row r="35819" customFormat="1" x14ac:dyDescent="0.25"/>
    <row r="35820" customFormat="1" x14ac:dyDescent="0.25"/>
    <row r="35821" customFormat="1" x14ac:dyDescent="0.25"/>
    <row r="35822" customFormat="1" x14ac:dyDescent="0.25"/>
    <row r="35823" customFormat="1" x14ac:dyDescent="0.25"/>
    <row r="35824" customFormat="1" x14ac:dyDescent="0.25"/>
    <row r="35825" customFormat="1" x14ac:dyDescent="0.25"/>
    <row r="35826" customFormat="1" x14ac:dyDescent="0.25"/>
    <row r="35827" customFormat="1" x14ac:dyDescent="0.25"/>
    <row r="35828" customFormat="1" x14ac:dyDescent="0.25"/>
    <row r="35829" customFormat="1" x14ac:dyDescent="0.25"/>
    <row r="35830" customFormat="1" x14ac:dyDescent="0.25"/>
    <row r="35831" customFormat="1" x14ac:dyDescent="0.25"/>
    <row r="35832" customFormat="1" x14ac:dyDescent="0.25"/>
    <row r="35833" customFormat="1" x14ac:dyDescent="0.25"/>
    <row r="35834" customFormat="1" x14ac:dyDescent="0.25"/>
    <row r="35835" customFormat="1" x14ac:dyDescent="0.25"/>
    <row r="35836" customFormat="1" x14ac:dyDescent="0.25"/>
    <row r="35837" customFormat="1" x14ac:dyDescent="0.25"/>
    <row r="35838" customFormat="1" x14ac:dyDescent="0.25"/>
    <row r="35839" customFormat="1" x14ac:dyDescent="0.25"/>
    <row r="35840" customFormat="1" x14ac:dyDescent="0.25"/>
    <row r="35841" customFormat="1" x14ac:dyDescent="0.25"/>
    <row r="35842" customFormat="1" x14ac:dyDescent="0.25"/>
    <row r="35843" customFormat="1" x14ac:dyDescent="0.25"/>
    <row r="35844" customFormat="1" x14ac:dyDescent="0.25"/>
    <row r="35845" customFormat="1" x14ac:dyDescent="0.25"/>
    <row r="35846" customFormat="1" x14ac:dyDescent="0.25"/>
    <row r="35847" customFormat="1" x14ac:dyDescent="0.25"/>
    <row r="35848" customFormat="1" x14ac:dyDescent="0.25"/>
    <row r="35849" customFormat="1" x14ac:dyDescent="0.25"/>
    <row r="35850" customFormat="1" x14ac:dyDescent="0.25"/>
    <row r="35851" customFormat="1" x14ac:dyDescent="0.25"/>
    <row r="35852" customFormat="1" x14ac:dyDescent="0.25"/>
    <row r="35853" customFormat="1" x14ac:dyDescent="0.25"/>
    <row r="35854" customFormat="1" x14ac:dyDescent="0.25"/>
    <row r="35855" customFormat="1" x14ac:dyDescent="0.25"/>
    <row r="35856" customFormat="1" x14ac:dyDescent="0.25"/>
    <row r="35857" customFormat="1" x14ac:dyDescent="0.25"/>
    <row r="35858" customFormat="1" x14ac:dyDescent="0.25"/>
    <row r="35859" customFormat="1" x14ac:dyDescent="0.25"/>
    <row r="35860" customFormat="1" x14ac:dyDescent="0.25"/>
    <row r="35861" customFormat="1" x14ac:dyDescent="0.25"/>
    <row r="35862" customFormat="1" x14ac:dyDescent="0.25"/>
    <row r="35863" customFormat="1" x14ac:dyDescent="0.25"/>
    <row r="35864" customFormat="1" x14ac:dyDescent="0.25"/>
    <row r="35865" customFormat="1" x14ac:dyDescent="0.25"/>
    <row r="35866" customFormat="1" x14ac:dyDescent="0.25"/>
    <row r="35867" customFormat="1" x14ac:dyDescent="0.25"/>
    <row r="35868" customFormat="1" x14ac:dyDescent="0.25"/>
    <row r="35869" customFormat="1" x14ac:dyDescent="0.25"/>
    <row r="35870" customFormat="1" x14ac:dyDescent="0.25"/>
    <row r="35871" customFormat="1" x14ac:dyDescent="0.25"/>
    <row r="35872" customFormat="1" x14ac:dyDescent="0.25"/>
    <row r="35873" customFormat="1" x14ac:dyDescent="0.25"/>
    <row r="35874" customFormat="1" x14ac:dyDescent="0.25"/>
    <row r="35875" customFormat="1" x14ac:dyDescent="0.25"/>
    <row r="35876" customFormat="1" x14ac:dyDescent="0.25"/>
    <row r="35877" customFormat="1" x14ac:dyDescent="0.25"/>
    <row r="35878" customFormat="1" x14ac:dyDescent="0.25"/>
    <row r="35879" customFormat="1" x14ac:dyDescent="0.25"/>
    <row r="35880" customFormat="1" x14ac:dyDescent="0.25"/>
    <row r="35881" customFormat="1" x14ac:dyDescent="0.25"/>
    <row r="35882" customFormat="1" x14ac:dyDescent="0.25"/>
    <row r="35883" customFormat="1" x14ac:dyDescent="0.25"/>
    <row r="35884" customFormat="1" x14ac:dyDescent="0.25"/>
    <row r="35885" customFormat="1" x14ac:dyDescent="0.25"/>
    <row r="35886" customFormat="1" x14ac:dyDescent="0.25"/>
    <row r="35887" customFormat="1" x14ac:dyDescent="0.25"/>
    <row r="35888" customFormat="1" x14ac:dyDescent="0.25"/>
    <row r="35889" customFormat="1" x14ac:dyDescent="0.25"/>
    <row r="35890" customFormat="1" x14ac:dyDescent="0.25"/>
    <row r="35891" customFormat="1" x14ac:dyDescent="0.25"/>
    <row r="35892" customFormat="1" x14ac:dyDescent="0.25"/>
    <row r="35893" customFormat="1" x14ac:dyDescent="0.25"/>
    <row r="35894" customFormat="1" x14ac:dyDescent="0.25"/>
    <row r="35895" customFormat="1" x14ac:dyDescent="0.25"/>
    <row r="35896" customFormat="1" x14ac:dyDescent="0.25"/>
    <row r="35897" customFormat="1" x14ac:dyDescent="0.25"/>
    <row r="35898" customFormat="1" x14ac:dyDescent="0.25"/>
    <row r="35899" customFormat="1" x14ac:dyDescent="0.25"/>
    <row r="35900" customFormat="1" x14ac:dyDescent="0.25"/>
    <row r="35901" customFormat="1" x14ac:dyDescent="0.25"/>
    <row r="35902" customFormat="1" x14ac:dyDescent="0.25"/>
    <row r="35903" customFormat="1" x14ac:dyDescent="0.25"/>
    <row r="35904" customFormat="1" x14ac:dyDescent="0.25"/>
    <row r="35905" customFormat="1" x14ac:dyDescent="0.25"/>
    <row r="35906" customFormat="1" x14ac:dyDescent="0.25"/>
    <row r="35907" customFormat="1" x14ac:dyDescent="0.25"/>
    <row r="35908" customFormat="1" x14ac:dyDescent="0.25"/>
    <row r="35909" customFormat="1" x14ac:dyDescent="0.25"/>
    <row r="35910" customFormat="1" x14ac:dyDescent="0.25"/>
    <row r="35911" customFormat="1" x14ac:dyDescent="0.25"/>
    <row r="35912" customFormat="1" x14ac:dyDescent="0.25"/>
    <row r="35913" customFormat="1" x14ac:dyDescent="0.25"/>
    <row r="35914" customFormat="1" x14ac:dyDescent="0.25"/>
    <row r="35915" customFormat="1" x14ac:dyDescent="0.25"/>
    <row r="35916" customFormat="1" x14ac:dyDescent="0.25"/>
    <row r="35917" customFormat="1" x14ac:dyDescent="0.25"/>
    <row r="35918" customFormat="1" x14ac:dyDescent="0.25"/>
    <row r="35919" customFormat="1" x14ac:dyDescent="0.25"/>
    <row r="35920" customFormat="1" x14ac:dyDescent="0.25"/>
    <row r="35921" customFormat="1" x14ac:dyDescent="0.25"/>
    <row r="35922" customFormat="1" x14ac:dyDescent="0.25"/>
    <row r="35923" customFormat="1" x14ac:dyDescent="0.25"/>
    <row r="35924" customFormat="1" x14ac:dyDescent="0.25"/>
    <row r="35925" customFormat="1" x14ac:dyDescent="0.25"/>
    <row r="35926" customFormat="1" x14ac:dyDescent="0.25"/>
    <row r="35927" customFormat="1" x14ac:dyDescent="0.25"/>
    <row r="35928" customFormat="1" x14ac:dyDescent="0.25"/>
    <row r="35929" customFormat="1" x14ac:dyDescent="0.25"/>
    <row r="35930" customFormat="1" x14ac:dyDescent="0.25"/>
    <row r="35931" customFormat="1" x14ac:dyDescent="0.25"/>
    <row r="35932" customFormat="1" x14ac:dyDescent="0.25"/>
    <row r="35933" customFormat="1" x14ac:dyDescent="0.25"/>
    <row r="35934" customFormat="1" x14ac:dyDescent="0.25"/>
    <row r="35935" customFormat="1" x14ac:dyDescent="0.25"/>
    <row r="35936" customFormat="1" x14ac:dyDescent="0.25"/>
    <row r="35937" customFormat="1" x14ac:dyDescent="0.25"/>
    <row r="35938" customFormat="1" x14ac:dyDescent="0.25"/>
    <row r="35939" customFormat="1" x14ac:dyDescent="0.25"/>
    <row r="35940" customFormat="1" x14ac:dyDescent="0.25"/>
    <row r="35941" customFormat="1" x14ac:dyDescent="0.25"/>
    <row r="35942" customFormat="1" x14ac:dyDescent="0.25"/>
    <row r="35943" customFormat="1" x14ac:dyDescent="0.25"/>
    <row r="35944" customFormat="1" x14ac:dyDescent="0.25"/>
    <row r="35945" customFormat="1" x14ac:dyDescent="0.25"/>
    <row r="35946" customFormat="1" x14ac:dyDescent="0.25"/>
    <row r="35947" customFormat="1" x14ac:dyDescent="0.25"/>
    <row r="35948" customFormat="1" x14ac:dyDescent="0.25"/>
    <row r="35949" customFormat="1" x14ac:dyDescent="0.25"/>
    <row r="35950" customFormat="1" x14ac:dyDescent="0.25"/>
    <row r="35951" customFormat="1" x14ac:dyDescent="0.25"/>
    <row r="35952" customFormat="1" x14ac:dyDescent="0.25"/>
    <row r="35953" customFormat="1" x14ac:dyDescent="0.25"/>
    <row r="35954" customFormat="1" x14ac:dyDescent="0.25"/>
    <row r="35955" customFormat="1" x14ac:dyDescent="0.25"/>
    <row r="35956" customFormat="1" x14ac:dyDescent="0.25"/>
    <row r="35957" customFormat="1" x14ac:dyDescent="0.25"/>
    <row r="35958" customFormat="1" x14ac:dyDescent="0.25"/>
    <row r="35959" customFormat="1" x14ac:dyDescent="0.25"/>
    <row r="35960" customFormat="1" x14ac:dyDescent="0.25"/>
    <row r="35961" customFormat="1" x14ac:dyDescent="0.25"/>
    <row r="35962" customFormat="1" x14ac:dyDescent="0.25"/>
    <row r="35963" customFormat="1" x14ac:dyDescent="0.25"/>
    <row r="35964" customFormat="1" x14ac:dyDescent="0.25"/>
    <row r="35965" customFormat="1" x14ac:dyDescent="0.25"/>
    <row r="35966" customFormat="1" x14ac:dyDescent="0.25"/>
    <row r="35967" customFormat="1" x14ac:dyDescent="0.25"/>
    <row r="35968" customFormat="1" x14ac:dyDescent="0.25"/>
    <row r="35969" customFormat="1" x14ac:dyDescent="0.25"/>
    <row r="35970" customFormat="1" x14ac:dyDescent="0.25"/>
    <row r="35971" customFormat="1" x14ac:dyDescent="0.25"/>
    <row r="35972" customFormat="1" x14ac:dyDescent="0.25"/>
    <row r="35973" customFormat="1" x14ac:dyDescent="0.25"/>
    <row r="35974" customFormat="1" x14ac:dyDescent="0.25"/>
    <row r="35975" customFormat="1" x14ac:dyDescent="0.25"/>
    <row r="35976" customFormat="1" x14ac:dyDescent="0.25"/>
    <row r="35977" customFormat="1" x14ac:dyDescent="0.25"/>
    <row r="35978" customFormat="1" x14ac:dyDescent="0.25"/>
    <row r="35979" customFormat="1" x14ac:dyDescent="0.25"/>
    <row r="35980" customFormat="1" x14ac:dyDescent="0.25"/>
    <row r="35981" customFormat="1" x14ac:dyDescent="0.25"/>
    <row r="35982" customFormat="1" x14ac:dyDescent="0.25"/>
    <row r="35983" customFormat="1" x14ac:dyDescent="0.25"/>
    <row r="35984" customFormat="1" x14ac:dyDescent="0.25"/>
    <row r="35985" customFormat="1" x14ac:dyDescent="0.25"/>
    <row r="35986" customFormat="1" x14ac:dyDescent="0.25"/>
    <row r="35987" customFormat="1" x14ac:dyDescent="0.25"/>
    <row r="35988" customFormat="1" x14ac:dyDescent="0.25"/>
    <row r="35989" customFormat="1" x14ac:dyDescent="0.25"/>
    <row r="35990" customFormat="1" x14ac:dyDescent="0.25"/>
    <row r="35991" customFormat="1" x14ac:dyDescent="0.25"/>
    <row r="35992" customFormat="1" x14ac:dyDescent="0.25"/>
    <row r="35993" customFormat="1" x14ac:dyDescent="0.25"/>
    <row r="35994" customFormat="1" x14ac:dyDescent="0.25"/>
    <row r="35995" customFormat="1" x14ac:dyDescent="0.25"/>
    <row r="35996" customFormat="1" x14ac:dyDescent="0.25"/>
    <row r="35997" customFormat="1" x14ac:dyDescent="0.25"/>
    <row r="35998" customFormat="1" x14ac:dyDescent="0.25"/>
    <row r="35999" customFormat="1" x14ac:dyDescent="0.25"/>
    <row r="36000" customFormat="1" x14ac:dyDescent="0.25"/>
    <row r="36001" customFormat="1" x14ac:dyDescent="0.25"/>
    <row r="36002" customFormat="1" x14ac:dyDescent="0.25"/>
    <row r="36003" customFormat="1" x14ac:dyDescent="0.25"/>
    <row r="36004" customFormat="1" x14ac:dyDescent="0.25"/>
    <row r="36005" customFormat="1" x14ac:dyDescent="0.25"/>
    <row r="36006" customFormat="1" x14ac:dyDescent="0.25"/>
    <row r="36007" customFormat="1" x14ac:dyDescent="0.25"/>
    <row r="36008" customFormat="1" x14ac:dyDescent="0.25"/>
    <row r="36009" customFormat="1" x14ac:dyDescent="0.25"/>
    <row r="36010" customFormat="1" x14ac:dyDescent="0.25"/>
    <row r="36011" customFormat="1" x14ac:dyDescent="0.25"/>
    <row r="36012" customFormat="1" x14ac:dyDescent="0.25"/>
    <row r="36013" customFormat="1" x14ac:dyDescent="0.25"/>
    <row r="36014" customFormat="1" x14ac:dyDescent="0.25"/>
    <row r="36015" customFormat="1" x14ac:dyDescent="0.25"/>
    <row r="36016" customFormat="1" x14ac:dyDescent="0.25"/>
    <row r="36017" customFormat="1" x14ac:dyDescent="0.25"/>
    <row r="36018" customFormat="1" x14ac:dyDescent="0.25"/>
    <row r="36019" customFormat="1" x14ac:dyDescent="0.25"/>
    <row r="36020" customFormat="1" x14ac:dyDescent="0.25"/>
    <row r="36021" customFormat="1" x14ac:dyDescent="0.25"/>
    <row r="36022" customFormat="1" x14ac:dyDescent="0.25"/>
    <row r="36023" customFormat="1" x14ac:dyDescent="0.25"/>
    <row r="36024" customFormat="1" x14ac:dyDescent="0.25"/>
    <row r="36025" customFormat="1" x14ac:dyDescent="0.25"/>
    <row r="36026" customFormat="1" x14ac:dyDescent="0.25"/>
    <row r="36027" customFormat="1" x14ac:dyDescent="0.25"/>
    <row r="36028" customFormat="1" x14ac:dyDescent="0.25"/>
    <row r="36029" customFormat="1" x14ac:dyDescent="0.25"/>
    <row r="36030" customFormat="1" x14ac:dyDescent="0.25"/>
    <row r="36031" customFormat="1" x14ac:dyDescent="0.25"/>
    <row r="36032" customFormat="1" x14ac:dyDescent="0.25"/>
    <row r="36033" customFormat="1" x14ac:dyDescent="0.25"/>
    <row r="36034" customFormat="1" x14ac:dyDescent="0.25"/>
    <row r="36035" customFormat="1" x14ac:dyDescent="0.25"/>
    <row r="36036" customFormat="1" x14ac:dyDescent="0.25"/>
    <row r="36037" customFormat="1" x14ac:dyDescent="0.25"/>
    <row r="36038" customFormat="1" x14ac:dyDescent="0.25"/>
    <row r="36039" customFormat="1" x14ac:dyDescent="0.25"/>
    <row r="36040" customFormat="1" x14ac:dyDescent="0.25"/>
    <row r="36041" customFormat="1" x14ac:dyDescent="0.25"/>
    <row r="36042" customFormat="1" x14ac:dyDescent="0.25"/>
    <row r="36043" customFormat="1" x14ac:dyDescent="0.25"/>
    <row r="36044" customFormat="1" x14ac:dyDescent="0.25"/>
    <row r="36045" customFormat="1" x14ac:dyDescent="0.25"/>
    <row r="36046" customFormat="1" x14ac:dyDescent="0.25"/>
    <row r="36047" customFormat="1" x14ac:dyDescent="0.25"/>
    <row r="36048" customFormat="1" x14ac:dyDescent="0.25"/>
    <row r="36049" customFormat="1" x14ac:dyDescent="0.25"/>
    <row r="36050" customFormat="1" x14ac:dyDescent="0.25"/>
    <row r="36051" customFormat="1" x14ac:dyDescent="0.25"/>
    <row r="36052" customFormat="1" x14ac:dyDescent="0.25"/>
    <row r="36053" customFormat="1" x14ac:dyDescent="0.25"/>
    <row r="36054" customFormat="1" x14ac:dyDescent="0.25"/>
    <row r="36055" customFormat="1" x14ac:dyDescent="0.25"/>
    <row r="36056" customFormat="1" x14ac:dyDescent="0.25"/>
    <row r="36057" customFormat="1" x14ac:dyDescent="0.25"/>
    <row r="36058" customFormat="1" x14ac:dyDescent="0.25"/>
    <row r="36059" customFormat="1" x14ac:dyDescent="0.25"/>
    <row r="36060" customFormat="1" x14ac:dyDescent="0.25"/>
    <row r="36061" customFormat="1" x14ac:dyDescent="0.25"/>
    <row r="36062" customFormat="1" x14ac:dyDescent="0.25"/>
    <row r="36063" customFormat="1" x14ac:dyDescent="0.25"/>
    <row r="36064" customFormat="1" x14ac:dyDescent="0.25"/>
    <row r="36065" customFormat="1" x14ac:dyDescent="0.25"/>
    <row r="36066" customFormat="1" x14ac:dyDescent="0.25"/>
    <row r="36067" customFormat="1" x14ac:dyDescent="0.25"/>
    <row r="36068" customFormat="1" x14ac:dyDescent="0.25"/>
    <row r="36069" customFormat="1" x14ac:dyDescent="0.25"/>
    <row r="36070" customFormat="1" x14ac:dyDescent="0.25"/>
    <row r="36071" customFormat="1" x14ac:dyDescent="0.25"/>
    <row r="36072" customFormat="1" x14ac:dyDescent="0.25"/>
    <row r="36073" customFormat="1" x14ac:dyDescent="0.25"/>
    <row r="36074" customFormat="1" x14ac:dyDescent="0.25"/>
    <row r="36075" customFormat="1" x14ac:dyDescent="0.25"/>
    <row r="36076" customFormat="1" x14ac:dyDescent="0.25"/>
    <row r="36077" customFormat="1" x14ac:dyDescent="0.25"/>
    <row r="36078" customFormat="1" x14ac:dyDescent="0.25"/>
    <row r="36079" customFormat="1" x14ac:dyDescent="0.25"/>
    <row r="36080" customFormat="1" x14ac:dyDescent="0.25"/>
    <row r="36081" customFormat="1" x14ac:dyDescent="0.25"/>
    <row r="36082" customFormat="1" x14ac:dyDescent="0.25"/>
    <row r="36083" customFormat="1" x14ac:dyDescent="0.25"/>
    <row r="36084" customFormat="1" x14ac:dyDescent="0.25"/>
    <row r="36085" customFormat="1" x14ac:dyDescent="0.25"/>
    <row r="36086" customFormat="1" x14ac:dyDescent="0.25"/>
    <row r="36087" customFormat="1" x14ac:dyDescent="0.25"/>
    <row r="36088" customFormat="1" x14ac:dyDescent="0.25"/>
    <row r="36089" customFormat="1" x14ac:dyDescent="0.25"/>
    <row r="36090" customFormat="1" x14ac:dyDescent="0.25"/>
    <row r="36091" customFormat="1" x14ac:dyDescent="0.25"/>
    <row r="36092" customFormat="1" x14ac:dyDescent="0.25"/>
    <row r="36093" customFormat="1" x14ac:dyDescent="0.25"/>
    <row r="36094" customFormat="1" x14ac:dyDescent="0.25"/>
    <row r="36095" customFormat="1" x14ac:dyDescent="0.25"/>
    <row r="36096" customFormat="1" x14ac:dyDescent="0.25"/>
    <row r="36097" customFormat="1" x14ac:dyDescent="0.25"/>
    <row r="36098" customFormat="1" x14ac:dyDescent="0.25"/>
    <row r="36099" customFormat="1" x14ac:dyDescent="0.25"/>
    <row r="36100" customFormat="1" x14ac:dyDescent="0.25"/>
    <row r="36101" customFormat="1" x14ac:dyDescent="0.25"/>
    <row r="36102" customFormat="1" x14ac:dyDescent="0.25"/>
    <row r="36103" customFormat="1" x14ac:dyDescent="0.25"/>
    <row r="36104" customFormat="1" x14ac:dyDescent="0.25"/>
    <row r="36105" customFormat="1" x14ac:dyDescent="0.25"/>
    <row r="36106" customFormat="1" x14ac:dyDescent="0.25"/>
    <row r="36107" customFormat="1" x14ac:dyDescent="0.25"/>
    <row r="36108" customFormat="1" x14ac:dyDescent="0.25"/>
    <row r="36109" customFormat="1" x14ac:dyDescent="0.25"/>
    <row r="36110" customFormat="1" x14ac:dyDescent="0.25"/>
    <row r="36111" customFormat="1" x14ac:dyDescent="0.25"/>
    <row r="36112" customFormat="1" x14ac:dyDescent="0.25"/>
    <row r="36113" customFormat="1" x14ac:dyDescent="0.25"/>
    <row r="36114" customFormat="1" x14ac:dyDescent="0.25"/>
    <row r="36115" customFormat="1" x14ac:dyDescent="0.25"/>
    <row r="36116" customFormat="1" x14ac:dyDescent="0.25"/>
    <row r="36117" customFormat="1" x14ac:dyDescent="0.25"/>
    <row r="36118" customFormat="1" x14ac:dyDescent="0.25"/>
    <row r="36119" customFormat="1" x14ac:dyDescent="0.25"/>
    <row r="36120" customFormat="1" x14ac:dyDescent="0.25"/>
    <row r="36121" customFormat="1" x14ac:dyDescent="0.25"/>
    <row r="36122" customFormat="1" x14ac:dyDescent="0.25"/>
    <row r="36123" customFormat="1" x14ac:dyDescent="0.25"/>
    <row r="36124" customFormat="1" x14ac:dyDescent="0.25"/>
    <row r="36125" customFormat="1" x14ac:dyDescent="0.25"/>
    <row r="36126" customFormat="1" x14ac:dyDescent="0.25"/>
    <row r="36127" customFormat="1" x14ac:dyDescent="0.25"/>
    <row r="36128" customFormat="1" x14ac:dyDescent="0.25"/>
    <row r="36129" customFormat="1" x14ac:dyDescent="0.25"/>
    <row r="36130" customFormat="1" x14ac:dyDescent="0.25"/>
    <row r="36131" customFormat="1" x14ac:dyDescent="0.25"/>
    <row r="36132" customFormat="1" x14ac:dyDescent="0.25"/>
    <row r="36133" customFormat="1" x14ac:dyDescent="0.25"/>
    <row r="36134" customFormat="1" x14ac:dyDescent="0.25"/>
    <row r="36135" customFormat="1" x14ac:dyDescent="0.25"/>
    <row r="36136" customFormat="1" x14ac:dyDescent="0.25"/>
    <row r="36137" customFormat="1" x14ac:dyDescent="0.25"/>
    <row r="36138" customFormat="1" x14ac:dyDescent="0.25"/>
    <row r="36139" customFormat="1" x14ac:dyDescent="0.25"/>
    <row r="36140" customFormat="1" x14ac:dyDescent="0.25"/>
    <row r="36141" customFormat="1" x14ac:dyDescent="0.25"/>
    <row r="36142" customFormat="1" x14ac:dyDescent="0.25"/>
    <row r="36143" customFormat="1" x14ac:dyDescent="0.25"/>
    <row r="36144" customFormat="1" x14ac:dyDescent="0.25"/>
    <row r="36145" customFormat="1" x14ac:dyDescent="0.25"/>
    <row r="36146" customFormat="1" x14ac:dyDescent="0.25"/>
    <row r="36147" customFormat="1" x14ac:dyDescent="0.25"/>
    <row r="36148" customFormat="1" x14ac:dyDescent="0.25"/>
    <row r="36149" customFormat="1" x14ac:dyDescent="0.25"/>
    <row r="36150" customFormat="1" x14ac:dyDescent="0.25"/>
    <row r="36151" customFormat="1" x14ac:dyDescent="0.25"/>
    <row r="36152" customFormat="1" x14ac:dyDescent="0.25"/>
    <row r="36153" customFormat="1" x14ac:dyDescent="0.25"/>
    <row r="36154" customFormat="1" x14ac:dyDescent="0.25"/>
    <row r="36155" customFormat="1" x14ac:dyDescent="0.25"/>
    <row r="36156" customFormat="1" x14ac:dyDescent="0.25"/>
    <row r="36157" customFormat="1" x14ac:dyDescent="0.25"/>
    <row r="36158" customFormat="1" x14ac:dyDescent="0.25"/>
    <row r="36159" customFormat="1" x14ac:dyDescent="0.25"/>
    <row r="36160" customFormat="1" x14ac:dyDescent="0.25"/>
    <row r="36161" customFormat="1" x14ac:dyDescent="0.25"/>
    <row r="36162" customFormat="1" x14ac:dyDescent="0.25"/>
    <row r="36163" customFormat="1" x14ac:dyDescent="0.25"/>
    <row r="36164" customFormat="1" x14ac:dyDescent="0.25"/>
    <row r="36165" customFormat="1" x14ac:dyDescent="0.25"/>
    <row r="36166" customFormat="1" x14ac:dyDescent="0.25"/>
    <row r="36167" customFormat="1" x14ac:dyDescent="0.25"/>
    <row r="36168" customFormat="1" x14ac:dyDescent="0.25"/>
    <row r="36169" customFormat="1" x14ac:dyDescent="0.25"/>
    <row r="36170" customFormat="1" x14ac:dyDescent="0.25"/>
    <row r="36171" customFormat="1" x14ac:dyDescent="0.25"/>
    <row r="36172" customFormat="1" x14ac:dyDescent="0.25"/>
    <row r="36173" customFormat="1" x14ac:dyDescent="0.25"/>
    <row r="36174" customFormat="1" x14ac:dyDescent="0.25"/>
    <row r="36175" customFormat="1" x14ac:dyDescent="0.25"/>
    <row r="36176" customFormat="1" x14ac:dyDescent="0.25"/>
    <row r="36177" customFormat="1" x14ac:dyDescent="0.25"/>
    <row r="36178" customFormat="1" x14ac:dyDescent="0.25"/>
    <row r="36179" customFormat="1" x14ac:dyDescent="0.25"/>
    <row r="36180" customFormat="1" x14ac:dyDescent="0.25"/>
    <row r="36181" customFormat="1" x14ac:dyDescent="0.25"/>
    <row r="36182" customFormat="1" x14ac:dyDescent="0.25"/>
    <row r="36183" customFormat="1" x14ac:dyDescent="0.25"/>
    <row r="36184" customFormat="1" x14ac:dyDescent="0.25"/>
    <row r="36185" customFormat="1" x14ac:dyDescent="0.25"/>
    <row r="36186" customFormat="1" x14ac:dyDescent="0.25"/>
    <row r="36187" customFormat="1" x14ac:dyDescent="0.25"/>
    <row r="36188" customFormat="1" x14ac:dyDescent="0.25"/>
    <row r="36189" customFormat="1" x14ac:dyDescent="0.25"/>
    <row r="36190" customFormat="1" x14ac:dyDescent="0.25"/>
    <row r="36191" customFormat="1" x14ac:dyDescent="0.25"/>
    <row r="36192" customFormat="1" x14ac:dyDescent="0.25"/>
    <row r="36193" customFormat="1" x14ac:dyDescent="0.25"/>
    <row r="36194" customFormat="1" x14ac:dyDescent="0.25"/>
    <row r="36195" customFormat="1" x14ac:dyDescent="0.25"/>
    <row r="36196" customFormat="1" x14ac:dyDescent="0.25"/>
    <row r="36197" customFormat="1" x14ac:dyDescent="0.25"/>
    <row r="36198" customFormat="1" x14ac:dyDescent="0.25"/>
    <row r="36199" customFormat="1" x14ac:dyDescent="0.25"/>
    <row r="36200" customFormat="1" x14ac:dyDescent="0.25"/>
    <row r="36201" customFormat="1" x14ac:dyDescent="0.25"/>
    <row r="36202" customFormat="1" x14ac:dyDescent="0.25"/>
    <row r="36203" customFormat="1" x14ac:dyDescent="0.25"/>
    <row r="36204" customFormat="1" x14ac:dyDescent="0.25"/>
    <row r="36205" customFormat="1" x14ac:dyDescent="0.25"/>
    <row r="36206" customFormat="1" x14ac:dyDescent="0.25"/>
    <row r="36207" customFormat="1" x14ac:dyDescent="0.25"/>
    <row r="36208" customFormat="1" x14ac:dyDescent="0.25"/>
    <row r="36209" customFormat="1" x14ac:dyDescent="0.25"/>
    <row r="36210" customFormat="1" x14ac:dyDescent="0.25"/>
    <row r="36211" customFormat="1" x14ac:dyDescent="0.25"/>
    <row r="36212" customFormat="1" x14ac:dyDescent="0.25"/>
    <row r="36213" customFormat="1" x14ac:dyDescent="0.25"/>
    <row r="36214" customFormat="1" x14ac:dyDescent="0.25"/>
    <row r="36215" customFormat="1" x14ac:dyDescent="0.25"/>
    <row r="36216" customFormat="1" x14ac:dyDescent="0.25"/>
    <row r="36217" customFormat="1" x14ac:dyDescent="0.25"/>
    <row r="36218" customFormat="1" x14ac:dyDescent="0.25"/>
    <row r="36219" customFormat="1" x14ac:dyDescent="0.25"/>
    <row r="36220" customFormat="1" x14ac:dyDescent="0.25"/>
    <row r="36221" customFormat="1" x14ac:dyDescent="0.25"/>
    <row r="36222" customFormat="1" x14ac:dyDescent="0.25"/>
    <row r="36223" customFormat="1" x14ac:dyDescent="0.25"/>
    <row r="36224" customFormat="1" x14ac:dyDescent="0.25"/>
    <row r="36225" customFormat="1" x14ac:dyDescent="0.25"/>
    <row r="36226" customFormat="1" x14ac:dyDescent="0.25"/>
    <row r="36227" customFormat="1" x14ac:dyDescent="0.25"/>
    <row r="36228" customFormat="1" x14ac:dyDescent="0.25"/>
    <row r="36229" customFormat="1" x14ac:dyDescent="0.25"/>
    <row r="36230" customFormat="1" x14ac:dyDescent="0.25"/>
    <row r="36231" customFormat="1" x14ac:dyDescent="0.25"/>
    <row r="36232" customFormat="1" x14ac:dyDescent="0.25"/>
    <row r="36233" customFormat="1" x14ac:dyDescent="0.25"/>
    <row r="36234" customFormat="1" x14ac:dyDescent="0.25"/>
    <row r="36235" customFormat="1" x14ac:dyDescent="0.25"/>
    <row r="36236" customFormat="1" x14ac:dyDescent="0.25"/>
    <row r="36237" customFormat="1" x14ac:dyDescent="0.25"/>
    <row r="36238" customFormat="1" x14ac:dyDescent="0.25"/>
    <row r="36239" customFormat="1" x14ac:dyDescent="0.25"/>
    <row r="36240" customFormat="1" x14ac:dyDescent="0.25"/>
    <row r="36241" customFormat="1" x14ac:dyDescent="0.25"/>
    <row r="36242" customFormat="1" x14ac:dyDescent="0.25"/>
    <row r="36243" customFormat="1" x14ac:dyDescent="0.25"/>
    <row r="36244" customFormat="1" x14ac:dyDescent="0.25"/>
    <row r="36245" customFormat="1" x14ac:dyDescent="0.25"/>
    <row r="36246" customFormat="1" x14ac:dyDescent="0.25"/>
    <row r="36247" customFormat="1" x14ac:dyDescent="0.25"/>
    <row r="36248" customFormat="1" x14ac:dyDescent="0.25"/>
    <row r="36249" customFormat="1" x14ac:dyDescent="0.25"/>
    <row r="36250" customFormat="1" x14ac:dyDescent="0.25"/>
    <row r="36251" customFormat="1" x14ac:dyDescent="0.25"/>
    <row r="36252" customFormat="1" x14ac:dyDescent="0.25"/>
    <row r="36253" customFormat="1" x14ac:dyDescent="0.25"/>
    <row r="36254" customFormat="1" x14ac:dyDescent="0.25"/>
    <row r="36255" customFormat="1" x14ac:dyDescent="0.25"/>
    <row r="36256" customFormat="1" x14ac:dyDescent="0.25"/>
    <row r="36257" customFormat="1" x14ac:dyDescent="0.25"/>
    <row r="36258" customFormat="1" x14ac:dyDescent="0.25"/>
    <row r="36259" customFormat="1" x14ac:dyDescent="0.25"/>
    <row r="36260" customFormat="1" x14ac:dyDescent="0.25"/>
    <row r="36261" customFormat="1" x14ac:dyDescent="0.25"/>
    <row r="36262" customFormat="1" x14ac:dyDescent="0.25"/>
    <row r="36263" customFormat="1" x14ac:dyDescent="0.25"/>
    <row r="36264" customFormat="1" x14ac:dyDescent="0.25"/>
    <row r="36265" customFormat="1" x14ac:dyDescent="0.25"/>
    <row r="36266" customFormat="1" x14ac:dyDescent="0.25"/>
    <row r="36267" customFormat="1" x14ac:dyDescent="0.25"/>
    <row r="36268" customFormat="1" x14ac:dyDescent="0.25"/>
    <row r="36269" customFormat="1" x14ac:dyDescent="0.25"/>
    <row r="36270" customFormat="1" x14ac:dyDescent="0.25"/>
    <row r="36271" customFormat="1" x14ac:dyDescent="0.25"/>
    <row r="36272" customFormat="1" x14ac:dyDescent="0.25"/>
    <row r="36273" customFormat="1" x14ac:dyDescent="0.25"/>
    <row r="36274" customFormat="1" x14ac:dyDescent="0.25"/>
    <row r="36275" customFormat="1" x14ac:dyDescent="0.25"/>
    <row r="36276" customFormat="1" x14ac:dyDescent="0.25"/>
    <row r="36277" customFormat="1" x14ac:dyDescent="0.25"/>
    <row r="36278" customFormat="1" x14ac:dyDescent="0.25"/>
    <row r="36279" customFormat="1" x14ac:dyDescent="0.25"/>
    <row r="36280" customFormat="1" x14ac:dyDescent="0.25"/>
    <row r="36281" customFormat="1" x14ac:dyDescent="0.25"/>
    <row r="36282" customFormat="1" x14ac:dyDescent="0.25"/>
    <row r="36283" customFormat="1" x14ac:dyDescent="0.25"/>
    <row r="36284" customFormat="1" x14ac:dyDescent="0.25"/>
    <row r="36285" customFormat="1" x14ac:dyDescent="0.25"/>
    <row r="36286" customFormat="1" x14ac:dyDescent="0.25"/>
    <row r="36287" customFormat="1" x14ac:dyDescent="0.25"/>
    <row r="36288" customFormat="1" x14ac:dyDescent="0.25"/>
    <row r="36289" customFormat="1" x14ac:dyDescent="0.25"/>
    <row r="36290" customFormat="1" x14ac:dyDescent="0.25"/>
    <row r="36291" customFormat="1" x14ac:dyDescent="0.25"/>
    <row r="36292" customFormat="1" x14ac:dyDescent="0.25"/>
    <row r="36293" customFormat="1" x14ac:dyDescent="0.25"/>
    <row r="36294" customFormat="1" x14ac:dyDescent="0.25"/>
    <row r="36295" customFormat="1" x14ac:dyDescent="0.25"/>
    <row r="36296" customFormat="1" x14ac:dyDescent="0.25"/>
    <row r="36297" customFormat="1" x14ac:dyDescent="0.25"/>
    <row r="36298" customFormat="1" x14ac:dyDescent="0.25"/>
    <row r="36299" customFormat="1" x14ac:dyDescent="0.25"/>
    <row r="36300" customFormat="1" x14ac:dyDescent="0.25"/>
    <row r="36301" customFormat="1" x14ac:dyDescent="0.25"/>
    <row r="36302" customFormat="1" x14ac:dyDescent="0.25"/>
    <row r="36303" customFormat="1" x14ac:dyDescent="0.25"/>
    <row r="36304" customFormat="1" x14ac:dyDescent="0.25"/>
    <row r="36305" customFormat="1" x14ac:dyDescent="0.25"/>
    <row r="36306" customFormat="1" x14ac:dyDescent="0.25"/>
    <row r="36307" customFormat="1" x14ac:dyDescent="0.25"/>
    <row r="36308" customFormat="1" x14ac:dyDescent="0.25"/>
    <row r="36309" customFormat="1" x14ac:dyDescent="0.25"/>
    <row r="36310" customFormat="1" x14ac:dyDescent="0.25"/>
    <row r="36311" customFormat="1" x14ac:dyDescent="0.25"/>
    <row r="36312" customFormat="1" x14ac:dyDescent="0.25"/>
    <row r="36313" customFormat="1" x14ac:dyDescent="0.25"/>
    <row r="36314" customFormat="1" x14ac:dyDescent="0.25"/>
    <row r="36315" customFormat="1" x14ac:dyDescent="0.25"/>
    <row r="36316" customFormat="1" x14ac:dyDescent="0.25"/>
    <row r="36317" customFormat="1" x14ac:dyDescent="0.25"/>
    <row r="36318" customFormat="1" x14ac:dyDescent="0.25"/>
    <row r="36319" customFormat="1" x14ac:dyDescent="0.25"/>
    <row r="36320" customFormat="1" x14ac:dyDescent="0.25"/>
    <row r="36321" customFormat="1" x14ac:dyDescent="0.25"/>
    <row r="36322" customFormat="1" x14ac:dyDescent="0.25"/>
    <row r="36323" customFormat="1" x14ac:dyDescent="0.25"/>
    <row r="36324" customFormat="1" x14ac:dyDescent="0.25"/>
    <row r="36325" customFormat="1" x14ac:dyDescent="0.25"/>
    <row r="36326" customFormat="1" x14ac:dyDescent="0.25"/>
    <row r="36327" customFormat="1" x14ac:dyDescent="0.25"/>
    <row r="36328" customFormat="1" x14ac:dyDescent="0.25"/>
    <row r="36329" customFormat="1" x14ac:dyDescent="0.25"/>
    <row r="36330" customFormat="1" x14ac:dyDescent="0.25"/>
    <row r="36331" customFormat="1" x14ac:dyDescent="0.25"/>
    <row r="36332" customFormat="1" x14ac:dyDescent="0.25"/>
    <row r="36333" customFormat="1" x14ac:dyDescent="0.25"/>
    <row r="36334" customFormat="1" x14ac:dyDescent="0.25"/>
    <row r="36335" customFormat="1" x14ac:dyDescent="0.25"/>
    <row r="36336" customFormat="1" x14ac:dyDescent="0.25"/>
    <row r="36337" customFormat="1" x14ac:dyDescent="0.25"/>
    <row r="36338" customFormat="1" x14ac:dyDescent="0.25"/>
    <row r="36339" customFormat="1" x14ac:dyDescent="0.25"/>
    <row r="36340" customFormat="1" x14ac:dyDescent="0.25"/>
    <row r="36341" customFormat="1" x14ac:dyDescent="0.25"/>
    <row r="36342" customFormat="1" x14ac:dyDescent="0.25"/>
    <row r="36343" customFormat="1" x14ac:dyDescent="0.25"/>
    <row r="36344" customFormat="1" x14ac:dyDescent="0.25"/>
    <row r="36345" customFormat="1" x14ac:dyDescent="0.25"/>
    <row r="36346" customFormat="1" x14ac:dyDescent="0.25"/>
    <row r="36347" customFormat="1" x14ac:dyDescent="0.25"/>
    <row r="36348" customFormat="1" x14ac:dyDescent="0.25"/>
    <row r="36349" customFormat="1" x14ac:dyDescent="0.25"/>
    <row r="36350" customFormat="1" x14ac:dyDescent="0.25"/>
    <row r="36351" customFormat="1" x14ac:dyDescent="0.25"/>
    <row r="36352" customFormat="1" x14ac:dyDescent="0.25"/>
    <row r="36353" customFormat="1" x14ac:dyDescent="0.25"/>
    <row r="36354" customFormat="1" x14ac:dyDescent="0.25"/>
    <row r="36355" customFormat="1" x14ac:dyDescent="0.25"/>
    <row r="36356" customFormat="1" x14ac:dyDescent="0.25"/>
    <row r="36357" customFormat="1" x14ac:dyDescent="0.25"/>
    <row r="36358" customFormat="1" x14ac:dyDescent="0.25"/>
    <row r="36359" customFormat="1" x14ac:dyDescent="0.25"/>
    <row r="36360" customFormat="1" x14ac:dyDescent="0.25"/>
    <row r="36361" customFormat="1" x14ac:dyDescent="0.25"/>
    <row r="36362" customFormat="1" x14ac:dyDescent="0.25"/>
    <row r="36363" customFormat="1" x14ac:dyDescent="0.25"/>
    <row r="36364" customFormat="1" x14ac:dyDescent="0.25"/>
    <row r="36365" customFormat="1" x14ac:dyDescent="0.25"/>
    <row r="36366" customFormat="1" x14ac:dyDescent="0.25"/>
    <row r="36367" customFormat="1" x14ac:dyDescent="0.25"/>
    <row r="36368" customFormat="1" x14ac:dyDescent="0.25"/>
    <row r="36369" customFormat="1" x14ac:dyDescent="0.25"/>
    <row r="36370" customFormat="1" x14ac:dyDescent="0.25"/>
    <row r="36371" customFormat="1" x14ac:dyDescent="0.25"/>
    <row r="36372" customFormat="1" x14ac:dyDescent="0.25"/>
    <row r="36373" customFormat="1" x14ac:dyDescent="0.25"/>
    <row r="36374" customFormat="1" x14ac:dyDescent="0.25"/>
    <row r="36375" customFormat="1" x14ac:dyDescent="0.25"/>
    <row r="36376" customFormat="1" x14ac:dyDescent="0.25"/>
    <row r="36377" customFormat="1" x14ac:dyDescent="0.25"/>
    <row r="36378" customFormat="1" x14ac:dyDescent="0.25"/>
    <row r="36379" customFormat="1" x14ac:dyDescent="0.25"/>
    <row r="36380" customFormat="1" x14ac:dyDescent="0.25"/>
    <row r="36381" customFormat="1" x14ac:dyDescent="0.25"/>
    <row r="36382" customFormat="1" x14ac:dyDescent="0.25"/>
    <row r="36383" customFormat="1" x14ac:dyDescent="0.25"/>
    <row r="36384" customFormat="1" x14ac:dyDescent="0.25"/>
    <row r="36385" customFormat="1" x14ac:dyDescent="0.25"/>
    <row r="36386" customFormat="1" x14ac:dyDescent="0.25"/>
    <row r="36387" customFormat="1" x14ac:dyDescent="0.25"/>
    <row r="36388" customFormat="1" x14ac:dyDescent="0.25"/>
    <row r="36389" customFormat="1" x14ac:dyDescent="0.25"/>
    <row r="36390" customFormat="1" x14ac:dyDescent="0.25"/>
    <row r="36391" customFormat="1" x14ac:dyDescent="0.25"/>
    <row r="36392" customFormat="1" x14ac:dyDescent="0.25"/>
    <row r="36393" customFormat="1" x14ac:dyDescent="0.25"/>
    <row r="36394" customFormat="1" x14ac:dyDescent="0.25"/>
    <row r="36395" customFormat="1" x14ac:dyDescent="0.25"/>
    <row r="36396" customFormat="1" x14ac:dyDescent="0.25"/>
    <row r="36397" customFormat="1" x14ac:dyDescent="0.25"/>
    <row r="36398" customFormat="1" x14ac:dyDescent="0.25"/>
    <row r="36399" customFormat="1" x14ac:dyDescent="0.25"/>
    <row r="36400" customFormat="1" x14ac:dyDescent="0.25"/>
    <row r="36401" customFormat="1" x14ac:dyDescent="0.25"/>
    <row r="36402" customFormat="1" x14ac:dyDescent="0.25"/>
    <row r="36403" customFormat="1" x14ac:dyDescent="0.25"/>
    <row r="36404" customFormat="1" x14ac:dyDescent="0.25"/>
    <row r="36405" customFormat="1" x14ac:dyDescent="0.25"/>
    <row r="36406" customFormat="1" x14ac:dyDescent="0.25"/>
    <row r="36407" customFormat="1" x14ac:dyDescent="0.25"/>
    <row r="36408" customFormat="1" x14ac:dyDescent="0.25"/>
    <row r="36409" customFormat="1" x14ac:dyDescent="0.25"/>
    <row r="36410" customFormat="1" x14ac:dyDescent="0.25"/>
    <row r="36411" customFormat="1" x14ac:dyDescent="0.25"/>
    <row r="36412" customFormat="1" x14ac:dyDescent="0.25"/>
    <row r="36413" customFormat="1" x14ac:dyDescent="0.25"/>
    <row r="36414" customFormat="1" x14ac:dyDescent="0.25"/>
    <row r="36415" customFormat="1" x14ac:dyDescent="0.25"/>
    <row r="36416" customFormat="1" x14ac:dyDescent="0.25"/>
    <row r="36417" customFormat="1" x14ac:dyDescent="0.25"/>
    <row r="36418" customFormat="1" x14ac:dyDescent="0.25"/>
    <row r="36419" customFormat="1" x14ac:dyDescent="0.25"/>
    <row r="36420" customFormat="1" x14ac:dyDescent="0.25"/>
    <row r="36421" customFormat="1" x14ac:dyDescent="0.25"/>
    <row r="36422" customFormat="1" x14ac:dyDescent="0.25"/>
    <row r="36423" customFormat="1" x14ac:dyDescent="0.25"/>
    <row r="36424" customFormat="1" x14ac:dyDescent="0.25"/>
    <row r="36425" customFormat="1" x14ac:dyDescent="0.25"/>
    <row r="36426" customFormat="1" x14ac:dyDescent="0.25"/>
    <row r="36427" customFormat="1" x14ac:dyDescent="0.25"/>
    <row r="36428" customFormat="1" x14ac:dyDescent="0.25"/>
    <row r="36429" customFormat="1" x14ac:dyDescent="0.25"/>
    <row r="36430" customFormat="1" x14ac:dyDescent="0.25"/>
    <row r="36431" customFormat="1" x14ac:dyDescent="0.25"/>
    <row r="36432" customFormat="1" x14ac:dyDescent="0.25"/>
    <row r="36433" customFormat="1" x14ac:dyDescent="0.25"/>
    <row r="36434" customFormat="1" x14ac:dyDescent="0.25"/>
    <row r="36435" customFormat="1" x14ac:dyDescent="0.25"/>
    <row r="36436" customFormat="1" x14ac:dyDescent="0.25"/>
    <row r="36437" customFormat="1" x14ac:dyDescent="0.25"/>
    <row r="36438" customFormat="1" x14ac:dyDescent="0.25"/>
    <row r="36439" customFormat="1" x14ac:dyDescent="0.25"/>
    <row r="36440" customFormat="1" x14ac:dyDescent="0.25"/>
    <row r="36441" customFormat="1" x14ac:dyDescent="0.25"/>
    <row r="36442" customFormat="1" x14ac:dyDescent="0.25"/>
    <row r="36443" customFormat="1" x14ac:dyDescent="0.25"/>
    <row r="36444" customFormat="1" x14ac:dyDescent="0.25"/>
    <row r="36445" customFormat="1" x14ac:dyDescent="0.25"/>
    <row r="36446" customFormat="1" x14ac:dyDescent="0.25"/>
    <row r="36447" customFormat="1" x14ac:dyDescent="0.25"/>
    <row r="36448" customFormat="1" x14ac:dyDescent="0.25"/>
    <row r="36449" customFormat="1" x14ac:dyDescent="0.25"/>
    <row r="36450" customFormat="1" x14ac:dyDescent="0.25"/>
    <row r="36451" customFormat="1" x14ac:dyDescent="0.25"/>
    <row r="36452" customFormat="1" x14ac:dyDescent="0.25"/>
    <row r="36453" customFormat="1" x14ac:dyDescent="0.25"/>
    <row r="36454" customFormat="1" x14ac:dyDescent="0.25"/>
    <row r="36455" customFormat="1" x14ac:dyDescent="0.25"/>
    <row r="36456" customFormat="1" x14ac:dyDescent="0.25"/>
    <row r="36457" customFormat="1" x14ac:dyDescent="0.25"/>
    <row r="36458" customFormat="1" x14ac:dyDescent="0.25"/>
    <row r="36459" customFormat="1" x14ac:dyDescent="0.25"/>
    <row r="36460" customFormat="1" x14ac:dyDescent="0.25"/>
    <row r="36461" customFormat="1" x14ac:dyDescent="0.25"/>
    <row r="36462" customFormat="1" x14ac:dyDescent="0.25"/>
    <row r="36463" customFormat="1" x14ac:dyDescent="0.25"/>
    <row r="36464" customFormat="1" x14ac:dyDescent="0.25"/>
    <row r="36465" customFormat="1" x14ac:dyDescent="0.25"/>
    <row r="36466" customFormat="1" x14ac:dyDescent="0.25"/>
    <row r="36467" customFormat="1" x14ac:dyDescent="0.25"/>
    <row r="36468" customFormat="1" x14ac:dyDescent="0.25"/>
    <row r="36469" customFormat="1" x14ac:dyDescent="0.25"/>
    <row r="36470" customFormat="1" x14ac:dyDescent="0.25"/>
    <row r="36471" customFormat="1" x14ac:dyDescent="0.25"/>
    <row r="36472" customFormat="1" x14ac:dyDescent="0.25"/>
    <row r="36473" customFormat="1" x14ac:dyDescent="0.25"/>
    <row r="36474" customFormat="1" x14ac:dyDescent="0.25"/>
    <row r="36475" customFormat="1" x14ac:dyDescent="0.25"/>
    <row r="36476" customFormat="1" x14ac:dyDescent="0.25"/>
    <row r="36477" customFormat="1" x14ac:dyDescent="0.25"/>
    <row r="36478" customFormat="1" x14ac:dyDescent="0.25"/>
    <row r="36479" customFormat="1" x14ac:dyDescent="0.25"/>
    <row r="36480" customFormat="1" x14ac:dyDescent="0.25"/>
    <row r="36481" customFormat="1" x14ac:dyDescent="0.25"/>
    <row r="36482" customFormat="1" x14ac:dyDescent="0.25"/>
    <row r="36483" customFormat="1" x14ac:dyDescent="0.25"/>
    <row r="36484" customFormat="1" x14ac:dyDescent="0.25"/>
    <row r="36485" customFormat="1" x14ac:dyDescent="0.25"/>
    <row r="36486" customFormat="1" x14ac:dyDescent="0.25"/>
    <row r="36487" customFormat="1" x14ac:dyDescent="0.25"/>
    <row r="36488" customFormat="1" x14ac:dyDescent="0.25"/>
    <row r="36489" customFormat="1" x14ac:dyDescent="0.25"/>
    <row r="36490" customFormat="1" x14ac:dyDescent="0.25"/>
    <row r="36491" customFormat="1" x14ac:dyDescent="0.25"/>
    <row r="36492" customFormat="1" x14ac:dyDescent="0.25"/>
    <row r="36493" customFormat="1" x14ac:dyDescent="0.25"/>
    <row r="36494" customFormat="1" x14ac:dyDescent="0.25"/>
    <row r="36495" customFormat="1" x14ac:dyDescent="0.25"/>
    <row r="36496" customFormat="1" x14ac:dyDescent="0.25"/>
    <row r="36497" customFormat="1" x14ac:dyDescent="0.25"/>
    <row r="36498" customFormat="1" x14ac:dyDescent="0.25"/>
    <row r="36499" customFormat="1" x14ac:dyDescent="0.25"/>
    <row r="36500" customFormat="1" x14ac:dyDescent="0.25"/>
    <row r="36501" customFormat="1" x14ac:dyDescent="0.25"/>
    <row r="36502" customFormat="1" x14ac:dyDescent="0.25"/>
    <row r="36503" customFormat="1" x14ac:dyDescent="0.25"/>
    <row r="36504" customFormat="1" x14ac:dyDescent="0.25"/>
    <row r="36505" customFormat="1" x14ac:dyDescent="0.25"/>
    <row r="36506" customFormat="1" x14ac:dyDescent="0.25"/>
    <row r="36507" customFormat="1" x14ac:dyDescent="0.25"/>
    <row r="36508" customFormat="1" x14ac:dyDescent="0.25"/>
    <row r="36509" customFormat="1" x14ac:dyDescent="0.25"/>
    <row r="36510" customFormat="1" x14ac:dyDescent="0.25"/>
    <row r="36511" customFormat="1" x14ac:dyDescent="0.25"/>
    <row r="36512" customFormat="1" x14ac:dyDescent="0.25"/>
    <row r="36513" customFormat="1" x14ac:dyDescent="0.25"/>
    <row r="36514" customFormat="1" x14ac:dyDescent="0.25"/>
    <row r="36515" customFormat="1" x14ac:dyDescent="0.25"/>
    <row r="36516" customFormat="1" x14ac:dyDescent="0.25"/>
    <row r="36517" customFormat="1" x14ac:dyDescent="0.25"/>
    <row r="36518" customFormat="1" x14ac:dyDescent="0.25"/>
    <row r="36519" customFormat="1" x14ac:dyDescent="0.25"/>
    <row r="36520" customFormat="1" x14ac:dyDescent="0.25"/>
    <row r="36521" customFormat="1" x14ac:dyDescent="0.25"/>
    <row r="36522" customFormat="1" x14ac:dyDescent="0.25"/>
    <row r="36523" customFormat="1" x14ac:dyDescent="0.25"/>
    <row r="36524" customFormat="1" x14ac:dyDescent="0.25"/>
    <row r="36525" customFormat="1" x14ac:dyDescent="0.25"/>
    <row r="36526" customFormat="1" x14ac:dyDescent="0.25"/>
    <row r="36527" customFormat="1" x14ac:dyDescent="0.25"/>
    <row r="36528" customFormat="1" x14ac:dyDescent="0.25"/>
    <row r="36529" customFormat="1" x14ac:dyDescent="0.25"/>
    <row r="36530" customFormat="1" x14ac:dyDescent="0.25"/>
    <row r="36531" customFormat="1" x14ac:dyDescent="0.25"/>
    <row r="36532" customFormat="1" x14ac:dyDescent="0.25"/>
    <row r="36533" customFormat="1" x14ac:dyDescent="0.25"/>
    <row r="36534" customFormat="1" x14ac:dyDescent="0.25"/>
    <row r="36535" customFormat="1" x14ac:dyDescent="0.25"/>
    <row r="36536" customFormat="1" x14ac:dyDescent="0.25"/>
    <row r="36537" customFormat="1" x14ac:dyDescent="0.25"/>
    <row r="36538" customFormat="1" x14ac:dyDescent="0.25"/>
    <row r="36539" customFormat="1" x14ac:dyDescent="0.25"/>
    <row r="36540" customFormat="1" x14ac:dyDescent="0.25"/>
    <row r="36541" customFormat="1" x14ac:dyDescent="0.25"/>
    <row r="36542" customFormat="1" x14ac:dyDescent="0.25"/>
    <row r="36543" customFormat="1" x14ac:dyDescent="0.25"/>
    <row r="36544" customFormat="1" x14ac:dyDescent="0.25"/>
    <row r="36545" customFormat="1" x14ac:dyDescent="0.25"/>
    <row r="36546" customFormat="1" x14ac:dyDescent="0.25"/>
    <row r="36547" customFormat="1" x14ac:dyDescent="0.25"/>
    <row r="36548" customFormat="1" x14ac:dyDescent="0.25"/>
    <row r="36549" customFormat="1" x14ac:dyDescent="0.25"/>
    <row r="36550" customFormat="1" x14ac:dyDescent="0.25"/>
    <row r="36551" customFormat="1" x14ac:dyDescent="0.25"/>
    <row r="36552" customFormat="1" x14ac:dyDescent="0.25"/>
    <row r="36553" customFormat="1" x14ac:dyDescent="0.25"/>
    <row r="36554" customFormat="1" x14ac:dyDescent="0.25"/>
    <row r="36555" customFormat="1" x14ac:dyDescent="0.25"/>
    <row r="36556" customFormat="1" x14ac:dyDescent="0.25"/>
    <row r="36557" customFormat="1" x14ac:dyDescent="0.25"/>
    <row r="36558" customFormat="1" x14ac:dyDescent="0.25"/>
    <row r="36559" customFormat="1" x14ac:dyDescent="0.25"/>
    <row r="36560" customFormat="1" x14ac:dyDescent="0.25"/>
    <row r="36561" customFormat="1" x14ac:dyDescent="0.25"/>
    <row r="36562" customFormat="1" x14ac:dyDescent="0.25"/>
    <row r="36563" customFormat="1" x14ac:dyDescent="0.25"/>
    <row r="36564" customFormat="1" x14ac:dyDescent="0.25"/>
    <row r="36565" customFormat="1" x14ac:dyDescent="0.25"/>
    <row r="36566" customFormat="1" x14ac:dyDescent="0.25"/>
    <row r="36567" customFormat="1" x14ac:dyDescent="0.25"/>
    <row r="36568" customFormat="1" x14ac:dyDescent="0.25"/>
    <row r="36569" customFormat="1" x14ac:dyDescent="0.25"/>
    <row r="36570" customFormat="1" x14ac:dyDescent="0.25"/>
    <row r="36571" customFormat="1" x14ac:dyDescent="0.25"/>
    <row r="36572" customFormat="1" x14ac:dyDescent="0.25"/>
    <row r="36573" customFormat="1" x14ac:dyDescent="0.25"/>
    <row r="36574" customFormat="1" x14ac:dyDescent="0.25"/>
    <row r="36575" customFormat="1" x14ac:dyDescent="0.25"/>
    <row r="36576" customFormat="1" x14ac:dyDescent="0.25"/>
    <row r="36577" customFormat="1" x14ac:dyDescent="0.25"/>
    <row r="36578" customFormat="1" x14ac:dyDescent="0.25"/>
    <row r="36579" customFormat="1" x14ac:dyDescent="0.25"/>
    <row r="36580" customFormat="1" x14ac:dyDescent="0.25"/>
    <row r="36581" customFormat="1" x14ac:dyDescent="0.25"/>
    <row r="36582" customFormat="1" x14ac:dyDescent="0.25"/>
    <row r="36583" customFormat="1" x14ac:dyDescent="0.25"/>
    <row r="36584" customFormat="1" x14ac:dyDescent="0.25"/>
    <row r="36585" customFormat="1" x14ac:dyDescent="0.25"/>
    <row r="36586" customFormat="1" x14ac:dyDescent="0.25"/>
    <row r="36587" customFormat="1" x14ac:dyDescent="0.25"/>
    <row r="36588" customFormat="1" x14ac:dyDescent="0.25"/>
    <row r="36589" customFormat="1" x14ac:dyDescent="0.25"/>
    <row r="36590" customFormat="1" x14ac:dyDescent="0.25"/>
    <row r="36591" customFormat="1" x14ac:dyDescent="0.25"/>
    <row r="36592" customFormat="1" x14ac:dyDescent="0.25"/>
    <row r="36593" customFormat="1" x14ac:dyDescent="0.25"/>
    <row r="36594" customFormat="1" x14ac:dyDescent="0.25"/>
    <row r="36595" customFormat="1" x14ac:dyDescent="0.25"/>
    <row r="36596" customFormat="1" x14ac:dyDescent="0.25"/>
    <row r="36597" customFormat="1" x14ac:dyDescent="0.25"/>
    <row r="36598" customFormat="1" x14ac:dyDescent="0.25"/>
    <row r="36599" customFormat="1" x14ac:dyDescent="0.25"/>
    <row r="36600" customFormat="1" x14ac:dyDescent="0.25"/>
    <row r="36601" customFormat="1" x14ac:dyDescent="0.25"/>
    <row r="36602" customFormat="1" x14ac:dyDescent="0.25"/>
    <row r="36603" customFormat="1" x14ac:dyDescent="0.25"/>
    <row r="36604" customFormat="1" x14ac:dyDescent="0.25"/>
    <row r="36605" customFormat="1" x14ac:dyDescent="0.25"/>
    <row r="36606" customFormat="1" x14ac:dyDescent="0.25"/>
    <row r="36607" customFormat="1" x14ac:dyDescent="0.25"/>
    <row r="36608" customFormat="1" x14ac:dyDescent="0.25"/>
    <row r="36609" customFormat="1" x14ac:dyDescent="0.25"/>
    <row r="36610" customFormat="1" x14ac:dyDescent="0.25"/>
    <row r="36611" customFormat="1" x14ac:dyDescent="0.25"/>
    <row r="36612" customFormat="1" x14ac:dyDescent="0.25"/>
    <row r="36613" customFormat="1" x14ac:dyDescent="0.25"/>
    <row r="36614" customFormat="1" x14ac:dyDescent="0.25"/>
    <row r="36615" customFormat="1" x14ac:dyDescent="0.25"/>
    <row r="36616" customFormat="1" x14ac:dyDescent="0.25"/>
    <row r="36617" customFormat="1" x14ac:dyDescent="0.25"/>
    <row r="36618" customFormat="1" x14ac:dyDescent="0.25"/>
    <row r="36619" customFormat="1" x14ac:dyDescent="0.25"/>
    <row r="36620" customFormat="1" x14ac:dyDescent="0.25"/>
    <row r="36621" customFormat="1" x14ac:dyDescent="0.25"/>
    <row r="36622" customFormat="1" x14ac:dyDescent="0.25"/>
    <row r="36623" customFormat="1" x14ac:dyDescent="0.25"/>
    <row r="36624" customFormat="1" x14ac:dyDescent="0.25"/>
    <row r="36625" customFormat="1" x14ac:dyDescent="0.25"/>
    <row r="36626" customFormat="1" x14ac:dyDescent="0.25"/>
    <row r="36627" customFormat="1" x14ac:dyDescent="0.25"/>
    <row r="36628" customFormat="1" x14ac:dyDescent="0.25"/>
    <row r="36629" customFormat="1" x14ac:dyDescent="0.25"/>
    <row r="36630" customFormat="1" x14ac:dyDescent="0.25"/>
    <row r="36631" customFormat="1" x14ac:dyDescent="0.25"/>
    <row r="36632" customFormat="1" x14ac:dyDescent="0.25"/>
    <row r="36633" customFormat="1" x14ac:dyDescent="0.25"/>
    <row r="36634" customFormat="1" x14ac:dyDescent="0.25"/>
    <row r="36635" customFormat="1" x14ac:dyDescent="0.25"/>
    <row r="36636" customFormat="1" x14ac:dyDescent="0.25"/>
    <row r="36637" customFormat="1" x14ac:dyDescent="0.25"/>
    <row r="36638" customFormat="1" x14ac:dyDescent="0.25"/>
    <row r="36639" customFormat="1" x14ac:dyDescent="0.25"/>
    <row r="36640" customFormat="1" x14ac:dyDescent="0.25"/>
    <row r="36641" customFormat="1" x14ac:dyDescent="0.25"/>
    <row r="36642" customFormat="1" x14ac:dyDescent="0.25"/>
    <row r="36643" customFormat="1" x14ac:dyDescent="0.25"/>
    <row r="36644" customFormat="1" x14ac:dyDescent="0.25"/>
    <row r="36645" customFormat="1" x14ac:dyDescent="0.25"/>
    <row r="36646" customFormat="1" x14ac:dyDescent="0.25"/>
    <row r="36647" customFormat="1" x14ac:dyDescent="0.25"/>
    <row r="36648" customFormat="1" x14ac:dyDescent="0.25"/>
    <row r="36649" customFormat="1" x14ac:dyDescent="0.25"/>
    <row r="36650" customFormat="1" x14ac:dyDescent="0.25"/>
    <row r="36651" customFormat="1" x14ac:dyDescent="0.25"/>
    <row r="36652" customFormat="1" x14ac:dyDescent="0.25"/>
    <row r="36653" customFormat="1" x14ac:dyDescent="0.25"/>
    <row r="36654" customFormat="1" x14ac:dyDescent="0.25"/>
    <row r="36655" customFormat="1" x14ac:dyDescent="0.25"/>
    <row r="36656" customFormat="1" x14ac:dyDescent="0.25"/>
    <row r="36657" customFormat="1" x14ac:dyDescent="0.25"/>
    <row r="36658" customFormat="1" x14ac:dyDescent="0.25"/>
    <row r="36659" customFormat="1" x14ac:dyDescent="0.25"/>
    <row r="36660" customFormat="1" x14ac:dyDescent="0.25"/>
    <row r="36661" customFormat="1" x14ac:dyDescent="0.25"/>
    <row r="36662" customFormat="1" x14ac:dyDescent="0.25"/>
    <row r="36663" customFormat="1" x14ac:dyDescent="0.25"/>
    <row r="36664" customFormat="1" x14ac:dyDescent="0.25"/>
    <row r="36665" customFormat="1" x14ac:dyDescent="0.25"/>
    <row r="36666" customFormat="1" x14ac:dyDescent="0.25"/>
    <row r="36667" customFormat="1" x14ac:dyDescent="0.25"/>
    <row r="36668" customFormat="1" x14ac:dyDescent="0.25"/>
    <row r="36669" customFormat="1" x14ac:dyDescent="0.25"/>
    <row r="36670" customFormat="1" x14ac:dyDescent="0.25"/>
    <row r="36671" customFormat="1" x14ac:dyDescent="0.25"/>
    <row r="36672" customFormat="1" x14ac:dyDescent="0.25"/>
    <row r="36673" customFormat="1" x14ac:dyDescent="0.25"/>
    <row r="36674" customFormat="1" x14ac:dyDescent="0.25"/>
    <row r="36675" customFormat="1" x14ac:dyDescent="0.25"/>
    <row r="36676" customFormat="1" x14ac:dyDescent="0.25"/>
    <row r="36677" customFormat="1" x14ac:dyDescent="0.25"/>
    <row r="36678" customFormat="1" x14ac:dyDescent="0.25"/>
    <row r="36679" customFormat="1" x14ac:dyDescent="0.25"/>
    <row r="36680" customFormat="1" x14ac:dyDescent="0.25"/>
    <row r="36681" customFormat="1" x14ac:dyDescent="0.25"/>
    <row r="36682" customFormat="1" x14ac:dyDescent="0.25"/>
    <row r="36683" customFormat="1" x14ac:dyDescent="0.25"/>
    <row r="36684" customFormat="1" x14ac:dyDescent="0.25"/>
    <row r="36685" customFormat="1" x14ac:dyDescent="0.25"/>
    <row r="36686" customFormat="1" x14ac:dyDescent="0.25"/>
    <row r="36687" customFormat="1" x14ac:dyDescent="0.25"/>
    <row r="36688" customFormat="1" x14ac:dyDescent="0.25"/>
    <row r="36689" customFormat="1" x14ac:dyDescent="0.25"/>
    <row r="36690" customFormat="1" x14ac:dyDescent="0.25"/>
    <row r="36691" customFormat="1" x14ac:dyDescent="0.25"/>
    <row r="36692" customFormat="1" x14ac:dyDescent="0.25"/>
    <row r="36693" customFormat="1" x14ac:dyDescent="0.25"/>
    <row r="36694" customFormat="1" x14ac:dyDescent="0.25"/>
    <row r="36695" customFormat="1" x14ac:dyDescent="0.25"/>
    <row r="36696" customFormat="1" x14ac:dyDescent="0.25"/>
    <row r="36697" customFormat="1" x14ac:dyDescent="0.25"/>
    <row r="36698" customFormat="1" x14ac:dyDescent="0.25"/>
    <row r="36699" customFormat="1" x14ac:dyDescent="0.25"/>
    <row r="36700" customFormat="1" x14ac:dyDescent="0.25"/>
    <row r="36701" customFormat="1" x14ac:dyDescent="0.25"/>
    <row r="36702" customFormat="1" x14ac:dyDescent="0.25"/>
    <row r="36703" customFormat="1" x14ac:dyDescent="0.25"/>
    <row r="36704" customFormat="1" x14ac:dyDescent="0.25"/>
    <row r="36705" customFormat="1" x14ac:dyDescent="0.25"/>
    <row r="36706" customFormat="1" x14ac:dyDescent="0.25"/>
    <row r="36707" customFormat="1" x14ac:dyDescent="0.25"/>
    <row r="36708" customFormat="1" x14ac:dyDescent="0.25"/>
    <row r="36709" customFormat="1" x14ac:dyDescent="0.25"/>
    <row r="36710" customFormat="1" x14ac:dyDescent="0.25"/>
    <row r="36711" customFormat="1" x14ac:dyDescent="0.25"/>
    <row r="36712" customFormat="1" x14ac:dyDescent="0.25"/>
    <row r="36713" customFormat="1" x14ac:dyDescent="0.25"/>
    <row r="36714" customFormat="1" x14ac:dyDescent="0.25"/>
    <row r="36715" customFormat="1" x14ac:dyDescent="0.25"/>
    <row r="36716" customFormat="1" x14ac:dyDescent="0.25"/>
    <row r="36717" customFormat="1" x14ac:dyDescent="0.25"/>
    <row r="36718" customFormat="1" x14ac:dyDescent="0.25"/>
    <row r="36719" customFormat="1" x14ac:dyDescent="0.25"/>
    <row r="36720" customFormat="1" x14ac:dyDescent="0.25"/>
    <row r="36721" customFormat="1" x14ac:dyDescent="0.25"/>
    <row r="36722" customFormat="1" x14ac:dyDescent="0.25"/>
    <row r="36723" customFormat="1" x14ac:dyDescent="0.25"/>
    <row r="36724" customFormat="1" x14ac:dyDescent="0.25"/>
    <row r="36725" customFormat="1" x14ac:dyDescent="0.25"/>
    <row r="36726" customFormat="1" x14ac:dyDescent="0.25"/>
    <row r="36727" customFormat="1" x14ac:dyDescent="0.25"/>
    <row r="36728" customFormat="1" x14ac:dyDescent="0.25"/>
    <row r="36729" customFormat="1" x14ac:dyDescent="0.25"/>
    <row r="36730" customFormat="1" x14ac:dyDescent="0.25"/>
    <row r="36731" customFormat="1" x14ac:dyDescent="0.25"/>
    <row r="36732" customFormat="1" x14ac:dyDescent="0.25"/>
    <row r="36733" customFormat="1" x14ac:dyDescent="0.25"/>
    <row r="36734" customFormat="1" x14ac:dyDescent="0.25"/>
    <row r="36735" customFormat="1" x14ac:dyDescent="0.25"/>
    <row r="36736" customFormat="1" x14ac:dyDescent="0.25"/>
    <row r="36737" customFormat="1" x14ac:dyDescent="0.25"/>
    <row r="36738" customFormat="1" x14ac:dyDescent="0.25"/>
    <row r="36739" customFormat="1" x14ac:dyDescent="0.25"/>
    <row r="36740" customFormat="1" x14ac:dyDescent="0.25"/>
    <row r="36741" customFormat="1" x14ac:dyDescent="0.25"/>
    <row r="36742" customFormat="1" x14ac:dyDescent="0.25"/>
    <row r="36743" customFormat="1" x14ac:dyDescent="0.25"/>
    <row r="36744" customFormat="1" x14ac:dyDescent="0.25"/>
    <row r="36745" customFormat="1" x14ac:dyDescent="0.25"/>
    <row r="36746" customFormat="1" x14ac:dyDescent="0.25"/>
    <row r="36747" customFormat="1" x14ac:dyDescent="0.25"/>
    <row r="36748" customFormat="1" x14ac:dyDescent="0.25"/>
    <row r="36749" customFormat="1" x14ac:dyDescent="0.25"/>
    <row r="36750" customFormat="1" x14ac:dyDescent="0.25"/>
    <row r="36751" customFormat="1" x14ac:dyDescent="0.25"/>
    <row r="36752" customFormat="1" x14ac:dyDescent="0.25"/>
    <row r="36753" customFormat="1" x14ac:dyDescent="0.25"/>
    <row r="36754" customFormat="1" x14ac:dyDescent="0.25"/>
    <row r="36755" customFormat="1" x14ac:dyDescent="0.25"/>
    <row r="36756" customFormat="1" x14ac:dyDescent="0.25"/>
    <row r="36757" customFormat="1" x14ac:dyDescent="0.25"/>
    <row r="36758" customFormat="1" x14ac:dyDescent="0.25"/>
    <row r="36759" customFormat="1" x14ac:dyDescent="0.25"/>
    <row r="36760" customFormat="1" x14ac:dyDescent="0.25"/>
    <row r="36761" customFormat="1" x14ac:dyDescent="0.25"/>
    <row r="36762" customFormat="1" x14ac:dyDescent="0.25"/>
    <row r="36763" customFormat="1" x14ac:dyDescent="0.25"/>
    <row r="36764" customFormat="1" x14ac:dyDescent="0.25"/>
    <row r="36765" customFormat="1" x14ac:dyDescent="0.25"/>
    <row r="36766" customFormat="1" x14ac:dyDescent="0.25"/>
    <row r="36767" customFormat="1" x14ac:dyDescent="0.25"/>
    <row r="36768" customFormat="1" x14ac:dyDescent="0.25"/>
    <row r="36769" customFormat="1" x14ac:dyDescent="0.25"/>
    <row r="36770" customFormat="1" x14ac:dyDescent="0.25"/>
    <row r="36771" customFormat="1" x14ac:dyDescent="0.25"/>
    <row r="36772" customFormat="1" x14ac:dyDescent="0.25"/>
    <row r="36773" customFormat="1" x14ac:dyDescent="0.25"/>
    <row r="36774" customFormat="1" x14ac:dyDescent="0.25"/>
    <row r="36775" customFormat="1" x14ac:dyDescent="0.25"/>
    <row r="36776" customFormat="1" x14ac:dyDescent="0.25"/>
    <row r="36777" customFormat="1" x14ac:dyDescent="0.25"/>
    <row r="36778" customFormat="1" x14ac:dyDescent="0.25"/>
    <row r="36779" customFormat="1" x14ac:dyDescent="0.25"/>
    <row r="36780" customFormat="1" x14ac:dyDescent="0.25"/>
    <row r="36781" customFormat="1" x14ac:dyDescent="0.25"/>
    <row r="36782" customFormat="1" x14ac:dyDescent="0.25"/>
    <row r="36783" customFormat="1" x14ac:dyDescent="0.25"/>
    <row r="36784" customFormat="1" x14ac:dyDescent="0.25"/>
    <row r="36785" customFormat="1" x14ac:dyDescent="0.25"/>
    <row r="36786" customFormat="1" x14ac:dyDescent="0.25"/>
    <row r="36787" customFormat="1" x14ac:dyDescent="0.25"/>
    <row r="36788" customFormat="1" x14ac:dyDescent="0.25"/>
    <row r="36789" customFormat="1" x14ac:dyDescent="0.25"/>
    <row r="36790" customFormat="1" x14ac:dyDescent="0.25"/>
    <row r="36791" customFormat="1" x14ac:dyDescent="0.25"/>
    <row r="36792" customFormat="1" x14ac:dyDescent="0.25"/>
    <row r="36793" customFormat="1" x14ac:dyDescent="0.25"/>
    <row r="36794" customFormat="1" x14ac:dyDescent="0.25"/>
    <row r="36795" customFormat="1" x14ac:dyDescent="0.25"/>
    <row r="36796" customFormat="1" x14ac:dyDescent="0.25"/>
    <row r="36797" customFormat="1" x14ac:dyDescent="0.25"/>
    <row r="36798" customFormat="1" x14ac:dyDescent="0.25"/>
    <row r="36799" customFormat="1" x14ac:dyDescent="0.25"/>
    <row r="36800" customFormat="1" x14ac:dyDescent="0.25"/>
    <row r="36801" customFormat="1" x14ac:dyDescent="0.25"/>
    <row r="36802" customFormat="1" x14ac:dyDescent="0.25"/>
    <row r="36803" customFormat="1" x14ac:dyDescent="0.25"/>
    <row r="36804" customFormat="1" x14ac:dyDescent="0.25"/>
    <row r="36805" customFormat="1" x14ac:dyDescent="0.25"/>
    <row r="36806" customFormat="1" x14ac:dyDescent="0.25"/>
    <row r="36807" customFormat="1" x14ac:dyDescent="0.25"/>
    <row r="36808" customFormat="1" x14ac:dyDescent="0.25"/>
    <row r="36809" customFormat="1" x14ac:dyDescent="0.25"/>
    <row r="36810" customFormat="1" x14ac:dyDescent="0.25"/>
    <row r="36811" customFormat="1" x14ac:dyDescent="0.25"/>
    <row r="36812" customFormat="1" x14ac:dyDescent="0.25"/>
    <row r="36813" customFormat="1" x14ac:dyDescent="0.25"/>
    <row r="36814" customFormat="1" x14ac:dyDescent="0.25"/>
    <row r="36815" customFormat="1" x14ac:dyDescent="0.25"/>
    <row r="36816" customFormat="1" x14ac:dyDescent="0.25"/>
    <row r="36817" customFormat="1" x14ac:dyDescent="0.25"/>
    <row r="36818" customFormat="1" x14ac:dyDescent="0.25"/>
    <row r="36819" customFormat="1" x14ac:dyDescent="0.25"/>
    <row r="36820" customFormat="1" x14ac:dyDescent="0.25"/>
    <row r="36821" customFormat="1" x14ac:dyDescent="0.25"/>
    <row r="36822" customFormat="1" x14ac:dyDescent="0.25"/>
    <row r="36823" customFormat="1" x14ac:dyDescent="0.25"/>
    <row r="36824" customFormat="1" x14ac:dyDescent="0.25"/>
    <row r="36825" customFormat="1" x14ac:dyDescent="0.25"/>
    <row r="36826" customFormat="1" x14ac:dyDescent="0.25"/>
    <row r="36827" customFormat="1" x14ac:dyDescent="0.25"/>
    <row r="36828" customFormat="1" x14ac:dyDescent="0.25"/>
    <row r="36829" customFormat="1" x14ac:dyDescent="0.25"/>
    <row r="36830" customFormat="1" x14ac:dyDescent="0.25"/>
    <row r="36831" customFormat="1" x14ac:dyDescent="0.25"/>
    <row r="36832" customFormat="1" x14ac:dyDescent="0.25"/>
    <row r="36833" customFormat="1" x14ac:dyDescent="0.25"/>
    <row r="36834" customFormat="1" x14ac:dyDescent="0.25"/>
    <row r="36835" customFormat="1" x14ac:dyDescent="0.25"/>
    <row r="36836" customFormat="1" x14ac:dyDescent="0.25"/>
    <row r="36837" customFormat="1" x14ac:dyDescent="0.25"/>
    <row r="36838" customFormat="1" x14ac:dyDescent="0.25"/>
    <row r="36839" customFormat="1" x14ac:dyDescent="0.25"/>
    <row r="36840" customFormat="1" x14ac:dyDescent="0.25"/>
    <row r="36841" customFormat="1" x14ac:dyDescent="0.25"/>
    <row r="36842" customFormat="1" x14ac:dyDescent="0.25"/>
    <row r="36843" customFormat="1" x14ac:dyDescent="0.25"/>
    <row r="36844" customFormat="1" x14ac:dyDescent="0.25"/>
    <row r="36845" customFormat="1" x14ac:dyDescent="0.25"/>
    <row r="36846" customFormat="1" x14ac:dyDescent="0.25"/>
    <row r="36847" customFormat="1" x14ac:dyDescent="0.25"/>
    <row r="36848" customFormat="1" x14ac:dyDescent="0.25"/>
    <row r="36849" customFormat="1" x14ac:dyDescent="0.25"/>
    <row r="36850" customFormat="1" x14ac:dyDescent="0.25"/>
    <row r="36851" customFormat="1" x14ac:dyDescent="0.25"/>
    <row r="36852" customFormat="1" x14ac:dyDescent="0.25"/>
    <row r="36853" customFormat="1" x14ac:dyDescent="0.25"/>
    <row r="36854" customFormat="1" x14ac:dyDescent="0.25"/>
    <row r="36855" customFormat="1" x14ac:dyDescent="0.25"/>
    <row r="36856" customFormat="1" x14ac:dyDescent="0.25"/>
    <row r="36857" customFormat="1" x14ac:dyDescent="0.25"/>
    <row r="36858" customFormat="1" x14ac:dyDescent="0.25"/>
    <row r="36859" customFormat="1" x14ac:dyDescent="0.25"/>
    <row r="36860" customFormat="1" x14ac:dyDescent="0.25"/>
    <row r="36861" customFormat="1" x14ac:dyDescent="0.25"/>
    <row r="36862" customFormat="1" x14ac:dyDescent="0.25"/>
    <row r="36863" customFormat="1" x14ac:dyDescent="0.25"/>
    <row r="36864" customFormat="1" x14ac:dyDescent="0.25"/>
    <row r="36865" customFormat="1" x14ac:dyDescent="0.25"/>
    <row r="36866" customFormat="1" x14ac:dyDescent="0.25"/>
    <row r="36867" customFormat="1" x14ac:dyDescent="0.25"/>
    <row r="36868" customFormat="1" x14ac:dyDescent="0.25"/>
    <row r="36869" customFormat="1" x14ac:dyDescent="0.25"/>
    <row r="36870" customFormat="1" x14ac:dyDescent="0.25"/>
    <row r="36871" customFormat="1" x14ac:dyDescent="0.25"/>
    <row r="36872" customFormat="1" x14ac:dyDescent="0.25"/>
    <row r="36873" customFormat="1" x14ac:dyDescent="0.25"/>
    <row r="36874" customFormat="1" x14ac:dyDescent="0.25"/>
    <row r="36875" customFormat="1" x14ac:dyDescent="0.25"/>
    <row r="36876" customFormat="1" x14ac:dyDescent="0.25"/>
    <row r="36877" customFormat="1" x14ac:dyDescent="0.25"/>
    <row r="36878" customFormat="1" x14ac:dyDescent="0.25"/>
    <row r="36879" customFormat="1" x14ac:dyDescent="0.25"/>
    <row r="36880" customFormat="1" x14ac:dyDescent="0.25"/>
    <row r="36881" customFormat="1" x14ac:dyDescent="0.25"/>
    <row r="36882" customFormat="1" x14ac:dyDescent="0.25"/>
    <row r="36883" customFormat="1" x14ac:dyDescent="0.25"/>
    <row r="36884" customFormat="1" x14ac:dyDescent="0.25"/>
    <row r="36885" customFormat="1" x14ac:dyDescent="0.25"/>
    <row r="36886" customFormat="1" x14ac:dyDescent="0.25"/>
    <row r="36887" customFormat="1" x14ac:dyDescent="0.25"/>
    <row r="36888" customFormat="1" x14ac:dyDescent="0.25"/>
    <row r="36889" customFormat="1" x14ac:dyDescent="0.25"/>
    <row r="36890" customFormat="1" x14ac:dyDescent="0.25"/>
    <row r="36891" customFormat="1" x14ac:dyDescent="0.25"/>
    <row r="36892" customFormat="1" x14ac:dyDescent="0.25"/>
    <row r="36893" customFormat="1" x14ac:dyDescent="0.25"/>
    <row r="36894" customFormat="1" x14ac:dyDescent="0.25"/>
    <row r="36895" customFormat="1" x14ac:dyDescent="0.25"/>
    <row r="36896" customFormat="1" x14ac:dyDescent="0.25"/>
    <row r="36897" customFormat="1" x14ac:dyDescent="0.25"/>
    <row r="36898" customFormat="1" x14ac:dyDescent="0.25"/>
    <row r="36899" customFormat="1" x14ac:dyDescent="0.25"/>
    <row r="36900" customFormat="1" x14ac:dyDescent="0.25"/>
    <row r="36901" customFormat="1" x14ac:dyDescent="0.25"/>
    <row r="36902" customFormat="1" x14ac:dyDescent="0.25"/>
    <row r="36903" customFormat="1" x14ac:dyDescent="0.25"/>
    <row r="36904" customFormat="1" x14ac:dyDescent="0.25"/>
    <row r="36905" customFormat="1" x14ac:dyDescent="0.25"/>
    <row r="36906" customFormat="1" x14ac:dyDescent="0.25"/>
    <row r="36907" customFormat="1" x14ac:dyDescent="0.25"/>
    <row r="36908" customFormat="1" x14ac:dyDescent="0.25"/>
    <row r="36909" customFormat="1" x14ac:dyDescent="0.25"/>
    <row r="36910" customFormat="1" x14ac:dyDescent="0.25"/>
    <row r="36911" customFormat="1" x14ac:dyDescent="0.25"/>
    <row r="36912" customFormat="1" x14ac:dyDescent="0.25"/>
    <row r="36913" customFormat="1" x14ac:dyDescent="0.25"/>
    <row r="36914" customFormat="1" x14ac:dyDescent="0.25"/>
    <row r="36915" customFormat="1" x14ac:dyDescent="0.25"/>
    <row r="36916" customFormat="1" x14ac:dyDescent="0.25"/>
    <row r="36917" customFormat="1" x14ac:dyDescent="0.25"/>
    <row r="36918" customFormat="1" x14ac:dyDescent="0.25"/>
    <row r="36919" customFormat="1" x14ac:dyDescent="0.25"/>
    <row r="36920" customFormat="1" x14ac:dyDescent="0.25"/>
    <row r="36921" customFormat="1" x14ac:dyDescent="0.25"/>
    <row r="36922" customFormat="1" x14ac:dyDescent="0.25"/>
    <row r="36923" customFormat="1" x14ac:dyDescent="0.25"/>
    <row r="36924" customFormat="1" x14ac:dyDescent="0.25"/>
    <row r="36925" customFormat="1" x14ac:dyDescent="0.25"/>
    <row r="36926" customFormat="1" x14ac:dyDescent="0.25"/>
    <row r="36927" customFormat="1" x14ac:dyDescent="0.25"/>
    <row r="36928" customFormat="1" x14ac:dyDescent="0.25"/>
    <row r="36929" customFormat="1" x14ac:dyDescent="0.25"/>
    <row r="36930" customFormat="1" x14ac:dyDescent="0.25"/>
    <row r="36931" customFormat="1" x14ac:dyDescent="0.25"/>
    <row r="36932" customFormat="1" x14ac:dyDescent="0.25"/>
    <row r="36933" customFormat="1" x14ac:dyDescent="0.25"/>
    <row r="36934" customFormat="1" x14ac:dyDescent="0.25"/>
    <row r="36935" customFormat="1" x14ac:dyDescent="0.25"/>
    <row r="36936" customFormat="1" x14ac:dyDescent="0.25"/>
    <row r="36937" customFormat="1" x14ac:dyDescent="0.25"/>
    <row r="36938" customFormat="1" x14ac:dyDescent="0.25"/>
    <row r="36939" customFormat="1" x14ac:dyDescent="0.25"/>
    <row r="36940" customFormat="1" x14ac:dyDescent="0.25"/>
    <row r="36941" customFormat="1" x14ac:dyDescent="0.25"/>
    <row r="36942" customFormat="1" x14ac:dyDescent="0.25"/>
    <row r="36943" customFormat="1" x14ac:dyDescent="0.25"/>
    <row r="36944" customFormat="1" x14ac:dyDescent="0.25"/>
    <row r="36945" customFormat="1" x14ac:dyDescent="0.25"/>
    <row r="36946" customFormat="1" x14ac:dyDescent="0.25"/>
    <row r="36947" customFormat="1" x14ac:dyDescent="0.25"/>
    <row r="36948" customFormat="1" x14ac:dyDescent="0.25"/>
    <row r="36949" customFormat="1" x14ac:dyDescent="0.25"/>
    <row r="36950" customFormat="1" x14ac:dyDescent="0.25"/>
    <row r="36951" customFormat="1" x14ac:dyDescent="0.25"/>
    <row r="36952" customFormat="1" x14ac:dyDescent="0.25"/>
    <row r="36953" customFormat="1" x14ac:dyDescent="0.25"/>
    <row r="36954" customFormat="1" x14ac:dyDescent="0.25"/>
    <row r="36955" customFormat="1" x14ac:dyDescent="0.25"/>
    <row r="36956" customFormat="1" x14ac:dyDescent="0.25"/>
    <row r="36957" customFormat="1" x14ac:dyDescent="0.25"/>
    <row r="36958" customFormat="1" x14ac:dyDescent="0.25"/>
    <row r="36959" customFormat="1" x14ac:dyDescent="0.25"/>
    <row r="36960" customFormat="1" x14ac:dyDescent="0.25"/>
    <row r="36961" customFormat="1" x14ac:dyDescent="0.25"/>
    <row r="36962" customFormat="1" x14ac:dyDescent="0.25"/>
    <row r="36963" customFormat="1" x14ac:dyDescent="0.25"/>
    <row r="36964" customFormat="1" x14ac:dyDescent="0.25"/>
    <row r="36965" customFormat="1" x14ac:dyDescent="0.25"/>
    <row r="36966" customFormat="1" x14ac:dyDescent="0.25"/>
    <row r="36967" customFormat="1" x14ac:dyDescent="0.25"/>
    <row r="36968" customFormat="1" x14ac:dyDescent="0.25"/>
    <row r="36969" customFormat="1" x14ac:dyDescent="0.25"/>
    <row r="36970" customFormat="1" x14ac:dyDescent="0.25"/>
    <row r="36971" customFormat="1" x14ac:dyDescent="0.25"/>
    <row r="36972" customFormat="1" x14ac:dyDescent="0.25"/>
    <row r="36973" customFormat="1" x14ac:dyDescent="0.25"/>
    <row r="36974" customFormat="1" x14ac:dyDescent="0.25"/>
    <row r="36975" customFormat="1" x14ac:dyDescent="0.25"/>
    <row r="36976" customFormat="1" x14ac:dyDescent="0.25"/>
    <row r="36977" customFormat="1" x14ac:dyDescent="0.25"/>
    <row r="36978" customFormat="1" x14ac:dyDescent="0.25"/>
    <row r="36979" customFormat="1" x14ac:dyDescent="0.25"/>
    <row r="36980" customFormat="1" x14ac:dyDescent="0.25"/>
    <row r="36981" customFormat="1" x14ac:dyDescent="0.25"/>
    <row r="36982" customFormat="1" x14ac:dyDescent="0.25"/>
    <row r="36983" customFormat="1" x14ac:dyDescent="0.25"/>
    <row r="36984" customFormat="1" x14ac:dyDescent="0.25"/>
    <row r="36985" customFormat="1" x14ac:dyDescent="0.25"/>
    <row r="36986" customFormat="1" x14ac:dyDescent="0.25"/>
    <row r="36987" customFormat="1" x14ac:dyDescent="0.25"/>
    <row r="36988" customFormat="1" x14ac:dyDescent="0.25"/>
    <row r="36989" customFormat="1" x14ac:dyDescent="0.25"/>
    <row r="36990" customFormat="1" x14ac:dyDescent="0.25"/>
    <row r="36991" customFormat="1" x14ac:dyDescent="0.25"/>
    <row r="36992" customFormat="1" x14ac:dyDescent="0.25"/>
    <row r="36993" customFormat="1" x14ac:dyDescent="0.25"/>
    <row r="36994" customFormat="1" x14ac:dyDescent="0.25"/>
    <row r="36995" customFormat="1" x14ac:dyDescent="0.25"/>
    <row r="36996" customFormat="1" x14ac:dyDescent="0.25"/>
    <row r="36997" customFormat="1" x14ac:dyDescent="0.25"/>
    <row r="36998" customFormat="1" x14ac:dyDescent="0.25"/>
    <row r="36999" customFormat="1" x14ac:dyDescent="0.25"/>
    <row r="37000" customFormat="1" x14ac:dyDescent="0.25"/>
    <row r="37001" customFormat="1" x14ac:dyDescent="0.25"/>
    <row r="37002" customFormat="1" x14ac:dyDescent="0.25"/>
    <row r="37003" customFormat="1" x14ac:dyDescent="0.25"/>
    <row r="37004" customFormat="1" x14ac:dyDescent="0.25"/>
    <row r="37005" customFormat="1" x14ac:dyDescent="0.25"/>
    <row r="37006" customFormat="1" x14ac:dyDescent="0.25"/>
    <row r="37007" customFormat="1" x14ac:dyDescent="0.25"/>
    <row r="37008" customFormat="1" x14ac:dyDescent="0.25"/>
    <row r="37009" customFormat="1" x14ac:dyDescent="0.25"/>
    <row r="37010" customFormat="1" x14ac:dyDescent="0.25"/>
    <row r="37011" customFormat="1" x14ac:dyDescent="0.25"/>
    <row r="37012" customFormat="1" x14ac:dyDescent="0.25"/>
    <row r="37013" customFormat="1" x14ac:dyDescent="0.25"/>
    <row r="37014" customFormat="1" x14ac:dyDescent="0.25"/>
    <row r="37015" customFormat="1" x14ac:dyDescent="0.25"/>
    <row r="37016" customFormat="1" x14ac:dyDescent="0.25"/>
    <row r="37017" customFormat="1" x14ac:dyDescent="0.25"/>
    <row r="37018" customFormat="1" x14ac:dyDescent="0.25"/>
    <row r="37019" customFormat="1" x14ac:dyDescent="0.25"/>
    <row r="37020" customFormat="1" x14ac:dyDescent="0.25"/>
    <row r="37021" customFormat="1" x14ac:dyDescent="0.25"/>
    <row r="37022" customFormat="1" x14ac:dyDescent="0.25"/>
    <row r="37023" customFormat="1" x14ac:dyDescent="0.25"/>
    <row r="37024" customFormat="1" x14ac:dyDescent="0.25"/>
    <row r="37025" customFormat="1" x14ac:dyDescent="0.25"/>
    <row r="37026" customFormat="1" x14ac:dyDescent="0.25"/>
    <row r="37027" customFormat="1" x14ac:dyDescent="0.25"/>
    <row r="37028" customFormat="1" x14ac:dyDescent="0.25"/>
    <row r="37029" customFormat="1" x14ac:dyDescent="0.25"/>
    <row r="37030" customFormat="1" x14ac:dyDescent="0.25"/>
    <row r="37031" customFormat="1" x14ac:dyDescent="0.25"/>
    <row r="37032" customFormat="1" x14ac:dyDescent="0.25"/>
    <row r="37033" customFormat="1" x14ac:dyDescent="0.25"/>
    <row r="37034" customFormat="1" x14ac:dyDescent="0.25"/>
    <row r="37035" customFormat="1" x14ac:dyDescent="0.25"/>
    <row r="37036" customFormat="1" x14ac:dyDescent="0.25"/>
    <row r="37037" customFormat="1" x14ac:dyDescent="0.25"/>
    <row r="37038" customFormat="1" x14ac:dyDescent="0.25"/>
    <row r="37039" customFormat="1" x14ac:dyDescent="0.25"/>
    <row r="37040" customFormat="1" x14ac:dyDescent="0.25"/>
    <row r="37041" customFormat="1" x14ac:dyDescent="0.25"/>
    <row r="37042" customFormat="1" x14ac:dyDescent="0.25"/>
    <row r="37043" customFormat="1" x14ac:dyDescent="0.25"/>
    <row r="37044" customFormat="1" x14ac:dyDescent="0.25"/>
    <row r="37045" customFormat="1" x14ac:dyDescent="0.25"/>
    <row r="37046" customFormat="1" x14ac:dyDescent="0.25"/>
    <row r="37047" customFormat="1" x14ac:dyDescent="0.25"/>
    <row r="37048" customFormat="1" x14ac:dyDescent="0.25"/>
    <row r="37049" customFormat="1" x14ac:dyDescent="0.25"/>
    <row r="37050" customFormat="1" x14ac:dyDescent="0.25"/>
    <row r="37051" customFormat="1" x14ac:dyDescent="0.25"/>
    <row r="37052" customFormat="1" x14ac:dyDescent="0.25"/>
    <row r="37053" customFormat="1" x14ac:dyDescent="0.25"/>
    <row r="37054" customFormat="1" x14ac:dyDescent="0.25"/>
    <row r="37055" customFormat="1" x14ac:dyDescent="0.25"/>
    <row r="37056" customFormat="1" x14ac:dyDescent="0.25"/>
    <row r="37057" customFormat="1" x14ac:dyDescent="0.25"/>
    <row r="37058" customFormat="1" x14ac:dyDescent="0.25"/>
    <row r="37059" customFormat="1" x14ac:dyDescent="0.25"/>
    <row r="37060" customFormat="1" x14ac:dyDescent="0.25"/>
    <row r="37061" customFormat="1" x14ac:dyDescent="0.25"/>
    <row r="37062" customFormat="1" x14ac:dyDescent="0.25"/>
    <row r="37063" customFormat="1" x14ac:dyDescent="0.25"/>
    <row r="37064" customFormat="1" x14ac:dyDescent="0.25"/>
    <row r="37065" customFormat="1" x14ac:dyDescent="0.25"/>
    <row r="37066" customFormat="1" x14ac:dyDescent="0.25"/>
    <row r="37067" customFormat="1" x14ac:dyDescent="0.25"/>
    <row r="37068" customFormat="1" x14ac:dyDescent="0.25"/>
    <row r="37069" customFormat="1" x14ac:dyDescent="0.25"/>
    <row r="37070" customFormat="1" x14ac:dyDescent="0.25"/>
    <row r="37071" customFormat="1" x14ac:dyDescent="0.25"/>
    <row r="37072" customFormat="1" x14ac:dyDescent="0.25"/>
    <row r="37073" customFormat="1" x14ac:dyDescent="0.25"/>
    <row r="37074" customFormat="1" x14ac:dyDescent="0.25"/>
    <row r="37075" customFormat="1" x14ac:dyDescent="0.25"/>
    <row r="37076" customFormat="1" x14ac:dyDescent="0.25"/>
    <row r="37077" customFormat="1" x14ac:dyDescent="0.25"/>
    <row r="37078" customFormat="1" x14ac:dyDescent="0.25"/>
    <row r="37079" customFormat="1" x14ac:dyDescent="0.25"/>
    <row r="37080" customFormat="1" x14ac:dyDescent="0.25"/>
    <row r="37081" customFormat="1" x14ac:dyDescent="0.25"/>
    <row r="37082" customFormat="1" x14ac:dyDescent="0.25"/>
    <row r="37083" customFormat="1" x14ac:dyDescent="0.25"/>
    <row r="37084" customFormat="1" x14ac:dyDescent="0.25"/>
    <row r="37085" customFormat="1" x14ac:dyDescent="0.25"/>
    <row r="37086" customFormat="1" x14ac:dyDescent="0.25"/>
    <row r="37087" customFormat="1" x14ac:dyDescent="0.25"/>
    <row r="37088" customFormat="1" x14ac:dyDescent="0.25"/>
    <row r="37089" customFormat="1" x14ac:dyDescent="0.25"/>
    <row r="37090" customFormat="1" x14ac:dyDescent="0.25"/>
    <row r="37091" customFormat="1" x14ac:dyDescent="0.25"/>
    <row r="37092" customFormat="1" x14ac:dyDescent="0.25"/>
    <row r="37093" customFormat="1" x14ac:dyDescent="0.25"/>
    <row r="37094" customFormat="1" x14ac:dyDescent="0.25"/>
    <row r="37095" customFormat="1" x14ac:dyDescent="0.25"/>
    <row r="37096" customFormat="1" x14ac:dyDescent="0.25"/>
    <row r="37097" customFormat="1" x14ac:dyDescent="0.25"/>
    <row r="37098" customFormat="1" x14ac:dyDescent="0.25"/>
    <row r="37099" customFormat="1" x14ac:dyDescent="0.25"/>
    <row r="37100" customFormat="1" x14ac:dyDescent="0.25"/>
    <row r="37101" customFormat="1" x14ac:dyDescent="0.25"/>
    <row r="37102" customFormat="1" x14ac:dyDescent="0.25"/>
    <row r="37103" customFormat="1" x14ac:dyDescent="0.25"/>
    <row r="37104" customFormat="1" x14ac:dyDescent="0.25"/>
    <row r="37105" customFormat="1" x14ac:dyDescent="0.25"/>
    <row r="37106" customFormat="1" x14ac:dyDescent="0.25"/>
    <row r="37107" customFormat="1" x14ac:dyDescent="0.25"/>
    <row r="37108" customFormat="1" x14ac:dyDescent="0.25"/>
    <row r="37109" customFormat="1" x14ac:dyDescent="0.25"/>
    <row r="37110" customFormat="1" x14ac:dyDescent="0.25"/>
    <row r="37111" customFormat="1" x14ac:dyDescent="0.25"/>
    <row r="37112" customFormat="1" x14ac:dyDescent="0.25"/>
    <row r="37113" customFormat="1" x14ac:dyDescent="0.25"/>
    <row r="37114" customFormat="1" x14ac:dyDescent="0.25"/>
    <row r="37115" customFormat="1" x14ac:dyDescent="0.25"/>
    <row r="37116" customFormat="1" x14ac:dyDescent="0.25"/>
    <row r="37117" customFormat="1" x14ac:dyDescent="0.25"/>
    <row r="37118" customFormat="1" x14ac:dyDescent="0.25"/>
    <row r="37119" customFormat="1" x14ac:dyDescent="0.25"/>
    <row r="37120" customFormat="1" x14ac:dyDescent="0.25"/>
    <row r="37121" customFormat="1" x14ac:dyDescent="0.25"/>
    <row r="37122" customFormat="1" x14ac:dyDescent="0.25"/>
    <row r="37123" customFormat="1" x14ac:dyDescent="0.25"/>
    <row r="37124" customFormat="1" x14ac:dyDescent="0.25"/>
    <row r="37125" customFormat="1" x14ac:dyDescent="0.25"/>
    <row r="37126" customFormat="1" x14ac:dyDescent="0.25"/>
    <row r="37127" customFormat="1" x14ac:dyDescent="0.25"/>
    <row r="37128" customFormat="1" x14ac:dyDescent="0.25"/>
    <row r="37129" customFormat="1" x14ac:dyDescent="0.25"/>
    <row r="37130" customFormat="1" x14ac:dyDescent="0.25"/>
    <row r="37131" customFormat="1" x14ac:dyDescent="0.25"/>
    <row r="37132" customFormat="1" x14ac:dyDescent="0.25"/>
    <row r="37133" customFormat="1" x14ac:dyDescent="0.25"/>
    <row r="37134" customFormat="1" x14ac:dyDescent="0.25"/>
    <row r="37135" customFormat="1" x14ac:dyDescent="0.25"/>
    <row r="37136" customFormat="1" x14ac:dyDescent="0.25"/>
    <row r="37137" customFormat="1" x14ac:dyDescent="0.25"/>
    <row r="37138" customFormat="1" x14ac:dyDescent="0.25"/>
    <row r="37139" customFormat="1" x14ac:dyDescent="0.25"/>
    <row r="37140" customFormat="1" x14ac:dyDescent="0.25"/>
    <row r="37141" customFormat="1" x14ac:dyDescent="0.25"/>
    <row r="37142" customFormat="1" x14ac:dyDescent="0.25"/>
    <row r="37143" customFormat="1" x14ac:dyDescent="0.25"/>
    <row r="37144" customFormat="1" x14ac:dyDescent="0.25"/>
    <row r="37145" customFormat="1" x14ac:dyDescent="0.25"/>
    <row r="37146" customFormat="1" x14ac:dyDescent="0.25"/>
    <row r="37147" customFormat="1" x14ac:dyDescent="0.25"/>
    <row r="37148" customFormat="1" x14ac:dyDescent="0.25"/>
    <row r="37149" customFormat="1" x14ac:dyDescent="0.25"/>
    <row r="37150" customFormat="1" x14ac:dyDescent="0.25"/>
    <row r="37151" customFormat="1" x14ac:dyDescent="0.25"/>
    <row r="37152" customFormat="1" x14ac:dyDescent="0.25"/>
    <row r="37153" customFormat="1" x14ac:dyDescent="0.25"/>
    <row r="37154" customFormat="1" x14ac:dyDescent="0.25"/>
    <row r="37155" customFormat="1" x14ac:dyDescent="0.25"/>
    <row r="37156" customFormat="1" x14ac:dyDescent="0.25"/>
    <row r="37157" customFormat="1" x14ac:dyDescent="0.25"/>
    <row r="37158" customFormat="1" x14ac:dyDescent="0.25"/>
    <row r="37159" customFormat="1" x14ac:dyDescent="0.25"/>
    <row r="37160" customFormat="1" x14ac:dyDescent="0.25"/>
    <row r="37161" customFormat="1" x14ac:dyDescent="0.25"/>
    <row r="37162" customFormat="1" x14ac:dyDescent="0.25"/>
    <row r="37163" customFormat="1" x14ac:dyDescent="0.25"/>
    <row r="37164" customFormat="1" x14ac:dyDescent="0.25"/>
    <row r="37165" customFormat="1" x14ac:dyDescent="0.25"/>
    <row r="37166" customFormat="1" x14ac:dyDescent="0.25"/>
    <row r="37167" customFormat="1" x14ac:dyDescent="0.25"/>
    <row r="37168" customFormat="1" x14ac:dyDescent="0.25"/>
    <row r="37169" customFormat="1" x14ac:dyDescent="0.25"/>
    <row r="37170" customFormat="1" x14ac:dyDescent="0.25"/>
    <row r="37171" customFormat="1" x14ac:dyDescent="0.25"/>
    <row r="37172" customFormat="1" x14ac:dyDescent="0.25"/>
    <row r="37173" customFormat="1" x14ac:dyDescent="0.25"/>
    <row r="37174" customFormat="1" x14ac:dyDescent="0.25"/>
    <row r="37175" customFormat="1" x14ac:dyDescent="0.25"/>
    <row r="37176" customFormat="1" x14ac:dyDescent="0.25"/>
    <row r="37177" customFormat="1" x14ac:dyDescent="0.25"/>
    <row r="37178" customFormat="1" x14ac:dyDescent="0.25"/>
    <row r="37179" customFormat="1" x14ac:dyDescent="0.25"/>
    <row r="37180" customFormat="1" x14ac:dyDescent="0.25"/>
    <row r="37181" customFormat="1" x14ac:dyDescent="0.25"/>
    <row r="37182" customFormat="1" x14ac:dyDescent="0.25"/>
    <row r="37183" customFormat="1" x14ac:dyDescent="0.25"/>
    <row r="37184" customFormat="1" x14ac:dyDescent="0.25"/>
    <row r="37185" customFormat="1" x14ac:dyDescent="0.25"/>
    <row r="37186" customFormat="1" x14ac:dyDescent="0.25"/>
    <row r="37187" customFormat="1" x14ac:dyDescent="0.25"/>
    <row r="37188" customFormat="1" x14ac:dyDescent="0.25"/>
    <row r="37189" customFormat="1" x14ac:dyDescent="0.25"/>
    <row r="37190" customFormat="1" x14ac:dyDescent="0.25"/>
    <row r="37191" customFormat="1" x14ac:dyDescent="0.25"/>
    <row r="37192" customFormat="1" x14ac:dyDescent="0.25"/>
    <row r="37193" customFormat="1" x14ac:dyDescent="0.25"/>
    <row r="37194" customFormat="1" x14ac:dyDescent="0.25"/>
    <row r="37195" customFormat="1" x14ac:dyDescent="0.25"/>
    <row r="37196" customFormat="1" x14ac:dyDescent="0.25"/>
    <row r="37197" customFormat="1" x14ac:dyDescent="0.25"/>
    <row r="37198" customFormat="1" x14ac:dyDescent="0.25"/>
    <row r="37199" customFormat="1" x14ac:dyDescent="0.25"/>
    <row r="37200" customFormat="1" x14ac:dyDescent="0.25"/>
    <row r="37201" customFormat="1" x14ac:dyDescent="0.25"/>
    <row r="37202" customFormat="1" x14ac:dyDescent="0.25"/>
    <row r="37203" customFormat="1" x14ac:dyDescent="0.25"/>
    <row r="37204" customFormat="1" x14ac:dyDescent="0.25"/>
    <row r="37205" customFormat="1" x14ac:dyDescent="0.25"/>
    <row r="37206" customFormat="1" x14ac:dyDescent="0.25"/>
    <row r="37207" customFormat="1" x14ac:dyDescent="0.25"/>
    <row r="37208" customFormat="1" x14ac:dyDescent="0.25"/>
    <row r="37209" customFormat="1" x14ac:dyDescent="0.25"/>
    <row r="37210" customFormat="1" x14ac:dyDescent="0.25"/>
    <row r="37211" customFormat="1" x14ac:dyDescent="0.25"/>
    <row r="37212" customFormat="1" x14ac:dyDescent="0.25"/>
    <row r="37213" customFormat="1" x14ac:dyDescent="0.25"/>
    <row r="37214" customFormat="1" x14ac:dyDescent="0.25"/>
    <row r="37215" customFormat="1" x14ac:dyDescent="0.25"/>
    <row r="37216" customFormat="1" x14ac:dyDescent="0.25"/>
    <row r="37217" customFormat="1" x14ac:dyDescent="0.25"/>
    <row r="37218" customFormat="1" x14ac:dyDescent="0.25"/>
    <row r="37219" customFormat="1" x14ac:dyDescent="0.25"/>
    <row r="37220" customFormat="1" x14ac:dyDescent="0.25"/>
    <row r="37221" customFormat="1" x14ac:dyDescent="0.25"/>
    <row r="37222" customFormat="1" x14ac:dyDescent="0.25"/>
    <row r="37223" customFormat="1" x14ac:dyDescent="0.25"/>
    <row r="37224" customFormat="1" x14ac:dyDescent="0.25"/>
    <row r="37225" customFormat="1" x14ac:dyDescent="0.25"/>
    <row r="37226" customFormat="1" x14ac:dyDescent="0.25"/>
    <row r="37227" customFormat="1" x14ac:dyDescent="0.25"/>
    <row r="37228" customFormat="1" x14ac:dyDescent="0.25"/>
    <row r="37229" customFormat="1" x14ac:dyDescent="0.25"/>
    <row r="37230" customFormat="1" x14ac:dyDescent="0.25"/>
    <row r="37231" customFormat="1" x14ac:dyDescent="0.25"/>
    <row r="37232" customFormat="1" x14ac:dyDescent="0.25"/>
    <row r="37233" customFormat="1" x14ac:dyDescent="0.25"/>
    <row r="37234" customFormat="1" x14ac:dyDescent="0.25"/>
    <row r="37235" customFormat="1" x14ac:dyDescent="0.25"/>
    <row r="37236" customFormat="1" x14ac:dyDescent="0.25"/>
    <row r="37237" customFormat="1" x14ac:dyDescent="0.25"/>
    <row r="37238" customFormat="1" x14ac:dyDescent="0.25"/>
    <row r="37239" customFormat="1" x14ac:dyDescent="0.25"/>
    <row r="37240" customFormat="1" x14ac:dyDescent="0.25"/>
    <row r="37241" customFormat="1" x14ac:dyDescent="0.25"/>
    <row r="37242" customFormat="1" x14ac:dyDescent="0.25"/>
    <row r="37243" customFormat="1" x14ac:dyDescent="0.25"/>
    <row r="37244" customFormat="1" x14ac:dyDescent="0.25"/>
    <row r="37245" customFormat="1" x14ac:dyDescent="0.25"/>
    <row r="37246" customFormat="1" x14ac:dyDescent="0.25"/>
    <row r="37247" customFormat="1" x14ac:dyDescent="0.25"/>
    <row r="37248" customFormat="1" x14ac:dyDescent="0.25"/>
    <row r="37249" customFormat="1" x14ac:dyDescent="0.25"/>
    <row r="37250" customFormat="1" x14ac:dyDescent="0.25"/>
    <row r="37251" customFormat="1" x14ac:dyDescent="0.25"/>
    <row r="37252" customFormat="1" x14ac:dyDescent="0.25"/>
    <row r="37253" customFormat="1" x14ac:dyDescent="0.25"/>
    <row r="37254" customFormat="1" x14ac:dyDescent="0.25"/>
    <row r="37255" customFormat="1" x14ac:dyDescent="0.25"/>
    <row r="37256" customFormat="1" x14ac:dyDescent="0.25"/>
    <row r="37257" customFormat="1" x14ac:dyDescent="0.25"/>
    <row r="37258" customFormat="1" x14ac:dyDescent="0.25"/>
    <row r="37259" customFormat="1" x14ac:dyDescent="0.25"/>
    <row r="37260" customFormat="1" x14ac:dyDescent="0.25"/>
    <row r="37261" customFormat="1" x14ac:dyDescent="0.25"/>
    <row r="37262" customFormat="1" x14ac:dyDescent="0.25"/>
    <row r="37263" customFormat="1" x14ac:dyDescent="0.25"/>
    <row r="37264" customFormat="1" x14ac:dyDescent="0.25"/>
    <row r="37265" customFormat="1" x14ac:dyDescent="0.25"/>
    <row r="37266" customFormat="1" x14ac:dyDescent="0.25"/>
    <row r="37267" customFormat="1" x14ac:dyDescent="0.25"/>
    <row r="37268" customFormat="1" x14ac:dyDescent="0.25"/>
    <row r="37269" customFormat="1" x14ac:dyDescent="0.25"/>
    <row r="37270" customFormat="1" x14ac:dyDescent="0.25"/>
    <row r="37271" customFormat="1" x14ac:dyDescent="0.25"/>
    <row r="37272" customFormat="1" x14ac:dyDescent="0.25"/>
    <row r="37273" customFormat="1" x14ac:dyDescent="0.25"/>
    <row r="37274" customFormat="1" x14ac:dyDescent="0.25"/>
    <row r="37275" customFormat="1" x14ac:dyDescent="0.25"/>
    <row r="37276" customFormat="1" x14ac:dyDescent="0.25"/>
    <row r="37277" customFormat="1" x14ac:dyDescent="0.25"/>
    <row r="37278" customFormat="1" x14ac:dyDescent="0.25"/>
    <row r="37279" customFormat="1" x14ac:dyDescent="0.25"/>
    <row r="37280" customFormat="1" x14ac:dyDescent="0.25"/>
    <row r="37281" customFormat="1" x14ac:dyDescent="0.25"/>
    <row r="37282" customFormat="1" x14ac:dyDescent="0.25"/>
    <row r="37283" customFormat="1" x14ac:dyDescent="0.25"/>
    <row r="37284" customFormat="1" x14ac:dyDescent="0.25"/>
    <row r="37285" customFormat="1" x14ac:dyDescent="0.25"/>
    <row r="37286" customFormat="1" x14ac:dyDescent="0.25"/>
    <row r="37287" customFormat="1" x14ac:dyDescent="0.25"/>
    <row r="37288" customFormat="1" x14ac:dyDescent="0.25"/>
    <row r="37289" customFormat="1" x14ac:dyDescent="0.25"/>
    <row r="37290" customFormat="1" x14ac:dyDescent="0.25"/>
    <row r="37291" customFormat="1" x14ac:dyDescent="0.25"/>
    <row r="37292" customFormat="1" x14ac:dyDescent="0.25"/>
    <row r="37293" customFormat="1" x14ac:dyDescent="0.25"/>
    <row r="37294" customFormat="1" x14ac:dyDescent="0.25"/>
    <row r="37295" customFormat="1" x14ac:dyDescent="0.25"/>
    <row r="37296" customFormat="1" x14ac:dyDescent="0.25"/>
    <row r="37297" customFormat="1" x14ac:dyDescent="0.25"/>
    <row r="37298" customFormat="1" x14ac:dyDescent="0.25"/>
    <row r="37299" customFormat="1" x14ac:dyDescent="0.25"/>
    <row r="37300" customFormat="1" x14ac:dyDescent="0.25"/>
    <row r="37301" customFormat="1" x14ac:dyDescent="0.25"/>
    <row r="37302" customFormat="1" x14ac:dyDescent="0.25"/>
    <row r="37303" customFormat="1" x14ac:dyDescent="0.25"/>
    <row r="37304" customFormat="1" x14ac:dyDescent="0.25"/>
    <row r="37305" customFormat="1" x14ac:dyDescent="0.25"/>
    <row r="37306" customFormat="1" x14ac:dyDescent="0.25"/>
    <row r="37307" customFormat="1" x14ac:dyDescent="0.25"/>
    <row r="37308" customFormat="1" x14ac:dyDescent="0.25"/>
    <row r="37309" customFormat="1" x14ac:dyDescent="0.25"/>
    <row r="37310" customFormat="1" x14ac:dyDescent="0.25"/>
    <row r="37311" customFormat="1" x14ac:dyDescent="0.25"/>
    <row r="37312" customFormat="1" x14ac:dyDescent="0.25"/>
    <row r="37313" customFormat="1" x14ac:dyDescent="0.25"/>
    <row r="37314" customFormat="1" x14ac:dyDescent="0.25"/>
    <row r="37315" customFormat="1" x14ac:dyDescent="0.25"/>
    <row r="37316" customFormat="1" x14ac:dyDescent="0.25"/>
    <row r="37317" customFormat="1" x14ac:dyDescent="0.25"/>
    <row r="37318" customFormat="1" x14ac:dyDescent="0.25"/>
    <row r="37319" customFormat="1" x14ac:dyDescent="0.25"/>
    <row r="37320" customFormat="1" x14ac:dyDescent="0.25"/>
    <row r="37321" customFormat="1" x14ac:dyDescent="0.25"/>
    <row r="37322" customFormat="1" x14ac:dyDescent="0.25"/>
    <row r="37323" customFormat="1" x14ac:dyDescent="0.25"/>
    <row r="37324" customFormat="1" x14ac:dyDescent="0.25"/>
    <row r="37325" customFormat="1" x14ac:dyDescent="0.25"/>
    <row r="37326" customFormat="1" x14ac:dyDescent="0.25"/>
    <row r="37327" customFormat="1" x14ac:dyDescent="0.25"/>
    <row r="37328" customFormat="1" x14ac:dyDescent="0.25"/>
    <row r="37329" customFormat="1" x14ac:dyDescent="0.25"/>
    <row r="37330" customFormat="1" x14ac:dyDescent="0.25"/>
    <row r="37331" customFormat="1" x14ac:dyDescent="0.25"/>
    <row r="37332" customFormat="1" x14ac:dyDescent="0.25"/>
    <row r="37333" customFormat="1" x14ac:dyDescent="0.25"/>
    <row r="37334" customFormat="1" x14ac:dyDescent="0.25"/>
    <row r="37335" customFormat="1" x14ac:dyDescent="0.25"/>
    <row r="37336" customFormat="1" x14ac:dyDescent="0.25"/>
    <row r="37337" customFormat="1" x14ac:dyDescent="0.25"/>
    <row r="37338" customFormat="1" x14ac:dyDescent="0.25"/>
    <row r="37339" customFormat="1" x14ac:dyDescent="0.25"/>
    <row r="37340" customFormat="1" x14ac:dyDescent="0.25"/>
    <row r="37341" customFormat="1" x14ac:dyDescent="0.25"/>
    <row r="37342" customFormat="1" x14ac:dyDescent="0.25"/>
    <row r="37343" customFormat="1" x14ac:dyDescent="0.25"/>
    <row r="37344" customFormat="1" x14ac:dyDescent="0.25"/>
    <row r="37345" customFormat="1" x14ac:dyDescent="0.25"/>
    <row r="37346" customFormat="1" x14ac:dyDescent="0.25"/>
    <row r="37347" customFormat="1" x14ac:dyDescent="0.25"/>
    <row r="37348" customFormat="1" x14ac:dyDescent="0.25"/>
    <row r="37349" customFormat="1" x14ac:dyDescent="0.25"/>
    <row r="37350" customFormat="1" x14ac:dyDescent="0.25"/>
    <row r="37351" customFormat="1" x14ac:dyDescent="0.25"/>
    <row r="37352" customFormat="1" x14ac:dyDescent="0.25"/>
    <row r="37353" customFormat="1" x14ac:dyDescent="0.25"/>
    <row r="37354" customFormat="1" x14ac:dyDescent="0.25"/>
    <row r="37355" customFormat="1" x14ac:dyDescent="0.25"/>
    <row r="37356" customFormat="1" x14ac:dyDescent="0.25"/>
    <row r="37357" customFormat="1" x14ac:dyDescent="0.25"/>
    <row r="37358" customFormat="1" x14ac:dyDescent="0.25"/>
    <row r="37359" customFormat="1" x14ac:dyDescent="0.25"/>
    <row r="37360" customFormat="1" x14ac:dyDescent="0.25"/>
    <row r="37361" customFormat="1" x14ac:dyDescent="0.25"/>
    <row r="37362" customFormat="1" x14ac:dyDescent="0.25"/>
    <row r="37363" customFormat="1" x14ac:dyDescent="0.25"/>
    <row r="37364" customFormat="1" x14ac:dyDescent="0.25"/>
    <row r="37365" customFormat="1" x14ac:dyDescent="0.25"/>
    <row r="37366" customFormat="1" x14ac:dyDescent="0.25"/>
    <row r="37367" customFormat="1" x14ac:dyDescent="0.25"/>
    <row r="37368" customFormat="1" x14ac:dyDescent="0.25"/>
    <row r="37369" customFormat="1" x14ac:dyDescent="0.25"/>
    <row r="37370" customFormat="1" x14ac:dyDescent="0.25"/>
    <row r="37371" customFormat="1" x14ac:dyDescent="0.25"/>
    <row r="37372" customFormat="1" x14ac:dyDescent="0.25"/>
    <row r="37373" customFormat="1" x14ac:dyDescent="0.25"/>
    <row r="37374" customFormat="1" x14ac:dyDescent="0.25"/>
    <row r="37375" customFormat="1" x14ac:dyDescent="0.25"/>
    <row r="37376" customFormat="1" x14ac:dyDescent="0.25"/>
    <row r="37377" customFormat="1" x14ac:dyDescent="0.25"/>
    <row r="37378" customFormat="1" x14ac:dyDescent="0.25"/>
    <row r="37379" customFormat="1" x14ac:dyDescent="0.25"/>
    <row r="37380" customFormat="1" x14ac:dyDescent="0.25"/>
    <row r="37381" customFormat="1" x14ac:dyDescent="0.25"/>
    <row r="37382" customFormat="1" x14ac:dyDescent="0.25"/>
    <row r="37383" customFormat="1" x14ac:dyDescent="0.25"/>
    <row r="37384" customFormat="1" x14ac:dyDescent="0.25"/>
    <row r="37385" customFormat="1" x14ac:dyDescent="0.25"/>
    <row r="37386" customFormat="1" x14ac:dyDescent="0.25"/>
    <row r="37387" customFormat="1" x14ac:dyDescent="0.25"/>
    <row r="37388" customFormat="1" x14ac:dyDescent="0.25"/>
    <row r="37389" customFormat="1" x14ac:dyDescent="0.25"/>
    <row r="37390" customFormat="1" x14ac:dyDescent="0.25"/>
    <row r="37391" customFormat="1" x14ac:dyDescent="0.25"/>
    <row r="37392" customFormat="1" x14ac:dyDescent="0.25"/>
    <row r="37393" customFormat="1" x14ac:dyDescent="0.25"/>
    <row r="37394" customFormat="1" x14ac:dyDescent="0.25"/>
    <row r="37395" customFormat="1" x14ac:dyDescent="0.25"/>
    <row r="37396" customFormat="1" x14ac:dyDescent="0.25"/>
    <row r="37397" customFormat="1" x14ac:dyDescent="0.25"/>
    <row r="37398" customFormat="1" x14ac:dyDescent="0.25"/>
    <row r="37399" customFormat="1" x14ac:dyDescent="0.25"/>
    <row r="37400" customFormat="1" x14ac:dyDescent="0.25"/>
    <row r="37401" customFormat="1" x14ac:dyDescent="0.25"/>
    <row r="37402" customFormat="1" x14ac:dyDescent="0.25"/>
    <row r="37403" customFormat="1" x14ac:dyDescent="0.25"/>
    <row r="37404" customFormat="1" x14ac:dyDescent="0.25"/>
    <row r="37405" customFormat="1" x14ac:dyDescent="0.25"/>
    <row r="37406" customFormat="1" x14ac:dyDescent="0.25"/>
    <row r="37407" customFormat="1" x14ac:dyDescent="0.25"/>
    <row r="37408" customFormat="1" x14ac:dyDescent="0.25"/>
    <row r="37409" customFormat="1" x14ac:dyDescent="0.25"/>
    <row r="37410" customFormat="1" x14ac:dyDescent="0.25"/>
    <row r="37411" customFormat="1" x14ac:dyDescent="0.25"/>
    <row r="37412" customFormat="1" x14ac:dyDescent="0.25"/>
    <row r="37413" customFormat="1" x14ac:dyDescent="0.25"/>
    <row r="37414" customFormat="1" x14ac:dyDescent="0.25"/>
    <row r="37415" customFormat="1" x14ac:dyDescent="0.25"/>
    <row r="37416" customFormat="1" x14ac:dyDescent="0.25"/>
    <row r="37417" customFormat="1" x14ac:dyDescent="0.25"/>
    <row r="37418" customFormat="1" x14ac:dyDescent="0.25"/>
    <row r="37419" customFormat="1" x14ac:dyDescent="0.25"/>
    <row r="37420" customFormat="1" x14ac:dyDescent="0.25"/>
    <row r="37421" customFormat="1" x14ac:dyDescent="0.25"/>
    <row r="37422" customFormat="1" x14ac:dyDescent="0.25"/>
    <row r="37423" customFormat="1" x14ac:dyDescent="0.25"/>
    <row r="37424" customFormat="1" x14ac:dyDescent="0.25"/>
    <row r="37425" customFormat="1" x14ac:dyDescent="0.25"/>
    <row r="37426" customFormat="1" x14ac:dyDescent="0.25"/>
    <row r="37427" customFormat="1" x14ac:dyDescent="0.25"/>
    <row r="37428" customFormat="1" x14ac:dyDescent="0.25"/>
    <row r="37429" customFormat="1" x14ac:dyDescent="0.25"/>
    <row r="37430" customFormat="1" x14ac:dyDescent="0.25"/>
    <row r="37431" customFormat="1" x14ac:dyDescent="0.25"/>
    <row r="37432" customFormat="1" x14ac:dyDescent="0.25"/>
    <row r="37433" customFormat="1" x14ac:dyDescent="0.25"/>
    <row r="37434" customFormat="1" x14ac:dyDescent="0.25"/>
    <row r="37435" customFormat="1" x14ac:dyDescent="0.25"/>
    <row r="37436" customFormat="1" x14ac:dyDescent="0.25"/>
    <row r="37437" customFormat="1" x14ac:dyDescent="0.25"/>
    <row r="37438" customFormat="1" x14ac:dyDescent="0.25"/>
    <row r="37439" customFormat="1" x14ac:dyDescent="0.25"/>
    <row r="37440" customFormat="1" x14ac:dyDescent="0.25"/>
    <row r="37441" customFormat="1" x14ac:dyDescent="0.25"/>
    <row r="37442" customFormat="1" x14ac:dyDescent="0.25"/>
    <row r="37443" customFormat="1" x14ac:dyDescent="0.25"/>
    <row r="37444" customFormat="1" x14ac:dyDescent="0.25"/>
    <row r="37445" customFormat="1" x14ac:dyDescent="0.25"/>
    <row r="37446" customFormat="1" x14ac:dyDescent="0.25"/>
    <row r="37447" customFormat="1" x14ac:dyDescent="0.25"/>
    <row r="37448" customFormat="1" x14ac:dyDescent="0.25"/>
    <row r="37449" customFormat="1" x14ac:dyDescent="0.25"/>
    <row r="37450" customFormat="1" x14ac:dyDescent="0.25"/>
    <row r="37451" customFormat="1" x14ac:dyDescent="0.25"/>
    <row r="37452" customFormat="1" x14ac:dyDescent="0.25"/>
    <row r="37453" customFormat="1" x14ac:dyDescent="0.25"/>
    <row r="37454" customFormat="1" x14ac:dyDescent="0.25"/>
    <row r="37455" customFormat="1" x14ac:dyDescent="0.25"/>
    <row r="37456" customFormat="1" x14ac:dyDescent="0.25"/>
    <row r="37457" customFormat="1" x14ac:dyDescent="0.25"/>
    <row r="37458" customFormat="1" x14ac:dyDescent="0.25"/>
    <row r="37459" customFormat="1" x14ac:dyDescent="0.25"/>
    <row r="37460" customFormat="1" x14ac:dyDescent="0.25"/>
    <row r="37461" customFormat="1" x14ac:dyDescent="0.25"/>
    <row r="37462" customFormat="1" x14ac:dyDescent="0.25"/>
    <row r="37463" customFormat="1" x14ac:dyDescent="0.25"/>
    <row r="37464" customFormat="1" x14ac:dyDescent="0.25"/>
    <row r="37465" customFormat="1" x14ac:dyDescent="0.25"/>
    <row r="37466" customFormat="1" x14ac:dyDescent="0.25"/>
    <row r="37467" customFormat="1" x14ac:dyDescent="0.25"/>
    <row r="37468" customFormat="1" x14ac:dyDescent="0.25"/>
    <row r="37469" customFormat="1" x14ac:dyDescent="0.25"/>
    <row r="37470" customFormat="1" x14ac:dyDescent="0.25"/>
    <row r="37471" customFormat="1" x14ac:dyDescent="0.25"/>
    <row r="37472" customFormat="1" x14ac:dyDescent="0.25"/>
    <row r="37473" customFormat="1" x14ac:dyDescent="0.25"/>
    <row r="37474" customFormat="1" x14ac:dyDescent="0.25"/>
    <row r="37475" customFormat="1" x14ac:dyDescent="0.25"/>
    <row r="37476" customFormat="1" x14ac:dyDescent="0.25"/>
    <row r="37477" customFormat="1" x14ac:dyDescent="0.25"/>
    <row r="37478" customFormat="1" x14ac:dyDescent="0.25"/>
    <row r="37479" customFormat="1" x14ac:dyDescent="0.25"/>
    <row r="37480" customFormat="1" x14ac:dyDescent="0.25"/>
    <row r="37481" customFormat="1" x14ac:dyDescent="0.25"/>
    <row r="37482" customFormat="1" x14ac:dyDescent="0.25"/>
    <row r="37483" customFormat="1" x14ac:dyDescent="0.25"/>
    <row r="37484" customFormat="1" x14ac:dyDescent="0.25"/>
    <row r="37485" customFormat="1" x14ac:dyDescent="0.25"/>
    <row r="37486" customFormat="1" x14ac:dyDescent="0.25"/>
    <row r="37487" customFormat="1" x14ac:dyDescent="0.25"/>
    <row r="37488" customFormat="1" x14ac:dyDescent="0.25"/>
    <row r="37489" customFormat="1" x14ac:dyDescent="0.25"/>
    <row r="37490" customFormat="1" x14ac:dyDescent="0.25"/>
    <row r="37491" customFormat="1" x14ac:dyDescent="0.25"/>
    <row r="37492" customFormat="1" x14ac:dyDescent="0.25"/>
    <row r="37493" customFormat="1" x14ac:dyDescent="0.25"/>
    <row r="37494" customFormat="1" x14ac:dyDescent="0.25"/>
    <row r="37495" customFormat="1" x14ac:dyDescent="0.25"/>
    <row r="37496" customFormat="1" x14ac:dyDescent="0.25"/>
    <row r="37497" customFormat="1" x14ac:dyDescent="0.25"/>
    <row r="37498" customFormat="1" x14ac:dyDescent="0.25"/>
    <row r="37499" customFormat="1" x14ac:dyDescent="0.25"/>
    <row r="37500" customFormat="1" x14ac:dyDescent="0.25"/>
    <row r="37501" customFormat="1" x14ac:dyDescent="0.25"/>
    <row r="37502" customFormat="1" x14ac:dyDescent="0.25"/>
    <row r="37503" customFormat="1" x14ac:dyDescent="0.25"/>
    <row r="37504" customFormat="1" x14ac:dyDescent="0.25"/>
    <row r="37505" customFormat="1" x14ac:dyDescent="0.25"/>
    <row r="37506" customFormat="1" x14ac:dyDescent="0.25"/>
    <row r="37507" customFormat="1" x14ac:dyDescent="0.25"/>
    <row r="37508" customFormat="1" x14ac:dyDescent="0.25"/>
    <row r="37509" customFormat="1" x14ac:dyDescent="0.25"/>
    <row r="37510" customFormat="1" x14ac:dyDescent="0.25"/>
    <row r="37511" customFormat="1" x14ac:dyDescent="0.25"/>
    <row r="37512" customFormat="1" x14ac:dyDescent="0.25"/>
    <row r="37513" customFormat="1" x14ac:dyDescent="0.25"/>
    <row r="37514" customFormat="1" x14ac:dyDescent="0.25"/>
    <row r="37515" customFormat="1" x14ac:dyDescent="0.25"/>
    <row r="37516" customFormat="1" x14ac:dyDescent="0.25"/>
    <row r="37517" customFormat="1" x14ac:dyDescent="0.25"/>
    <row r="37518" customFormat="1" x14ac:dyDescent="0.25"/>
    <row r="37519" customFormat="1" x14ac:dyDescent="0.25"/>
    <row r="37520" customFormat="1" x14ac:dyDescent="0.25"/>
    <row r="37521" customFormat="1" x14ac:dyDescent="0.25"/>
    <row r="37522" customFormat="1" x14ac:dyDescent="0.25"/>
    <row r="37523" customFormat="1" x14ac:dyDescent="0.25"/>
    <row r="37524" customFormat="1" x14ac:dyDescent="0.25"/>
    <row r="37525" customFormat="1" x14ac:dyDescent="0.25"/>
    <row r="37526" customFormat="1" x14ac:dyDescent="0.25"/>
    <row r="37527" customFormat="1" x14ac:dyDescent="0.25"/>
    <row r="37528" customFormat="1" x14ac:dyDescent="0.25"/>
    <row r="37529" customFormat="1" x14ac:dyDescent="0.25"/>
    <row r="37530" customFormat="1" x14ac:dyDescent="0.25"/>
    <row r="37531" customFormat="1" x14ac:dyDescent="0.25"/>
    <row r="37532" customFormat="1" x14ac:dyDescent="0.25"/>
    <row r="37533" customFormat="1" x14ac:dyDescent="0.25"/>
    <row r="37534" customFormat="1" x14ac:dyDescent="0.25"/>
    <row r="37535" customFormat="1" x14ac:dyDescent="0.25"/>
    <row r="37536" customFormat="1" x14ac:dyDescent="0.25"/>
    <row r="37537" customFormat="1" x14ac:dyDescent="0.25"/>
    <row r="37538" customFormat="1" x14ac:dyDescent="0.25"/>
    <row r="37539" customFormat="1" x14ac:dyDescent="0.25"/>
    <row r="37540" customFormat="1" x14ac:dyDescent="0.25"/>
    <row r="37541" customFormat="1" x14ac:dyDescent="0.25"/>
    <row r="37542" customFormat="1" x14ac:dyDescent="0.25"/>
    <row r="37543" customFormat="1" x14ac:dyDescent="0.25"/>
    <row r="37544" customFormat="1" x14ac:dyDescent="0.25"/>
    <row r="37545" customFormat="1" x14ac:dyDescent="0.25"/>
    <row r="37546" customFormat="1" x14ac:dyDescent="0.25"/>
    <row r="37547" customFormat="1" x14ac:dyDescent="0.25"/>
    <row r="37548" customFormat="1" x14ac:dyDescent="0.25"/>
    <row r="37549" customFormat="1" x14ac:dyDescent="0.25"/>
    <row r="37550" customFormat="1" x14ac:dyDescent="0.25"/>
    <row r="37551" customFormat="1" x14ac:dyDescent="0.25"/>
    <row r="37552" customFormat="1" x14ac:dyDescent="0.25"/>
    <row r="37553" customFormat="1" x14ac:dyDescent="0.25"/>
    <row r="37554" customFormat="1" x14ac:dyDescent="0.25"/>
    <row r="37555" customFormat="1" x14ac:dyDescent="0.25"/>
    <row r="37556" customFormat="1" x14ac:dyDescent="0.25"/>
    <row r="37557" customFormat="1" x14ac:dyDescent="0.25"/>
    <row r="37558" customFormat="1" x14ac:dyDescent="0.25"/>
    <row r="37559" customFormat="1" x14ac:dyDescent="0.25"/>
    <row r="37560" customFormat="1" x14ac:dyDescent="0.25"/>
    <row r="37561" customFormat="1" x14ac:dyDescent="0.25"/>
    <row r="37562" customFormat="1" x14ac:dyDescent="0.25"/>
    <row r="37563" customFormat="1" x14ac:dyDescent="0.25"/>
    <row r="37564" customFormat="1" x14ac:dyDescent="0.25"/>
    <row r="37565" customFormat="1" x14ac:dyDescent="0.25"/>
    <row r="37566" customFormat="1" x14ac:dyDescent="0.25"/>
    <row r="37567" customFormat="1" x14ac:dyDescent="0.25"/>
    <row r="37568" customFormat="1" x14ac:dyDescent="0.25"/>
    <row r="37569" customFormat="1" x14ac:dyDescent="0.25"/>
    <row r="37570" customFormat="1" x14ac:dyDescent="0.25"/>
    <row r="37571" customFormat="1" x14ac:dyDescent="0.25"/>
    <row r="37572" customFormat="1" x14ac:dyDescent="0.25"/>
    <row r="37573" customFormat="1" x14ac:dyDescent="0.25"/>
    <row r="37574" customFormat="1" x14ac:dyDescent="0.25"/>
    <row r="37575" customFormat="1" x14ac:dyDescent="0.25"/>
    <row r="37576" customFormat="1" x14ac:dyDescent="0.25"/>
    <row r="37577" customFormat="1" x14ac:dyDescent="0.25"/>
    <row r="37578" customFormat="1" x14ac:dyDescent="0.25"/>
    <row r="37579" customFormat="1" x14ac:dyDescent="0.25"/>
    <row r="37580" customFormat="1" x14ac:dyDescent="0.25"/>
    <row r="37581" customFormat="1" x14ac:dyDescent="0.25"/>
    <row r="37582" customFormat="1" x14ac:dyDescent="0.25"/>
    <row r="37583" customFormat="1" x14ac:dyDescent="0.25"/>
    <row r="37584" customFormat="1" x14ac:dyDescent="0.25"/>
    <row r="37585" customFormat="1" x14ac:dyDescent="0.25"/>
    <row r="37586" customFormat="1" x14ac:dyDescent="0.25"/>
    <row r="37587" customFormat="1" x14ac:dyDescent="0.25"/>
    <row r="37588" customFormat="1" x14ac:dyDescent="0.25"/>
    <row r="37589" customFormat="1" x14ac:dyDescent="0.25"/>
    <row r="37590" customFormat="1" x14ac:dyDescent="0.25"/>
    <row r="37591" customFormat="1" x14ac:dyDescent="0.25"/>
    <row r="37592" customFormat="1" x14ac:dyDescent="0.25"/>
    <row r="37593" customFormat="1" x14ac:dyDescent="0.25"/>
    <row r="37594" customFormat="1" x14ac:dyDescent="0.25"/>
    <row r="37595" customFormat="1" x14ac:dyDescent="0.25"/>
    <row r="37596" customFormat="1" x14ac:dyDescent="0.25"/>
    <row r="37597" customFormat="1" x14ac:dyDescent="0.25"/>
    <row r="37598" customFormat="1" x14ac:dyDescent="0.25"/>
    <row r="37599" customFormat="1" x14ac:dyDescent="0.25"/>
    <row r="37600" customFormat="1" x14ac:dyDescent="0.25"/>
    <row r="37601" customFormat="1" x14ac:dyDescent="0.25"/>
    <row r="37602" customFormat="1" x14ac:dyDescent="0.25"/>
    <row r="37603" customFormat="1" x14ac:dyDescent="0.25"/>
    <row r="37604" customFormat="1" x14ac:dyDescent="0.25"/>
    <row r="37605" customFormat="1" x14ac:dyDescent="0.25"/>
    <row r="37606" customFormat="1" x14ac:dyDescent="0.25"/>
    <row r="37607" customFormat="1" x14ac:dyDescent="0.25"/>
    <row r="37608" customFormat="1" x14ac:dyDescent="0.25"/>
    <row r="37609" customFormat="1" x14ac:dyDescent="0.25"/>
    <row r="37610" customFormat="1" x14ac:dyDescent="0.25"/>
    <row r="37611" customFormat="1" x14ac:dyDescent="0.25"/>
    <row r="37612" customFormat="1" x14ac:dyDescent="0.25"/>
    <row r="37613" customFormat="1" x14ac:dyDescent="0.25"/>
    <row r="37614" customFormat="1" x14ac:dyDescent="0.25"/>
    <row r="37615" customFormat="1" x14ac:dyDescent="0.25"/>
    <row r="37616" customFormat="1" x14ac:dyDescent="0.25"/>
    <row r="37617" customFormat="1" x14ac:dyDescent="0.25"/>
    <row r="37618" customFormat="1" x14ac:dyDescent="0.25"/>
    <row r="37619" customFormat="1" x14ac:dyDescent="0.25"/>
    <row r="37620" customFormat="1" x14ac:dyDescent="0.25"/>
    <row r="37621" customFormat="1" x14ac:dyDescent="0.25"/>
    <row r="37622" customFormat="1" x14ac:dyDescent="0.25"/>
    <row r="37623" customFormat="1" x14ac:dyDescent="0.25"/>
    <row r="37624" customFormat="1" x14ac:dyDescent="0.25"/>
    <row r="37625" customFormat="1" x14ac:dyDescent="0.25"/>
    <row r="37626" customFormat="1" x14ac:dyDescent="0.25"/>
    <row r="37627" customFormat="1" x14ac:dyDescent="0.25"/>
    <row r="37628" customFormat="1" x14ac:dyDescent="0.25"/>
    <row r="37629" customFormat="1" x14ac:dyDescent="0.25"/>
    <row r="37630" customFormat="1" x14ac:dyDescent="0.25"/>
    <row r="37631" customFormat="1" x14ac:dyDescent="0.25"/>
    <row r="37632" customFormat="1" x14ac:dyDescent="0.25"/>
    <row r="37633" customFormat="1" x14ac:dyDescent="0.25"/>
    <row r="37634" customFormat="1" x14ac:dyDescent="0.25"/>
    <row r="37635" customFormat="1" x14ac:dyDescent="0.25"/>
    <row r="37636" customFormat="1" x14ac:dyDescent="0.25"/>
    <row r="37637" customFormat="1" x14ac:dyDescent="0.25"/>
    <row r="37638" customFormat="1" x14ac:dyDescent="0.25"/>
    <row r="37639" customFormat="1" x14ac:dyDescent="0.25"/>
    <row r="37640" customFormat="1" x14ac:dyDescent="0.25"/>
    <row r="37641" customFormat="1" x14ac:dyDescent="0.25"/>
    <row r="37642" customFormat="1" x14ac:dyDescent="0.25"/>
    <row r="37643" customFormat="1" x14ac:dyDescent="0.25"/>
    <row r="37644" customFormat="1" x14ac:dyDescent="0.25"/>
    <row r="37645" customFormat="1" x14ac:dyDescent="0.25"/>
    <row r="37646" customFormat="1" x14ac:dyDescent="0.25"/>
    <row r="37647" customFormat="1" x14ac:dyDescent="0.25"/>
    <row r="37648" customFormat="1" x14ac:dyDescent="0.25"/>
    <row r="37649" customFormat="1" x14ac:dyDescent="0.25"/>
    <row r="37650" customFormat="1" x14ac:dyDescent="0.25"/>
    <row r="37651" customFormat="1" x14ac:dyDescent="0.25"/>
    <row r="37652" customFormat="1" x14ac:dyDescent="0.25"/>
    <row r="37653" customFormat="1" x14ac:dyDescent="0.25"/>
    <row r="37654" customFormat="1" x14ac:dyDescent="0.25"/>
    <row r="37655" customFormat="1" x14ac:dyDescent="0.25"/>
    <row r="37656" customFormat="1" x14ac:dyDescent="0.25"/>
    <row r="37657" customFormat="1" x14ac:dyDescent="0.25"/>
    <row r="37658" customFormat="1" x14ac:dyDescent="0.25"/>
    <row r="37659" customFormat="1" x14ac:dyDescent="0.25"/>
    <row r="37660" customFormat="1" x14ac:dyDescent="0.25"/>
    <row r="37661" customFormat="1" x14ac:dyDescent="0.25"/>
    <row r="37662" customFormat="1" x14ac:dyDescent="0.25"/>
    <row r="37663" customFormat="1" x14ac:dyDescent="0.25"/>
    <row r="37664" customFormat="1" x14ac:dyDescent="0.25"/>
    <row r="37665" customFormat="1" x14ac:dyDescent="0.25"/>
    <row r="37666" customFormat="1" x14ac:dyDescent="0.25"/>
    <row r="37667" customFormat="1" x14ac:dyDescent="0.25"/>
    <row r="37668" customFormat="1" x14ac:dyDescent="0.25"/>
    <row r="37669" customFormat="1" x14ac:dyDescent="0.25"/>
    <row r="37670" customFormat="1" x14ac:dyDescent="0.25"/>
    <row r="37671" customFormat="1" x14ac:dyDescent="0.25"/>
    <row r="37672" customFormat="1" x14ac:dyDescent="0.25"/>
    <row r="37673" customFormat="1" x14ac:dyDescent="0.25"/>
    <row r="37674" customFormat="1" x14ac:dyDescent="0.25"/>
    <row r="37675" customFormat="1" x14ac:dyDescent="0.25"/>
    <row r="37676" customFormat="1" x14ac:dyDescent="0.25"/>
    <row r="37677" customFormat="1" x14ac:dyDescent="0.25"/>
    <row r="37678" customFormat="1" x14ac:dyDescent="0.25"/>
    <row r="37679" customFormat="1" x14ac:dyDescent="0.25"/>
    <row r="37680" customFormat="1" x14ac:dyDescent="0.25"/>
    <row r="37681" customFormat="1" x14ac:dyDescent="0.25"/>
    <row r="37682" customFormat="1" x14ac:dyDescent="0.25"/>
    <row r="37683" customFormat="1" x14ac:dyDescent="0.25"/>
    <row r="37684" customFormat="1" x14ac:dyDescent="0.25"/>
    <row r="37685" customFormat="1" x14ac:dyDescent="0.25"/>
    <row r="37686" customFormat="1" x14ac:dyDescent="0.25"/>
    <row r="37687" customFormat="1" x14ac:dyDescent="0.25"/>
    <row r="37688" customFormat="1" x14ac:dyDescent="0.25"/>
    <row r="37689" customFormat="1" x14ac:dyDescent="0.25"/>
    <row r="37690" customFormat="1" x14ac:dyDescent="0.25"/>
    <row r="37691" customFormat="1" x14ac:dyDescent="0.25"/>
    <row r="37692" customFormat="1" x14ac:dyDescent="0.25"/>
    <row r="37693" customFormat="1" x14ac:dyDescent="0.25"/>
    <row r="37694" customFormat="1" x14ac:dyDescent="0.25"/>
    <row r="37695" customFormat="1" x14ac:dyDescent="0.25"/>
    <row r="37696" customFormat="1" x14ac:dyDescent="0.25"/>
    <row r="37697" customFormat="1" x14ac:dyDescent="0.25"/>
    <row r="37698" customFormat="1" x14ac:dyDescent="0.25"/>
    <row r="37699" customFormat="1" x14ac:dyDescent="0.25"/>
    <row r="37700" customFormat="1" x14ac:dyDescent="0.25"/>
    <row r="37701" customFormat="1" x14ac:dyDescent="0.25"/>
    <row r="37702" customFormat="1" x14ac:dyDescent="0.25"/>
    <row r="37703" customFormat="1" x14ac:dyDescent="0.25"/>
    <row r="37704" customFormat="1" x14ac:dyDescent="0.25"/>
    <row r="37705" customFormat="1" x14ac:dyDescent="0.25"/>
    <row r="37706" customFormat="1" x14ac:dyDescent="0.25"/>
    <row r="37707" customFormat="1" x14ac:dyDescent="0.25"/>
    <row r="37708" customFormat="1" x14ac:dyDescent="0.25"/>
    <row r="37709" customFormat="1" x14ac:dyDescent="0.25"/>
    <row r="37710" customFormat="1" x14ac:dyDescent="0.25"/>
    <row r="37711" customFormat="1" x14ac:dyDescent="0.25"/>
    <row r="37712" customFormat="1" x14ac:dyDescent="0.25"/>
    <row r="37713" customFormat="1" x14ac:dyDescent="0.25"/>
    <row r="37714" customFormat="1" x14ac:dyDescent="0.25"/>
    <row r="37715" customFormat="1" x14ac:dyDescent="0.25"/>
    <row r="37716" customFormat="1" x14ac:dyDescent="0.25"/>
    <row r="37717" customFormat="1" x14ac:dyDescent="0.25"/>
    <row r="37718" customFormat="1" x14ac:dyDescent="0.25"/>
    <row r="37719" customFormat="1" x14ac:dyDescent="0.25"/>
    <row r="37720" customFormat="1" x14ac:dyDescent="0.25"/>
    <row r="37721" customFormat="1" x14ac:dyDescent="0.25"/>
    <row r="37722" customFormat="1" x14ac:dyDescent="0.25"/>
    <row r="37723" customFormat="1" x14ac:dyDescent="0.25"/>
    <row r="37724" customFormat="1" x14ac:dyDescent="0.25"/>
    <row r="37725" customFormat="1" x14ac:dyDescent="0.25"/>
    <row r="37726" customFormat="1" x14ac:dyDescent="0.25"/>
    <row r="37727" customFormat="1" x14ac:dyDescent="0.25"/>
    <row r="37728" customFormat="1" x14ac:dyDescent="0.25"/>
    <row r="37729" customFormat="1" x14ac:dyDescent="0.25"/>
    <row r="37730" customFormat="1" x14ac:dyDescent="0.25"/>
    <row r="37731" customFormat="1" x14ac:dyDescent="0.25"/>
    <row r="37732" customFormat="1" x14ac:dyDescent="0.25"/>
    <row r="37733" customFormat="1" x14ac:dyDescent="0.25"/>
    <row r="37734" customFormat="1" x14ac:dyDescent="0.25"/>
    <row r="37735" customFormat="1" x14ac:dyDescent="0.25"/>
    <row r="37736" customFormat="1" x14ac:dyDescent="0.25"/>
    <row r="37737" customFormat="1" x14ac:dyDescent="0.25"/>
    <row r="37738" customFormat="1" x14ac:dyDescent="0.25"/>
    <row r="37739" customFormat="1" x14ac:dyDescent="0.25"/>
    <row r="37740" customFormat="1" x14ac:dyDescent="0.25"/>
    <row r="37741" customFormat="1" x14ac:dyDescent="0.25"/>
    <row r="37742" customFormat="1" x14ac:dyDescent="0.25"/>
    <row r="37743" customFormat="1" x14ac:dyDescent="0.25"/>
    <row r="37744" customFormat="1" x14ac:dyDescent="0.25"/>
    <row r="37745" customFormat="1" x14ac:dyDescent="0.25"/>
    <row r="37746" customFormat="1" x14ac:dyDescent="0.25"/>
    <row r="37747" customFormat="1" x14ac:dyDescent="0.25"/>
    <row r="37748" customFormat="1" x14ac:dyDescent="0.25"/>
    <row r="37749" customFormat="1" x14ac:dyDescent="0.25"/>
    <row r="37750" customFormat="1" x14ac:dyDescent="0.25"/>
    <row r="37751" customFormat="1" x14ac:dyDescent="0.25"/>
    <row r="37752" customFormat="1" x14ac:dyDescent="0.25"/>
    <row r="37753" customFormat="1" x14ac:dyDescent="0.25"/>
    <row r="37754" customFormat="1" x14ac:dyDescent="0.25"/>
    <row r="37755" customFormat="1" x14ac:dyDescent="0.25"/>
    <row r="37756" customFormat="1" x14ac:dyDescent="0.25"/>
    <row r="37757" customFormat="1" x14ac:dyDescent="0.25"/>
    <row r="37758" customFormat="1" x14ac:dyDescent="0.25"/>
    <row r="37759" customFormat="1" x14ac:dyDescent="0.25"/>
    <row r="37760" customFormat="1" x14ac:dyDescent="0.25"/>
    <row r="37761" customFormat="1" x14ac:dyDescent="0.25"/>
    <row r="37762" customFormat="1" x14ac:dyDescent="0.25"/>
    <row r="37763" customFormat="1" x14ac:dyDescent="0.25"/>
    <row r="37764" customFormat="1" x14ac:dyDescent="0.25"/>
    <row r="37765" customFormat="1" x14ac:dyDescent="0.25"/>
    <row r="37766" customFormat="1" x14ac:dyDescent="0.25"/>
    <row r="37767" customFormat="1" x14ac:dyDescent="0.25"/>
    <row r="37768" customFormat="1" x14ac:dyDescent="0.25"/>
    <row r="37769" customFormat="1" x14ac:dyDescent="0.25"/>
    <row r="37770" customFormat="1" x14ac:dyDescent="0.25"/>
    <row r="37771" customFormat="1" x14ac:dyDescent="0.25"/>
    <row r="37772" customFormat="1" x14ac:dyDescent="0.25"/>
    <row r="37773" customFormat="1" x14ac:dyDescent="0.25"/>
    <row r="37774" customFormat="1" x14ac:dyDescent="0.25"/>
    <row r="37775" customFormat="1" x14ac:dyDescent="0.25"/>
    <row r="37776" customFormat="1" x14ac:dyDescent="0.25"/>
    <row r="37777" customFormat="1" x14ac:dyDescent="0.25"/>
    <row r="37778" customFormat="1" x14ac:dyDescent="0.25"/>
    <row r="37779" customFormat="1" x14ac:dyDescent="0.25"/>
    <row r="37780" customFormat="1" x14ac:dyDescent="0.25"/>
    <row r="37781" customFormat="1" x14ac:dyDescent="0.25"/>
    <row r="37782" customFormat="1" x14ac:dyDescent="0.25"/>
    <row r="37783" customFormat="1" x14ac:dyDescent="0.25"/>
    <row r="37784" customFormat="1" x14ac:dyDescent="0.25"/>
    <row r="37785" customFormat="1" x14ac:dyDescent="0.25"/>
    <row r="37786" customFormat="1" x14ac:dyDescent="0.25"/>
    <row r="37787" customFormat="1" x14ac:dyDescent="0.25"/>
    <row r="37788" customFormat="1" x14ac:dyDescent="0.25"/>
    <row r="37789" customFormat="1" x14ac:dyDescent="0.25"/>
    <row r="37790" customFormat="1" x14ac:dyDescent="0.25"/>
    <row r="37791" customFormat="1" x14ac:dyDescent="0.25"/>
    <row r="37792" customFormat="1" x14ac:dyDescent="0.25"/>
    <row r="37793" customFormat="1" x14ac:dyDescent="0.25"/>
    <row r="37794" customFormat="1" x14ac:dyDescent="0.25"/>
    <row r="37795" customFormat="1" x14ac:dyDescent="0.25"/>
    <row r="37796" customFormat="1" x14ac:dyDescent="0.25"/>
    <row r="37797" customFormat="1" x14ac:dyDescent="0.25"/>
    <row r="37798" customFormat="1" x14ac:dyDescent="0.25"/>
    <row r="37799" customFormat="1" x14ac:dyDescent="0.25"/>
    <row r="37800" customFormat="1" x14ac:dyDescent="0.25"/>
    <row r="37801" customFormat="1" x14ac:dyDescent="0.25"/>
    <row r="37802" customFormat="1" x14ac:dyDescent="0.25"/>
    <row r="37803" customFormat="1" x14ac:dyDescent="0.25"/>
    <row r="37804" customFormat="1" x14ac:dyDescent="0.25"/>
    <row r="37805" customFormat="1" x14ac:dyDescent="0.25"/>
    <row r="37806" customFormat="1" x14ac:dyDescent="0.25"/>
    <row r="37807" customFormat="1" x14ac:dyDescent="0.25"/>
    <row r="37808" customFormat="1" x14ac:dyDescent="0.25"/>
    <row r="37809" customFormat="1" x14ac:dyDescent="0.25"/>
    <row r="37810" customFormat="1" x14ac:dyDescent="0.25"/>
    <row r="37811" customFormat="1" x14ac:dyDescent="0.25"/>
    <row r="37812" customFormat="1" x14ac:dyDescent="0.25"/>
    <row r="37813" customFormat="1" x14ac:dyDescent="0.25"/>
    <row r="37814" customFormat="1" x14ac:dyDescent="0.25"/>
    <row r="37815" customFormat="1" x14ac:dyDescent="0.25"/>
    <row r="37816" customFormat="1" x14ac:dyDescent="0.25"/>
    <row r="37817" customFormat="1" x14ac:dyDescent="0.25"/>
    <row r="37818" customFormat="1" x14ac:dyDescent="0.25"/>
    <row r="37819" customFormat="1" x14ac:dyDescent="0.25"/>
    <row r="37820" customFormat="1" x14ac:dyDescent="0.25"/>
    <row r="37821" customFormat="1" x14ac:dyDescent="0.25"/>
    <row r="37822" customFormat="1" x14ac:dyDescent="0.25"/>
    <row r="37823" customFormat="1" x14ac:dyDescent="0.25"/>
    <row r="37824" customFormat="1" x14ac:dyDescent="0.25"/>
    <row r="37825" customFormat="1" x14ac:dyDescent="0.25"/>
    <row r="37826" customFormat="1" x14ac:dyDescent="0.25"/>
    <row r="37827" customFormat="1" x14ac:dyDescent="0.25"/>
    <row r="37828" customFormat="1" x14ac:dyDescent="0.25"/>
    <row r="37829" customFormat="1" x14ac:dyDescent="0.25"/>
    <row r="37830" customFormat="1" x14ac:dyDescent="0.25"/>
    <row r="37831" customFormat="1" x14ac:dyDescent="0.25"/>
    <row r="37832" customFormat="1" x14ac:dyDescent="0.25"/>
    <row r="37833" customFormat="1" x14ac:dyDescent="0.25"/>
    <row r="37834" customFormat="1" x14ac:dyDescent="0.25"/>
    <row r="37835" customFormat="1" x14ac:dyDescent="0.25"/>
    <row r="37836" customFormat="1" x14ac:dyDescent="0.25"/>
    <row r="37837" customFormat="1" x14ac:dyDescent="0.25"/>
    <row r="37838" customFormat="1" x14ac:dyDescent="0.25"/>
    <row r="37839" customFormat="1" x14ac:dyDescent="0.25"/>
    <row r="37840" customFormat="1" x14ac:dyDescent="0.25"/>
    <row r="37841" customFormat="1" x14ac:dyDescent="0.25"/>
    <row r="37842" customFormat="1" x14ac:dyDescent="0.25"/>
    <row r="37843" customFormat="1" x14ac:dyDescent="0.25"/>
    <row r="37844" customFormat="1" x14ac:dyDescent="0.25"/>
    <row r="37845" customFormat="1" x14ac:dyDescent="0.25"/>
    <row r="37846" customFormat="1" x14ac:dyDescent="0.25"/>
    <row r="37847" customFormat="1" x14ac:dyDescent="0.25"/>
    <row r="37848" customFormat="1" x14ac:dyDescent="0.25"/>
    <row r="37849" customFormat="1" x14ac:dyDescent="0.25"/>
    <row r="37850" customFormat="1" x14ac:dyDescent="0.25"/>
    <row r="37851" customFormat="1" x14ac:dyDescent="0.25"/>
    <row r="37852" customFormat="1" x14ac:dyDescent="0.25"/>
    <row r="37853" customFormat="1" x14ac:dyDescent="0.25"/>
    <row r="37854" customFormat="1" x14ac:dyDescent="0.25"/>
    <row r="37855" customFormat="1" x14ac:dyDescent="0.25"/>
    <row r="37856" customFormat="1" x14ac:dyDescent="0.25"/>
    <row r="37857" customFormat="1" x14ac:dyDescent="0.25"/>
    <row r="37858" customFormat="1" x14ac:dyDescent="0.25"/>
    <row r="37859" customFormat="1" x14ac:dyDescent="0.25"/>
    <row r="37860" customFormat="1" x14ac:dyDescent="0.25"/>
    <row r="37861" customFormat="1" x14ac:dyDescent="0.25"/>
    <row r="37862" customFormat="1" x14ac:dyDescent="0.25"/>
    <row r="37863" customFormat="1" x14ac:dyDescent="0.25"/>
    <row r="37864" customFormat="1" x14ac:dyDescent="0.25"/>
    <row r="37865" customFormat="1" x14ac:dyDescent="0.25"/>
    <row r="37866" customFormat="1" x14ac:dyDescent="0.25"/>
    <row r="37867" customFormat="1" x14ac:dyDescent="0.25"/>
    <row r="37868" customFormat="1" x14ac:dyDescent="0.25"/>
    <row r="37869" customFormat="1" x14ac:dyDescent="0.25"/>
    <row r="37870" customFormat="1" x14ac:dyDescent="0.25"/>
    <row r="37871" customFormat="1" x14ac:dyDescent="0.25"/>
    <row r="37872" customFormat="1" x14ac:dyDescent="0.25"/>
    <row r="37873" customFormat="1" x14ac:dyDescent="0.25"/>
    <row r="37874" customFormat="1" x14ac:dyDescent="0.25"/>
    <row r="37875" customFormat="1" x14ac:dyDescent="0.25"/>
    <row r="37876" customFormat="1" x14ac:dyDescent="0.25"/>
    <row r="37877" customFormat="1" x14ac:dyDescent="0.25"/>
    <row r="37878" customFormat="1" x14ac:dyDescent="0.25"/>
    <row r="37879" customFormat="1" x14ac:dyDescent="0.25"/>
    <row r="37880" customFormat="1" x14ac:dyDescent="0.25"/>
    <row r="37881" customFormat="1" x14ac:dyDescent="0.25"/>
    <row r="37882" customFormat="1" x14ac:dyDescent="0.25"/>
    <row r="37883" customFormat="1" x14ac:dyDescent="0.25"/>
    <row r="37884" customFormat="1" x14ac:dyDescent="0.25"/>
    <row r="37885" customFormat="1" x14ac:dyDescent="0.25"/>
    <row r="37886" customFormat="1" x14ac:dyDescent="0.25"/>
    <row r="37887" customFormat="1" x14ac:dyDescent="0.25"/>
    <row r="37888" customFormat="1" x14ac:dyDescent="0.25"/>
    <row r="37889" customFormat="1" x14ac:dyDescent="0.25"/>
    <row r="37890" customFormat="1" x14ac:dyDescent="0.25"/>
    <row r="37891" customFormat="1" x14ac:dyDescent="0.25"/>
    <row r="37892" customFormat="1" x14ac:dyDescent="0.25"/>
    <row r="37893" customFormat="1" x14ac:dyDescent="0.25"/>
    <row r="37894" customFormat="1" x14ac:dyDescent="0.25"/>
    <row r="37895" customFormat="1" x14ac:dyDescent="0.25"/>
    <row r="37896" customFormat="1" x14ac:dyDescent="0.25"/>
    <row r="37897" customFormat="1" x14ac:dyDescent="0.25"/>
    <row r="37898" customFormat="1" x14ac:dyDescent="0.25"/>
    <row r="37899" customFormat="1" x14ac:dyDescent="0.25"/>
    <row r="37900" customFormat="1" x14ac:dyDescent="0.25"/>
    <row r="37901" customFormat="1" x14ac:dyDescent="0.25"/>
    <row r="37902" customFormat="1" x14ac:dyDescent="0.25"/>
    <row r="37903" customFormat="1" x14ac:dyDescent="0.25"/>
    <row r="37904" customFormat="1" x14ac:dyDescent="0.25"/>
    <row r="37905" customFormat="1" x14ac:dyDescent="0.25"/>
    <row r="37906" customFormat="1" x14ac:dyDescent="0.25"/>
    <row r="37907" customFormat="1" x14ac:dyDescent="0.25"/>
    <row r="37908" customFormat="1" x14ac:dyDescent="0.25"/>
    <row r="37909" customFormat="1" x14ac:dyDescent="0.25"/>
    <row r="37910" customFormat="1" x14ac:dyDescent="0.25"/>
    <row r="37911" customFormat="1" x14ac:dyDescent="0.25"/>
    <row r="37912" customFormat="1" x14ac:dyDescent="0.25"/>
    <row r="37913" customFormat="1" x14ac:dyDescent="0.25"/>
    <row r="37914" customFormat="1" x14ac:dyDescent="0.25"/>
    <row r="37915" customFormat="1" x14ac:dyDescent="0.25"/>
    <row r="37916" customFormat="1" x14ac:dyDescent="0.25"/>
    <row r="37917" customFormat="1" x14ac:dyDescent="0.25"/>
    <row r="37918" customFormat="1" x14ac:dyDescent="0.25"/>
    <row r="37919" customFormat="1" x14ac:dyDescent="0.25"/>
    <row r="37920" customFormat="1" x14ac:dyDescent="0.25"/>
    <row r="37921" customFormat="1" x14ac:dyDescent="0.25"/>
    <row r="37922" customFormat="1" x14ac:dyDescent="0.25"/>
    <row r="37923" customFormat="1" x14ac:dyDescent="0.25"/>
    <row r="37924" customFormat="1" x14ac:dyDescent="0.25"/>
    <row r="37925" customFormat="1" x14ac:dyDescent="0.25"/>
    <row r="37926" customFormat="1" x14ac:dyDescent="0.25"/>
    <row r="37927" customFormat="1" x14ac:dyDescent="0.25"/>
    <row r="37928" customFormat="1" x14ac:dyDescent="0.25"/>
    <row r="37929" customFormat="1" x14ac:dyDescent="0.25"/>
    <row r="37930" customFormat="1" x14ac:dyDescent="0.25"/>
    <row r="37931" customFormat="1" x14ac:dyDescent="0.25"/>
    <row r="37932" customFormat="1" x14ac:dyDescent="0.25"/>
    <row r="37933" customFormat="1" x14ac:dyDescent="0.25"/>
    <row r="37934" customFormat="1" x14ac:dyDescent="0.25"/>
    <row r="37935" customFormat="1" x14ac:dyDescent="0.25"/>
    <row r="37936" customFormat="1" x14ac:dyDescent="0.25"/>
    <row r="37937" customFormat="1" x14ac:dyDescent="0.25"/>
    <row r="37938" customFormat="1" x14ac:dyDescent="0.25"/>
    <row r="37939" customFormat="1" x14ac:dyDescent="0.25"/>
    <row r="37940" customFormat="1" x14ac:dyDescent="0.25"/>
    <row r="37941" customFormat="1" x14ac:dyDescent="0.25"/>
    <row r="37942" customFormat="1" x14ac:dyDescent="0.25"/>
    <row r="37943" customFormat="1" x14ac:dyDescent="0.25"/>
    <row r="37944" customFormat="1" x14ac:dyDescent="0.25"/>
    <row r="37945" customFormat="1" x14ac:dyDescent="0.25"/>
    <row r="37946" customFormat="1" x14ac:dyDescent="0.25"/>
    <row r="37947" customFormat="1" x14ac:dyDescent="0.25"/>
    <row r="37948" customFormat="1" x14ac:dyDescent="0.25"/>
    <row r="37949" customFormat="1" x14ac:dyDescent="0.25"/>
    <row r="37950" customFormat="1" x14ac:dyDescent="0.25"/>
    <row r="37951" customFormat="1" x14ac:dyDescent="0.25"/>
    <row r="37952" customFormat="1" x14ac:dyDescent="0.25"/>
    <row r="37953" customFormat="1" x14ac:dyDescent="0.25"/>
    <row r="37954" customFormat="1" x14ac:dyDescent="0.25"/>
    <row r="37955" customFormat="1" x14ac:dyDescent="0.25"/>
    <row r="37956" customFormat="1" x14ac:dyDescent="0.25"/>
    <row r="37957" customFormat="1" x14ac:dyDescent="0.25"/>
    <row r="37958" customFormat="1" x14ac:dyDescent="0.25"/>
    <row r="37959" customFormat="1" x14ac:dyDescent="0.25"/>
    <row r="37960" customFormat="1" x14ac:dyDescent="0.25"/>
    <row r="37961" customFormat="1" x14ac:dyDescent="0.25"/>
    <row r="37962" customFormat="1" x14ac:dyDescent="0.25"/>
    <row r="37963" customFormat="1" x14ac:dyDescent="0.25"/>
    <row r="37964" customFormat="1" x14ac:dyDescent="0.25"/>
    <row r="37965" customFormat="1" x14ac:dyDescent="0.25"/>
    <row r="37966" customFormat="1" x14ac:dyDescent="0.25"/>
    <row r="37967" customFormat="1" x14ac:dyDescent="0.25"/>
    <row r="37968" customFormat="1" x14ac:dyDescent="0.25"/>
    <row r="37969" customFormat="1" x14ac:dyDescent="0.25"/>
    <row r="37970" customFormat="1" x14ac:dyDescent="0.25"/>
    <row r="37971" customFormat="1" x14ac:dyDescent="0.25"/>
    <row r="37972" customFormat="1" x14ac:dyDescent="0.25"/>
    <row r="37973" customFormat="1" x14ac:dyDescent="0.25"/>
    <row r="37974" customFormat="1" x14ac:dyDescent="0.25"/>
    <row r="37975" customFormat="1" x14ac:dyDescent="0.25"/>
    <row r="37976" customFormat="1" x14ac:dyDescent="0.25"/>
    <row r="37977" customFormat="1" x14ac:dyDescent="0.25"/>
    <row r="37978" customFormat="1" x14ac:dyDescent="0.25"/>
    <row r="37979" customFormat="1" x14ac:dyDescent="0.25"/>
    <row r="37980" customFormat="1" x14ac:dyDescent="0.25"/>
    <row r="37981" customFormat="1" x14ac:dyDescent="0.25"/>
    <row r="37982" customFormat="1" x14ac:dyDescent="0.25"/>
    <row r="37983" customFormat="1" x14ac:dyDescent="0.25"/>
    <row r="37984" customFormat="1" x14ac:dyDescent="0.25"/>
    <row r="37985" customFormat="1" x14ac:dyDescent="0.25"/>
    <row r="37986" customFormat="1" x14ac:dyDescent="0.25"/>
    <row r="37987" customFormat="1" x14ac:dyDescent="0.25"/>
    <row r="37988" customFormat="1" x14ac:dyDescent="0.25"/>
    <row r="37989" customFormat="1" x14ac:dyDescent="0.25"/>
    <row r="37990" customFormat="1" x14ac:dyDescent="0.25"/>
    <row r="37991" customFormat="1" x14ac:dyDescent="0.25"/>
    <row r="37992" customFormat="1" x14ac:dyDescent="0.25"/>
    <row r="37993" customFormat="1" x14ac:dyDescent="0.25"/>
    <row r="37994" customFormat="1" x14ac:dyDescent="0.25"/>
    <row r="37995" customFormat="1" x14ac:dyDescent="0.25"/>
    <row r="37996" customFormat="1" x14ac:dyDescent="0.25"/>
    <row r="37997" customFormat="1" x14ac:dyDescent="0.25"/>
    <row r="37998" customFormat="1" x14ac:dyDescent="0.25"/>
    <row r="37999" customFormat="1" x14ac:dyDescent="0.25"/>
    <row r="38000" customFormat="1" x14ac:dyDescent="0.25"/>
    <row r="38001" customFormat="1" x14ac:dyDescent="0.25"/>
    <row r="38002" customFormat="1" x14ac:dyDescent="0.25"/>
    <row r="38003" customFormat="1" x14ac:dyDescent="0.25"/>
    <row r="38004" customFormat="1" x14ac:dyDescent="0.25"/>
    <row r="38005" customFormat="1" x14ac:dyDescent="0.25"/>
    <row r="38006" customFormat="1" x14ac:dyDescent="0.25"/>
    <row r="38007" customFormat="1" x14ac:dyDescent="0.25"/>
    <row r="38008" customFormat="1" x14ac:dyDescent="0.25"/>
    <row r="38009" customFormat="1" x14ac:dyDescent="0.25"/>
    <row r="38010" customFormat="1" x14ac:dyDescent="0.25"/>
    <row r="38011" customFormat="1" x14ac:dyDescent="0.25"/>
    <row r="38012" customFormat="1" x14ac:dyDescent="0.25"/>
    <row r="38013" customFormat="1" x14ac:dyDescent="0.25"/>
    <row r="38014" customFormat="1" x14ac:dyDescent="0.25"/>
    <row r="38015" customFormat="1" x14ac:dyDescent="0.25"/>
    <row r="38016" customFormat="1" x14ac:dyDescent="0.25"/>
    <row r="38017" customFormat="1" x14ac:dyDescent="0.25"/>
    <row r="38018" customFormat="1" x14ac:dyDescent="0.25"/>
    <row r="38019" customFormat="1" x14ac:dyDescent="0.25"/>
    <row r="38020" customFormat="1" x14ac:dyDescent="0.25"/>
    <row r="38021" customFormat="1" x14ac:dyDescent="0.25"/>
    <row r="38022" customFormat="1" x14ac:dyDescent="0.25"/>
    <row r="38023" customFormat="1" x14ac:dyDescent="0.25"/>
    <row r="38024" customFormat="1" x14ac:dyDescent="0.25"/>
    <row r="38025" customFormat="1" x14ac:dyDescent="0.25"/>
    <row r="38026" customFormat="1" x14ac:dyDescent="0.25"/>
    <row r="38027" customFormat="1" x14ac:dyDescent="0.25"/>
    <row r="38028" customFormat="1" x14ac:dyDescent="0.25"/>
    <row r="38029" customFormat="1" x14ac:dyDescent="0.25"/>
    <row r="38030" customFormat="1" x14ac:dyDescent="0.25"/>
    <row r="38031" customFormat="1" x14ac:dyDescent="0.25"/>
    <row r="38032" customFormat="1" x14ac:dyDescent="0.25"/>
    <row r="38033" customFormat="1" x14ac:dyDescent="0.25"/>
    <row r="38034" customFormat="1" x14ac:dyDescent="0.25"/>
    <row r="38035" customFormat="1" x14ac:dyDescent="0.25"/>
    <row r="38036" customFormat="1" x14ac:dyDescent="0.25"/>
    <row r="38037" customFormat="1" x14ac:dyDescent="0.25"/>
    <row r="38038" customFormat="1" x14ac:dyDescent="0.25"/>
    <row r="38039" customFormat="1" x14ac:dyDescent="0.25"/>
    <row r="38040" customFormat="1" x14ac:dyDescent="0.25"/>
    <row r="38041" customFormat="1" x14ac:dyDescent="0.25"/>
    <row r="38042" customFormat="1" x14ac:dyDescent="0.25"/>
    <row r="38043" customFormat="1" x14ac:dyDescent="0.25"/>
    <row r="38044" customFormat="1" x14ac:dyDescent="0.25"/>
    <row r="38045" customFormat="1" x14ac:dyDescent="0.25"/>
    <row r="38046" customFormat="1" x14ac:dyDescent="0.25"/>
    <row r="38047" customFormat="1" x14ac:dyDescent="0.25"/>
    <row r="38048" customFormat="1" x14ac:dyDescent="0.25"/>
    <row r="38049" customFormat="1" x14ac:dyDescent="0.25"/>
    <row r="38050" customFormat="1" x14ac:dyDescent="0.25"/>
    <row r="38051" customFormat="1" x14ac:dyDescent="0.25"/>
    <row r="38052" customFormat="1" x14ac:dyDescent="0.25"/>
    <row r="38053" customFormat="1" x14ac:dyDescent="0.25"/>
    <row r="38054" customFormat="1" x14ac:dyDescent="0.25"/>
    <row r="38055" customFormat="1" x14ac:dyDescent="0.25"/>
    <row r="38056" customFormat="1" x14ac:dyDescent="0.25"/>
    <row r="38057" customFormat="1" x14ac:dyDescent="0.25"/>
    <row r="38058" customFormat="1" x14ac:dyDescent="0.25"/>
    <row r="38059" customFormat="1" x14ac:dyDescent="0.25"/>
    <row r="38060" customFormat="1" x14ac:dyDescent="0.25"/>
    <row r="38061" customFormat="1" x14ac:dyDescent="0.25"/>
    <row r="38062" customFormat="1" x14ac:dyDescent="0.25"/>
    <row r="38063" customFormat="1" x14ac:dyDescent="0.25"/>
    <row r="38064" customFormat="1" x14ac:dyDescent="0.25"/>
    <row r="38065" customFormat="1" x14ac:dyDescent="0.25"/>
    <row r="38066" customFormat="1" x14ac:dyDescent="0.25"/>
    <row r="38067" customFormat="1" x14ac:dyDescent="0.25"/>
    <row r="38068" customFormat="1" x14ac:dyDescent="0.25"/>
    <row r="38069" customFormat="1" x14ac:dyDescent="0.25"/>
    <row r="38070" customFormat="1" x14ac:dyDescent="0.25"/>
    <row r="38071" customFormat="1" x14ac:dyDescent="0.25"/>
    <row r="38072" customFormat="1" x14ac:dyDescent="0.25"/>
    <row r="38073" customFormat="1" x14ac:dyDescent="0.25"/>
    <row r="38074" customFormat="1" x14ac:dyDescent="0.25"/>
    <row r="38075" customFormat="1" x14ac:dyDescent="0.25"/>
    <row r="38076" customFormat="1" x14ac:dyDescent="0.25"/>
    <row r="38077" customFormat="1" x14ac:dyDescent="0.25"/>
    <row r="38078" customFormat="1" x14ac:dyDescent="0.25"/>
    <row r="38079" customFormat="1" x14ac:dyDescent="0.25"/>
    <row r="38080" customFormat="1" x14ac:dyDescent="0.25"/>
    <row r="38081" customFormat="1" x14ac:dyDescent="0.25"/>
    <row r="38082" customFormat="1" x14ac:dyDescent="0.25"/>
    <row r="38083" customFormat="1" x14ac:dyDescent="0.25"/>
    <row r="38084" customFormat="1" x14ac:dyDescent="0.25"/>
    <row r="38085" customFormat="1" x14ac:dyDescent="0.25"/>
    <row r="38086" customFormat="1" x14ac:dyDescent="0.25"/>
    <row r="38087" customFormat="1" x14ac:dyDescent="0.25"/>
    <row r="38088" customFormat="1" x14ac:dyDescent="0.25"/>
    <row r="38089" customFormat="1" x14ac:dyDescent="0.25"/>
    <row r="38090" customFormat="1" x14ac:dyDescent="0.25"/>
    <row r="38091" customFormat="1" x14ac:dyDescent="0.25"/>
    <row r="38092" customFormat="1" x14ac:dyDescent="0.25"/>
    <row r="38093" customFormat="1" x14ac:dyDescent="0.25"/>
    <row r="38094" customFormat="1" x14ac:dyDescent="0.25"/>
    <row r="38095" customFormat="1" x14ac:dyDescent="0.25"/>
    <row r="38096" customFormat="1" x14ac:dyDescent="0.25"/>
    <row r="38097" customFormat="1" x14ac:dyDescent="0.25"/>
    <row r="38098" customFormat="1" x14ac:dyDescent="0.25"/>
    <row r="38099" customFormat="1" x14ac:dyDescent="0.25"/>
    <row r="38100" customFormat="1" x14ac:dyDescent="0.25"/>
    <row r="38101" customFormat="1" x14ac:dyDescent="0.25"/>
    <row r="38102" customFormat="1" x14ac:dyDescent="0.25"/>
    <row r="38103" customFormat="1" x14ac:dyDescent="0.25"/>
    <row r="38104" customFormat="1" x14ac:dyDescent="0.25"/>
    <row r="38105" customFormat="1" x14ac:dyDescent="0.25"/>
    <row r="38106" customFormat="1" x14ac:dyDescent="0.25"/>
    <row r="38107" customFormat="1" x14ac:dyDescent="0.25"/>
    <row r="38108" customFormat="1" x14ac:dyDescent="0.25"/>
    <row r="38109" customFormat="1" x14ac:dyDescent="0.25"/>
    <row r="38110" customFormat="1" x14ac:dyDescent="0.25"/>
    <row r="38111" customFormat="1" x14ac:dyDescent="0.25"/>
    <row r="38112" customFormat="1" x14ac:dyDescent="0.25"/>
    <row r="38113" customFormat="1" x14ac:dyDescent="0.25"/>
    <row r="38114" customFormat="1" x14ac:dyDescent="0.25"/>
    <row r="38115" customFormat="1" x14ac:dyDescent="0.25"/>
    <row r="38116" customFormat="1" x14ac:dyDescent="0.25"/>
    <row r="38117" customFormat="1" x14ac:dyDescent="0.25"/>
    <row r="38118" customFormat="1" x14ac:dyDescent="0.25"/>
    <row r="38119" customFormat="1" x14ac:dyDescent="0.25"/>
    <row r="38120" customFormat="1" x14ac:dyDescent="0.25"/>
    <row r="38121" customFormat="1" x14ac:dyDescent="0.25"/>
    <row r="38122" customFormat="1" x14ac:dyDescent="0.25"/>
    <row r="38123" customFormat="1" x14ac:dyDescent="0.25"/>
    <row r="38124" customFormat="1" x14ac:dyDescent="0.25"/>
    <row r="38125" customFormat="1" x14ac:dyDescent="0.25"/>
    <row r="38126" customFormat="1" x14ac:dyDescent="0.25"/>
    <row r="38127" customFormat="1" x14ac:dyDescent="0.25"/>
    <row r="38128" customFormat="1" x14ac:dyDescent="0.25"/>
    <row r="38129" customFormat="1" x14ac:dyDescent="0.25"/>
    <row r="38130" customFormat="1" x14ac:dyDescent="0.25"/>
    <row r="38131" customFormat="1" x14ac:dyDescent="0.25"/>
    <row r="38132" customFormat="1" x14ac:dyDescent="0.25"/>
    <row r="38133" customFormat="1" x14ac:dyDescent="0.25"/>
    <row r="38134" customFormat="1" x14ac:dyDescent="0.25"/>
    <row r="38135" customFormat="1" x14ac:dyDescent="0.25"/>
    <row r="38136" customFormat="1" x14ac:dyDescent="0.25"/>
    <row r="38137" customFormat="1" x14ac:dyDescent="0.25"/>
    <row r="38138" customFormat="1" x14ac:dyDescent="0.25"/>
    <row r="38139" customFormat="1" x14ac:dyDescent="0.25"/>
    <row r="38140" customFormat="1" x14ac:dyDescent="0.25"/>
    <row r="38141" customFormat="1" x14ac:dyDescent="0.25"/>
    <row r="38142" customFormat="1" x14ac:dyDescent="0.25"/>
    <row r="38143" customFormat="1" x14ac:dyDescent="0.25"/>
    <row r="38144" customFormat="1" x14ac:dyDescent="0.25"/>
    <row r="38145" customFormat="1" x14ac:dyDescent="0.25"/>
    <row r="38146" customFormat="1" x14ac:dyDescent="0.25"/>
    <row r="38147" customFormat="1" x14ac:dyDescent="0.25"/>
    <row r="38148" customFormat="1" x14ac:dyDescent="0.25"/>
    <row r="38149" customFormat="1" x14ac:dyDescent="0.25"/>
    <row r="38150" customFormat="1" x14ac:dyDescent="0.25"/>
    <row r="38151" customFormat="1" x14ac:dyDescent="0.25"/>
    <row r="38152" customFormat="1" x14ac:dyDescent="0.25"/>
    <row r="38153" customFormat="1" x14ac:dyDescent="0.25"/>
    <row r="38154" customFormat="1" x14ac:dyDescent="0.25"/>
    <row r="38155" customFormat="1" x14ac:dyDescent="0.25"/>
    <row r="38156" customFormat="1" x14ac:dyDescent="0.25"/>
    <row r="38157" customFormat="1" x14ac:dyDescent="0.25"/>
    <row r="38158" customFormat="1" x14ac:dyDescent="0.25"/>
    <row r="38159" customFormat="1" x14ac:dyDescent="0.25"/>
    <row r="38160" customFormat="1" x14ac:dyDescent="0.25"/>
    <row r="38161" customFormat="1" x14ac:dyDescent="0.25"/>
    <row r="38162" customFormat="1" x14ac:dyDescent="0.25"/>
    <row r="38163" customFormat="1" x14ac:dyDescent="0.25"/>
    <row r="38164" customFormat="1" x14ac:dyDescent="0.25"/>
    <row r="38165" customFormat="1" x14ac:dyDescent="0.25"/>
    <row r="38166" customFormat="1" x14ac:dyDescent="0.25"/>
    <row r="38167" customFormat="1" x14ac:dyDescent="0.25"/>
    <row r="38168" customFormat="1" x14ac:dyDescent="0.25"/>
    <row r="38169" customFormat="1" x14ac:dyDescent="0.25"/>
    <row r="38170" customFormat="1" x14ac:dyDescent="0.25"/>
    <row r="38171" customFormat="1" x14ac:dyDescent="0.25"/>
    <row r="38172" customFormat="1" x14ac:dyDescent="0.25"/>
    <row r="38173" customFormat="1" x14ac:dyDescent="0.25"/>
    <row r="38174" customFormat="1" x14ac:dyDescent="0.25"/>
    <row r="38175" customFormat="1" x14ac:dyDescent="0.25"/>
    <row r="38176" customFormat="1" x14ac:dyDescent="0.25"/>
    <row r="38177" customFormat="1" x14ac:dyDescent="0.25"/>
    <row r="38178" customFormat="1" x14ac:dyDescent="0.25"/>
    <row r="38179" customFormat="1" x14ac:dyDescent="0.25"/>
    <row r="38180" customFormat="1" x14ac:dyDescent="0.25"/>
    <row r="38181" customFormat="1" x14ac:dyDescent="0.25"/>
    <row r="38182" customFormat="1" x14ac:dyDescent="0.25"/>
    <row r="38183" customFormat="1" x14ac:dyDescent="0.25"/>
    <row r="38184" customFormat="1" x14ac:dyDescent="0.25"/>
    <row r="38185" customFormat="1" x14ac:dyDescent="0.25"/>
    <row r="38186" customFormat="1" x14ac:dyDescent="0.25"/>
    <row r="38187" customFormat="1" x14ac:dyDescent="0.25"/>
    <row r="38188" customFormat="1" x14ac:dyDescent="0.25"/>
    <row r="38189" customFormat="1" x14ac:dyDescent="0.25"/>
    <row r="38190" customFormat="1" x14ac:dyDescent="0.25"/>
    <row r="38191" customFormat="1" x14ac:dyDescent="0.25"/>
    <row r="38192" customFormat="1" x14ac:dyDescent="0.25"/>
    <row r="38193" customFormat="1" x14ac:dyDescent="0.25"/>
    <row r="38194" customFormat="1" x14ac:dyDescent="0.25"/>
    <row r="38195" customFormat="1" x14ac:dyDescent="0.25"/>
    <row r="38196" customFormat="1" x14ac:dyDescent="0.25"/>
    <row r="38197" customFormat="1" x14ac:dyDescent="0.25"/>
    <row r="38198" customFormat="1" x14ac:dyDescent="0.25"/>
    <row r="38199" customFormat="1" x14ac:dyDescent="0.25"/>
    <row r="38200" customFormat="1" x14ac:dyDescent="0.25"/>
    <row r="38201" customFormat="1" x14ac:dyDescent="0.25"/>
    <row r="38202" customFormat="1" x14ac:dyDescent="0.25"/>
    <row r="38203" customFormat="1" x14ac:dyDescent="0.25"/>
    <row r="38204" customFormat="1" x14ac:dyDescent="0.25"/>
    <row r="38205" customFormat="1" x14ac:dyDescent="0.25"/>
    <row r="38206" customFormat="1" x14ac:dyDescent="0.25"/>
    <row r="38207" customFormat="1" x14ac:dyDescent="0.25"/>
    <row r="38208" customFormat="1" x14ac:dyDescent="0.25"/>
    <row r="38209" customFormat="1" x14ac:dyDescent="0.25"/>
    <row r="38210" customFormat="1" x14ac:dyDescent="0.25"/>
    <row r="38211" customFormat="1" x14ac:dyDescent="0.25"/>
    <row r="38212" customFormat="1" x14ac:dyDescent="0.25"/>
    <row r="38213" customFormat="1" x14ac:dyDescent="0.25"/>
    <row r="38214" customFormat="1" x14ac:dyDescent="0.25"/>
    <row r="38215" customFormat="1" x14ac:dyDescent="0.25"/>
    <row r="38216" customFormat="1" x14ac:dyDescent="0.25"/>
    <row r="38217" customFormat="1" x14ac:dyDescent="0.25"/>
    <row r="38218" customFormat="1" x14ac:dyDescent="0.25"/>
    <row r="38219" customFormat="1" x14ac:dyDescent="0.25"/>
    <row r="38220" customFormat="1" x14ac:dyDescent="0.25"/>
    <row r="38221" customFormat="1" x14ac:dyDescent="0.25"/>
    <row r="38222" customFormat="1" x14ac:dyDescent="0.25"/>
    <row r="38223" customFormat="1" x14ac:dyDescent="0.25"/>
    <row r="38224" customFormat="1" x14ac:dyDescent="0.25"/>
    <row r="38225" customFormat="1" x14ac:dyDescent="0.25"/>
    <row r="38226" customFormat="1" x14ac:dyDescent="0.25"/>
    <row r="38227" customFormat="1" x14ac:dyDescent="0.25"/>
    <row r="38228" customFormat="1" x14ac:dyDescent="0.25"/>
    <row r="38229" customFormat="1" x14ac:dyDescent="0.25"/>
    <row r="38230" customFormat="1" x14ac:dyDescent="0.25"/>
    <row r="38231" customFormat="1" x14ac:dyDescent="0.25"/>
    <row r="38232" customFormat="1" x14ac:dyDescent="0.25"/>
    <row r="38233" customFormat="1" x14ac:dyDescent="0.25"/>
    <row r="38234" customFormat="1" x14ac:dyDescent="0.25"/>
    <row r="38235" customFormat="1" x14ac:dyDescent="0.25"/>
    <row r="38236" customFormat="1" x14ac:dyDescent="0.25"/>
    <row r="38237" customFormat="1" x14ac:dyDescent="0.25"/>
    <row r="38238" customFormat="1" x14ac:dyDescent="0.25"/>
    <row r="38239" customFormat="1" x14ac:dyDescent="0.25"/>
    <row r="38240" customFormat="1" x14ac:dyDescent="0.25"/>
    <row r="38241" customFormat="1" x14ac:dyDescent="0.25"/>
    <row r="38242" customFormat="1" x14ac:dyDescent="0.25"/>
    <row r="38243" customFormat="1" x14ac:dyDescent="0.25"/>
    <row r="38244" customFormat="1" x14ac:dyDescent="0.25"/>
    <row r="38245" customFormat="1" x14ac:dyDescent="0.25"/>
    <row r="38246" customFormat="1" x14ac:dyDescent="0.25"/>
    <row r="38247" customFormat="1" x14ac:dyDescent="0.25"/>
    <row r="38248" customFormat="1" x14ac:dyDescent="0.25"/>
    <row r="38249" customFormat="1" x14ac:dyDescent="0.25"/>
    <row r="38250" customFormat="1" x14ac:dyDescent="0.25"/>
    <row r="38251" customFormat="1" x14ac:dyDescent="0.25"/>
    <row r="38252" customFormat="1" x14ac:dyDescent="0.25"/>
    <row r="38253" customFormat="1" x14ac:dyDescent="0.25"/>
    <row r="38254" customFormat="1" x14ac:dyDescent="0.25"/>
    <row r="38255" customFormat="1" x14ac:dyDescent="0.25"/>
    <row r="38256" customFormat="1" x14ac:dyDescent="0.25"/>
    <row r="38257" customFormat="1" x14ac:dyDescent="0.25"/>
    <row r="38258" customFormat="1" x14ac:dyDescent="0.25"/>
    <row r="38259" customFormat="1" x14ac:dyDescent="0.25"/>
    <row r="38260" customFormat="1" x14ac:dyDescent="0.25"/>
    <row r="38261" customFormat="1" x14ac:dyDescent="0.25"/>
    <row r="38262" customFormat="1" x14ac:dyDescent="0.25"/>
    <row r="38263" customFormat="1" x14ac:dyDescent="0.25"/>
    <row r="38264" customFormat="1" x14ac:dyDescent="0.25"/>
    <row r="38265" customFormat="1" x14ac:dyDescent="0.25"/>
    <row r="38266" customFormat="1" x14ac:dyDescent="0.25"/>
    <row r="38267" customFormat="1" x14ac:dyDescent="0.25"/>
    <row r="38268" customFormat="1" x14ac:dyDescent="0.25"/>
    <row r="38269" customFormat="1" x14ac:dyDescent="0.25"/>
    <row r="38270" customFormat="1" x14ac:dyDescent="0.25"/>
    <row r="38271" customFormat="1" x14ac:dyDescent="0.25"/>
    <row r="38272" customFormat="1" x14ac:dyDescent="0.25"/>
    <row r="38273" customFormat="1" x14ac:dyDescent="0.25"/>
    <row r="38274" customFormat="1" x14ac:dyDescent="0.25"/>
    <row r="38275" customFormat="1" x14ac:dyDescent="0.25"/>
    <row r="38276" customFormat="1" x14ac:dyDescent="0.25"/>
    <row r="38277" customFormat="1" x14ac:dyDescent="0.25"/>
    <row r="38278" customFormat="1" x14ac:dyDescent="0.25"/>
    <row r="38279" customFormat="1" x14ac:dyDescent="0.25"/>
    <row r="38280" customFormat="1" x14ac:dyDescent="0.25"/>
    <row r="38281" customFormat="1" x14ac:dyDescent="0.25"/>
    <row r="38282" customFormat="1" x14ac:dyDescent="0.25"/>
    <row r="38283" customFormat="1" x14ac:dyDescent="0.25"/>
    <row r="38284" customFormat="1" x14ac:dyDescent="0.25"/>
    <row r="38285" customFormat="1" x14ac:dyDescent="0.25"/>
    <row r="38286" customFormat="1" x14ac:dyDescent="0.25"/>
    <row r="38287" customFormat="1" x14ac:dyDescent="0.25"/>
    <row r="38288" customFormat="1" x14ac:dyDescent="0.25"/>
    <row r="38289" customFormat="1" x14ac:dyDescent="0.25"/>
    <row r="38290" customFormat="1" x14ac:dyDescent="0.25"/>
    <row r="38291" customFormat="1" x14ac:dyDescent="0.25"/>
    <row r="38292" customFormat="1" x14ac:dyDescent="0.25"/>
    <row r="38293" customFormat="1" x14ac:dyDescent="0.25"/>
    <row r="38294" customFormat="1" x14ac:dyDescent="0.25"/>
    <row r="38295" customFormat="1" x14ac:dyDescent="0.25"/>
    <row r="38296" customFormat="1" x14ac:dyDescent="0.25"/>
    <row r="38297" customFormat="1" x14ac:dyDescent="0.25"/>
    <row r="38298" customFormat="1" x14ac:dyDescent="0.25"/>
    <row r="38299" customFormat="1" x14ac:dyDescent="0.25"/>
    <row r="38300" customFormat="1" x14ac:dyDescent="0.25"/>
    <row r="38301" customFormat="1" x14ac:dyDescent="0.25"/>
    <row r="38302" customFormat="1" x14ac:dyDescent="0.25"/>
    <row r="38303" customFormat="1" x14ac:dyDescent="0.25"/>
    <row r="38304" customFormat="1" x14ac:dyDescent="0.25"/>
    <row r="38305" customFormat="1" x14ac:dyDescent="0.25"/>
    <row r="38306" customFormat="1" x14ac:dyDescent="0.25"/>
    <row r="38307" customFormat="1" x14ac:dyDescent="0.25"/>
    <row r="38308" customFormat="1" x14ac:dyDescent="0.25"/>
    <row r="38309" customFormat="1" x14ac:dyDescent="0.25"/>
    <row r="38310" customFormat="1" x14ac:dyDescent="0.25"/>
    <row r="38311" customFormat="1" x14ac:dyDescent="0.25"/>
    <row r="38312" customFormat="1" x14ac:dyDescent="0.25"/>
    <row r="38313" customFormat="1" x14ac:dyDescent="0.25"/>
    <row r="38314" customFormat="1" x14ac:dyDescent="0.25"/>
    <row r="38315" customFormat="1" x14ac:dyDescent="0.25"/>
    <row r="38316" customFormat="1" x14ac:dyDescent="0.25"/>
    <row r="38317" customFormat="1" x14ac:dyDescent="0.25"/>
    <row r="38318" customFormat="1" x14ac:dyDescent="0.25"/>
    <row r="38319" customFormat="1" x14ac:dyDescent="0.25"/>
    <row r="38320" customFormat="1" x14ac:dyDescent="0.25"/>
    <row r="38321" customFormat="1" x14ac:dyDescent="0.25"/>
    <row r="38322" customFormat="1" x14ac:dyDescent="0.25"/>
    <row r="38323" customFormat="1" x14ac:dyDescent="0.25"/>
    <row r="38324" customFormat="1" x14ac:dyDescent="0.25"/>
    <row r="38325" customFormat="1" x14ac:dyDescent="0.25"/>
    <row r="38326" customFormat="1" x14ac:dyDescent="0.25"/>
    <row r="38327" customFormat="1" x14ac:dyDescent="0.25"/>
    <row r="38328" customFormat="1" x14ac:dyDescent="0.25"/>
    <row r="38329" customFormat="1" x14ac:dyDescent="0.25"/>
    <row r="38330" customFormat="1" x14ac:dyDescent="0.25"/>
    <row r="38331" customFormat="1" x14ac:dyDescent="0.25"/>
    <row r="38332" customFormat="1" x14ac:dyDescent="0.25"/>
    <row r="38333" customFormat="1" x14ac:dyDescent="0.25"/>
    <row r="38334" customFormat="1" x14ac:dyDescent="0.25"/>
    <row r="38335" customFormat="1" x14ac:dyDescent="0.25"/>
    <row r="38336" customFormat="1" x14ac:dyDescent="0.25"/>
    <row r="38337" customFormat="1" x14ac:dyDescent="0.25"/>
    <row r="38338" customFormat="1" x14ac:dyDescent="0.25"/>
    <row r="38339" customFormat="1" x14ac:dyDescent="0.25"/>
    <row r="38340" customFormat="1" x14ac:dyDescent="0.25"/>
    <row r="38341" customFormat="1" x14ac:dyDescent="0.25"/>
    <row r="38342" customFormat="1" x14ac:dyDescent="0.25"/>
    <row r="38343" customFormat="1" x14ac:dyDescent="0.25"/>
    <row r="38344" customFormat="1" x14ac:dyDescent="0.25"/>
    <row r="38345" customFormat="1" x14ac:dyDescent="0.25"/>
    <row r="38346" customFormat="1" x14ac:dyDescent="0.25"/>
    <row r="38347" customFormat="1" x14ac:dyDescent="0.25"/>
    <row r="38348" customFormat="1" x14ac:dyDescent="0.25"/>
    <row r="38349" customFormat="1" x14ac:dyDescent="0.25"/>
    <row r="38350" customFormat="1" x14ac:dyDescent="0.25"/>
    <row r="38351" customFormat="1" x14ac:dyDescent="0.25"/>
    <row r="38352" customFormat="1" x14ac:dyDescent="0.25"/>
    <row r="38353" customFormat="1" x14ac:dyDescent="0.25"/>
    <row r="38354" customFormat="1" x14ac:dyDescent="0.25"/>
    <row r="38355" customFormat="1" x14ac:dyDescent="0.25"/>
    <row r="38356" customFormat="1" x14ac:dyDescent="0.25"/>
    <row r="38357" customFormat="1" x14ac:dyDescent="0.25"/>
    <row r="38358" customFormat="1" x14ac:dyDescent="0.25"/>
    <row r="38359" customFormat="1" x14ac:dyDescent="0.25"/>
    <row r="38360" customFormat="1" x14ac:dyDescent="0.25"/>
    <row r="38361" customFormat="1" x14ac:dyDescent="0.25"/>
    <row r="38362" customFormat="1" x14ac:dyDescent="0.25"/>
    <row r="38363" customFormat="1" x14ac:dyDescent="0.25"/>
    <row r="38364" customFormat="1" x14ac:dyDescent="0.25"/>
    <row r="38365" customFormat="1" x14ac:dyDescent="0.25"/>
    <row r="38366" customFormat="1" x14ac:dyDescent="0.25"/>
    <row r="38367" customFormat="1" x14ac:dyDescent="0.25"/>
    <row r="38368" customFormat="1" x14ac:dyDescent="0.25"/>
    <row r="38369" customFormat="1" x14ac:dyDescent="0.25"/>
    <row r="38370" customFormat="1" x14ac:dyDescent="0.25"/>
    <row r="38371" customFormat="1" x14ac:dyDescent="0.25"/>
    <row r="38372" customFormat="1" x14ac:dyDescent="0.25"/>
    <row r="38373" customFormat="1" x14ac:dyDescent="0.25"/>
    <row r="38374" customFormat="1" x14ac:dyDescent="0.25"/>
    <row r="38375" customFormat="1" x14ac:dyDescent="0.25"/>
    <row r="38376" customFormat="1" x14ac:dyDescent="0.25"/>
    <row r="38377" customFormat="1" x14ac:dyDescent="0.25"/>
    <row r="38378" customFormat="1" x14ac:dyDescent="0.25"/>
    <row r="38379" customFormat="1" x14ac:dyDescent="0.25"/>
    <row r="38380" customFormat="1" x14ac:dyDescent="0.25"/>
    <row r="38381" customFormat="1" x14ac:dyDescent="0.25"/>
    <row r="38382" customFormat="1" x14ac:dyDescent="0.25"/>
    <row r="38383" customFormat="1" x14ac:dyDescent="0.25"/>
    <row r="38384" customFormat="1" x14ac:dyDescent="0.25"/>
    <row r="38385" customFormat="1" x14ac:dyDescent="0.25"/>
    <row r="38386" customFormat="1" x14ac:dyDescent="0.25"/>
    <row r="38387" customFormat="1" x14ac:dyDescent="0.25"/>
    <row r="38388" customFormat="1" x14ac:dyDescent="0.25"/>
    <row r="38389" customFormat="1" x14ac:dyDescent="0.25"/>
    <row r="38390" customFormat="1" x14ac:dyDescent="0.25"/>
    <row r="38391" customFormat="1" x14ac:dyDescent="0.25"/>
    <row r="38392" customFormat="1" x14ac:dyDescent="0.25"/>
    <row r="38393" customFormat="1" x14ac:dyDescent="0.25"/>
    <row r="38394" customFormat="1" x14ac:dyDescent="0.25"/>
    <row r="38395" customFormat="1" x14ac:dyDescent="0.25"/>
    <row r="38396" customFormat="1" x14ac:dyDescent="0.25"/>
    <row r="38397" customFormat="1" x14ac:dyDescent="0.25"/>
    <row r="38398" customFormat="1" x14ac:dyDescent="0.25"/>
    <row r="38399" customFormat="1" x14ac:dyDescent="0.25"/>
    <row r="38400" customFormat="1" x14ac:dyDescent="0.25"/>
    <row r="38401" customFormat="1" x14ac:dyDescent="0.25"/>
    <row r="38402" customFormat="1" x14ac:dyDescent="0.25"/>
    <row r="38403" customFormat="1" x14ac:dyDescent="0.25"/>
    <row r="38404" customFormat="1" x14ac:dyDescent="0.25"/>
    <row r="38405" customFormat="1" x14ac:dyDescent="0.25"/>
    <row r="38406" customFormat="1" x14ac:dyDescent="0.25"/>
    <row r="38407" customFormat="1" x14ac:dyDescent="0.25"/>
    <row r="38408" customFormat="1" x14ac:dyDescent="0.25"/>
    <row r="38409" customFormat="1" x14ac:dyDescent="0.25"/>
    <row r="38410" customFormat="1" x14ac:dyDescent="0.25"/>
    <row r="38411" customFormat="1" x14ac:dyDescent="0.25"/>
    <row r="38412" customFormat="1" x14ac:dyDescent="0.25"/>
    <row r="38413" customFormat="1" x14ac:dyDescent="0.25"/>
    <row r="38414" customFormat="1" x14ac:dyDescent="0.25"/>
    <row r="38415" customFormat="1" x14ac:dyDescent="0.25"/>
    <row r="38416" customFormat="1" x14ac:dyDescent="0.25"/>
    <row r="38417" customFormat="1" x14ac:dyDescent="0.25"/>
    <row r="38418" customFormat="1" x14ac:dyDescent="0.25"/>
    <row r="38419" customFormat="1" x14ac:dyDescent="0.25"/>
    <row r="38420" customFormat="1" x14ac:dyDescent="0.25"/>
    <row r="38421" customFormat="1" x14ac:dyDescent="0.25"/>
    <row r="38422" customFormat="1" x14ac:dyDescent="0.25"/>
    <row r="38423" customFormat="1" x14ac:dyDescent="0.25"/>
    <row r="38424" customFormat="1" x14ac:dyDescent="0.25"/>
    <row r="38425" customFormat="1" x14ac:dyDescent="0.25"/>
    <row r="38426" customFormat="1" x14ac:dyDescent="0.25"/>
    <row r="38427" customFormat="1" x14ac:dyDescent="0.25"/>
    <row r="38428" customFormat="1" x14ac:dyDescent="0.25"/>
    <row r="38429" customFormat="1" x14ac:dyDescent="0.25"/>
    <row r="38430" customFormat="1" x14ac:dyDescent="0.25"/>
    <row r="38431" customFormat="1" x14ac:dyDescent="0.25"/>
    <row r="38432" customFormat="1" x14ac:dyDescent="0.25"/>
    <row r="38433" customFormat="1" x14ac:dyDescent="0.25"/>
    <row r="38434" customFormat="1" x14ac:dyDescent="0.25"/>
    <row r="38435" customFormat="1" x14ac:dyDescent="0.25"/>
    <row r="38436" customFormat="1" x14ac:dyDescent="0.25"/>
    <row r="38437" customFormat="1" x14ac:dyDescent="0.25"/>
    <row r="38438" customFormat="1" x14ac:dyDescent="0.25"/>
    <row r="38439" customFormat="1" x14ac:dyDescent="0.25"/>
    <row r="38440" customFormat="1" x14ac:dyDescent="0.25"/>
    <row r="38441" customFormat="1" x14ac:dyDescent="0.25"/>
    <row r="38442" customFormat="1" x14ac:dyDescent="0.25"/>
    <row r="38443" customFormat="1" x14ac:dyDescent="0.25"/>
    <row r="38444" customFormat="1" x14ac:dyDescent="0.25"/>
    <row r="38445" customFormat="1" x14ac:dyDescent="0.25"/>
    <row r="38446" customFormat="1" x14ac:dyDescent="0.25"/>
    <row r="38447" customFormat="1" x14ac:dyDescent="0.25"/>
    <row r="38448" customFormat="1" x14ac:dyDescent="0.25"/>
    <row r="38449" customFormat="1" x14ac:dyDescent="0.25"/>
    <row r="38450" customFormat="1" x14ac:dyDescent="0.25"/>
    <row r="38451" customFormat="1" x14ac:dyDescent="0.25"/>
    <row r="38452" customFormat="1" x14ac:dyDescent="0.25"/>
    <row r="38453" customFormat="1" x14ac:dyDescent="0.25"/>
    <row r="38454" customFormat="1" x14ac:dyDescent="0.25"/>
    <row r="38455" customFormat="1" x14ac:dyDescent="0.25"/>
    <row r="38456" customFormat="1" x14ac:dyDescent="0.25"/>
    <row r="38457" customFormat="1" x14ac:dyDescent="0.25"/>
    <row r="38458" customFormat="1" x14ac:dyDescent="0.25"/>
    <row r="38459" customFormat="1" x14ac:dyDescent="0.25"/>
    <row r="38460" customFormat="1" x14ac:dyDescent="0.25"/>
    <row r="38461" customFormat="1" x14ac:dyDescent="0.25"/>
    <row r="38462" customFormat="1" x14ac:dyDescent="0.25"/>
    <row r="38463" customFormat="1" x14ac:dyDescent="0.25"/>
    <row r="38464" customFormat="1" x14ac:dyDescent="0.25"/>
    <row r="38465" customFormat="1" x14ac:dyDescent="0.25"/>
    <row r="38466" customFormat="1" x14ac:dyDescent="0.25"/>
    <row r="38467" customFormat="1" x14ac:dyDescent="0.25"/>
    <row r="38468" customFormat="1" x14ac:dyDescent="0.25"/>
    <row r="38469" customFormat="1" x14ac:dyDescent="0.25"/>
    <row r="38470" customFormat="1" x14ac:dyDescent="0.25"/>
    <row r="38471" customFormat="1" x14ac:dyDescent="0.25"/>
    <row r="38472" customFormat="1" x14ac:dyDescent="0.25"/>
    <row r="38473" customFormat="1" x14ac:dyDescent="0.25"/>
    <row r="38474" customFormat="1" x14ac:dyDescent="0.25"/>
    <row r="38475" customFormat="1" x14ac:dyDescent="0.25"/>
    <row r="38476" customFormat="1" x14ac:dyDescent="0.25"/>
    <row r="38477" customFormat="1" x14ac:dyDescent="0.25"/>
    <row r="38478" customFormat="1" x14ac:dyDescent="0.25"/>
    <row r="38479" customFormat="1" x14ac:dyDescent="0.25"/>
    <row r="38480" customFormat="1" x14ac:dyDescent="0.25"/>
    <row r="38481" customFormat="1" x14ac:dyDescent="0.25"/>
    <row r="38482" customFormat="1" x14ac:dyDescent="0.25"/>
    <row r="38483" customFormat="1" x14ac:dyDescent="0.25"/>
    <row r="38484" customFormat="1" x14ac:dyDescent="0.25"/>
    <row r="38485" customFormat="1" x14ac:dyDescent="0.25"/>
    <row r="38486" customFormat="1" x14ac:dyDescent="0.25"/>
    <row r="38487" customFormat="1" x14ac:dyDescent="0.25"/>
    <row r="38488" customFormat="1" x14ac:dyDescent="0.25"/>
    <row r="38489" customFormat="1" x14ac:dyDescent="0.25"/>
    <row r="38490" customFormat="1" x14ac:dyDescent="0.25"/>
    <row r="38491" customFormat="1" x14ac:dyDescent="0.25"/>
    <row r="38492" customFormat="1" x14ac:dyDescent="0.25"/>
    <row r="38493" customFormat="1" x14ac:dyDescent="0.25"/>
    <row r="38494" customFormat="1" x14ac:dyDescent="0.25"/>
    <row r="38495" customFormat="1" x14ac:dyDescent="0.25"/>
    <row r="38496" customFormat="1" x14ac:dyDescent="0.25"/>
    <row r="38497" customFormat="1" x14ac:dyDescent="0.25"/>
    <row r="38498" customFormat="1" x14ac:dyDescent="0.25"/>
    <row r="38499" customFormat="1" x14ac:dyDescent="0.25"/>
    <row r="38500" customFormat="1" x14ac:dyDescent="0.25"/>
    <row r="38501" customFormat="1" x14ac:dyDescent="0.25"/>
    <row r="38502" customFormat="1" x14ac:dyDescent="0.25"/>
    <row r="38503" customFormat="1" x14ac:dyDescent="0.25"/>
    <row r="38504" customFormat="1" x14ac:dyDescent="0.25"/>
    <row r="38505" customFormat="1" x14ac:dyDescent="0.25"/>
    <row r="38506" customFormat="1" x14ac:dyDescent="0.25"/>
    <row r="38507" customFormat="1" x14ac:dyDescent="0.25"/>
    <row r="38508" customFormat="1" x14ac:dyDescent="0.25"/>
    <row r="38509" customFormat="1" x14ac:dyDescent="0.25"/>
    <row r="38510" customFormat="1" x14ac:dyDescent="0.25"/>
    <row r="38511" customFormat="1" x14ac:dyDescent="0.25"/>
    <row r="38512" customFormat="1" x14ac:dyDescent="0.25"/>
    <row r="38513" customFormat="1" x14ac:dyDescent="0.25"/>
    <row r="38514" customFormat="1" x14ac:dyDescent="0.25"/>
    <row r="38515" customFormat="1" x14ac:dyDescent="0.25"/>
    <row r="38516" customFormat="1" x14ac:dyDescent="0.25"/>
    <row r="38517" customFormat="1" x14ac:dyDescent="0.25"/>
    <row r="38518" customFormat="1" x14ac:dyDescent="0.25"/>
    <row r="38519" customFormat="1" x14ac:dyDescent="0.25"/>
    <row r="38520" customFormat="1" x14ac:dyDescent="0.25"/>
    <row r="38521" customFormat="1" x14ac:dyDescent="0.25"/>
    <row r="38522" customFormat="1" x14ac:dyDescent="0.25"/>
    <row r="38523" customFormat="1" x14ac:dyDescent="0.25"/>
    <row r="38524" customFormat="1" x14ac:dyDescent="0.25"/>
    <row r="38525" customFormat="1" x14ac:dyDescent="0.25"/>
    <row r="38526" customFormat="1" x14ac:dyDescent="0.25"/>
    <row r="38527" customFormat="1" x14ac:dyDescent="0.25"/>
    <row r="38528" customFormat="1" x14ac:dyDescent="0.25"/>
    <row r="38529" customFormat="1" x14ac:dyDescent="0.25"/>
    <row r="38530" customFormat="1" x14ac:dyDescent="0.25"/>
    <row r="38531" customFormat="1" x14ac:dyDescent="0.25"/>
    <row r="38532" customFormat="1" x14ac:dyDescent="0.25"/>
    <row r="38533" customFormat="1" x14ac:dyDescent="0.25"/>
    <row r="38534" customFormat="1" x14ac:dyDescent="0.25"/>
    <row r="38535" customFormat="1" x14ac:dyDescent="0.25"/>
    <row r="38536" customFormat="1" x14ac:dyDescent="0.25"/>
    <row r="38537" customFormat="1" x14ac:dyDescent="0.25"/>
    <row r="38538" customFormat="1" x14ac:dyDescent="0.25"/>
    <row r="38539" customFormat="1" x14ac:dyDescent="0.25"/>
    <row r="38540" customFormat="1" x14ac:dyDescent="0.25"/>
    <row r="38541" customFormat="1" x14ac:dyDescent="0.25"/>
    <row r="38542" customFormat="1" x14ac:dyDescent="0.25"/>
    <row r="38543" customFormat="1" x14ac:dyDescent="0.25"/>
    <row r="38544" customFormat="1" x14ac:dyDescent="0.25"/>
    <row r="38545" customFormat="1" x14ac:dyDescent="0.25"/>
    <row r="38546" customFormat="1" x14ac:dyDescent="0.25"/>
    <row r="38547" customFormat="1" x14ac:dyDescent="0.25"/>
    <row r="38548" customFormat="1" x14ac:dyDescent="0.25"/>
    <row r="38549" customFormat="1" x14ac:dyDescent="0.25"/>
    <row r="38550" customFormat="1" x14ac:dyDescent="0.25"/>
    <row r="38551" customFormat="1" x14ac:dyDescent="0.25"/>
    <row r="38552" customFormat="1" x14ac:dyDescent="0.25"/>
    <row r="38553" customFormat="1" x14ac:dyDescent="0.25"/>
    <row r="38554" customFormat="1" x14ac:dyDescent="0.25"/>
    <row r="38555" customFormat="1" x14ac:dyDescent="0.25"/>
    <row r="38556" customFormat="1" x14ac:dyDescent="0.25"/>
    <row r="38557" customFormat="1" x14ac:dyDescent="0.25"/>
    <row r="38558" customFormat="1" x14ac:dyDescent="0.25"/>
    <row r="38559" customFormat="1" x14ac:dyDescent="0.25"/>
    <row r="38560" customFormat="1" x14ac:dyDescent="0.25"/>
    <row r="38561" customFormat="1" x14ac:dyDescent="0.25"/>
    <row r="38562" customFormat="1" x14ac:dyDescent="0.25"/>
    <row r="38563" customFormat="1" x14ac:dyDescent="0.25"/>
    <row r="38564" customFormat="1" x14ac:dyDescent="0.25"/>
    <row r="38565" customFormat="1" x14ac:dyDescent="0.25"/>
    <row r="38566" customFormat="1" x14ac:dyDescent="0.25"/>
    <row r="38567" customFormat="1" x14ac:dyDescent="0.25"/>
    <row r="38568" customFormat="1" x14ac:dyDescent="0.25"/>
    <row r="38569" customFormat="1" x14ac:dyDescent="0.25"/>
    <row r="38570" customFormat="1" x14ac:dyDescent="0.25"/>
    <row r="38571" customFormat="1" x14ac:dyDescent="0.25"/>
    <row r="38572" customFormat="1" x14ac:dyDescent="0.25"/>
    <row r="38573" customFormat="1" x14ac:dyDescent="0.25"/>
    <row r="38574" customFormat="1" x14ac:dyDescent="0.25"/>
    <row r="38575" customFormat="1" x14ac:dyDescent="0.25"/>
    <row r="38576" customFormat="1" x14ac:dyDescent="0.25"/>
    <row r="38577" customFormat="1" x14ac:dyDescent="0.25"/>
    <row r="38578" customFormat="1" x14ac:dyDescent="0.25"/>
    <row r="38579" customFormat="1" x14ac:dyDescent="0.25"/>
    <row r="38580" customFormat="1" x14ac:dyDescent="0.25"/>
    <row r="38581" customFormat="1" x14ac:dyDescent="0.25"/>
    <row r="38582" customFormat="1" x14ac:dyDescent="0.25"/>
    <row r="38583" customFormat="1" x14ac:dyDescent="0.25"/>
    <row r="38584" customFormat="1" x14ac:dyDescent="0.25"/>
    <row r="38585" customFormat="1" x14ac:dyDescent="0.25"/>
    <row r="38586" customFormat="1" x14ac:dyDescent="0.25"/>
    <row r="38587" customFormat="1" x14ac:dyDescent="0.25"/>
    <row r="38588" customFormat="1" x14ac:dyDescent="0.25"/>
    <row r="38589" customFormat="1" x14ac:dyDescent="0.25"/>
    <row r="38590" customFormat="1" x14ac:dyDescent="0.25"/>
    <row r="38591" customFormat="1" x14ac:dyDescent="0.25"/>
    <row r="38592" customFormat="1" x14ac:dyDescent="0.25"/>
    <row r="38593" customFormat="1" x14ac:dyDescent="0.25"/>
    <row r="38594" customFormat="1" x14ac:dyDescent="0.25"/>
    <row r="38595" customFormat="1" x14ac:dyDescent="0.25"/>
    <row r="38596" customFormat="1" x14ac:dyDescent="0.25"/>
    <row r="38597" customFormat="1" x14ac:dyDescent="0.25"/>
    <row r="38598" customFormat="1" x14ac:dyDescent="0.25"/>
    <row r="38599" customFormat="1" x14ac:dyDescent="0.25"/>
    <row r="38600" customFormat="1" x14ac:dyDescent="0.25"/>
    <row r="38601" customFormat="1" x14ac:dyDescent="0.25"/>
    <row r="38602" customFormat="1" x14ac:dyDescent="0.25"/>
    <row r="38603" customFormat="1" x14ac:dyDescent="0.25"/>
    <row r="38604" customFormat="1" x14ac:dyDescent="0.25"/>
    <row r="38605" customFormat="1" x14ac:dyDescent="0.25"/>
    <row r="38606" customFormat="1" x14ac:dyDescent="0.25"/>
    <row r="38607" customFormat="1" x14ac:dyDescent="0.25"/>
    <row r="38608" customFormat="1" x14ac:dyDescent="0.25"/>
    <row r="38609" customFormat="1" x14ac:dyDescent="0.25"/>
    <row r="38610" customFormat="1" x14ac:dyDescent="0.25"/>
    <row r="38611" customFormat="1" x14ac:dyDescent="0.25"/>
    <row r="38612" customFormat="1" x14ac:dyDescent="0.25"/>
    <row r="38613" customFormat="1" x14ac:dyDescent="0.25"/>
    <row r="38614" customFormat="1" x14ac:dyDescent="0.25"/>
    <row r="38615" customFormat="1" x14ac:dyDescent="0.25"/>
    <row r="38616" customFormat="1" x14ac:dyDescent="0.25"/>
    <row r="38617" customFormat="1" x14ac:dyDescent="0.25"/>
    <row r="38618" customFormat="1" x14ac:dyDescent="0.25"/>
    <row r="38619" customFormat="1" x14ac:dyDescent="0.25"/>
    <row r="38620" customFormat="1" x14ac:dyDescent="0.25"/>
    <row r="38621" customFormat="1" x14ac:dyDescent="0.25"/>
    <row r="38622" customFormat="1" x14ac:dyDescent="0.25"/>
    <row r="38623" customFormat="1" x14ac:dyDescent="0.25"/>
    <row r="38624" customFormat="1" x14ac:dyDescent="0.25"/>
    <row r="38625" customFormat="1" x14ac:dyDescent="0.25"/>
    <row r="38626" customFormat="1" x14ac:dyDescent="0.25"/>
    <row r="38627" customFormat="1" x14ac:dyDescent="0.25"/>
    <row r="38628" customFormat="1" x14ac:dyDescent="0.25"/>
    <row r="38629" customFormat="1" x14ac:dyDescent="0.25"/>
    <row r="38630" customFormat="1" x14ac:dyDescent="0.25"/>
    <row r="38631" customFormat="1" x14ac:dyDescent="0.25"/>
    <row r="38632" customFormat="1" x14ac:dyDescent="0.25"/>
    <row r="38633" customFormat="1" x14ac:dyDescent="0.25"/>
    <row r="38634" customFormat="1" x14ac:dyDescent="0.25"/>
    <row r="38635" customFormat="1" x14ac:dyDescent="0.25"/>
    <row r="38636" customFormat="1" x14ac:dyDescent="0.25"/>
    <row r="38637" customFormat="1" x14ac:dyDescent="0.25"/>
    <row r="38638" customFormat="1" x14ac:dyDescent="0.25"/>
    <row r="38639" customFormat="1" x14ac:dyDescent="0.25"/>
    <row r="38640" customFormat="1" x14ac:dyDescent="0.25"/>
    <row r="38641" customFormat="1" x14ac:dyDescent="0.25"/>
    <row r="38642" customFormat="1" x14ac:dyDescent="0.25"/>
    <row r="38643" customFormat="1" x14ac:dyDescent="0.25"/>
    <row r="38644" customFormat="1" x14ac:dyDescent="0.25"/>
    <row r="38645" customFormat="1" x14ac:dyDescent="0.25"/>
    <row r="38646" customFormat="1" x14ac:dyDescent="0.25"/>
    <row r="38647" customFormat="1" x14ac:dyDescent="0.25"/>
    <row r="38648" customFormat="1" x14ac:dyDescent="0.25"/>
    <row r="38649" customFormat="1" x14ac:dyDescent="0.25"/>
    <row r="38650" customFormat="1" x14ac:dyDescent="0.25"/>
    <row r="38651" customFormat="1" x14ac:dyDescent="0.25"/>
    <row r="38652" customFormat="1" x14ac:dyDescent="0.25"/>
    <row r="38653" customFormat="1" x14ac:dyDescent="0.25"/>
    <row r="38654" customFormat="1" x14ac:dyDescent="0.25"/>
    <row r="38655" customFormat="1" x14ac:dyDescent="0.25"/>
    <row r="38656" customFormat="1" x14ac:dyDescent="0.25"/>
    <row r="38657" customFormat="1" x14ac:dyDescent="0.25"/>
    <row r="38658" customFormat="1" x14ac:dyDescent="0.25"/>
    <row r="38659" customFormat="1" x14ac:dyDescent="0.25"/>
    <row r="38660" customFormat="1" x14ac:dyDescent="0.25"/>
    <row r="38661" customFormat="1" x14ac:dyDescent="0.25"/>
    <row r="38662" customFormat="1" x14ac:dyDescent="0.25"/>
    <row r="38663" customFormat="1" x14ac:dyDescent="0.25"/>
    <row r="38664" customFormat="1" x14ac:dyDescent="0.25"/>
    <row r="38665" customFormat="1" x14ac:dyDescent="0.25"/>
    <row r="38666" customFormat="1" x14ac:dyDescent="0.25"/>
    <row r="38667" customFormat="1" x14ac:dyDescent="0.25"/>
    <row r="38668" customFormat="1" x14ac:dyDescent="0.25"/>
    <row r="38669" customFormat="1" x14ac:dyDescent="0.25"/>
    <row r="38670" customFormat="1" x14ac:dyDescent="0.25"/>
    <row r="38671" customFormat="1" x14ac:dyDescent="0.25"/>
    <row r="38672" customFormat="1" x14ac:dyDescent="0.25"/>
    <row r="38673" customFormat="1" x14ac:dyDescent="0.25"/>
    <row r="38674" customFormat="1" x14ac:dyDescent="0.25"/>
    <row r="38675" customFormat="1" x14ac:dyDescent="0.25"/>
    <row r="38676" customFormat="1" x14ac:dyDescent="0.25"/>
    <row r="38677" customFormat="1" x14ac:dyDescent="0.25"/>
    <row r="38678" customFormat="1" x14ac:dyDescent="0.25"/>
    <row r="38679" customFormat="1" x14ac:dyDescent="0.25"/>
    <row r="38680" customFormat="1" x14ac:dyDescent="0.25"/>
    <row r="38681" customFormat="1" x14ac:dyDescent="0.25"/>
    <row r="38682" customFormat="1" x14ac:dyDescent="0.25"/>
    <row r="38683" customFormat="1" x14ac:dyDescent="0.25"/>
    <row r="38684" customFormat="1" x14ac:dyDescent="0.25"/>
    <row r="38685" customFormat="1" x14ac:dyDescent="0.25"/>
    <row r="38686" customFormat="1" x14ac:dyDescent="0.25"/>
    <row r="38687" customFormat="1" x14ac:dyDescent="0.25"/>
    <row r="38688" customFormat="1" x14ac:dyDescent="0.25"/>
    <row r="38689" customFormat="1" x14ac:dyDescent="0.25"/>
    <row r="38690" customFormat="1" x14ac:dyDescent="0.25"/>
    <row r="38691" customFormat="1" x14ac:dyDescent="0.25"/>
    <row r="38692" customFormat="1" x14ac:dyDescent="0.25"/>
    <row r="38693" customFormat="1" x14ac:dyDescent="0.25"/>
    <row r="38694" customFormat="1" x14ac:dyDescent="0.25"/>
    <row r="38695" customFormat="1" x14ac:dyDescent="0.25"/>
    <row r="38696" customFormat="1" x14ac:dyDescent="0.25"/>
    <row r="38697" customFormat="1" x14ac:dyDescent="0.25"/>
    <row r="38698" customFormat="1" x14ac:dyDescent="0.25"/>
    <row r="38699" customFormat="1" x14ac:dyDescent="0.25"/>
    <row r="38700" customFormat="1" x14ac:dyDescent="0.25"/>
    <row r="38701" customFormat="1" x14ac:dyDescent="0.25"/>
    <row r="38702" customFormat="1" x14ac:dyDescent="0.25"/>
    <row r="38703" customFormat="1" x14ac:dyDescent="0.25"/>
    <row r="38704" customFormat="1" x14ac:dyDescent="0.25"/>
    <row r="38705" customFormat="1" x14ac:dyDescent="0.25"/>
    <row r="38706" customFormat="1" x14ac:dyDescent="0.25"/>
    <row r="38707" customFormat="1" x14ac:dyDescent="0.25"/>
    <row r="38708" customFormat="1" x14ac:dyDescent="0.25"/>
    <row r="38709" customFormat="1" x14ac:dyDescent="0.25"/>
    <row r="38710" customFormat="1" x14ac:dyDescent="0.25"/>
    <row r="38711" customFormat="1" x14ac:dyDescent="0.25"/>
    <row r="38712" customFormat="1" x14ac:dyDescent="0.25"/>
    <row r="38713" customFormat="1" x14ac:dyDescent="0.25"/>
    <row r="38714" customFormat="1" x14ac:dyDescent="0.25"/>
    <row r="38715" customFormat="1" x14ac:dyDescent="0.25"/>
    <row r="38716" customFormat="1" x14ac:dyDescent="0.25"/>
    <row r="38717" customFormat="1" x14ac:dyDescent="0.25"/>
    <row r="38718" customFormat="1" x14ac:dyDescent="0.25"/>
    <row r="38719" customFormat="1" x14ac:dyDescent="0.25"/>
    <row r="38720" customFormat="1" x14ac:dyDescent="0.25"/>
    <row r="38721" customFormat="1" x14ac:dyDescent="0.25"/>
    <row r="38722" customFormat="1" x14ac:dyDescent="0.25"/>
    <row r="38723" customFormat="1" x14ac:dyDescent="0.25"/>
    <row r="38724" customFormat="1" x14ac:dyDescent="0.25"/>
    <row r="38725" customFormat="1" x14ac:dyDescent="0.25"/>
    <row r="38726" customFormat="1" x14ac:dyDescent="0.25"/>
    <row r="38727" customFormat="1" x14ac:dyDescent="0.25"/>
    <row r="38728" customFormat="1" x14ac:dyDescent="0.25"/>
    <row r="38729" customFormat="1" x14ac:dyDescent="0.25"/>
    <row r="38730" customFormat="1" x14ac:dyDescent="0.25"/>
    <row r="38731" customFormat="1" x14ac:dyDescent="0.25"/>
    <row r="38732" customFormat="1" x14ac:dyDescent="0.25"/>
    <row r="38733" customFormat="1" x14ac:dyDescent="0.25"/>
    <row r="38734" customFormat="1" x14ac:dyDescent="0.25"/>
    <row r="38735" customFormat="1" x14ac:dyDescent="0.25"/>
    <row r="38736" customFormat="1" x14ac:dyDescent="0.25"/>
    <row r="38737" customFormat="1" x14ac:dyDescent="0.25"/>
    <row r="38738" customFormat="1" x14ac:dyDescent="0.25"/>
    <row r="38739" customFormat="1" x14ac:dyDescent="0.25"/>
    <row r="38740" customFormat="1" x14ac:dyDescent="0.25"/>
    <row r="38741" customFormat="1" x14ac:dyDescent="0.25"/>
    <row r="38742" customFormat="1" x14ac:dyDescent="0.25"/>
    <row r="38743" customFormat="1" x14ac:dyDescent="0.25"/>
    <row r="38744" customFormat="1" x14ac:dyDescent="0.25"/>
    <row r="38745" customFormat="1" x14ac:dyDescent="0.25"/>
    <row r="38746" customFormat="1" x14ac:dyDescent="0.25"/>
    <row r="38747" customFormat="1" x14ac:dyDescent="0.25"/>
    <row r="38748" customFormat="1" x14ac:dyDescent="0.25"/>
    <row r="38749" customFormat="1" x14ac:dyDescent="0.25"/>
    <row r="38750" customFormat="1" x14ac:dyDescent="0.25"/>
    <row r="38751" customFormat="1" x14ac:dyDescent="0.25"/>
    <row r="38752" customFormat="1" x14ac:dyDescent="0.25"/>
    <row r="38753" customFormat="1" x14ac:dyDescent="0.25"/>
    <row r="38754" customFormat="1" x14ac:dyDescent="0.25"/>
    <row r="38755" customFormat="1" x14ac:dyDescent="0.25"/>
    <row r="38756" customFormat="1" x14ac:dyDescent="0.25"/>
    <row r="38757" customFormat="1" x14ac:dyDescent="0.25"/>
    <row r="38758" customFormat="1" x14ac:dyDescent="0.25"/>
    <row r="38759" customFormat="1" x14ac:dyDescent="0.25"/>
    <row r="38760" customFormat="1" x14ac:dyDescent="0.25"/>
    <row r="38761" customFormat="1" x14ac:dyDescent="0.25"/>
    <row r="38762" customFormat="1" x14ac:dyDescent="0.25"/>
    <row r="38763" customFormat="1" x14ac:dyDescent="0.25"/>
    <row r="38764" customFormat="1" x14ac:dyDescent="0.25"/>
    <row r="38765" customFormat="1" x14ac:dyDescent="0.25"/>
    <row r="38766" customFormat="1" x14ac:dyDescent="0.25"/>
    <row r="38767" customFormat="1" x14ac:dyDescent="0.25"/>
    <row r="38768" customFormat="1" x14ac:dyDescent="0.25"/>
    <row r="38769" customFormat="1" x14ac:dyDescent="0.25"/>
    <row r="38770" customFormat="1" x14ac:dyDescent="0.25"/>
    <row r="38771" customFormat="1" x14ac:dyDescent="0.25"/>
    <row r="38772" customFormat="1" x14ac:dyDescent="0.25"/>
    <row r="38773" customFormat="1" x14ac:dyDescent="0.25"/>
    <row r="38774" customFormat="1" x14ac:dyDescent="0.25"/>
    <row r="38775" customFormat="1" x14ac:dyDescent="0.25"/>
    <row r="38776" customFormat="1" x14ac:dyDescent="0.25"/>
    <row r="38777" customFormat="1" x14ac:dyDescent="0.25"/>
    <row r="38778" customFormat="1" x14ac:dyDescent="0.25"/>
    <row r="38779" customFormat="1" x14ac:dyDescent="0.25"/>
    <row r="38780" customFormat="1" x14ac:dyDescent="0.25"/>
    <row r="38781" customFormat="1" x14ac:dyDescent="0.25"/>
    <row r="38782" customFormat="1" x14ac:dyDescent="0.25"/>
    <row r="38783" customFormat="1" x14ac:dyDescent="0.25"/>
    <row r="38784" customFormat="1" x14ac:dyDescent="0.25"/>
    <row r="38785" customFormat="1" x14ac:dyDescent="0.25"/>
    <row r="38786" customFormat="1" x14ac:dyDescent="0.25"/>
    <row r="38787" customFormat="1" x14ac:dyDescent="0.25"/>
    <row r="38788" customFormat="1" x14ac:dyDescent="0.25"/>
    <row r="38789" customFormat="1" x14ac:dyDescent="0.25"/>
    <row r="38790" customFormat="1" x14ac:dyDescent="0.25"/>
    <row r="38791" customFormat="1" x14ac:dyDescent="0.25"/>
    <row r="38792" customFormat="1" x14ac:dyDescent="0.25"/>
    <row r="38793" customFormat="1" x14ac:dyDescent="0.25"/>
    <row r="38794" customFormat="1" x14ac:dyDescent="0.25"/>
    <row r="38795" customFormat="1" x14ac:dyDescent="0.25"/>
    <row r="38796" customFormat="1" x14ac:dyDescent="0.25"/>
    <row r="38797" customFormat="1" x14ac:dyDescent="0.25"/>
    <row r="38798" customFormat="1" x14ac:dyDescent="0.25"/>
    <row r="38799" customFormat="1" x14ac:dyDescent="0.25"/>
    <row r="38800" customFormat="1" x14ac:dyDescent="0.25"/>
    <row r="38801" customFormat="1" x14ac:dyDescent="0.25"/>
    <row r="38802" customFormat="1" x14ac:dyDescent="0.25"/>
    <row r="38803" customFormat="1" x14ac:dyDescent="0.25"/>
    <row r="38804" customFormat="1" x14ac:dyDescent="0.25"/>
    <row r="38805" customFormat="1" x14ac:dyDescent="0.25"/>
    <row r="38806" customFormat="1" x14ac:dyDescent="0.25"/>
    <row r="38807" customFormat="1" x14ac:dyDescent="0.25"/>
    <row r="38808" customFormat="1" x14ac:dyDescent="0.25"/>
    <row r="38809" customFormat="1" x14ac:dyDescent="0.25"/>
    <row r="38810" customFormat="1" x14ac:dyDescent="0.25"/>
    <row r="38811" customFormat="1" x14ac:dyDescent="0.25"/>
    <row r="38812" customFormat="1" x14ac:dyDescent="0.25"/>
    <row r="38813" customFormat="1" x14ac:dyDescent="0.25"/>
    <row r="38814" customFormat="1" x14ac:dyDescent="0.25"/>
    <row r="38815" customFormat="1" x14ac:dyDescent="0.25"/>
    <row r="38816" customFormat="1" x14ac:dyDescent="0.25"/>
    <row r="38817" customFormat="1" x14ac:dyDescent="0.25"/>
    <row r="38818" customFormat="1" x14ac:dyDescent="0.25"/>
    <row r="38819" customFormat="1" x14ac:dyDescent="0.25"/>
    <row r="38820" customFormat="1" x14ac:dyDescent="0.25"/>
    <row r="38821" customFormat="1" x14ac:dyDescent="0.25"/>
    <row r="38822" customFormat="1" x14ac:dyDescent="0.25"/>
    <row r="38823" customFormat="1" x14ac:dyDescent="0.25"/>
    <row r="38824" customFormat="1" x14ac:dyDescent="0.25"/>
    <row r="38825" customFormat="1" x14ac:dyDescent="0.25"/>
    <row r="38826" customFormat="1" x14ac:dyDescent="0.25"/>
    <row r="38827" customFormat="1" x14ac:dyDescent="0.25"/>
    <row r="38828" customFormat="1" x14ac:dyDescent="0.25"/>
    <row r="38829" customFormat="1" x14ac:dyDescent="0.25"/>
    <row r="38830" customFormat="1" x14ac:dyDescent="0.25"/>
    <row r="38831" customFormat="1" x14ac:dyDescent="0.25"/>
    <row r="38832" customFormat="1" x14ac:dyDescent="0.25"/>
    <row r="38833" customFormat="1" x14ac:dyDescent="0.25"/>
    <row r="38834" customFormat="1" x14ac:dyDescent="0.25"/>
    <row r="38835" customFormat="1" x14ac:dyDescent="0.25"/>
    <row r="38836" customFormat="1" x14ac:dyDescent="0.25"/>
    <row r="38837" customFormat="1" x14ac:dyDescent="0.25"/>
    <row r="38838" customFormat="1" x14ac:dyDescent="0.25"/>
    <row r="38839" customFormat="1" x14ac:dyDescent="0.25"/>
    <row r="38840" customFormat="1" x14ac:dyDescent="0.25"/>
    <row r="38841" customFormat="1" x14ac:dyDescent="0.25"/>
    <row r="38842" customFormat="1" x14ac:dyDescent="0.25"/>
    <row r="38843" customFormat="1" x14ac:dyDescent="0.25"/>
    <row r="38844" customFormat="1" x14ac:dyDescent="0.25"/>
    <row r="38845" customFormat="1" x14ac:dyDescent="0.25"/>
    <row r="38846" customFormat="1" x14ac:dyDescent="0.25"/>
    <row r="38847" customFormat="1" x14ac:dyDescent="0.25"/>
    <row r="38848" customFormat="1" x14ac:dyDescent="0.25"/>
    <row r="38849" customFormat="1" x14ac:dyDescent="0.25"/>
    <row r="38850" customFormat="1" x14ac:dyDescent="0.25"/>
    <row r="38851" customFormat="1" x14ac:dyDescent="0.25"/>
    <row r="38852" customFormat="1" x14ac:dyDescent="0.25"/>
    <row r="38853" customFormat="1" x14ac:dyDescent="0.25"/>
    <row r="38854" customFormat="1" x14ac:dyDescent="0.25"/>
    <row r="38855" customFormat="1" x14ac:dyDescent="0.25"/>
    <row r="38856" customFormat="1" x14ac:dyDescent="0.25"/>
    <row r="38857" customFormat="1" x14ac:dyDescent="0.25"/>
    <row r="38858" customFormat="1" x14ac:dyDescent="0.25"/>
    <row r="38859" customFormat="1" x14ac:dyDescent="0.25"/>
    <row r="38860" customFormat="1" x14ac:dyDescent="0.25"/>
    <row r="38861" customFormat="1" x14ac:dyDescent="0.25"/>
    <row r="38862" customFormat="1" x14ac:dyDescent="0.25"/>
    <row r="38863" customFormat="1" x14ac:dyDescent="0.25"/>
    <row r="38864" customFormat="1" x14ac:dyDescent="0.25"/>
    <row r="38865" customFormat="1" x14ac:dyDescent="0.25"/>
    <row r="38866" customFormat="1" x14ac:dyDescent="0.25"/>
    <row r="38867" customFormat="1" x14ac:dyDescent="0.25"/>
    <row r="38868" customFormat="1" x14ac:dyDescent="0.25"/>
    <row r="38869" customFormat="1" x14ac:dyDescent="0.25"/>
    <row r="38870" customFormat="1" x14ac:dyDescent="0.25"/>
    <row r="38871" customFormat="1" x14ac:dyDescent="0.25"/>
    <row r="38872" customFormat="1" x14ac:dyDescent="0.25"/>
    <row r="38873" customFormat="1" x14ac:dyDescent="0.25"/>
    <row r="38874" customFormat="1" x14ac:dyDescent="0.25"/>
    <row r="38875" customFormat="1" x14ac:dyDescent="0.25"/>
    <row r="38876" customFormat="1" x14ac:dyDescent="0.25"/>
    <row r="38877" customFormat="1" x14ac:dyDescent="0.25"/>
    <row r="38878" customFormat="1" x14ac:dyDescent="0.25"/>
    <row r="38879" customFormat="1" x14ac:dyDescent="0.25"/>
    <row r="38880" customFormat="1" x14ac:dyDescent="0.25"/>
    <row r="38881" customFormat="1" x14ac:dyDescent="0.25"/>
    <row r="38882" customFormat="1" x14ac:dyDescent="0.25"/>
    <row r="38883" customFormat="1" x14ac:dyDescent="0.25"/>
    <row r="38884" customFormat="1" x14ac:dyDescent="0.25"/>
    <row r="38885" customFormat="1" x14ac:dyDescent="0.25"/>
    <row r="38886" customFormat="1" x14ac:dyDescent="0.25"/>
    <row r="38887" customFormat="1" x14ac:dyDescent="0.25"/>
    <row r="38888" customFormat="1" x14ac:dyDescent="0.25"/>
    <row r="38889" customFormat="1" x14ac:dyDescent="0.25"/>
    <row r="38890" customFormat="1" x14ac:dyDescent="0.25"/>
    <row r="38891" customFormat="1" x14ac:dyDescent="0.25"/>
    <row r="38892" customFormat="1" x14ac:dyDescent="0.25"/>
    <row r="38893" customFormat="1" x14ac:dyDescent="0.25"/>
    <row r="38894" customFormat="1" x14ac:dyDescent="0.25"/>
    <row r="38895" customFormat="1" x14ac:dyDescent="0.25"/>
    <row r="38896" customFormat="1" x14ac:dyDescent="0.25"/>
    <row r="38897" customFormat="1" x14ac:dyDescent="0.25"/>
    <row r="38898" customFormat="1" x14ac:dyDescent="0.25"/>
    <row r="38899" customFormat="1" x14ac:dyDescent="0.25"/>
    <row r="38900" customFormat="1" x14ac:dyDescent="0.25"/>
    <row r="38901" customFormat="1" x14ac:dyDescent="0.25"/>
    <row r="38902" customFormat="1" x14ac:dyDescent="0.25"/>
    <row r="38903" customFormat="1" x14ac:dyDescent="0.25"/>
    <row r="38904" customFormat="1" x14ac:dyDescent="0.25"/>
    <row r="38905" customFormat="1" x14ac:dyDescent="0.25"/>
    <row r="38906" customFormat="1" x14ac:dyDescent="0.25"/>
    <row r="38907" customFormat="1" x14ac:dyDescent="0.25"/>
    <row r="38908" customFormat="1" x14ac:dyDescent="0.25"/>
    <row r="38909" customFormat="1" x14ac:dyDescent="0.25"/>
    <row r="38910" customFormat="1" x14ac:dyDescent="0.25"/>
    <row r="38911" customFormat="1" x14ac:dyDescent="0.25"/>
    <row r="38912" customFormat="1" x14ac:dyDescent="0.25"/>
    <row r="38913" customFormat="1" x14ac:dyDescent="0.25"/>
    <row r="38914" customFormat="1" x14ac:dyDescent="0.25"/>
    <row r="38915" customFormat="1" x14ac:dyDescent="0.25"/>
    <row r="38916" customFormat="1" x14ac:dyDescent="0.25"/>
    <row r="38917" customFormat="1" x14ac:dyDescent="0.25"/>
    <row r="38918" customFormat="1" x14ac:dyDescent="0.25"/>
    <row r="38919" customFormat="1" x14ac:dyDescent="0.25"/>
    <row r="38920" customFormat="1" x14ac:dyDescent="0.25"/>
    <row r="38921" customFormat="1" x14ac:dyDescent="0.25"/>
    <row r="38922" customFormat="1" x14ac:dyDescent="0.25"/>
    <row r="38923" customFormat="1" x14ac:dyDescent="0.25"/>
    <row r="38924" customFormat="1" x14ac:dyDescent="0.25"/>
    <row r="38925" customFormat="1" x14ac:dyDescent="0.25"/>
    <row r="38926" customFormat="1" x14ac:dyDescent="0.25"/>
    <row r="38927" customFormat="1" x14ac:dyDescent="0.25"/>
    <row r="38928" customFormat="1" x14ac:dyDescent="0.25"/>
    <row r="38929" customFormat="1" x14ac:dyDescent="0.25"/>
    <row r="38930" customFormat="1" x14ac:dyDescent="0.25"/>
    <row r="38931" customFormat="1" x14ac:dyDescent="0.25"/>
    <row r="38932" customFormat="1" x14ac:dyDescent="0.25"/>
    <row r="38933" customFormat="1" x14ac:dyDescent="0.25"/>
    <row r="38934" customFormat="1" x14ac:dyDescent="0.25"/>
    <row r="38935" customFormat="1" x14ac:dyDescent="0.25"/>
    <row r="38936" customFormat="1" x14ac:dyDescent="0.25"/>
    <row r="38937" customFormat="1" x14ac:dyDescent="0.25"/>
    <row r="38938" customFormat="1" x14ac:dyDescent="0.25"/>
    <row r="38939" customFormat="1" x14ac:dyDescent="0.25"/>
    <row r="38940" customFormat="1" x14ac:dyDescent="0.25"/>
    <row r="38941" customFormat="1" x14ac:dyDescent="0.25"/>
    <row r="38942" customFormat="1" x14ac:dyDescent="0.25"/>
    <row r="38943" customFormat="1" x14ac:dyDescent="0.25"/>
    <row r="38944" customFormat="1" x14ac:dyDescent="0.25"/>
    <row r="38945" customFormat="1" x14ac:dyDescent="0.25"/>
    <row r="38946" customFormat="1" x14ac:dyDescent="0.25"/>
    <row r="38947" customFormat="1" x14ac:dyDescent="0.25"/>
    <row r="38948" customFormat="1" x14ac:dyDescent="0.25"/>
    <row r="38949" customFormat="1" x14ac:dyDescent="0.25"/>
    <row r="38950" customFormat="1" x14ac:dyDescent="0.25"/>
    <row r="38951" customFormat="1" x14ac:dyDescent="0.25"/>
    <row r="38952" customFormat="1" x14ac:dyDescent="0.25"/>
    <row r="38953" customFormat="1" x14ac:dyDescent="0.25"/>
    <row r="38954" customFormat="1" x14ac:dyDescent="0.25"/>
    <row r="38955" customFormat="1" x14ac:dyDescent="0.25"/>
    <row r="38956" customFormat="1" x14ac:dyDescent="0.25"/>
    <row r="38957" customFormat="1" x14ac:dyDescent="0.25"/>
    <row r="38958" customFormat="1" x14ac:dyDescent="0.25"/>
    <row r="38959" customFormat="1" x14ac:dyDescent="0.25"/>
    <row r="38960" customFormat="1" x14ac:dyDescent="0.25"/>
    <row r="38961" customFormat="1" x14ac:dyDescent="0.25"/>
    <row r="38962" customFormat="1" x14ac:dyDescent="0.25"/>
    <row r="38963" customFormat="1" x14ac:dyDescent="0.25"/>
    <row r="38964" customFormat="1" x14ac:dyDescent="0.25"/>
    <row r="38965" customFormat="1" x14ac:dyDescent="0.25"/>
    <row r="38966" customFormat="1" x14ac:dyDescent="0.25"/>
    <row r="38967" customFormat="1" x14ac:dyDescent="0.25"/>
    <row r="38968" customFormat="1" x14ac:dyDescent="0.25"/>
    <row r="38969" customFormat="1" x14ac:dyDescent="0.25"/>
    <row r="38970" customFormat="1" x14ac:dyDescent="0.25"/>
    <row r="38971" customFormat="1" x14ac:dyDescent="0.25"/>
    <row r="38972" customFormat="1" x14ac:dyDescent="0.25"/>
    <row r="38973" customFormat="1" x14ac:dyDescent="0.25"/>
    <row r="38974" customFormat="1" x14ac:dyDescent="0.25"/>
    <row r="38975" customFormat="1" x14ac:dyDescent="0.25"/>
    <row r="38976" customFormat="1" x14ac:dyDescent="0.25"/>
    <row r="38977" customFormat="1" x14ac:dyDescent="0.25"/>
    <row r="38978" customFormat="1" x14ac:dyDescent="0.25"/>
    <row r="38979" customFormat="1" x14ac:dyDescent="0.25"/>
    <row r="38980" customFormat="1" x14ac:dyDescent="0.25"/>
    <row r="38981" customFormat="1" x14ac:dyDescent="0.25"/>
    <row r="38982" customFormat="1" x14ac:dyDescent="0.25"/>
    <row r="38983" customFormat="1" x14ac:dyDescent="0.25"/>
    <row r="38984" customFormat="1" x14ac:dyDescent="0.25"/>
    <row r="38985" customFormat="1" x14ac:dyDescent="0.25"/>
    <row r="38986" customFormat="1" x14ac:dyDescent="0.25"/>
    <row r="38987" customFormat="1" x14ac:dyDescent="0.25"/>
    <row r="38988" customFormat="1" x14ac:dyDescent="0.25"/>
    <row r="38989" customFormat="1" x14ac:dyDescent="0.25"/>
    <row r="38990" customFormat="1" x14ac:dyDescent="0.25"/>
    <row r="38991" customFormat="1" x14ac:dyDescent="0.25"/>
    <row r="38992" customFormat="1" x14ac:dyDescent="0.25"/>
    <row r="38993" customFormat="1" x14ac:dyDescent="0.25"/>
    <row r="38994" customFormat="1" x14ac:dyDescent="0.25"/>
    <row r="38995" customFormat="1" x14ac:dyDescent="0.25"/>
    <row r="38996" customFormat="1" x14ac:dyDescent="0.25"/>
    <row r="38997" customFormat="1" x14ac:dyDescent="0.25"/>
    <row r="38998" customFormat="1" x14ac:dyDescent="0.25"/>
    <row r="38999" customFormat="1" x14ac:dyDescent="0.25"/>
    <row r="39000" customFormat="1" x14ac:dyDescent="0.25"/>
    <row r="39001" customFormat="1" x14ac:dyDescent="0.25"/>
    <row r="39002" customFormat="1" x14ac:dyDescent="0.25"/>
    <row r="39003" customFormat="1" x14ac:dyDescent="0.25"/>
    <row r="39004" customFormat="1" x14ac:dyDescent="0.25"/>
    <row r="39005" customFormat="1" x14ac:dyDescent="0.25"/>
    <row r="39006" customFormat="1" x14ac:dyDescent="0.25"/>
    <row r="39007" customFormat="1" x14ac:dyDescent="0.25"/>
    <row r="39008" customFormat="1" x14ac:dyDescent="0.25"/>
    <row r="39009" customFormat="1" x14ac:dyDescent="0.25"/>
    <row r="39010" customFormat="1" x14ac:dyDescent="0.25"/>
    <row r="39011" customFormat="1" x14ac:dyDescent="0.25"/>
    <row r="39012" customFormat="1" x14ac:dyDescent="0.25"/>
    <row r="39013" customFormat="1" x14ac:dyDescent="0.25"/>
    <row r="39014" customFormat="1" x14ac:dyDescent="0.25"/>
    <row r="39015" customFormat="1" x14ac:dyDescent="0.25"/>
    <row r="39016" customFormat="1" x14ac:dyDescent="0.25"/>
    <row r="39017" customFormat="1" x14ac:dyDescent="0.25"/>
    <row r="39018" customFormat="1" x14ac:dyDescent="0.25"/>
    <row r="39019" customFormat="1" x14ac:dyDescent="0.25"/>
    <row r="39020" customFormat="1" x14ac:dyDescent="0.25"/>
    <row r="39021" customFormat="1" x14ac:dyDescent="0.25"/>
    <row r="39022" customFormat="1" x14ac:dyDescent="0.25"/>
    <row r="39023" customFormat="1" x14ac:dyDescent="0.25"/>
    <row r="39024" customFormat="1" x14ac:dyDescent="0.25"/>
    <row r="39025" customFormat="1" x14ac:dyDescent="0.25"/>
    <row r="39026" customFormat="1" x14ac:dyDescent="0.25"/>
    <row r="39027" customFormat="1" x14ac:dyDescent="0.25"/>
    <row r="39028" customFormat="1" x14ac:dyDescent="0.25"/>
    <row r="39029" customFormat="1" x14ac:dyDescent="0.25"/>
    <row r="39030" customFormat="1" x14ac:dyDescent="0.25"/>
    <row r="39031" customFormat="1" x14ac:dyDescent="0.25"/>
    <row r="39032" customFormat="1" x14ac:dyDescent="0.25"/>
    <row r="39033" customFormat="1" x14ac:dyDescent="0.25"/>
    <row r="39034" customFormat="1" x14ac:dyDescent="0.25"/>
    <row r="39035" customFormat="1" x14ac:dyDescent="0.25"/>
    <row r="39036" customFormat="1" x14ac:dyDescent="0.25"/>
    <row r="39037" customFormat="1" x14ac:dyDescent="0.25"/>
    <row r="39038" customFormat="1" x14ac:dyDescent="0.25"/>
    <row r="39039" customFormat="1" x14ac:dyDescent="0.25"/>
    <row r="39040" customFormat="1" x14ac:dyDescent="0.25"/>
    <row r="39041" customFormat="1" x14ac:dyDescent="0.25"/>
    <row r="39042" customFormat="1" x14ac:dyDescent="0.25"/>
    <row r="39043" customFormat="1" x14ac:dyDescent="0.25"/>
    <row r="39044" customFormat="1" x14ac:dyDescent="0.25"/>
    <row r="39045" customFormat="1" x14ac:dyDescent="0.25"/>
    <row r="39046" customFormat="1" x14ac:dyDescent="0.25"/>
    <row r="39047" customFormat="1" x14ac:dyDescent="0.25"/>
    <row r="39048" customFormat="1" x14ac:dyDescent="0.25"/>
    <row r="39049" customFormat="1" x14ac:dyDescent="0.25"/>
    <row r="39050" customFormat="1" x14ac:dyDescent="0.25"/>
    <row r="39051" customFormat="1" x14ac:dyDescent="0.25"/>
    <row r="39052" customFormat="1" x14ac:dyDescent="0.25"/>
    <row r="39053" customFormat="1" x14ac:dyDescent="0.25"/>
    <row r="39054" customFormat="1" x14ac:dyDescent="0.25"/>
    <row r="39055" customFormat="1" x14ac:dyDescent="0.25"/>
    <row r="39056" customFormat="1" x14ac:dyDescent="0.25"/>
    <row r="39057" customFormat="1" x14ac:dyDescent="0.25"/>
    <row r="39058" customFormat="1" x14ac:dyDescent="0.25"/>
    <row r="39059" customFormat="1" x14ac:dyDescent="0.25"/>
    <row r="39060" customFormat="1" x14ac:dyDescent="0.25"/>
    <row r="39061" customFormat="1" x14ac:dyDescent="0.25"/>
    <row r="39062" customFormat="1" x14ac:dyDescent="0.25"/>
    <row r="39063" customFormat="1" x14ac:dyDescent="0.25"/>
    <row r="39064" customFormat="1" x14ac:dyDescent="0.25"/>
    <row r="39065" customFormat="1" x14ac:dyDescent="0.25"/>
    <row r="39066" customFormat="1" x14ac:dyDescent="0.25"/>
    <row r="39067" customFormat="1" x14ac:dyDescent="0.25"/>
    <row r="39068" customFormat="1" x14ac:dyDescent="0.25"/>
    <row r="39069" customFormat="1" x14ac:dyDescent="0.25"/>
    <row r="39070" customFormat="1" x14ac:dyDescent="0.25"/>
    <row r="39071" customFormat="1" x14ac:dyDescent="0.25"/>
    <row r="39072" customFormat="1" x14ac:dyDescent="0.25"/>
    <row r="39073" customFormat="1" x14ac:dyDescent="0.25"/>
    <row r="39074" customFormat="1" x14ac:dyDescent="0.25"/>
    <row r="39075" customFormat="1" x14ac:dyDescent="0.25"/>
    <row r="39076" customFormat="1" x14ac:dyDescent="0.25"/>
    <row r="39077" customFormat="1" x14ac:dyDescent="0.25"/>
    <row r="39078" customFormat="1" x14ac:dyDescent="0.25"/>
    <row r="39079" customFormat="1" x14ac:dyDescent="0.25"/>
    <row r="39080" customFormat="1" x14ac:dyDescent="0.25"/>
    <row r="39081" customFormat="1" x14ac:dyDescent="0.25"/>
    <row r="39082" customFormat="1" x14ac:dyDescent="0.25"/>
    <row r="39083" customFormat="1" x14ac:dyDescent="0.25"/>
    <row r="39084" customFormat="1" x14ac:dyDescent="0.25"/>
    <row r="39085" customFormat="1" x14ac:dyDescent="0.25"/>
    <row r="39086" customFormat="1" x14ac:dyDescent="0.25"/>
    <row r="39087" customFormat="1" x14ac:dyDescent="0.25"/>
    <row r="39088" customFormat="1" x14ac:dyDescent="0.25"/>
    <row r="39089" customFormat="1" x14ac:dyDescent="0.25"/>
    <row r="39090" customFormat="1" x14ac:dyDescent="0.25"/>
    <row r="39091" customFormat="1" x14ac:dyDescent="0.25"/>
    <row r="39092" customFormat="1" x14ac:dyDescent="0.25"/>
    <row r="39093" customFormat="1" x14ac:dyDescent="0.25"/>
    <row r="39094" customFormat="1" x14ac:dyDescent="0.25"/>
    <row r="39095" customFormat="1" x14ac:dyDescent="0.25"/>
    <row r="39096" customFormat="1" x14ac:dyDescent="0.25"/>
    <row r="39097" customFormat="1" x14ac:dyDescent="0.25"/>
    <row r="39098" customFormat="1" x14ac:dyDescent="0.25"/>
    <row r="39099" customFormat="1" x14ac:dyDescent="0.25"/>
    <row r="39100" customFormat="1" x14ac:dyDescent="0.25"/>
    <row r="39101" customFormat="1" x14ac:dyDescent="0.25"/>
    <row r="39102" customFormat="1" x14ac:dyDescent="0.25"/>
    <row r="39103" customFormat="1" x14ac:dyDescent="0.25"/>
    <row r="39104" customFormat="1" x14ac:dyDescent="0.25"/>
    <row r="39105" customFormat="1" x14ac:dyDescent="0.25"/>
    <row r="39106" customFormat="1" x14ac:dyDescent="0.25"/>
    <row r="39107" customFormat="1" x14ac:dyDescent="0.25"/>
    <row r="39108" customFormat="1" x14ac:dyDescent="0.25"/>
    <row r="39109" customFormat="1" x14ac:dyDescent="0.25"/>
    <row r="39110" customFormat="1" x14ac:dyDescent="0.25"/>
    <row r="39111" customFormat="1" x14ac:dyDescent="0.25"/>
    <row r="39112" customFormat="1" x14ac:dyDescent="0.25"/>
    <row r="39113" customFormat="1" x14ac:dyDescent="0.25"/>
    <row r="39114" customFormat="1" x14ac:dyDescent="0.25"/>
    <row r="39115" customFormat="1" x14ac:dyDescent="0.25"/>
    <row r="39116" customFormat="1" x14ac:dyDescent="0.25"/>
    <row r="39117" customFormat="1" x14ac:dyDescent="0.25"/>
    <row r="39118" customFormat="1" x14ac:dyDescent="0.25"/>
    <row r="39119" customFormat="1" x14ac:dyDescent="0.25"/>
    <row r="39120" customFormat="1" x14ac:dyDescent="0.25"/>
    <row r="39121" customFormat="1" x14ac:dyDescent="0.25"/>
    <row r="39122" customFormat="1" x14ac:dyDescent="0.25"/>
    <row r="39123" customFormat="1" x14ac:dyDescent="0.25"/>
    <row r="39124" customFormat="1" x14ac:dyDescent="0.25"/>
    <row r="39125" customFormat="1" x14ac:dyDescent="0.25"/>
    <row r="39126" customFormat="1" x14ac:dyDescent="0.25"/>
    <row r="39127" customFormat="1" x14ac:dyDescent="0.25"/>
    <row r="39128" customFormat="1" x14ac:dyDescent="0.25"/>
    <row r="39129" customFormat="1" x14ac:dyDescent="0.25"/>
    <row r="39130" customFormat="1" x14ac:dyDescent="0.25"/>
    <row r="39131" customFormat="1" x14ac:dyDescent="0.25"/>
    <row r="39132" customFormat="1" x14ac:dyDescent="0.25"/>
    <row r="39133" customFormat="1" x14ac:dyDescent="0.25"/>
    <row r="39134" customFormat="1" x14ac:dyDescent="0.25"/>
    <row r="39135" customFormat="1" x14ac:dyDescent="0.25"/>
    <row r="39136" customFormat="1" x14ac:dyDescent="0.25"/>
    <row r="39137" customFormat="1" x14ac:dyDescent="0.25"/>
    <row r="39138" customFormat="1" x14ac:dyDescent="0.25"/>
    <row r="39139" customFormat="1" x14ac:dyDescent="0.25"/>
    <row r="39140" customFormat="1" x14ac:dyDescent="0.25"/>
    <row r="39141" customFormat="1" x14ac:dyDescent="0.25"/>
    <row r="39142" customFormat="1" x14ac:dyDescent="0.25"/>
    <row r="39143" customFormat="1" x14ac:dyDescent="0.25"/>
    <row r="39144" customFormat="1" x14ac:dyDescent="0.25"/>
    <row r="39145" customFormat="1" x14ac:dyDescent="0.25"/>
    <row r="39146" customFormat="1" x14ac:dyDescent="0.25"/>
    <row r="39147" customFormat="1" x14ac:dyDescent="0.25"/>
    <row r="39148" customFormat="1" x14ac:dyDescent="0.25"/>
    <row r="39149" customFormat="1" x14ac:dyDescent="0.25"/>
    <row r="39150" customFormat="1" x14ac:dyDescent="0.25"/>
    <row r="39151" customFormat="1" x14ac:dyDescent="0.25"/>
    <row r="39152" customFormat="1" x14ac:dyDescent="0.25"/>
    <row r="39153" customFormat="1" x14ac:dyDescent="0.25"/>
    <row r="39154" customFormat="1" x14ac:dyDescent="0.25"/>
    <row r="39155" customFormat="1" x14ac:dyDescent="0.25"/>
    <row r="39156" customFormat="1" x14ac:dyDescent="0.25"/>
    <row r="39157" customFormat="1" x14ac:dyDescent="0.25"/>
    <row r="39158" customFormat="1" x14ac:dyDescent="0.25"/>
    <row r="39159" customFormat="1" x14ac:dyDescent="0.25"/>
    <row r="39160" customFormat="1" x14ac:dyDescent="0.25"/>
    <row r="39161" customFormat="1" x14ac:dyDescent="0.25"/>
    <row r="39162" customFormat="1" x14ac:dyDescent="0.25"/>
    <row r="39163" customFormat="1" x14ac:dyDescent="0.25"/>
    <row r="39164" customFormat="1" x14ac:dyDescent="0.25"/>
    <row r="39165" customFormat="1" x14ac:dyDescent="0.25"/>
    <row r="39166" customFormat="1" x14ac:dyDescent="0.25"/>
    <row r="39167" customFormat="1" x14ac:dyDescent="0.25"/>
    <row r="39168" customFormat="1" x14ac:dyDescent="0.25"/>
    <row r="39169" customFormat="1" x14ac:dyDescent="0.25"/>
    <row r="39170" customFormat="1" x14ac:dyDescent="0.25"/>
    <row r="39171" customFormat="1" x14ac:dyDescent="0.25"/>
    <row r="39172" customFormat="1" x14ac:dyDescent="0.25"/>
    <row r="39173" customFormat="1" x14ac:dyDescent="0.25"/>
    <row r="39174" customFormat="1" x14ac:dyDescent="0.25"/>
    <row r="39175" customFormat="1" x14ac:dyDescent="0.25"/>
    <row r="39176" customFormat="1" x14ac:dyDescent="0.25"/>
    <row r="39177" customFormat="1" x14ac:dyDescent="0.25"/>
    <row r="39178" customFormat="1" x14ac:dyDescent="0.25"/>
    <row r="39179" customFormat="1" x14ac:dyDescent="0.25"/>
    <row r="39180" customFormat="1" x14ac:dyDescent="0.25"/>
    <row r="39181" customFormat="1" x14ac:dyDescent="0.25"/>
    <row r="39182" customFormat="1" x14ac:dyDescent="0.25"/>
    <row r="39183" customFormat="1" x14ac:dyDescent="0.25"/>
    <row r="39184" customFormat="1" x14ac:dyDescent="0.25"/>
    <row r="39185" customFormat="1" x14ac:dyDescent="0.25"/>
    <row r="39186" customFormat="1" x14ac:dyDescent="0.25"/>
    <row r="39187" customFormat="1" x14ac:dyDescent="0.25"/>
    <row r="39188" customFormat="1" x14ac:dyDescent="0.25"/>
    <row r="39189" customFormat="1" x14ac:dyDescent="0.25"/>
    <row r="39190" customFormat="1" x14ac:dyDescent="0.25"/>
    <row r="39191" customFormat="1" x14ac:dyDescent="0.25"/>
    <row r="39192" customFormat="1" x14ac:dyDescent="0.25"/>
    <row r="39193" customFormat="1" x14ac:dyDescent="0.25"/>
    <row r="39194" customFormat="1" x14ac:dyDescent="0.25"/>
    <row r="39195" customFormat="1" x14ac:dyDescent="0.25"/>
    <row r="39196" customFormat="1" x14ac:dyDescent="0.25"/>
    <row r="39197" customFormat="1" x14ac:dyDescent="0.25"/>
    <row r="39198" customFormat="1" x14ac:dyDescent="0.25"/>
    <row r="39199" customFormat="1" x14ac:dyDescent="0.25"/>
    <row r="39200" customFormat="1" x14ac:dyDescent="0.25"/>
    <row r="39201" customFormat="1" x14ac:dyDescent="0.25"/>
    <row r="39202" customFormat="1" x14ac:dyDescent="0.25"/>
    <row r="39203" customFormat="1" x14ac:dyDescent="0.25"/>
    <row r="39204" customFormat="1" x14ac:dyDescent="0.25"/>
    <row r="39205" customFormat="1" x14ac:dyDescent="0.25"/>
    <row r="39206" customFormat="1" x14ac:dyDescent="0.25"/>
    <row r="39207" customFormat="1" x14ac:dyDescent="0.25"/>
    <row r="39208" customFormat="1" x14ac:dyDescent="0.25"/>
    <row r="39209" customFormat="1" x14ac:dyDescent="0.25"/>
    <row r="39210" customFormat="1" x14ac:dyDescent="0.25"/>
    <row r="39211" customFormat="1" x14ac:dyDescent="0.25"/>
    <row r="39212" customFormat="1" x14ac:dyDescent="0.25"/>
    <row r="39213" customFormat="1" x14ac:dyDescent="0.25"/>
    <row r="39214" customFormat="1" x14ac:dyDescent="0.25"/>
    <row r="39215" customFormat="1" x14ac:dyDescent="0.25"/>
    <row r="39216" customFormat="1" x14ac:dyDescent="0.25"/>
    <row r="39217" customFormat="1" x14ac:dyDescent="0.25"/>
    <row r="39218" customFormat="1" x14ac:dyDescent="0.25"/>
    <row r="39219" customFormat="1" x14ac:dyDescent="0.25"/>
    <row r="39220" customFormat="1" x14ac:dyDescent="0.25"/>
    <row r="39221" customFormat="1" x14ac:dyDescent="0.25"/>
    <row r="39222" customFormat="1" x14ac:dyDescent="0.25"/>
    <row r="39223" customFormat="1" x14ac:dyDescent="0.25"/>
    <row r="39224" customFormat="1" x14ac:dyDescent="0.25"/>
    <row r="39225" customFormat="1" x14ac:dyDescent="0.25"/>
    <row r="39226" customFormat="1" x14ac:dyDescent="0.25"/>
    <row r="39227" customFormat="1" x14ac:dyDescent="0.25"/>
    <row r="39228" customFormat="1" x14ac:dyDescent="0.25"/>
    <row r="39229" customFormat="1" x14ac:dyDescent="0.25"/>
    <row r="39230" customFormat="1" x14ac:dyDescent="0.25"/>
    <row r="39231" customFormat="1" x14ac:dyDescent="0.25"/>
    <row r="39232" customFormat="1" x14ac:dyDescent="0.25"/>
    <row r="39233" customFormat="1" x14ac:dyDescent="0.25"/>
    <row r="39234" customFormat="1" x14ac:dyDescent="0.25"/>
    <row r="39235" customFormat="1" x14ac:dyDescent="0.25"/>
    <row r="39236" customFormat="1" x14ac:dyDescent="0.25"/>
    <row r="39237" customFormat="1" x14ac:dyDescent="0.25"/>
    <row r="39238" customFormat="1" x14ac:dyDescent="0.25"/>
    <row r="39239" customFormat="1" x14ac:dyDescent="0.25"/>
    <row r="39240" customFormat="1" x14ac:dyDescent="0.25"/>
    <row r="39241" customFormat="1" x14ac:dyDescent="0.25"/>
    <row r="39242" customFormat="1" x14ac:dyDescent="0.25"/>
    <row r="39243" customFormat="1" x14ac:dyDescent="0.25"/>
    <row r="39244" customFormat="1" x14ac:dyDescent="0.25"/>
    <row r="39245" customFormat="1" x14ac:dyDescent="0.25"/>
    <row r="39246" customFormat="1" x14ac:dyDescent="0.25"/>
    <row r="39247" customFormat="1" x14ac:dyDescent="0.25"/>
    <row r="39248" customFormat="1" x14ac:dyDescent="0.25"/>
    <row r="39249" customFormat="1" x14ac:dyDescent="0.25"/>
    <row r="39250" customFormat="1" x14ac:dyDescent="0.25"/>
    <row r="39251" customFormat="1" x14ac:dyDescent="0.25"/>
    <row r="39252" customFormat="1" x14ac:dyDescent="0.25"/>
    <row r="39253" customFormat="1" x14ac:dyDescent="0.25"/>
    <row r="39254" customFormat="1" x14ac:dyDescent="0.25"/>
    <row r="39255" customFormat="1" x14ac:dyDescent="0.25"/>
    <row r="39256" customFormat="1" x14ac:dyDescent="0.25"/>
    <row r="39257" customFormat="1" x14ac:dyDescent="0.25"/>
    <row r="39258" customFormat="1" x14ac:dyDescent="0.25"/>
    <row r="39259" customFormat="1" x14ac:dyDescent="0.25"/>
    <row r="39260" customFormat="1" x14ac:dyDescent="0.25"/>
    <row r="39261" customFormat="1" x14ac:dyDescent="0.25"/>
    <row r="39262" customFormat="1" x14ac:dyDescent="0.25"/>
    <row r="39263" customFormat="1" x14ac:dyDescent="0.25"/>
    <row r="39264" customFormat="1" x14ac:dyDescent="0.25"/>
    <row r="39265" customFormat="1" x14ac:dyDescent="0.25"/>
    <row r="39266" customFormat="1" x14ac:dyDescent="0.25"/>
    <row r="39267" customFormat="1" x14ac:dyDescent="0.25"/>
    <row r="39268" customFormat="1" x14ac:dyDescent="0.25"/>
    <row r="39269" customFormat="1" x14ac:dyDescent="0.25"/>
    <row r="39270" customFormat="1" x14ac:dyDescent="0.25"/>
    <row r="39271" customFormat="1" x14ac:dyDescent="0.25"/>
    <row r="39272" customFormat="1" x14ac:dyDescent="0.25"/>
    <row r="39273" customFormat="1" x14ac:dyDescent="0.25"/>
    <row r="39274" customFormat="1" x14ac:dyDescent="0.25"/>
    <row r="39275" customFormat="1" x14ac:dyDescent="0.25"/>
    <row r="39276" customFormat="1" x14ac:dyDescent="0.25"/>
    <row r="39277" customFormat="1" x14ac:dyDescent="0.25"/>
    <row r="39278" customFormat="1" x14ac:dyDescent="0.25"/>
    <row r="39279" customFormat="1" x14ac:dyDescent="0.25"/>
    <row r="39280" customFormat="1" x14ac:dyDescent="0.25"/>
    <row r="39281" customFormat="1" x14ac:dyDescent="0.25"/>
    <row r="39282" customFormat="1" x14ac:dyDescent="0.25"/>
    <row r="39283" customFormat="1" x14ac:dyDescent="0.25"/>
    <row r="39284" customFormat="1" x14ac:dyDescent="0.25"/>
    <row r="39285" customFormat="1" x14ac:dyDescent="0.25"/>
    <row r="39286" customFormat="1" x14ac:dyDescent="0.25"/>
    <row r="39287" customFormat="1" x14ac:dyDescent="0.25"/>
    <row r="39288" customFormat="1" x14ac:dyDescent="0.25"/>
    <row r="39289" customFormat="1" x14ac:dyDescent="0.25"/>
    <row r="39290" customFormat="1" x14ac:dyDescent="0.25"/>
    <row r="39291" customFormat="1" x14ac:dyDescent="0.25"/>
    <row r="39292" customFormat="1" x14ac:dyDescent="0.25"/>
    <row r="39293" customFormat="1" x14ac:dyDescent="0.25"/>
    <row r="39294" customFormat="1" x14ac:dyDescent="0.25"/>
    <row r="39295" customFormat="1" x14ac:dyDescent="0.25"/>
    <row r="39296" customFormat="1" x14ac:dyDescent="0.25"/>
    <row r="39297" customFormat="1" x14ac:dyDescent="0.25"/>
    <row r="39298" customFormat="1" x14ac:dyDescent="0.25"/>
    <row r="39299" customFormat="1" x14ac:dyDescent="0.25"/>
    <row r="39300" customFormat="1" x14ac:dyDescent="0.25"/>
    <row r="39301" customFormat="1" x14ac:dyDescent="0.25"/>
    <row r="39302" customFormat="1" x14ac:dyDescent="0.25"/>
    <row r="39303" customFormat="1" x14ac:dyDescent="0.25"/>
    <row r="39304" customFormat="1" x14ac:dyDescent="0.25"/>
    <row r="39305" customFormat="1" x14ac:dyDescent="0.25"/>
    <row r="39306" customFormat="1" x14ac:dyDescent="0.25"/>
    <row r="39307" customFormat="1" x14ac:dyDescent="0.25"/>
    <row r="39308" customFormat="1" x14ac:dyDescent="0.25"/>
    <row r="39309" customFormat="1" x14ac:dyDescent="0.25"/>
    <row r="39310" customFormat="1" x14ac:dyDescent="0.25"/>
    <row r="39311" customFormat="1" x14ac:dyDescent="0.25"/>
    <row r="39312" customFormat="1" x14ac:dyDescent="0.25"/>
    <row r="39313" customFormat="1" x14ac:dyDescent="0.25"/>
    <row r="39314" customFormat="1" x14ac:dyDescent="0.25"/>
    <row r="39315" customFormat="1" x14ac:dyDescent="0.25"/>
    <row r="39316" customFormat="1" x14ac:dyDescent="0.25"/>
    <row r="39317" customFormat="1" x14ac:dyDescent="0.25"/>
    <row r="39318" customFormat="1" x14ac:dyDescent="0.25"/>
    <row r="39319" customFormat="1" x14ac:dyDescent="0.25"/>
    <row r="39320" customFormat="1" x14ac:dyDescent="0.25"/>
    <row r="39321" customFormat="1" x14ac:dyDescent="0.25"/>
    <row r="39322" customFormat="1" x14ac:dyDescent="0.25"/>
    <row r="39323" customFormat="1" x14ac:dyDescent="0.25"/>
    <row r="39324" customFormat="1" x14ac:dyDescent="0.25"/>
    <row r="39325" customFormat="1" x14ac:dyDescent="0.25"/>
    <row r="39326" customFormat="1" x14ac:dyDescent="0.25"/>
    <row r="39327" customFormat="1" x14ac:dyDescent="0.25"/>
    <row r="39328" customFormat="1" x14ac:dyDescent="0.25"/>
    <row r="39329" customFormat="1" x14ac:dyDescent="0.25"/>
    <row r="39330" customFormat="1" x14ac:dyDescent="0.25"/>
    <row r="39331" customFormat="1" x14ac:dyDescent="0.25"/>
    <row r="39332" customFormat="1" x14ac:dyDescent="0.25"/>
    <row r="39333" customFormat="1" x14ac:dyDescent="0.25"/>
    <row r="39334" customFormat="1" x14ac:dyDescent="0.25"/>
    <row r="39335" customFormat="1" x14ac:dyDescent="0.25"/>
    <row r="39336" customFormat="1" x14ac:dyDescent="0.25"/>
    <row r="39337" customFormat="1" x14ac:dyDescent="0.25"/>
    <row r="39338" customFormat="1" x14ac:dyDescent="0.25"/>
    <row r="39339" customFormat="1" x14ac:dyDescent="0.25"/>
    <row r="39340" customFormat="1" x14ac:dyDescent="0.25"/>
    <row r="39341" customFormat="1" x14ac:dyDescent="0.25"/>
    <row r="39342" customFormat="1" x14ac:dyDescent="0.25"/>
    <row r="39343" customFormat="1" x14ac:dyDescent="0.25"/>
    <row r="39344" customFormat="1" x14ac:dyDescent="0.25"/>
    <row r="39345" customFormat="1" x14ac:dyDescent="0.25"/>
    <row r="39346" customFormat="1" x14ac:dyDescent="0.25"/>
    <row r="39347" customFormat="1" x14ac:dyDescent="0.25"/>
    <row r="39348" customFormat="1" x14ac:dyDescent="0.25"/>
    <row r="39349" customFormat="1" x14ac:dyDescent="0.25"/>
    <row r="39350" customFormat="1" x14ac:dyDescent="0.25"/>
    <row r="39351" customFormat="1" x14ac:dyDescent="0.25"/>
    <row r="39352" customFormat="1" x14ac:dyDescent="0.25"/>
    <row r="39353" customFormat="1" x14ac:dyDescent="0.25"/>
    <row r="39354" customFormat="1" x14ac:dyDescent="0.25"/>
    <row r="39355" customFormat="1" x14ac:dyDescent="0.25"/>
    <row r="39356" customFormat="1" x14ac:dyDescent="0.25"/>
    <row r="39357" customFormat="1" x14ac:dyDescent="0.25"/>
    <row r="39358" customFormat="1" x14ac:dyDescent="0.25"/>
    <row r="39359" customFormat="1" x14ac:dyDescent="0.25"/>
    <row r="39360" customFormat="1" x14ac:dyDescent="0.25"/>
    <row r="39361" customFormat="1" x14ac:dyDescent="0.25"/>
    <row r="39362" customFormat="1" x14ac:dyDescent="0.25"/>
    <row r="39363" customFormat="1" x14ac:dyDescent="0.25"/>
    <row r="39364" customFormat="1" x14ac:dyDescent="0.25"/>
    <row r="39365" customFormat="1" x14ac:dyDescent="0.25"/>
    <row r="39366" customFormat="1" x14ac:dyDescent="0.25"/>
    <row r="39367" customFormat="1" x14ac:dyDescent="0.25"/>
    <row r="39368" customFormat="1" x14ac:dyDescent="0.25"/>
    <row r="39369" customFormat="1" x14ac:dyDescent="0.25"/>
    <row r="39370" customFormat="1" x14ac:dyDescent="0.25"/>
    <row r="39371" customFormat="1" x14ac:dyDescent="0.25"/>
    <row r="39372" customFormat="1" x14ac:dyDescent="0.25"/>
    <row r="39373" customFormat="1" x14ac:dyDescent="0.25"/>
    <row r="39374" customFormat="1" x14ac:dyDescent="0.25"/>
    <row r="39375" customFormat="1" x14ac:dyDescent="0.25"/>
    <row r="39376" customFormat="1" x14ac:dyDescent="0.25"/>
    <row r="39377" customFormat="1" x14ac:dyDescent="0.25"/>
    <row r="39378" customFormat="1" x14ac:dyDescent="0.25"/>
    <row r="39379" customFormat="1" x14ac:dyDescent="0.25"/>
    <row r="39380" customFormat="1" x14ac:dyDescent="0.25"/>
    <row r="39381" customFormat="1" x14ac:dyDescent="0.25"/>
    <row r="39382" customFormat="1" x14ac:dyDescent="0.25"/>
    <row r="39383" customFormat="1" x14ac:dyDescent="0.25"/>
    <row r="39384" customFormat="1" x14ac:dyDescent="0.25"/>
    <row r="39385" customFormat="1" x14ac:dyDescent="0.25"/>
    <row r="39386" customFormat="1" x14ac:dyDescent="0.25"/>
    <row r="39387" customFormat="1" x14ac:dyDescent="0.25"/>
    <row r="39388" customFormat="1" x14ac:dyDescent="0.25"/>
    <row r="39389" customFormat="1" x14ac:dyDescent="0.25"/>
    <row r="39390" customFormat="1" x14ac:dyDescent="0.25"/>
    <row r="39391" customFormat="1" x14ac:dyDescent="0.25"/>
    <row r="39392" customFormat="1" x14ac:dyDescent="0.25"/>
    <row r="39393" customFormat="1" x14ac:dyDescent="0.25"/>
    <row r="39394" customFormat="1" x14ac:dyDescent="0.25"/>
    <row r="39395" customFormat="1" x14ac:dyDescent="0.25"/>
    <row r="39396" customFormat="1" x14ac:dyDescent="0.25"/>
    <row r="39397" customFormat="1" x14ac:dyDescent="0.25"/>
    <row r="39398" customFormat="1" x14ac:dyDescent="0.25"/>
    <row r="39399" customFormat="1" x14ac:dyDescent="0.25"/>
    <row r="39400" customFormat="1" x14ac:dyDescent="0.25"/>
    <row r="39401" customFormat="1" x14ac:dyDescent="0.25"/>
    <row r="39402" customFormat="1" x14ac:dyDescent="0.25"/>
    <row r="39403" customFormat="1" x14ac:dyDescent="0.25"/>
    <row r="39404" customFormat="1" x14ac:dyDescent="0.25"/>
    <row r="39405" customFormat="1" x14ac:dyDescent="0.25"/>
    <row r="39406" customFormat="1" x14ac:dyDescent="0.25"/>
    <row r="39407" customFormat="1" x14ac:dyDescent="0.25"/>
    <row r="39408" customFormat="1" x14ac:dyDescent="0.25"/>
    <row r="39409" customFormat="1" x14ac:dyDescent="0.25"/>
    <row r="39410" customFormat="1" x14ac:dyDescent="0.25"/>
    <row r="39411" customFormat="1" x14ac:dyDescent="0.25"/>
    <row r="39412" customFormat="1" x14ac:dyDescent="0.25"/>
    <row r="39413" customFormat="1" x14ac:dyDescent="0.25"/>
    <row r="39414" customFormat="1" x14ac:dyDescent="0.25"/>
    <row r="39415" customFormat="1" x14ac:dyDescent="0.25"/>
    <row r="39416" customFormat="1" x14ac:dyDescent="0.25"/>
    <row r="39417" customFormat="1" x14ac:dyDescent="0.25"/>
    <row r="39418" customFormat="1" x14ac:dyDescent="0.25"/>
    <row r="39419" customFormat="1" x14ac:dyDescent="0.25"/>
    <row r="39420" customFormat="1" x14ac:dyDescent="0.25"/>
    <row r="39421" customFormat="1" x14ac:dyDescent="0.25"/>
    <row r="39422" customFormat="1" x14ac:dyDescent="0.25"/>
    <row r="39423" customFormat="1" x14ac:dyDescent="0.25"/>
    <row r="39424" customFormat="1" x14ac:dyDescent="0.25"/>
    <row r="39425" customFormat="1" x14ac:dyDescent="0.25"/>
    <row r="39426" customFormat="1" x14ac:dyDescent="0.25"/>
    <row r="39427" customFormat="1" x14ac:dyDescent="0.25"/>
    <row r="39428" customFormat="1" x14ac:dyDescent="0.25"/>
    <row r="39429" customFormat="1" x14ac:dyDescent="0.25"/>
    <row r="39430" customFormat="1" x14ac:dyDescent="0.25"/>
    <row r="39431" customFormat="1" x14ac:dyDescent="0.25"/>
    <row r="39432" customFormat="1" x14ac:dyDescent="0.25"/>
    <row r="39433" customFormat="1" x14ac:dyDescent="0.25"/>
    <row r="39434" customFormat="1" x14ac:dyDescent="0.25"/>
    <row r="39435" customFormat="1" x14ac:dyDescent="0.25"/>
    <row r="39436" customFormat="1" x14ac:dyDescent="0.25"/>
    <row r="39437" customFormat="1" x14ac:dyDescent="0.25"/>
    <row r="39438" customFormat="1" x14ac:dyDescent="0.25"/>
    <row r="39439" customFormat="1" x14ac:dyDescent="0.25"/>
    <row r="39440" customFormat="1" x14ac:dyDescent="0.25"/>
    <row r="39441" customFormat="1" x14ac:dyDescent="0.25"/>
    <row r="39442" customFormat="1" x14ac:dyDescent="0.25"/>
    <row r="39443" customFormat="1" x14ac:dyDescent="0.25"/>
    <row r="39444" customFormat="1" x14ac:dyDescent="0.25"/>
    <row r="39445" customFormat="1" x14ac:dyDescent="0.25"/>
    <row r="39446" customFormat="1" x14ac:dyDescent="0.25"/>
    <row r="39447" customFormat="1" x14ac:dyDescent="0.25"/>
    <row r="39448" customFormat="1" x14ac:dyDescent="0.25"/>
    <row r="39449" customFormat="1" x14ac:dyDescent="0.25"/>
    <row r="39450" customFormat="1" x14ac:dyDescent="0.25"/>
    <row r="39451" customFormat="1" x14ac:dyDescent="0.25"/>
    <row r="39452" customFormat="1" x14ac:dyDescent="0.25"/>
    <row r="39453" customFormat="1" x14ac:dyDescent="0.25"/>
    <row r="39454" customFormat="1" x14ac:dyDescent="0.25"/>
    <row r="39455" customFormat="1" x14ac:dyDescent="0.25"/>
    <row r="39456" customFormat="1" x14ac:dyDescent="0.25"/>
    <row r="39457" customFormat="1" x14ac:dyDescent="0.25"/>
    <row r="39458" customFormat="1" x14ac:dyDescent="0.25"/>
    <row r="39459" customFormat="1" x14ac:dyDescent="0.25"/>
    <row r="39460" customFormat="1" x14ac:dyDescent="0.25"/>
    <row r="39461" customFormat="1" x14ac:dyDescent="0.25"/>
    <row r="39462" customFormat="1" x14ac:dyDescent="0.25"/>
    <row r="39463" customFormat="1" x14ac:dyDescent="0.25"/>
    <row r="39464" customFormat="1" x14ac:dyDescent="0.25"/>
    <row r="39465" customFormat="1" x14ac:dyDescent="0.25"/>
    <row r="39466" customFormat="1" x14ac:dyDescent="0.25"/>
    <row r="39467" customFormat="1" x14ac:dyDescent="0.25"/>
    <row r="39468" customFormat="1" x14ac:dyDescent="0.25"/>
    <row r="39469" customFormat="1" x14ac:dyDescent="0.25"/>
    <row r="39470" customFormat="1" x14ac:dyDescent="0.25"/>
    <row r="39471" customFormat="1" x14ac:dyDescent="0.25"/>
    <row r="39472" customFormat="1" x14ac:dyDescent="0.25"/>
    <row r="39473" customFormat="1" x14ac:dyDescent="0.25"/>
    <row r="39474" customFormat="1" x14ac:dyDescent="0.25"/>
    <row r="39475" customFormat="1" x14ac:dyDescent="0.25"/>
    <row r="39476" customFormat="1" x14ac:dyDescent="0.25"/>
    <row r="39477" customFormat="1" x14ac:dyDescent="0.25"/>
    <row r="39478" customFormat="1" x14ac:dyDescent="0.25"/>
    <row r="39479" customFormat="1" x14ac:dyDescent="0.25"/>
    <row r="39480" customFormat="1" x14ac:dyDescent="0.25"/>
    <row r="39481" customFormat="1" x14ac:dyDescent="0.25"/>
    <row r="39482" customFormat="1" x14ac:dyDescent="0.25"/>
    <row r="39483" customFormat="1" x14ac:dyDescent="0.25"/>
    <row r="39484" customFormat="1" x14ac:dyDescent="0.25"/>
    <row r="39485" customFormat="1" x14ac:dyDescent="0.25"/>
    <row r="39486" customFormat="1" x14ac:dyDescent="0.25"/>
    <row r="39487" customFormat="1" x14ac:dyDescent="0.25"/>
    <row r="39488" customFormat="1" x14ac:dyDescent="0.25"/>
    <row r="39489" customFormat="1" x14ac:dyDescent="0.25"/>
    <row r="39490" customFormat="1" x14ac:dyDescent="0.25"/>
    <row r="39491" customFormat="1" x14ac:dyDescent="0.25"/>
    <row r="39492" customFormat="1" x14ac:dyDescent="0.25"/>
    <row r="39493" customFormat="1" x14ac:dyDescent="0.25"/>
    <row r="39494" customFormat="1" x14ac:dyDescent="0.25"/>
    <row r="39495" customFormat="1" x14ac:dyDescent="0.25"/>
    <row r="39496" customFormat="1" x14ac:dyDescent="0.25"/>
    <row r="39497" customFormat="1" x14ac:dyDescent="0.25"/>
    <row r="39498" customFormat="1" x14ac:dyDescent="0.25"/>
    <row r="39499" customFormat="1" x14ac:dyDescent="0.25"/>
    <row r="39500" customFormat="1" x14ac:dyDescent="0.25"/>
    <row r="39501" customFormat="1" x14ac:dyDescent="0.25"/>
    <row r="39502" customFormat="1" x14ac:dyDescent="0.25"/>
    <row r="39503" customFormat="1" x14ac:dyDescent="0.25"/>
    <row r="39504" customFormat="1" x14ac:dyDescent="0.25"/>
    <row r="39505" customFormat="1" x14ac:dyDescent="0.25"/>
    <row r="39506" customFormat="1" x14ac:dyDescent="0.25"/>
    <row r="39507" customFormat="1" x14ac:dyDescent="0.25"/>
    <row r="39508" customFormat="1" x14ac:dyDescent="0.25"/>
    <row r="39509" customFormat="1" x14ac:dyDescent="0.25"/>
    <row r="39510" customFormat="1" x14ac:dyDescent="0.25"/>
    <row r="39511" customFormat="1" x14ac:dyDescent="0.25"/>
    <row r="39512" customFormat="1" x14ac:dyDescent="0.25"/>
    <row r="39513" customFormat="1" x14ac:dyDescent="0.25"/>
    <row r="39514" customFormat="1" x14ac:dyDescent="0.25"/>
    <row r="39515" customFormat="1" x14ac:dyDescent="0.25"/>
    <row r="39516" customFormat="1" x14ac:dyDescent="0.25"/>
    <row r="39517" customFormat="1" x14ac:dyDescent="0.25"/>
    <row r="39518" customFormat="1" x14ac:dyDescent="0.25"/>
    <row r="39519" customFormat="1" x14ac:dyDescent="0.25"/>
    <row r="39520" customFormat="1" x14ac:dyDescent="0.25"/>
    <row r="39521" customFormat="1" x14ac:dyDescent="0.25"/>
    <row r="39522" customFormat="1" x14ac:dyDescent="0.25"/>
    <row r="39523" customFormat="1" x14ac:dyDescent="0.25"/>
    <row r="39524" customFormat="1" x14ac:dyDescent="0.25"/>
    <row r="39525" customFormat="1" x14ac:dyDescent="0.25"/>
    <row r="39526" customFormat="1" x14ac:dyDescent="0.25"/>
    <row r="39527" customFormat="1" x14ac:dyDescent="0.25"/>
    <row r="39528" customFormat="1" x14ac:dyDescent="0.25"/>
    <row r="39529" customFormat="1" x14ac:dyDescent="0.25"/>
    <row r="39530" customFormat="1" x14ac:dyDescent="0.25"/>
    <row r="39531" customFormat="1" x14ac:dyDescent="0.25"/>
    <row r="39532" customFormat="1" x14ac:dyDescent="0.25"/>
    <row r="39533" customFormat="1" x14ac:dyDescent="0.25"/>
    <row r="39534" customFormat="1" x14ac:dyDescent="0.25"/>
    <row r="39535" customFormat="1" x14ac:dyDescent="0.25"/>
    <row r="39536" customFormat="1" x14ac:dyDescent="0.25"/>
    <row r="39537" customFormat="1" x14ac:dyDescent="0.25"/>
    <row r="39538" customFormat="1" x14ac:dyDescent="0.25"/>
    <row r="39539" customFormat="1" x14ac:dyDescent="0.25"/>
    <row r="39540" customFormat="1" x14ac:dyDescent="0.25"/>
    <row r="39541" customFormat="1" x14ac:dyDescent="0.25"/>
    <row r="39542" customFormat="1" x14ac:dyDescent="0.25"/>
    <row r="39543" customFormat="1" x14ac:dyDescent="0.25"/>
    <row r="39544" customFormat="1" x14ac:dyDescent="0.25"/>
    <row r="39545" customFormat="1" x14ac:dyDescent="0.25"/>
    <row r="39546" customFormat="1" x14ac:dyDescent="0.25"/>
    <row r="39547" customFormat="1" x14ac:dyDescent="0.25"/>
    <row r="39548" customFormat="1" x14ac:dyDescent="0.25"/>
    <row r="39549" customFormat="1" x14ac:dyDescent="0.25"/>
    <row r="39550" customFormat="1" x14ac:dyDescent="0.25"/>
    <row r="39551" customFormat="1" x14ac:dyDescent="0.25"/>
    <row r="39552" customFormat="1" x14ac:dyDescent="0.25"/>
    <row r="39553" customFormat="1" x14ac:dyDescent="0.25"/>
    <row r="39554" customFormat="1" x14ac:dyDescent="0.25"/>
    <row r="39555" customFormat="1" x14ac:dyDescent="0.25"/>
    <row r="39556" customFormat="1" x14ac:dyDescent="0.25"/>
    <row r="39557" customFormat="1" x14ac:dyDescent="0.25"/>
    <row r="39558" customFormat="1" x14ac:dyDescent="0.25"/>
    <row r="39559" customFormat="1" x14ac:dyDescent="0.25"/>
    <row r="39560" customFormat="1" x14ac:dyDescent="0.25"/>
    <row r="39561" customFormat="1" x14ac:dyDescent="0.25"/>
    <row r="39562" customFormat="1" x14ac:dyDescent="0.25"/>
    <row r="39563" customFormat="1" x14ac:dyDescent="0.25"/>
    <row r="39564" customFormat="1" x14ac:dyDescent="0.25"/>
    <row r="39565" customFormat="1" x14ac:dyDescent="0.25"/>
    <row r="39566" customFormat="1" x14ac:dyDescent="0.25"/>
    <row r="39567" customFormat="1" x14ac:dyDescent="0.25"/>
    <row r="39568" customFormat="1" x14ac:dyDescent="0.25"/>
    <row r="39569" customFormat="1" x14ac:dyDescent="0.25"/>
    <row r="39570" customFormat="1" x14ac:dyDescent="0.25"/>
    <row r="39571" customFormat="1" x14ac:dyDescent="0.25"/>
    <row r="39572" customFormat="1" x14ac:dyDescent="0.25"/>
    <row r="39573" customFormat="1" x14ac:dyDescent="0.25"/>
    <row r="39574" customFormat="1" x14ac:dyDescent="0.25"/>
    <row r="39575" customFormat="1" x14ac:dyDescent="0.25"/>
    <row r="39576" customFormat="1" x14ac:dyDescent="0.25"/>
    <row r="39577" customFormat="1" x14ac:dyDescent="0.25"/>
    <row r="39578" customFormat="1" x14ac:dyDescent="0.25"/>
    <row r="39579" customFormat="1" x14ac:dyDescent="0.25"/>
    <row r="39580" customFormat="1" x14ac:dyDescent="0.25"/>
    <row r="39581" customFormat="1" x14ac:dyDescent="0.25"/>
    <row r="39582" customFormat="1" x14ac:dyDescent="0.25"/>
    <row r="39583" customFormat="1" x14ac:dyDescent="0.25"/>
    <row r="39584" customFormat="1" x14ac:dyDescent="0.25"/>
    <row r="39585" customFormat="1" x14ac:dyDescent="0.25"/>
    <row r="39586" customFormat="1" x14ac:dyDescent="0.25"/>
    <row r="39587" customFormat="1" x14ac:dyDescent="0.25"/>
    <row r="39588" customFormat="1" x14ac:dyDescent="0.25"/>
    <row r="39589" customFormat="1" x14ac:dyDescent="0.25"/>
    <row r="39590" customFormat="1" x14ac:dyDescent="0.25"/>
    <row r="39591" customFormat="1" x14ac:dyDescent="0.25"/>
    <row r="39592" customFormat="1" x14ac:dyDescent="0.25"/>
    <row r="39593" customFormat="1" x14ac:dyDescent="0.25"/>
    <row r="39594" customFormat="1" x14ac:dyDescent="0.25"/>
    <row r="39595" customFormat="1" x14ac:dyDescent="0.25"/>
    <row r="39596" customFormat="1" x14ac:dyDescent="0.25"/>
    <row r="39597" customFormat="1" x14ac:dyDescent="0.25"/>
    <row r="39598" customFormat="1" x14ac:dyDescent="0.25"/>
    <row r="39599" customFormat="1" x14ac:dyDescent="0.25"/>
    <row r="39600" customFormat="1" x14ac:dyDescent="0.25"/>
    <row r="39601" customFormat="1" x14ac:dyDescent="0.25"/>
    <row r="39602" customFormat="1" x14ac:dyDescent="0.25"/>
    <row r="39603" customFormat="1" x14ac:dyDescent="0.25"/>
    <row r="39604" customFormat="1" x14ac:dyDescent="0.25"/>
    <row r="39605" customFormat="1" x14ac:dyDescent="0.25"/>
    <row r="39606" customFormat="1" x14ac:dyDescent="0.25"/>
    <row r="39607" customFormat="1" x14ac:dyDescent="0.25"/>
    <row r="39608" customFormat="1" x14ac:dyDescent="0.25"/>
    <row r="39609" customFormat="1" x14ac:dyDescent="0.25"/>
    <row r="39610" customFormat="1" x14ac:dyDescent="0.25"/>
    <row r="39611" customFormat="1" x14ac:dyDescent="0.25"/>
    <row r="39612" customFormat="1" x14ac:dyDescent="0.25"/>
    <row r="39613" customFormat="1" x14ac:dyDescent="0.25"/>
    <row r="39614" customFormat="1" x14ac:dyDescent="0.25"/>
    <row r="39615" customFormat="1" x14ac:dyDescent="0.25"/>
    <row r="39616" customFormat="1" x14ac:dyDescent="0.25"/>
    <row r="39617" customFormat="1" x14ac:dyDescent="0.25"/>
    <row r="39618" customFormat="1" x14ac:dyDescent="0.25"/>
    <row r="39619" customFormat="1" x14ac:dyDescent="0.25"/>
    <row r="39620" customFormat="1" x14ac:dyDescent="0.25"/>
    <row r="39621" customFormat="1" x14ac:dyDescent="0.25"/>
    <row r="39622" customFormat="1" x14ac:dyDescent="0.25"/>
    <row r="39623" customFormat="1" x14ac:dyDescent="0.25"/>
    <row r="39624" customFormat="1" x14ac:dyDescent="0.25"/>
    <row r="39625" customFormat="1" x14ac:dyDescent="0.25"/>
    <row r="39626" customFormat="1" x14ac:dyDescent="0.25"/>
    <row r="39627" customFormat="1" x14ac:dyDescent="0.25"/>
    <row r="39628" customFormat="1" x14ac:dyDescent="0.25"/>
    <row r="39629" customFormat="1" x14ac:dyDescent="0.25"/>
    <row r="39630" customFormat="1" x14ac:dyDescent="0.25"/>
    <row r="39631" customFormat="1" x14ac:dyDescent="0.25"/>
    <row r="39632" customFormat="1" x14ac:dyDescent="0.25"/>
    <row r="39633" customFormat="1" x14ac:dyDescent="0.25"/>
    <row r="39634" customFormat="1" x14ac:dyDescent="0.25"/>
    <row r="39635" customFormat="1" x14ac:dyDescent="0.25"/>
    <row r="39636" customFormat="1" x14ac:dyDescent="0.25"/>
    <row r="39637" customFormat="1" x14ac:dyDescent="0.25"/>
    <row r="39638" customFormat="1" x14ac:dyDescent="0.25"/>
    <row r="39639" customFormat="1" x14ac:dyDescent="0.25"/>
    <row r="39640" customFormat="1" x14ac:dyDescent="0.25"/>
    <row r="39641" customFormat="1" x14ac:dyDescent="0.25"/>
    <row r="39642" customFormat="1" x14ac:dyDescent="0.25"/>
    <row r="39643" customFormat="1" x14ac:dyDescent="0.25"/>
    <row r="39644" customFormat="1" x14ac:dyDescent="0.25"/>
    <row r="39645" customFormat="1" x14ac:dyDescent="0.25"/>
    <row r="39646" customFormat="1" x14ac:dyDescent="0.25"/>
    <row r="39647" customFormat="1" x14ac:dyDescent="0.25"/>
    <row r="39648" customFormat="1" x14ac:dyDescent="0.25"/>
    <row r="39649" customFormat="1" x14ac:dyDescent="0.25"/>
    <row r="39650" customFormat="1" x14ac:dyDescent="0.25"/>
    <row r="39651" customFormat="1" x14ac:dyDescent="0.25"/>
    <row r="39652" customFormat="1" x14ac:dyDescent="0.25"/>
    <row r="39653" customFormat="1" x14ac:dyDescent="0.25"/>
    <row r="39654" customFormat="1" x14ac:dyDescent="0.25"/>
    <row r="39655" customFormat="1" x14ac:dyDescent="0.25"/>
    <row r="39656" customFormat="1" x14ac:dyDescent="0.25"/>
    <row r="39657" customFormat="1" x14ac:dyDescent="0.25"/>
    <row r="39658" customFormat="1" x14ac:dyDescent="0.25"/>
    <row r="39659" customFormat="1" x14ac:dyDescent="0.25"/>
    <row r="39660" customFormat="1" x14ac:dyDescent="0.25"/>
    <row r="39661" customFormat="1" x14ac:dyDescent="0.25"/>
    <row r="39662" customFormat="1" x14ac:dyDescent="0.25"/>
    <row r="39663" customFormat="1" x14ac:dyDescent="0.25"/>
    <row r="39664" customFormat="1" x14ac:dyDescent="0.25"/>
    <row r="39665" customFormat="1" x14ac:dyDescent="0.25"/>
    <row r="39666" customFormat="1" x14ac:dyDescent="0.25"/>
    <row r="39667" customFormat="1" x14ac:dyDescent="0.25"/>
    <row r="39668" customFormat="1" x14ac:dyDescent="0.25"/>
    <row r="39669" customFormat="1" x14ac:dyDescent="0.25"/>
    <row r="39670" customFormat="1" x14ac:dyDescent="0.25"/>
    <row r="39671" customFormat="1" x14ac:dyDescent="0.25"/>
    <row r="39672" customFormat="1" x14ac:dyDescent="0.25"/>
    <row r="39673" customFormat="1" x14ac:dyDescent="0.25"/>
    <row r="39674" customFormat="1" x14ac:dyDescent="0.25"/>
    <row r="39675" customFormat="1" x14ac:dyDescent="0.25"/>
    <row r="39676" customFormat="1" x14ac:dyDescent="0.25"/>
    <row r="39677" customFormat="1" x14ac:dyDescent="0.25"/>
    <row r="39678" customFormat="1" x14ac:dyDescent="0.25"/>
    <row r="39679" customFormat="1" x14ac:dyDescent="0.25"/>
    <row r="39680" customFormat="1" x14ac:dyDescent="0.25"/>
    <row r="39681" customFormat="1" x14ac:dyDescent="0.25"/>
    <row r="39682" customFormat="1" x14ac:dyDescent="0.25"/>
    <row r="39683" customFormat="1" x14ac:dyDescent="0.25"/>
    <row r="39684" customFormat="1" x14ac:dyDescent="0.25"/>
    <row r="39685" customFormat="1" x14ac:dyDescent="0.25"/>
    <row r="39686" customFormat="1" x14ac:dyDescent="0.25"/>
    <row r="39687" customFormat="1" x14ac:dyDescent="0.25"/>
    <row r="39688" customFormat="1" x14ac:dyDescent="0.25"/>
    <row r="39689" customFormat="1" x14ac:dyDescent="0.25"/>
    <row r="39690" customFormat="1" x14ac:dyDescent="0.25"/>
    <row r="39691" customFormat="1" x14ac:dyDescent="0.25"/>
    <row r="39692" customFormat="1" x14ac:dyDescent="0.25"/>
    <row r="39693" customFormat="1" x14ac:dyDescent="0.25"/>
    <row r="39694" customFormat="1" x14ac:dyDescent="0.25"/>
    <row r="39695" customFormat="1" x14ac:dyDescent="0.25"/>
    <row r="39696" customFormat="1" x14ac:dyDescent="0.25"/>
    <row r="39697" customFormat="1" x14ac:dyDescent="0.25"/>
    <row r="39698" customFormat="1" x14ac:dyDescent="0.25"/>
    <row r="39699" customFormat="1" x14ac:dyDescent="0.25"/>
    <row r="39700" customFormat="1" x14ac:dyDescent="0.25"/>
    <row r="39701" customFormat="1" x14ac:dyDescent="0.25"/>
    <row r="39702" customFormat="1" x14ac:dyDescent="0.25"/>
    <row r="39703" customFormat="1" x14ac:dyDescent="0.25"/>
    <row r="39704" customFormat="1" x14ac:dyDescent="0.25"/>
    <row r="39705" customFormat="1" x14ac:dyDescent="0.25"/>
    <row r="39706" customFormat="1" x14ac:dyDescent="0.25"/>
    <row r="39707" customFormat="1" x14ac:dyDescent="0.25"/>
    <row r="39708" customFormat="1" x14ac:dyDescent="0.25"/>
    <row r="39709" customFormat="1" x14ac:dyDescent="0.25"/>
    <row r="39710" customFormat="1" x14ac:dyDescent="0.25"/>
    <row r="39711" customFormat="1" x14ac:dyDescent="0.25"/>
    <row r="39712" customFormat="1" x14ac:dyDescent="0.25"/>
    <row r="39713" customFormat="1" x14ac:dyDescent="0.25"/>
    <row r="39714" customFormat="1" x14ac:dyDescent="0.25"/>
    <row r="39715" customFormat="1" x14ac:dyDescent="0.25"/>
    <row r="39716" customFormat="1" x14ac:dyDescent="0.25"/>
    <row r="39717" customFormat="1" x14ac:dyDescent="0.25"/>
    <row r="39718" customFormat="1" x14ac:dyDescent="0.25"/>
    <row r="39719" customFormat="1" x14ac:dyDescent="0.25"/>
    <row r="39720" customFormat="1" x14ac:dyDescent="0.25"/>
    <row r="39721" customFormat="1" x14ac:dyDescent="0.25"/>
    <row r="39722" customFormat="1" x14ac:dyDescent="0.25"/>
    <row r="39723" customFormat="1" x14ac:dyDescent="0.25"/>
    <row r="39724" customFormat="1" x14ac:dyDescent="0.25"/>
    <row r="39725" customFormat="1" x14ac:dyDescent="0.25"/>
    <row r="39726" customFormat="1" x14ac:dyDescent="0.25"/>
    <row r="39727" customFormat="1" x14ac:dyDescent="0.25"/>
    <row r="39728" customFormat="1" x14ac:dyDescent="0.25"/>
    <row r="39729" customFormat="1" x14ac:dyDescent="0.25"/>
    <row r="39730" customFormat="1" x14ac:dyDescent="0.25"/>
    <row r="39731" customFormat="1" x14ac:dyDescent="0.25"/>
    <row r="39732" customFormat="1" x14ac:dyDescent="0.25"/>
    <row r="39733" customFormat="1" x14ac:dyDescent="0.25"/>
    <row r="39734" customFormat="1" x14ac:dyDescent="0.25"/>
    <row r="39735" customFormat="1" x14ac:dyDescent="0.25"/>
    <row r="39736" customFormat="1" x14ac:dyDescent="0.25"/>
    <row r="39737" customFormat="1" x14ac:dyDescent="0.25"/>
    <row r="39738" customFormat="1" x14ac:dyDescent="0.25"/>
    <row r="39739" customFormat="1" x14ac:dyDescent="0.25"/>
    <row r="39740" customFormat="1" x14ac:dyDescent="0.25"/>
    <row r="39741" customFormat="1" x14ac:dyDescent="0.25"/>
    <row r="39742" customFormat="1" x14ac:dyDescent="0.25"/>
    <row r="39743" customFormat="1" x14ac:dyDescent="0.25"/>
    <row r="39744" customFormat="1" x14ac:dyDescent="0.25"/>
    <row r="39745" customFormat="1" x14ac:dyDescent="0.25"/>
    <row r="39746" customFormat="1" x14ac:dyDescent="0.25"/>
    <row r="39747" customFormat="1" x14ac:dyDescent="0.25"/>
    <row r="39748" customFormat="1" x14ac:dyDescent="0.25"/>
    <row r="39749" customFormat="1" x14ac:dyDescent="0.25"/>
    <row r="39750" customFormat="1" x14ac:dyDescent="0.25"/>
    <row r="39751" customFormat="1" x14ac:dyDescent="0.25"/>
    <row r="39752" customFormat="1" x14ac:dyDescent="0.25"/>
    <row r="39753" customFormat="1" x14ac:dyDescent="0.25"/>
    <row r="39754" customFormat="1" x14ac:dyDescent="0.25"/>
    <row r="39755" customFormat="1" x14ac:dyDescent="0.25"/>
    <row r="39756" customFormat="1" x14ac:dyDescent="0.25"/>
    <row r="39757" customFormat="1" x14ac:dyDescent="0.25"/>
    <row r="39758" customFormat="1" x14ac:dyDescent="0.25"/>
    <row r="39759" customFormat="1" x14ac:dyDescent="0.25"/>
    <row r="39760" customFormat="1" x14ac:dyDescent="0.25"/>
    <row r="39761" customFormat="1" x14ac:dyDescent="0.25"/>
    <row r="39762" customFormat="1" x14ac:dyDescent="0.25"/>
    <row r="39763" customFormat="1" x14ac:dyDescent="0.25"/>
    <row r="39764" customFormat="1" x14ac:dyDescent="0.25"/>
    <row r="39765" customFormat="1" x14ac:dyDescent="0.25"/>
    <row r="39766" customFormat="1" x14ac:dyDescent="0.25"/>
    <row r="39767" customFormat="1" x14ac:dyDescent="0.25"/>
    <row r="39768" customFormat="1" x14ac:dyDescent="0.25"/>
    <row r="39769" customFormat="1" x14ac:dyDescent="0.25"/>
    <row r="39770" customFormat="1" x14ac:dyDescent="0.25"/>
    <row r="39771" customFormat="1" x14ac:dyDescent="0.25"/>
    <row r="39772" customFormat="1" x14ac:dyDescent="0.25"/>
    <row r="39773" customFormat="1" x14ac:dyDescent="0.25"/>
    <row r="39774" customFormat="1" x14ac:dyDescent="0.25"/>
    <row r="39775" customFormat="1" x14ac:dyDescent="0.25"/>
    <row r="39776" customFormat="1" x14ac:dyDescent="0.25"/>
    <row r="39777" customFormat="1" x14ac:dyDescent="0.25"/>
    <row r="39778" customFormat="1" x14ac:dyDescent="0.25"/>
    <row r="39779" customFormat="1" x14ac:dyDescent="0.25"/>
    <row r="39780" customFormat="1" x14ac:dyDescent="0.25"/>
    <row r="39781" customFormat="1" x14ac:dyDescent="0.25"/>
    <row r="39782" customFormat="1" x14ac:dyDescent="0.25"/>
    <row r="39783" customFormat="1" x14ac:dyDescent="0.25"/>
    <row r="39784" customFormat="1" x14ac:dyDescent="0.25"/>
    <row r="39785" customFormat="1" x14ac:dyDescent="0.25"/>
    <row r="39786" customFormat="1" x14ac:dyDescent="0.25"/>
    <row r="39787" customFormat="1" x14ac:dyDescent="0.25"/>
    <row r="39788" customFormat="1" x14ac:dyDescent="0.25"/>
    <row r="39789" customFormat="1" x14ac:dyDescent="0.25"/>
    <row r="39790" customFormat="1" x14ac:dyDescent="0.25"/>
    <row r="39791" customFormat="1" x14ac:dyDescent="0.25"/>
    <row r="39792" customFormat="1" x14ac:dyDescent="0.25"/>
    <row r="39793" customFormat="1" x14ac:dyDescent="0.25"/>
    <row r="39794" customFormat="1" x14ac:dyDescent="0.25"/>
    <row r="39795" customFormat="1" x14ac:dyDescent="0.25"/>
    <row r="39796" customFormat="1" x14ac:dyDescent="0.25"/>
    <row r="39797" customFormat="1" x14ac:dyDescent="0.25"/>
    <row r="39798" customFormat="1" x14ac:dyDescent="0.25"/>
    <row r="39799" customFormat="1" x14ac:dyDescent="0.25"/>
    <row r="39800" customFormat="1" x14ac:dyDescent="0.25"/>
    <row r="39801" customFormat="1" x14ac:dyDescent="0.25"/>
    <row r="39802" customFormat="1" x14ac:dyDescent="0.25"/>
    <row r="39803" customFormat="1" x14ac:dyDescent="0.25"/>
    <row r="39804" customFormat="1" x14ac:dyDescent="0.25"/>
    <row r="39805" customFormat="1" x14ac:dyDescent="0.25"/>
    <row r="39806" customFormat="1" x14ac:dyDescent="0.25"/>
    <row r="39807" customFormat="1" x14ac:dyDescent="0.25"/>
    <row r="39808" customFormat="1" x14ac:dyDescent="0.25"/>
    <row r="39809" customFormat="1" x14ac:dyDescent="0.25"/>
    <row r="39810" customFormat="1" x14ac:dyDescent="0.25"/>
    <row r="39811" customFormat="1" x14ac:dyDescent="0.25"/>
    <row r="39812" customFormat="1" x14ac:dyDescent="0.25"/>
    <row r="39813" customFormat="1" x14ac:dyDescent="0.25"/>
    <row r="39814" customFormat="1" x14ac:dyDescent="0.25"/>
    <row r="39815" customFormat="1" x14ac:dyDescent="0.25"/>
    <row r="39816" customFormat="1" x14ac:dyDescent="0.25"/>
    <row r="39817" customFormat="1" x14ac:dyDescent="0.25"/>
    <row r="39818" customFormat="1" x14ac:dyDescent="0.25"/>
    <row r="39819" customFormat="1" x14ac:dyDescent="0.25"/>
    <row r="39820" customFormat="1" x14ac:dyDescent="0.25"/>
    <row r="39821" customFormat="1" x14ac:dyDescent="0.25"/>
    <row r="39822" customFormat="1" x14ac:dyDescent="0.25"/>
    <row r="39823" customFormat="1" x14ac:dyDescent="0.25"/>
    <row r="39824" customFormat="1" x14ac:dyDescent="0.25"/>
    <row r="39825" customFormat="1" x14ac:dyDescent="0.25"/>
    <row r="39826" customFormat="1" x14ac:dyDescent="0.25"/>
    <row r="39827" customFormat="1" x14ac:dyDescent="0.25"/>
    <row r="39828" customFormat="1" x14ac:dyDescent="0.25"/>
    <row r="39829" customFormat="1" x14ac:dyDescent="0.25"/>
    <row r="39830" customFormat="1" x14ac:dyDescent="0.25"/>
    <row r="39831" customFormat="1" x14ac:dyDescent="0.25"/>
    <row r="39832" customFormat="1" x14ac:dyDescent="0.25"/>
    <row r="39833" customFormat="1" x14ac:dyDescent="0.25"/>
    <row r="39834" customFormat="1" x14ac:dyDescent="0.25"/>
    <row r="39835" customFormat="1" x14ac:dyDescent="0.25"/>
    <row r="39836" customFormat="1" x14ac:dyDescent="0.25"/>
    <row r="39837" customFormat="1" x14ac:dyDescent="0.25"/>
    <row r="39838" customFormat="1" x14ac:dyDescent="0.25"/>
    <row r="39839" customFormat="1" x14ac:dyDescent="0.25"/>
    <row r="39840" customFormat="1" x14ac:dyDescent="0.25"/>
    <row r="39841" customFormat="1" x14ac:dyDescent="0.25"/>
    <row r="39842" customFormat="1" x14ac:dyDescent="0.25"/>
    <row r="39843" customFormat="1" x14ac:dyDescent="0.25"/>
    <row r="39844" customFormat="1" x14ac:dyDescent="0.25"/>
    <row r="39845" customFormat="1" x14ac:dyDescent="0.25"/>
    <row r="39846" customFormat="1" x14ac:dyDescent="0.25"/>
    <row r="39847" customFormat="1" x14ac:dyDescent="0.25"/>
    <row r="39848" customFormat="1" x14ac:dyDescent="0.25"/>
    <row r="39849" customFormat="1" x14ac:dyDescent="0.25"/>
    <row r="39850" customFormat="1" x14ac:dyDescent="0.25"/>
    <row r="39851" customFormat="1" x14ac:dyDescent="0.25"/>
    <row r="39852" customFormat="1" x14ac:dyDescent="0.25"/>
    <row r="39853" customFormat="1" x14ac:dyDescent="0.25"/>
    <row r="39854" customFormat="1" x14ac:dyDescent="0.25"/>
    <row r="39855" customFormat="1" x14ac:dyDescent="0.25"/>
    <row r="39856" customFormat="1" x14ac:dyDescent="0.25"/>
    <row r="39857" customFormat="1" x14ac:dyDescent="0.25"/>
    <row r="39858" customFormat="1" x14ac:dyDescent="0.25"/>
    <row r="39859" customFormat="1" x14ac:dyDescent="0.25"/>
    <row r="39860" customFormat="1" x14ac:dyDescent="0.25"/>
    <row r="39861" customFormat="1" x14ac:dyDescent="0.25"/>
    <row r="39862" customFormat="1" x14ac:dyDescent="0.25"/>
    <row r="39863" customFormat="1" x14ac:dyDescent="0.25"/>
    <row r="39864" customFormat="1" x14ac:dyDescent="0.25"/>
    <row r="39865" customFormat="1" x14ac:dyDescent="0.25"/>
    <row r="39866" customFormat="1" x14ac:dyDescent="0.25"/>
    <row r="39867" customFormat="1" x14ac:dyDescent="0.25"/>
    <row r="39868" customFormat="1" x14ac:dyDescent="0.25"/>
    <row r="39869" customFormat="1" x14ac:dyDescent="0.25"/>
    <row r="39870" customFormat="1" x14ac:dyDescent="0.25"/>
    <row r="39871" customFormat="1" x14ac:dyDescent="0.25"/>
    <row r="39872" customFormat="1" x14ac:dyDescent="0.25"/>
    <row r="39873" customFormat="1" x14ac:dyDescent="0.25"/>
    <row r="39874" customFormat="1" x14ac:dyDescent="0.25"/>
    <row r="39875" customFormat="1" x14ac:dyDescent="0.25"/>
    <row r="39876" customFormat="1" x14ac:dyDescent="0.25"/>
    <row r="39877" customFormat="1" x14ac:dyDescent="0.25"/>
    <row r="39878" customFormat="1" x14ac:dyDescent="0.25"/>
    <row r="39879" customFormat="1" x14ac:dyDescent="0.25"/>
    <row r="39880" customFormat="1" x14ac:dyDescent="0.25"/>
    <row r="39881" customFormat="1" x14ac:dyDescent="0.25"/>
    <row r="39882" customFormat="1" x14ac:dyDescent="0.25"/>
    <row r="39883" customFormat="1" x14ac:dyDescent="0.25"/>
    <row r="39884" customFormat="1" x14ac:dyDescent="0.25"/>
    <row r="39885" customFormat="1" x14ac:dyDescent="0.25"/>
    <row r="39886" customFormat="1" x14ac:dyDescent="0.25"/>
    <row r="39887" customFormat="1" x14ac:dyDescent="0.25"/>
    <row r="39888" customFormat="1" x14ac:dyDescent="0.25"/>
    <row r="39889" customFormat="1" x14ac:dyDescent="0.25"/>
    <row r="39890" customFormat="1" x14ac:dyDescent="0.25"/>
    <row r="39891" customFormat="1" x14ac:dyDescent="0.25"/>
    <row r="39892" customFormat="1" x14ac:dyDescent="0.25"/>
    <row r="39893" customFormat="1" x14ac:dyDescent="0.25"/>
    <row r="39894" customFormat="1" x14ac:dyDescent="0.25"/>
    <row r="39895" customFormat="1" x14ac:dyDescent="0.25"/>
    <row r="39896" customFormat="1" x14ac:dyDescent="0.25"/>
    <row r="39897" customFormat="1" x14ac:dyDescent="0.25"/>
    <row r="39898" customFormat="1" x14ac:dyDescent="0.25"/>
    <row r="39899" customFormat="1" x14ac:dyDescent="0.25"/>
    <row r="39900" customFormat="1" x14ac:dyDescent="0.25"/>
    <row r="39901" customFormat="1" x14ac:dyDescent="0.25"/>
    <row r="39902" customFormat="1" x14ac:dyDescent="0.25"/>
    <row r="39903" customFormat="1" x14ac:dyDescent="0.25"/>
    <row r="39904" customFormat="1" x14ac:dyDescent="0.25"/>
    <row r="39905" customFormat="1" x14ac:dyDescent="0.25"/>
    <row r="39906" customFormat="1" x14ac:dyDescent="0.25"/>
    <row r="39907" customFormat="1" x14ac:dyDescent="0.25"/>
    <row r="39908" customFormat="1" x14ac:dyDescent="0.25"/>
    <row r="39909" customFormat="1" x14ac:dyDescent="0.25"/>
    <row r="39910" customFormat="1" x14ac:dyDescent="0.25"/>
    <row r="39911" customFormat="1" x14ac:dyDescent="0.25"/>
    <row r="39912" customFormat="1" x14ac:dyDescent="0.25"/>
    <row r="39913" customFormat="1" x14ac:dyDescent="0.25"/>
    <row r="39914" customFormat="1" x14ac:dyDescent="0.25"/>
    <row r="39915" customFormat="1" x14ac:dyDescent="0.25"/>
    <row r="39916" customFormat="1" x14ac:dyDescent="0.25"/>
    <row r="39917" customFormat="1" x14ac:dyDescent="0.25"/>
    <row r="39918" customFormat="1" x14ac:dyDescent="0.25"/>
    <row r="39919" customFormat="1" x14ac:dyDescent="0.25"/>
    <row r="39920" customFormat="1" x14ac:dyDescent="0.25"/>
    <row r="39921" customFormat="1" x14ac:dyDescent="0.25"/>
    <row r="39922" customFormat="1" x14ac:dyDescent="0.25"/>
    <row r="39923" customFormat="1" x14ac:dyDescent="0.25"/>
    <row r="39924" customFormat="1" x14ac:dyDescent="0.25"/>
    <row r="39925" customFormat="1" x14ac:dyDescent="0.25"/>
    <row r="39926" customFormat="1" x14ac:dyDescent="0.25"/>
    <row r="39927" customFormat="1" x14ac:dyDescent="0.25"/>
    <row r="39928" customFormat="1" x14ac:dyDescent="0.25"/>
    <row r="39929" customFormat="1" x14ac:dyDescent="0.25"/>
    <row r="39930" customFormat="1" x14ac:dyDescent="0.25"/>
    <row r="39931" customFormat="1" x14ac:dyDescent="0.25"/>
    <row r="39932" customFormat="1" x14ac:dyDescent="0.25"/>
    <row r="39933" customFormat="1" x14ac:dyDescent="0.25"/>
    <row r="39934" customFormat="1" x14ac:dyDescent="0.25"/>
    <row r="39935" customFormat="1" x14ac:dyDescent="0.25"/>
    <row r="39936" customFormat="1" x14ac:dyDescent="0.25"/>
    <row r="39937" customFormat="1" x14ac:dyDescent="0.25"/>
    <row r="39938" customFormat="1" x14ac:dyDescent="0.25"/>
    <row r="39939" customFormat="1" x14ac:dyDescent="0.25"/>
    <row r="39940" customFormat="1" x14ac:dyDescent="0.25"/>
    <row r="39941" customFormat="1" x14ac:dyDescent="0.25"/>
    <row r="39942" customFormat="1" x14ac:dyDescent="0.25"/>
    <row r="39943" customFormat="1" x14ac:dyDescent="0.25"/>
    <row r="39944" customFormat="1" x14ac:dyDescent="0.25"/>
    <row r="39945" customFormat="1" x14ac:dyDescent="0.25"/>
    <row r="39946" customFormat="1" x14ac:dyDescent="0.25"/>
    <row r="39947" customFormat="1" x14ac:dyDescent="0.25"/>
    <row r="39948" customFormat="1" x14ac:dyDescent="0.25"/>
    <row r="39949" customFormat="1" x14ac:dyDescent="0.25"/>
    <row r="39950" customFormat="1" x14ac:dyDescent="0.25"/>
    <row r="39951" customFormat="1" x14ac:dyDescent="0.25"/>
    <row r="39952" customFormat="1" x14ac:dyDescent="0.25"/>
    <row r="39953" customFormat="1" x14ac:dyDescent="0.25"/>
    <row r="39954" customFormat="1" x14ac:dyDescent="0.25"/>
    <row r="39955" customFormat="1" x14ac:dyDescent="0.25"/>
    <row r="39956" customFormat="1" x14ac:dyDescent="0.25"/>
    <row r="39957" customFormat="1" x14ac:dyDescent="0.25"/>
    <row r="39958" customFormat="1" x14ac:dyDescent="0.25"/>
    <row r="39959" customFormat="1" x14ac:dyDescent="0.25"/>
    <row r="39960" customFormat="1" x14ac:dyDescent="0.25"/>
    <row r="39961" customFormat="1" x14ac:dyDescent="0.25"/>
    <row r="39962" customFormat="1" x14ac:dyDescent="0.25"/>
    <row r="39963" customFormat="1" x14ac:dyDescent="0.25"/>
    <row r="39964" customFormat="1" x14ac:dyDescent="0.25"/>
    <row r="39965" customFormat="1" x14ac:dyDescent="0.25"/>
    <row r="39966" customFormat="1" x14ac:dyDescent="0.25"/>
    <row r="39967" customFormat="1" x14ac:dyDescent="0.25"/>
    <row r="39968" customFormat="1" x14ac:dyDescent="0.25"/>
    <row r="39969" customFormat="1" x14ac:dyDescent="0.25"/>
    <row r="39970" customFormat="1" x14ac:dyDescent="0.25"/>
    <row r="39971" customFormat="1" x14ac:dyDescent="0.25"/>
    <row r="39972" customFormat="1" x14ac:dyDescent="0.25"/>
    <row r="39973" customFormat="1" x14ac:dyDescent="0.25"/>
    <row r="39974" customFormat="1" x14ac:dyDescent="0.25"/>
    <row r="39975" customFormat="1" x14ac:dyDescent="0.25"/>
    <row r="39976" customFormat="1" x14ac:dyDescent="0.25"/>
    <row r="39977" customFormat="1" x14ac:dyDescent="0.25"/>
    <row r="39978" customFormat="1" x14ac:dyDescent="0.25"/>
    <row r="39979" customFormat="1" x14ac:dyDescent="0.25"/>
    <row r="39980" customFormat="1" x14ac:dyDescent="0.25"/>
    <row r="39981" customFormat="1" x14ac:dyDescent="0.25"/>
    <row r="39982" customFormat="1" x14ac:dyDescent="0.25"/>
    <row r="39983" customFormat="1" x14ac:dyDescent="0.25"/>
    <row r="39984" customFormat="1" x14ac:dyDescent="0.25"/>
    <row r="39985" customFormat="1" x14ac:dyDescent="0.25"/>
    <row r="39986" customFormat="1" x14ac:dyDescent="0.25"/>
    <row r="39987" customFormat="1" x14ac:dyDescent="0.25"/>
    <row r="39988" customFormat="1" x14ac:dyDescent="0.25"/>
    <row r="39989" customFormat="1" x14ac:dyDescent="0.25"/>
    <row r="39990" customFormat="1" x14ac:dyDescent="0.25"/>
    <row r="39991" customFormat="1" x14ac:dyDescent="0.25"/>
    <row r="39992" customFormat="1" x14ac:dyDescent="0.25"/>
    <row r="39993" customFormat="1" x14ac:dyDescent="0.25"/>
    <row r="39994" customFormat="1" x14ac:dyDescent="0.25"/>
    <row r="39995" customFormat="1" x14ac:dyDescent="0.25"/>
    <row r="39996" customFormat="1" x14ac:dyDescent="0.25"/>
    <row r="39997" customFormat="1" x14ac:dyDescent="0.25"/>
    <row r="39998" customFormat="1" x14ac:dyDescent="0.25"/>
    <row r="39999" customFormat="1" x14ac:dyDescent="0.25"/>
    <row r="40000" customFormat="1" x14ac:dyDescent="0.25"/>
    <row r="40001" customFormat="1" x14ac:dyDescent="0.25"/>
    <row r="40002" customFormat="1" x14ac:dyDescent="0.25"/>
    <row r="40003" customFormat="1" x14ac:dyDescent="0.25"/>
    <row r="40004" customFormat="1" x14ac:dyDescent="0.25"/>
    <row r="40005" customFormat="1" x14ac:dyDescent="0.25"/>
    <row r="40006" customFormat="1" x14ac:dyDescent="0.25"/>
    <row r="40007" customFormat="1" x14ac:dyDescent="0.25"/>
    <row r="40008" customFormat="1" x14ac:dyDescent="0.25"/>
    <row r="40009" customFormat="1" x14ac:dyDescent="0.25"/>
    <row r="40010" customFormat="1" x14ac:dyDescent="0.25"/>
    <row r="40011" customFormat="1" x14ac:dyDescent="0.25"/>
    <row r="40012" customFormat="1" x14ac:dyDescent="0.25"/>
    <row r="40013" customFormat="1" x14ac:dyDescent="0.25"/>
    <row r="40014" customFormat="1" x14ac:dyDescent="0.25"/>
    <row r="40015" customFormat="1" x14ac:dyDescent="0.25"/>
    <row r="40016" customFormat="1" x14ac:dyDescent="0.25"/>
    <row r="40017" customFormat="1" x14ac:dyDescent="0.25"/>
    <row r="40018" customFormat="1" x14ac:dyDescent="0.25"/>
    <row r="40019" customFormat="1" x14ac:dyDescent="0.25"/>
    <row r="40020" customFormat="1" x14ac:dyDescent="0.25"/>
    <row r="40021" customFormat="1" x14ac:dyDescent="0.25"/>
    <row r="40022" customFormat="1" x14ac:dyDescent="0.25"/>
    <row r="40023" customFormat="1" x14ac:dyDescent="0.25"/>
    <row r="40024" customFormat="1" x14ac:dyDescent="0.25"/>
    <row r="40025" customFormat="1" x14ac:dyDescent="0.25"/>
    <row r="40026" customFormat="1" x14ac:dyDescent="0.25"/>
    <row r="40027" customFormat="1" x14ac:dyDescent="0.25"/>
    <row r="40028" customFormat="1" x14ac:dyDescent="0.25"/>
    <row r="40029" customFormat="1" x14ac:dyDescent="0.25"/>
    <row r="40030" customFormat="1" x14ac:dyDescent="0.25"/>
    <row r="40031" customFormat="1" x14ac:dyDescent="0.25"/>
    <row r="40032" customFormat="1" x14ac:dyDescent="0.25"/>
    <row r="40033" customFormat="1" x14ac:dyDescent="0.25"/>
    <row r="40034" customFormat="1" x14ac:dyDescent="0.25"/>
    <row r="40035" customFormat="1" x14ac:dyDescent="0.25"/>
    <row r="40036" customFormat="1" x14ac:dyDescent="0.25"/>
    <row r="40037" customFormat="1" x14ac:dyDescent="0.25"/>
    <row r="40038" customFormat="1" x14ac:dyDescent="0.25"/>
    <row r="40039" customFormat="1" x14ac:dyDescent="0.25"/>
    <row r="40040" customFormat="1" x14ac:dyDescent="0.25"/>
    <row r="40041" customFormat="1" x14ac:dyDescent="0.25"/>
    <row r="40042" customFormat="1" x14ac:dyDescent="0.25"/>
    <row r="40043" customFormat="1" x14ac:dyDescent="0.25"/>
    <row r="40044" customFormat="1" x14ac:dyDescent="0.25"/>
    <row r="40045" customFormat="1" x14ac:dyDescent="0.25"/>
    <row r="40046" customFormat="1" x14ac:dyDescent="0.25"/>
    <row r="40047" customFormat="1" x14ac:dyDescent="0.25"/>
    <row r="40048" customFormat="1" x14ac:dyDescent="0.25"/>
    <row r="40049" customFormat="1" x14ac:dyDescent="0.25"/>
    <row r="40050" customFormat="1" x14ac:dyDescent="0.25"/>
    <row r="40051" customFormat="1" x14ac:dyDescent="0.25"/>
    <row r="40052" customFormat="1" x14ac:dyDescent="0.25"/>
    <row r="40053" customFormat="1" x14ac:dyDescent="0.25"/>
    <row r="40054" customFormat="1" x14ac:dyDescent="0.25"/>
    <row r="40055" customFormat="1" x14ac:dyDescent="0.25"/>
    <row r="40056" customFormat="1" x14ac:dyDescent="0.25"/>
    <row r="40057" customFormat="1" x14ac:dyDescent="0.25"/>
    <row r="40058" customFormat="1" x14ac:dyDescent="0.25"/>
    <row r="40059" customFormat="1" x14ac:dyDescent="0.25"/>
    <row r="40060" customFormat="1" x14ac:dyDescent="0.25"/>
    <row r="40061" customFormat="1" x14ac:dyDescent="0.25"/>
    <row r="40062" customFormat="1" x14ac:dyDescent="0.25"/>
    <row r="40063" customFormat="1" x14ac:dyDescent="0.25"/>
    <row r="40064" customFormat="1" x14ac:dyDescent="0.25"/>
    <row r="40065" customFormat="1" x14ac:dyDescent="0.25"/>
    <row r="40066" customFormat="1" x14ac:dyDescent="0.25"/>
    <row r="40067" customFormat="1" x14ac:dyDescent="0.25"/>
    <row r="40068" customFormat="1" x14ac:dyDescent="0.25"/>
    <row r="40069" customFormat="1" x14ac:dyDescent="0.25"/>
    <row r="40070" customFormat="1" x14ac:dyDescent="0.25"/>
    <row r="40071" customFormat="1" x14ac:dyDescent="0.25"/>
    <row r="40072" customFormat="1" x14ac:dyDescent="0.25"/>
    <row r="40073" customFormat="1" x14ac:dyDescent="0.25"/>
    <row r="40074" customFormat="1" x14ac:dyDescent="0.25"/>
    <row r="40075" customFormat="1" x14ac:dyDescent="0.25"/>
    <row r="40076" customFormat="1" x14ac:dyDescent="0.25"/>
    <row r="40077" customFormat="1" x14ac:dyDescent="0.25"/>
    <row r="40078" customFormat="1" x14ac:dyDescent="0.25"/>
    <row r="40079" customFormat="1" x14ac:dyDescent="0.25"/>
    <row r="40080" customFormat="1" x14ac:dyDescent="0.25"/>
    <row r="40081" customFormat="1" x14ac:dyDescent="0.25"/>
    <row r="40082" customFormat="1" x14ac:dyDescent="0.25"/>
    <row r="40083" customFormat="1" x14ac:dyDescent="0.25"/>
    <row r="40084" customFormat="1" x14ac:dyDescent="0.25"/>
    <row r="40085" customFormat="1" x14ac:dyDescent="0.25"/>
    <row r="40086" customFormat="1" x14ac:dyDescent="0.25"/>
    <row r="40087" customFormat="1" x14ac:dyDescent="0.25"/>
    <row r="40088" customFormat="1" x14ac:dyDescent="0.25"/>
    <row r="40089" customFormat="1" x14ac:dyDescent="0.25"/>
    <row r="40090" customFormat="1" x14ac:dyDescent="0.25"/>
    <row r="40091" customFormat="1" x14ac:dyDescent="0.25"/>
    <row r="40092" customFormat="1" x14ac:dyDescent="0.25"/>
    <row r="40093" customFormat="1" x14ac:dyDescent="0.25"/>
    <row r="40094" customFormat="1" x14ac:dyDescent="0.25"/>
    <row r="40095" customFormat="1" x14ac:dyDescent="0.25"/>
    <row r="40096" customFormat="1" x14ac:dyDescent="0.25"/>
    <row r="40097" customFormat="1" x14ac:dyDescent="0.25"/>
    <row r="40098" customFormat="1" x14ac:dyDescent="0.25"/>
    <row r="40099" customFormat="1" x14ac:dyDescent="0.25"/>
    <row r="40100" customFormat="1" x14ac:dyDescent="0.25"/>
    <row r="40101" customFormat="1" x14ac:dyDescent="0.25"/>
    <row r="40102" customFormat="1" x14ac:dyDescent="0.25"/>
    <row r="40103" customFormat="1" x14ac:dyDescent="0.25"/>
    <row r="40104" customFormat="1" x14ac:dyDescent="0.25"/>
    <row r="40105" customFormat="1" x14ac:dyDescent="0.25"/>
    <row r="40106" customFormat="1" x14ac:dyDescent="0.25"/>
    <row r="40107" customFormat="1" x14ac:dyDescent="0.25"/>
    <row r="40108" customFormat="1" x14ac:dyDescent="0.25"/>
    <row r="40109" customFormat="1" x14ac:dyDescent="0.25"/>
    <row r="40110" customFormat="1" x14ac:dyDescent="0.25"/>
    <row r="40111" customFormat="1" x14ac:dyDescent="0.25"/>
    <row r="40112" customFormat="1" x14ac:dyDescent="0.25"/>
    <row r="40113" customFormat="1" x14ac:dyDescent="0.25"/>
    <row r="40114" customFormat="1" x14ac:dyDescent="0.25"/>
    <row r="40115" customFormat="1" x14ac:dyDescent="0.25"/>
    <row r="40116" customFormat="1" x14ac:dyDescent="0.25"/>
    <row r="40117" customFormat="1" x14ac:dyDescent="0.25"/>
    <row r="40118" customFormat="1" x14ac:dyDescent="0.25"/>
    <row r="40119" customFormat="1" x14ac:dyDescent="0.25"/>
    <row r="40120" customFormat="1" x14ac:dyDescent="0.25"/>
    <row r="40121" customFormat="1" x14ac:dyDescent="0.25"/>
    <row r="40122" customFormat="1" x14ac:dyDescent="0.25"/>
    <row r="40123" customFormat="1" x14ac:dyDescent="0.25"/>
    <row r="40124" customFormat="1" x14ac:dyDescent="0.25"/>
    <row r="40125" customFormat="1" x14ac:dyDescent="0.25"/>
    <row r="40126" customFormat="1" x14ac:dyDescent="0.25"/>
    <row r="40127" customFormat="1" x14ac:dyDescent="0.25"/>
    <row r="40128" customFormat="1" x14ac:dyDescent="0.25"/>
    <row r="40129" customFormat="1" x14ac:dyDescent="0.25"/>
    <row r="40130" customFormat="1" x14ac:dyDescent="0.25"/>
    <row r="40131" customFormat="1" x14ac:dyDescent="0.25"/>
    <row r="40132" customFormat="1" x14ac:dyDescent="0.25"/>
    <row r="40133" customFormat="1" x14ac:dyDescent="0.25"/>
    <row r="40134" customFormat="1" x14ac:dyDescent="0.25"/>
    <row r="40135" customFormat="1" x14ac:dyDescent="0.25"/>
    <row r="40136" customFormat="1" x14ac:dyDescent="0.25"/>
    <row r="40137" customFormat="1" x14ac:dyDescent="0.25"/>
    <row r="40138" customFormat="1" x14ac:dyDescent="0.25"/>
    <row r="40139" customFormat="1" x14ac:dyDescent="0.25"/>
    <row r="40140" customFormat="1" x14ac:dyDescent="0.25"/>
    <row r="40141" customFormat="1" x14ac:dyDescent="0.25"/>
    <row r="40142" customFormat="1" x14ac:dyDescent="0.25"/>
    <row r="40143" customFormat="1" x14ac:dyDescent="0.25"/>
    <row r="40144" customFormat="1" x14ac:dyDescent="0.25"/>
    <row r="40145" customFormat="1" x14ac:dyDescent="0.25"/>
    <row r="40146" customFormat="1" x14ac:dyDescent="0.25"/>
    <row r="40147" customFormat="1" x14ac:dyDescent="0.25"/>
    <row r="40148" customFormat="1" x14ac:dyDescent="0.25"/>
    <row r="40149" customFormat="1" x14ac:dyDescent="0.25"/>
    <row r="40150" customFormat="1" x14ac:dyDescent="0.25"/>
    <row r="40151" customFormat="1" x14ac:dyDescent="0.25"/>
    <row r="40152" customFormat="1" x14ac:dyDescent="0.25"/>
    <row r="40153" customFormat="1" x14ac:dyDescent="0.25"/>
    <row r="40154" customFormat="1" x14ac:dyDescent="0.25"/>
    <row r="40155" customFormat="1" x14ac:dyDescent="0.25"/>
    <row r="40156" customFormat="1" x14ac:dyDescent="0.25"/>
    <row r="40157" customFormat="1" x14ac:dyDescent="0.25"/>
    <row r="40158" customFormat="1" x14ac:dyDescent="0.25"/>
    <row r="40159" customFormat="1" x14ac:dyDescent="0.25"/>
    <row r="40160" customFormat="1" x14ac:dyDescent="0.25"/>
    <row r="40161" customFormat="1" x14ac:dyDescent="0.25"/>
    <row r="40162" customFormat="1" x14ac:dyDescent="0.25"/>
    <row r="40163" customFormat="1" x14ac:dyDescent="0.25"/>
    <row r="40164" customFormat="1" x14ac:dyDescent="0.25"/>
    <row r="40165" customFormat="1" x14ac:dyDescent="0.25"/>
    <row r="40166" customFormat="1" x14ac:dyDescent="0.25"/>
    <row r="40167" customFormat="1" x14ac:dyDescent="0.25"/>
    <row r="40168" customFormat="1" x14ac:dyDescent="0.25"/>
    <row r="40169" customFormat="1" x14ac:dyDescent="0.25"/>
    <row r="40170" customFormat="1" x14ac:dyDescent="0.25"/>
    <row r="40171" customFormat="1" x14ac:dyDescent="0.25"/>
    <row r="40172" customFormat="1" x14ac:dyDescent="0.25"/>
    <row r="40173" customFormat="1" x14ac:dyDescent="0.25"/>
    <row r="40174" customFormat="1" x14ac:dyDescent="0.25"/>
    <row r="40175" customFormat="1" x14ac:dyDescent="0.25"/>
    <row r="40176" customFormat="1" x14ac:dyDescent="0.25"/>
    <row r="40177" customFormat="1" x14ac:dyDescent="0.25"/>
    <row r="40178" customFormat="1" x14ac:dyDescent="0.25"/>
    <row r="40179" customFormat="1" x14ac:dyDescent="0.25"/>
    <row r="40180" customFormat="1" x14ac:dyDescent="0.25"/>
    <row r="40181" customFormat="1" x14ac:dyDescent="0.25"/>
    <row r="40182" customFormat="1" x14ac:dyDescent="0.25"/>
    <row r="40183" customFormat="1" x14ac:dyDescent="0.25"/>
    <row r="40184" customFormat="1" x14ac:dyDescent="0.25"/>
    <row r="40185" customFormat="1" x14ac:dyDescent="0.25"/>
    <row r="40186" customFormat="1" x14ac:dyDescent="0.25"/>
    <row r="40187" customFormat="1" x14ac:dyDescent="0.25"/>
    <row r="40188" customFormat="1" x14ac:dyDescent="0.25"/>
    <row r="40189" customFormat="1" x14ac:dyDescent="0.25"/>
    <row r="40190" customFormat="1" x14ac:dyDescent="0.25"/>
    <row r="40191" customFormat="1" x14ac:dyDescent="0.25"/>
    <row r="40192" customFormat="1" x14ac:dyDescent="0.25"/>
    <row r="40193" customFormat="1" x14ac:dyDescent="0.25"/>
    <row r="40194" customFormat="1" x14ac:dyDescent="0.25"/>
    <row r="40195" customFormat="1" x14ac:dyDescent="0.25"/>
    <row r="40196" customFormat="1" x14ac:dyDescent="0.25"/>
    <row r="40197" customFormat="1" x14ac:dyDescent="0.25"/>
    <row r="40198" customFormat="1" x14ac:dyDescent="0.25"/>
    <row r="40199" customFormat="1" x14ac:dyDescent="0.25"/>
    <row r="40200" customFormat="1" x14ac:dyDescent="0.25"/>
    <row r="40201" customFormat="1" x14ac:dyDescent="0.25"/>
    <row r="40202" customFormat="1" x14ac:dyDescent="0.25"/>
    <row r="40203" customFormat="1" x14ac:dyDescent="0.25"/>
    <row r="40204" customFormat="1" x14ac:dyDescent="0.25"/>
    <row r="40205" customFormat="1" x14ac:dyDescent="0.25"/>
    <row r="40206" customFormat="1" x14ac:dyDescent="0.25"/>
    <row r="40207" customFormat="1" x14ac:dyDescent="0.25"/>
    <row r="40208" customFormat="1" x14ac:dyDescent="0.25"/>
    <row r="40209" customFormat="1" x14ac:dyDescent="0.25"/>
    <row r="40210" customFormat="1" x14ac:dyDescent="0.25"/>
    <row r="40211" customFormat="1" x14ac:dyDescent="0.25"/>
    <row r="40212" customFormat="1" x14ac:dyDescent="0.25"/>
    <row r="40213" customFormat="1" x14ac:dyDescent="0.25"/>
    <row r="40214" customFormat="1" x14ac:dyDescent="0.25"/>
    <row r="40215" customFormat="1" x14ac:dyDescent="0.25"/>
    <row r="40216" customFormat="1" x14ac:dyDescent="0.25"/>
    <row r="40217" customFormat="1" x14ac:dyDescent="0.25"/>
    <row r="40218" customFormat="1" x14ac:dyDescent="0.25"/>
    <row r="40219" customFormat="1" x14ac:dyDescent="0.25"/>
    <row r="40220" customFormat="1" x14ac:dyDescent="0.25"/>
    <row r="40221" customFormat="1" x14ac:dyDescent="0.25"/>
    <row r="40222" customFormat="1" x14ac:dyDescent="0.25"/>
    <row r="40223" customFormat="1" x14ac:dyDescent="0.25"/>
    <row r="40224" customFormat="1" x14ac:dyDescent="0.25"/>
    <row r="40225" customFormat="1" x14ac:dyDescent="0.25"/>
    <row r="40226" customFormat="1" x14ac:dyDescent="0.25"/>
    <row r="40227" customFormat="1" x14ac:dyDescent="0.25"/>
    <row r="40228" customFormat="1" x14ac:dyDescent="0.25"/>
    <row r="40229" customFormat="1" x14ac:dyDescent="0.25"/>
    <row r="40230" customFormat="1" x14ac:dyDescent="0.25"/>
    <row r="40231" customFormat="1" x14ac:dyDescent="0.25"/>
    <row r="40232" customFormat="1" x14ac:dyDescent="0.25"/>
    <row r="40233" customFormat="1" x14ac:dyDescent="0.25"/>
    <row r="40234" customFormat="1" x14ac:dyDescent="0.25"/>
    <row r="40235" customFormat="1" x14ac:dyDescent="0.25"/>
    <row r="40236" customFormat="1" x14ac:dyDescent="0.25"/>
    <row r="40237" customFormat="1" x14ac:dyDescent="0.25"/>
    <row r="40238" customFormat="1" x14ac:dyDescent="0.25"/>
    <row r="40239" customFormat="1" x14ac:dyDescent="0.25"/>
    <row r="40240" customFormat="1" x14ac:dyDescent="0.25"/>
    <row r="40241" customFormat="1" x14ac:dyDescent="0.25"/>
    <row r="40242" customFormat="1" x14ac:dyDescent="0.25"/>
    <row r="40243" customFormat="1" x14ac:dyDescent="0.25"/>
    <row r="40244" customFormat="1" x14ac:dyDescent="0.25"/>
    <row r="40245" customFormat="1" x14ac:dyDescent="0.25"/>
    <row r="40246" customFormat="1" x14ac:dyDescent="0.25"/>
    <row r="40247" customFormat="1" x14ac:dyDescent="0.25"/>
    <row r="40248" customFormat="1" x14ac:dyDescent="0.25"/>
    <row r="40249" customFormat="1" x14ac:dyDescent="0.25"/>
    <row r="40250" customFormat="1" x14ac:dyDescent="0.25"/>
    <row r="40251" customFormat="1" x14ac:dyDescent="0.25"/>
    <row r="40252" customFormat="1" x14ac:dyDescent="0.25"/>
    <row r="40253" customFormat="1" x14ac:dyDescent="0.25"/>
    <row r="40254" customFormat="1" x14ac:dyDescent="0.25"/>
    <row r="40255" customFormat="1" x14ac:dyDescent="0.25"/>
    <row r="40256" customFormat="1" x14ac:dyDescent="0.25"/>
    <row r="40257" customFormat="1" x14ac:dyDescent="0.25"/>
    <row r="40258" customFormat="1" x14ac:dyDescent="0.25"/>
    <row r="40259" customFormat="1" x14ac:dyDescent="0.25"/>
    <row r="40260" customFormat="1" x14ac:dyDescent="0.25"/>
    <row r="40261" customFormat="1" x14ac:dyDescent="0.25"/>
    <row r="40262" customFormat="1" x14ac:dyDescent="0.25"/>
    <row r="40263" customFormat="1" x14ac:dyDescent="0.25"/>
    <row r="40264" customFormat="1" x14ac:dyDescent="0.25"/>
    <row r="40265" customFormat="1" x14ac:dyDescent="0.25"/>
    <row r="40266" customFormat="1" x14ac:dyDescent="0.25"/>
    <row r="40267" customFormat="1" x14ac:dyDescent="0.25"/>
    <row r="40268" customFormat="1" x14ac:dyDescent="0.25"/>
    <row r="40269" customFormat="1" x14ac:dyDescent="0.25"/>
    <row r="40270" customFormat="1" x14ac:dyDescent="0.25"/>
    <row r="40271" customFormat="1" x14ac:dyDescent="0.25"/>
    <row r="40272" customFormat="1" x14ac:dyDescent="0.25"/>
    <row r="40273" customFormat="1" x14ac:dyDescent="0.25"/>
    <row r="40274" customFormat="1" x14ac:dyDescent="0.25"/>
    <row r="40275" customFormat="1" x14ac:dyDescent="0.25"/>
    <row r="40276" customFormat="1" x14ac:dyDescent="0.25"/>
    <row r="40277" customFormat="1" x14ac:dyDescent="0.25"/>
    <row r="40278" customFormat="1" x14ac:dyDescent="0.25"/>
    <row r="40279" customFormat="1" x14ac:dyDescent="0.25"/>
    <row r="40280" customFormat="1" x14ac:dyDescent="0.25"/>
    <row r="40281" customFormat="1" x14ac:dyDescent="0.25"/>
    <row r="40282" customFormat="1" x14ac:dyDescent="0.25"/>
    <row r="40283" customFormat="1" x14ac:dyDescent="0.25"/>
    <row r="40284" customFormat="1" x14ac:dyDescent="0.25"/>
    <row r="40285" customFormat="1" x14ac:dyDescent="0.25"/>
    <row r="40286" customFormat="1" x14ac:dyDescent="0.25"/>
    <row r="40287" customFormat="1" x14ac:dyDescent="0.25"/>
    <row r="40288" customFormat="1" x14ac:dyDescent="0.25"/>
    <row r="40289" customFormat="1" x14ac:dyDescent="0.25"/>
    <row r="40290" customFormat="1" x14ac:dyDescent="0.25"/>
    <row r="40291" customFormat="1" x14ac:dyDescent="0.25"/>
    <row r="40292" customFormat="1" x14ac:dyDescent="0.25"/>
    <row r="40293" customFormat="1" x14ac:dyDescent="0.25"/>
    <row r="40294" customFormat="1" x14ac:dyDescent="0.25"/>
    <row r="40295" customFormat="1" x14ac:dyDescent="0.25"/>
    <row r="40296" customFormat="1" x14ac:dyDescent="0.25"/>
    <row r="40297" customFormat="1" x14ac:dyDescent="0.25"/>
    <row r="40298" customFormat="1" x14ac:dyDescent="0.25"/>
    <row r="40299" customFormat="1" x14ac:dyDescent="0.25"/>
    <row r="40300" customFormat="1" x14ac:dyDescent="0.25"/>
    <row r="40301" customFormat="1" x14ac:dyDescent="0.25"/>
    <row r="40302" customFormat="1" x14ac:dyDescent="0.25"/>
    <row r="40303" customFormat="1" x14ac:dyDescent="0.25"/>
    <row r="40304" customFormat="1" x14ac:dyDescent="0.25"/>
    <row r="40305" customFormat="1" x14ac:dyDescent="0.25"/>
    <row r="40306" customFormat="1" x14ac:dyDescent="0.25"/>
    <row r="40307" customFormat="1" x14ac:dyDescent="0.25"/>
    <row r="40308" customFormat="1" x14ac:dyDescent="0.25"/>
    <row r="40309" customFormat="1" x14ac:dyDescent="0.25"/>
    <row r="40310" customFormat="1" x14ac:dyDescent="0.25"/>
    <row r="40311" customFormat="1" x14ac:dyDescent="0.25"/>
    <row r="40312" customFormat="1" x14ac:dyDescent="0.25"/>
    <row r="40313" customFormat="1" x14ac:dyDescent="0.25"/>
    <row r="40314" customFormat="1" x14ac:dyDescent="0.25"/>
    <row r="40315" customFormat="1" x14ac:dyDescent="0.25"/>
    <row r="40316" customFormat="1" x14ac:dyDescent="0.25"/>
    <row r="40317" customFormat="1" x14ac:dyDescent="0.25"/>
    <row r="40318" customFormat="1" x14ac:dyDescent="0.25"/>
    <row r="40319" customFormat="1" x14ac:dyDescent="0.25"/>
    <row r="40320" customFormat="1" x14ac:dyDescent="0.25"/>
    <row r="40321" customFormat="1" x14ac:dyDescent="0.25"/>
    <row r="40322" customFormat="1" x14ac:dyDescent="0.25"/>
    <row r="40323" customFormat="1" x14ac:dyDescent="0.25"/>
    <row r="40324" customFormat="1" x14ac:dyDescent="0.25"/>
    <row r="40325" customFormat="1" x14ac:dyDescent="0.25"/>
    <row r="40326" customFormat="1" x14ac:dyDescent="0.25"/>
    <row r="40327" customFormat="1" x14ac:dyDescent="0.25"/>
    <row r="40328" customFormat="1" x14ac:dyDescent="0.25"/>
    <row r="40329" customFormat="1" x14ac:dyDescent="0.25"/>
    <row r="40330" customFormat="1" x14ac:dyDescent="0.25"/>
    <row r="40331" customFormat="1" x14ac:dyDescent="0.25"/>
    <row r="40332" customFormat="1" x14ac:dyDescent="0.25"/>
    <row r="40333" customFormat="1" x14ac:dyDescent="0.25"/>
    <row r="40334" customFormat="1" x14ac:dyDescent="0.25"/>
    <row r="40335" customFormat="1" x14ac:dyDescent="0.25"/>
    <row r="40336" customFormat="1" x14ac:dyDescent="0.25"/>
    <row r="40337" customFormat="1" x14ac:dyDescent="0.25"/>
    <row r="40338" customFormat="1" x14ac:dyDescent="0.25"/>
    <row r="40339" customFormat="1" x14ac:dyDescent="0.25"/>
    <row r="40340" customFormat="1" x14ac:dyDescent="0.25"/>
    <row r="40341" customFormat="1" x14ac:dyDescent="0.25"/>
    <row r="40342" customFormat="1" x14ac:dyDescent="0.25"/>
    <row r="40343" customFormat="1" x14ac:dyDescent="0.25"/>
    <row r="40344" customFormat="1" x14ac:dyDescent="0.25"/>
    <row r="40345" customFormat="1" x14ac:dyDescent="0.25"/>
    <row r="40346" customFormat="1" x14ac:dyDescent="0.25"/>
    <row r="40347" customFormat="1" x14ac:dyDescent="0.25"/>
    <row r="40348" customFormat="1" x14ac:dyDescent="0.25"/>
    <row r="40349" customFormat="1" x14ac:dyDescent="0.25"/>
    <row r="40350" customFormat="1" x14ac:dyDescent="0.25"/>
    <row r="40351" customFormat="1" x14ac:dyDescent="0.25"/>
    <row r="40352" customFormat="1" x14ac:dyDescent="0.25"/>
    <row r="40353" customFormat="1" x14ac:dyDescent="0.25"/>
    <row r="40354" customFormat="1" x14ac:dyDescent="0.25"/>
    <row r="40355" customFormat="1" x14ac:dyDescent="0.25"/>
    <row r="40356" customFormat="1" x14ac:dyDescent="0.25"/>
    <row r="40357" customFormat="1" x14ac:dyDescent="0.25"/>
    <row r="40358" customFormat="1" x14ac:dyDescent="0.25"/>
    <row r="40359" customFormat="1" x14ac:dyDescent="0.25"/>
    <row r="40360" customFormat="1" x14ac:dyDescent="0.25"/>
    <row r="40361" customFormat="1" x14ac:dyDescent="0.25"/>
    <row r="40362" customFormat="1" x14ac:dyDescent="0.25"/>
    <row r="40363" customFormat="1" x14ac:dyDescent="0.25"/>
    <row r="40364" customFormat="1" x14ac:dyDescent="0.25"/>
    <row r="40365" customFormat="1" x14ac:dyDescent="0.25"/>
    <row r="40366" customFormat="1" x14ac:dyDescent="0.25"/>
    <row r="40367" customFormat="1" x14ac:dyDescent="0.25"/>
    <row r="40368" customFormat="1" x14ac:dyDescent="0.25"/>
    <row r="40369" customFormat="1" x14ac:dyDescent="0.25"/>
    <row r="40370" customFormat="1" x14ac:dyDescent="0.25"/>
    <row r="40371" customFormat="1" x14ac:dyDescent="0.25"/>
    <row r="40372" customFormat="1" x14ac:dyDescent="0.25"/>
    <row r="40373" customFormat="1" x14ac:dyDescent="0.25"/>
    <row r="40374" customFormat="1" x14ac:dyDescent="0.25"/>
    <row r="40375" customFormat="1" x14ac:dyDescent="0.25"/>
    <row r="40376" customFormat="1" x14ac:dyDescent="0.25"/>
    <row r="40377" customFormat="1" x14ac:dyDescent="0.25"/>
    <row r="40378" customFormat="1" x14ac:dyDescent="0.25"/>
    <row r="40379" customFormat="1" x14ac:dyDescent="0.25"/>
    <row r="40380" customFormat="1" x14ac:dyDescent="0.25"/>
    <row r="40381" customFormat="1" x14ac:dyDescent="0.25"/>
    <row r="40382" customFormat="1" x14ac:dyDescent="0.25"/>
    <row r="40383" customFormat="1" x14ac:dyDescent="0.25"/>
    <row r="40384" customFormat="1" x14ac:dyDescent="0.25"/>
    <row r="40385" customFormat="1" x14ac:dyDescent="0.25"/>
    <row r="40386" customFormat="1" x14ac:dyDescent="0.25"/>
    <row r="40387" customFormat="1" x14ac:dyDescent="0.25"/>
    <row r="40388" customFormat="1" x14ac:dyDescent="0.25"/>
    <row r="40389" customFormat="1" x14ac:dyDescent="0.25"/>
    <row r="40390" customFormat="1" x14ac:dyDescent="0.25"/>
    <row r="40391" customFormat="1" x14ac:dyDescent="0.25"/>
    <row r="40392" customFormat="1" x14ac:dyDescent="0.25"/>
    <row r="40393" customFormat="1" x14ac:dyDescent="0.25"/>
    <row r="40394" customFormat="1" x14ac:dyDescent="0.25"/>
    <row r="40395" customFormat="1" x14ac:dyDescent="0.25"/>
    <row r="40396" customFormat="1" x14ac:dyDescent="0.25"/>
    <row r="40397" customFormat="1" x14ac:dyDescent="0.25"/>
    <row r="40398" customFormat="1" x14ac:dyDescent="0.25"/>
    <row r="40399" customFormat="1" x14ac:dyDescent="0.25"/>
    <row r="40400" customFormat="1" x14ac:dyDescent="0.25"/>
    <row r="40401" customFormat="1" x14ac:dyDescent="0.25"/>
    <row r="40402" customFormat="1" x14ac:dyDescent="0.25"/>
    <row r="40403" customFormat="1" x14ac:dyDescent="0.25"/>
    <row r="40404" customFormat="1" x14ac:dyDescent="0.25"/>
    <row r="40405" customFormat="1" x14ac:dyDescent="0.25"/>
    <row r="40406" customFormat="1" x14ac:dyDescent="0.25"/>
    <row r="40407" customFormat="1" x14ac:dyDescent="0.25"/>
    <row r="40408" customFormat="1" x14ac:dyDescent="0.25"/>
    <row r="40409" customFormat="1" x14ac:dyDescent="0.25"/>
    <row r="40410" customFormat="1" x14ac:dyDescent="0.25"/>
    <row r="40411" customFormat="1" x14ac:dyDescent="0.25"/>
    <row r="40412" customFormat="1" x14ac:dyDescent="0.25"/>
    <row r="40413" customFormat="1" x14ac:dyDescent="0.25"/>
    <row r="40414" customFormat="1" x14ac:dyDescent="0.25"/>
    <row r="40415" customFormat="1" x14ac:dyDescent="0.25"/>
    <row r="40416" customFormat="1" x14ac:dyDescent="0.25"/>
    <row r="40417" customFormat="1" x14ac:dyDescent="0.25"/>
    <row r="40418" customFormat="1" x14ac:dyDescent="0.25"/>
    <row r="40419" customFormat="1" x14ac:dyDescent="0.25"/>
    <row r="40420" customFormat="1" x14ac:dyDescent="0.25"/>
    <row r="40421" customFormat="1" x14ac:dyDescent="0.25"/>
    <row r="40422" customFormat="1" x14ac:dyDescent="0.25"/>
    <row r="40423" customFormat="1" x14ac:dyDescent="0.25"/>
    <row r="40424" customFormat="1" x14ac:dyDescent="0.25"/>
    <row r="40425" customFormat="1" x14ac:dyDescent="0.25"/>
    <row r="40426" customFormat="1" x14ac:dyDescent="0.25"/>
    <row r="40427" customFormat="1" x14ac:dyDescent="0.25"/>
    <row r="40428" customFormat="1" x14ac:dyDescent="0.25"/>
    <row r="40429" customFormat="1" x14ac:dyDescent="0.25"/>
    <row r="40430" customFormat="1" x14ac:dyDescent="0.25"/>
    <row r="40431" customFormat="1" x14ac:dyDescent="0.25"/>
    <row r="40432" customFormat="1" x14ac:dyDescent="0.25"/>
    <row r="40433" customFormat="1" x14ac:dyDescent="0.25"/>
    <row r="40434" customFormat="1" x14ac:dyDescent="0.25"/>
    <row r="40435" customFormat="1" x14ac:dyDescent="0.25"/>
    <row r="40436" customFormat="1" x14ac:dyDescent="0.25"/>
    <row r="40437" customFormat="1" x14ac:dyDescent="0.25"/>
    <row r="40438" customFormat="1" x14ac:dyDescent="0.25"/>
    <row r="40439" customFormat="1" x14ac:dyDescent="0.25"/>
    <row r="40440" customFormat="1" x14ac:dyDescent="0.25"/>
    <row r="40441" customFormat="1" x14ac:dyDescent="0.25"/>
    <row r="40442" customFormat="1" x14ac:dyDescent="0.25"/>
    <row r="40443" customFormat="1" x14ac:dyDescent="0.25"/>
    <row r="40444" customFormat="1" x14ac:dyDescent="0.25"/>
    <row r="40445" customFormat="1" x14ac:dyDescent="0.25"/>
    <row r="40446" customFormat="1" x14ac:dyDescent="0.25"/>
    <row r="40447" customFormat="1" x14ac:dyDescent="0.25"/>
    <row r="40448" customFormat="1" x14ac:dyDescent="0.25"/>
    <row r="40449" customFormat="1" x14ac:dyDescent="0.25"/>
    <row r="40450" customFormat="1" x14ac:dyDescent="0.25"/>
    <row r="40451" customFormat="1" x14ac:dyDescent="0.25"/>
    <row r="40452" customFormat="1" x14ac:dyDescent="0.25"/>
    <row r="40453" customFormat="1" x14ac:dyDescent="0.25"/>
    <row r="40454" customFormat="1" x14ac:dyDescent="0.25"/>
    <row r="40455" customFormat="1" x14ac:dyDescent="0.25"/>
    <row r="40456" customFormat="1" x14ac:dyDescent="0.25"/>
    <row r="40457" customFormat="1" x14ac:dyDescent="0.25"/>
    <row r="40458" customFormat="1" x14ac:dyDescent="0.25"/>
    <row r="40459" customFormat="1" x14ac:dyDescent="0.25"/>
    <row r="40460" customFormat="1" x14ac:dyDescent="0.25"/>
    <row r="40461" customFormat="1" x14ac:dyDescent="0.25"/>
    <row r="40462" customFormat="1" x14ac:dyDescent="0.25"/>
    <row r="40463" customFormat="1" x14ac:dyDescent="0.25"/>
    <row r="40464" customFormat="1" x14ac:dyDescent="0.25"/>
    <row r="40465" customFormat="1" x14ac:dyDescent="0.25"/>
    <row r="40466" customFormat="1" x14ac:dyDescent="0.25"/>
    <row r="40467" customFormat="1" x14ac:dyDescent="0.25"/>
    <row r="40468" customFormat="1" x14ac:dyDescent="0.25"/>
    <row r="40469" customFormat="1" x14ac:dyDescent="0.25"/>
    <row r="40470" customFormat="1" x14ac:dyDescent="0.25"/>
    <row r="40471" customFormat="1" x14ac:dyDescent="0.25"/>
    <row r="40472" customFormat="1" x14ac:dyDescent="0.25"/>
    <row r="40473" customFormat="1" x14ac:dyDescent="0.25"/>
    <row r="40474" customFormat="1" x14ac:dyDescent="0.25"/>
    <row r="40475" customFormat="1" x14ac:dyDescent="0.25"/>
    <row r="40476" customFormat="1" x14ac:dyDescent="0.25"/>
    <row r="40477" customFormat="1" x14ac:dyDescent="0.25"/>
    <row r="40478" customFormat="1" x14ac:dyDescent="0.25"/>
    <row r="40479" customFormat="1" x14ac:dyDescent="0.25"/>
    <row r="40480" customFormat="1" x14ac:dyDescent="0.25"/>
    <row r="40481" customFormat="1" x14ac:dyDescent="0.25"/>
    <row r="40482" customFormat="1" x14ac:dyDescent="0.25"/>
    <row r="40483" customFormat="1" x14ac:dyDescent="0.25"/>
    <row r="40484" customFormat="1" x14ac:dyDescent="0.25"/>
    <row r="40485" customFormat="1" x14ac:dyDescent="0.25"/>
    <row r="40486" customFormat="1" x14ac:dyDescent="0.25"/>
    <row r="40487" customFormat="1" x14ac:dyDescent="0.25"/>
    <row r="40488" customFormat="1" x14ac:dyDescent="0.25"/>
    <row r="40489" customFormat="1" x14ac:dyDescent="0.25"/>
    <row r="40490" customFormat="1" x14ac:dyDescent="0.25"/>
    <row r="40491" customFormat="1" x14ac:dyDescent="0.25"/>
    <row r="40492" customFormat="1" x14ac:dyDescent="0.25"/>
    <row r="40493" customFormat="1" x14ac:dyDescent="0.25"/>
    <row r="40494" customFormat="1" x14ac:dyDescent="0.25"/>
    <row r="40495" customFormat="1" x14ac:dyDescent="0.25"/>
    <row r="40496" customFormat="1" x14ac:dyDescent="0.25"/>
    <row r="40497" customFormat="1" x14ac:dyDescent="0.25"/>
    <row r="40498" customFormat="1" x14ac:dyDescent="0.25"/>
    <row r="40499" customFormat="1" x14ac:dyDescent="0.25"/>
    <row r="40500" customFormat="1" x14ac:dyDescent="0.25"/>
    <row r="40501" customFormat="1" x14ac:dyDescent="0.25"/>
    <row r="40502" customFormat="1" x14ac:dyDescent="0.25"/>
    <row r="40503" customFormat="1" x14ac:dyDescent="0.25"/>
    <row r="40504" customFormat="1" x14ac:dyDescent="0.25"/>
    <row r="40505" customFormat="1" x14ac:dyDescent="0.25"/>
    <row r="40506" customFormat="1" x14ac:dyDescent="0.25"/>
    <row r="40507" customFormat="1" x14ac:dyDescent="0.25"/>
    <row r="40508" customFormat="1" x14ac:dyDescent="0.25"/>
    <row r="40509" customFormat="1" x14ac:dyDescent="0.25"/>
    <row r="40510" customFormat="1" x14ac:dyDescent="0.25"/>
    <row r="40511" customFormat="1" x14ac:dyDescent="0.25"/>
    <row r="40512" customFormat="1" x14ac:dyDescent="0.25"/>
    <row r="40513" customFormat="1" x14ac:dyDescent="0.25"/>
    <row r="40514" customFormat="1" x14ac:dyDescent="0.25"/>
    <row r="40515" customFormat="1" x14ac:dyDescent="0.25"/>
    <row r="40516" customFormat="1" x14ac:dyDescent="0.25"/>
    <row r="40517" customFormat="1" x14ac:dyDescent="0.25"/>
    <row r="40518" customFormat="1" x14ac:dyDescent="0.25"/>
    <row r="40519" customFormat="1" x14ac:dyDescent="0.25"/>
    <row r="40520" customFormat="1" x14ac:dyDescent="0.25"/>
    <row r="40521" customFormat="1" x14ac:dyDescent="0.25"/>
    <row r="40522" customFormat="1" x14ac:dyDescent="0.25"/>
    <row r="40523" customFormat="1" x14ac:dyDescent="0.25"/>
    <row r="40524" customFormat="1" x14ac:dyDescent="0.25"/>
    <row r="40525" customFormat="1" x14ac:dyDescent="0.25"/>
    <row r="40526" customFormat="1" x14ac:dyDescent="0.25"/>
    <row r="40527" customFormat="1" x14ac:dyDescent="0.25"/>
    <row r="40528" customFormat="1" x14ac:dyDescent="0.25"/>
    <row r="40529" customFormat="1" x14ac:dyDescent="0.25"/>
    <row r="40530" customFormat="1" x14ac:dyDescent="0.25"/>
    <row r="40531" customFormat="1" x14ac:dyDescent="0.25"/>
    <row r="40532" customFormat="1" x14ac:dyDescent="0.25"/>
    <row r="40533" customFormat="1" x14ac:dyDescent="0.25"/>
    <row r="40534" customFormat="1" x14ac:dyDescent="0.25"/>
    <row r="40535" customFormat="1" x14ac:dyDescent="0.25"/>
    <row r="40536" customFormat="1" x14ac:dyDescent="0.25"/>
    <row r="40537" customFormat="1" x14ac:dyDescent="0.25"/>
    <row r="40538" customFormat="1" x14ac:dyDescent="0.25"/>
    <row r="40539" customFormat="1" x14ac:dyDescent="0.25"/>
    <row r="40540" customFormat="1" x14ac:dyDescent="0.25"/>
    <row r="40541" customFormat="1" x14ac:dyDescent="0.25"/>
    <row r="40542" customFormat="1" x14ac:dyDescent="0.25"/>
    <row r="40543" customFormat="1" x14ac:dyDescent="0.25"/>
    <row r="40544" customFormat="1" x14ac:dyDescent="0.25"/>
    <row r="40545" customFormat="1" x14ac:dyDescent="0.25"/>
    <row r="40546" customFormat="1" x14ac:dyDescent="0.25"/>
    <row r="40547" customFormat="1" x14ac:dyDescent="0.25"/>
    <row r="40548" customFormat="1" x14ac:dyDescent="0.25"/>
    <row r="40549" customFormat="1" x14ac:dyDescent="0.25"/>
    <row r="40550" customFormat="1" x14ac:dyDescent="0.25"/>
    <row r="40551" customFormat="1" x14ac:dyDescent="0.25"/>
    <row r="40552" customFormat="1" x14ac:dyDescent="0.25"/>
    <row r="40553" customFormat="1" x14ac:dyDescent="0.25"/>
    <row r="40554" customFormat="1" x14ac:dyDescent="0.25"/>
    <row r="40555" customFormat="1" x14ac:dyDescent="0.25"/>
    <row r="40556" customFormat="1" x14ac:dyDescent="0.25"/>
    <row r="40557" customFormat="1" x14ac:dyDescent="0.25"/>
    <row r="40558" customFormat="1" x14ac:dyDescent="0.25"/>
    <row r="40559" customFormat="1" x14ac:dyDescent="0.25"/>
    <row r="40560" customFormat="1" x14ac:dyDescent="0.25"/>
    <row r="40561" customFormat="1" x14ac:dyDescent="0.25"/>
    <row r="40562" customFormat="1" x14ac:dyDescent="0.25"/>
    <row r="40563" customFormat="1" x14ac:dyDescent="0.25"/>
    <row r="40564" customFormat="1" x14ac:dyDescent="0.25"/>
    <row r="40565" customFormat="1" x14ac:dyDescent="0.25"/>
    <row r="40566" customFormat="1" x14ac:dyDescent="0.25"/>
    <row r="40567" customFormat="1" x14ac:dyDescent="0.25"/>
    <row r="40568" customFormat="1" x14ac:dyDescent="0.25"/>
    <row r="40569" customFormat="1" x14ac:dyDescent="0.25"/>
    <row r="40570" customFormat="1" x14ac:dyDescent="0.25"/>
    <row r="40571" customFormat="1" x14ac:dyDescent="0.25"/>
    <row r="40572" customFormat="1" x14ac:dyDescent="0.25"/>
    <row r="40573" customFormat="1" x14ac:dyDescent="0.25"/>
    <row r="40574" customFormat="1" x14ac:dyDescent="0.25"/>
    <row r="40575" customFormat="1" x14ac:dyDescent="0.25"/>
    <row r="40576" customFormat="1" x14ac:dyDescent="0.25"/>
    <row r="40577" customFormat="1" x14ac:dyDescent="0.25"/>
    <row r="40578" customFormat="1" x14ac:dyDescent="0.25"/>
    <row r="40579" customFormat="1" x14ac:dyDescent="0.25"/>
    <row r="40580" customFormat="1" x14ac:dyDescent="0.25"/>
    <row r="40581" customFormat="1" x14ac:dyDescent="0.25"/>
    <row r="40582" customFormat="1" x14ac:dyDescent="0.25"/>
    <row r="40583" customFormat="1" x14ac:dyDescent="0.25"/>
    <row r="40584" customFormat="1" x14ac:dyDescent="0.25"/>
    <row r="40585" customFormat="1" x14ac:dyDescent="0.25"/>
    <row r="40586" customFormat="1" x14ac:dyDescent="0.25"/>
    <row r="40587" customFormat="1" x14ac:dyDescent="0.25"/>
    <row r="40588" customFormat="1" x14ac:dyDescent="0.25"/>
    <row r="40589" customFormat="1" x14ac:dyDescent="0.25"/>
    <row r="40590" customFormat="1" x14ac:dyDescent="0.25"/>
    <row r="40591" customFormat="1" x14ac:dyDescent="0.25"/>
    <row r="40592" customFormat="1" x14ac:dyDescent="0.25"/>
    <row r="40593" customFormat="1" x14ac:dyDescent="0.25"/>
    <row r="40594" customFormat="1" x14ac:dyDescent="0.25"/>
    <row r="40595" customFormat="1" x14ac:dyDescent="0.25"/>
    <row r="40596" customFormat="1" x14ac:dyDescent="0.25"/>
    <row r="40597" customFormat="1" x14ac:dyDescent="0.25"/>
    <row r="40598" customFormat="1" x14ac:dyDescent="0.25"/>
    <row r="40599" customFormat="1" x14ac:dyDescent="0.25"/>
    <row r="40600" customFormat="1" x14ac:dyDescent="0.25"/>
    <row r="40601" customFormat="1" x14ac:dyDescent="0.25"/>
    <row r="40602" customFormat="1" x14ac:dyDescent="0.25"/>
    <row r="40603" customFormat="1" x14ac:dyDescent="0.25"/>
    <row r="40604" customFormat="1" x14ac:dyDescent="0.25"/>
    <row r="40605" customFormat="1" x14ac:dyDescent="0.25"/>
    <row r="40606" customFormat="1" x14ac:dyDescent="0.25"/>
    <row r="40607" customFormat="1" x14ac:dyDescent="0.25"/>
    <row r="40608" customFormat="1" x14ac:dyDescent="0.25"/>
    <row r="40609" customFormat="1" x14ac:dyDescent="0.25"/>
    <row r="40610" customFormat="1" x14ac:dyDescent="0.25"/>
    <row r="40611" customFormat="1" x14ac:dyDescent="0.25"/>
    <row r="40612" customFormat="1" x14ac:dyDescent="0.25"/>
    <row r="40613" customFormat="1" x14ac:dyDescent="0.25"/>
    <row r="40614" customFormat="1" x14ac:dyDescent="0.25"/>
    <row r="40615" customFormat="1" x14ac:dyDescent="0.25"/>
    <row r="40616" customFormat="1" x14ac:dyDescent="0.25"/>
    <row r="40617" customFormat="1" x14ac:dyDescent="0.25"/>
    <row r="40618" customFormat="1" x14ac:dyDescent="0.25"/>
    <row r="40619" customFormat="1" x14ac:dyDescent="0.25"/>
    <row r="40620" customFormat="1" x14ac:dyDescent="0.25"/>
    <row r="40621" customFormat="1" x14ac:dyDescent="0.25"/>
    <row r="40622" customFormat="1" x14ac:dyDescent="0.25"/>
    <row r="40623" customFormat="1" x14ac:dyDescent="0.25"/>
    <row r="40624" customFormat="1" x14ac:dyDescent="0.25"/>
    <row r="40625" customFormat="1" x14ac:dyDescent="0.25"/>
    <row r="40626" customFormat="1" x14ac:dyDescent="0.25"/>
    <row r="40627" customFormat="1" x14ac:dyDescent="0.25"/>
    <row r="40628" customFormat="1" x14ac:dyDescent="0.25"/>
    <row r="40629" customFormat="1" x14ac:dyDescent="0.25"/>
    <row r="40630" customFormat="1" x14ac:dyDescent="0.25"/>
    <row r="40631" customFormat="1" x14ac:dyDescent="0.25"/>
    <row r="40632" customFormat="1" x14ac:dyDescent="0.25"/>
    <row r="40633" customFormat="1" x14ac:dyDescent="0.25"/>
    <row r="40634" customFormat="1" x14ac:dyDescent="0.25"/>
    <row r="40635" customFormat="1" x14ac:dyDescent="0.25"/>
    <row r="40636" customFormat="1" x14ac:dyDescent="0.25"/>
    <row r="40637" customFormat="1" x14ac:dyDescent="0.25"/>
    <row r="40638" customFormat="1" x14ac:dyDescent="0.25"/>
    <row r="40639" customFormat="1" x14ac:dyDescent="0.25"/>
    <row r="40640" customFormat="1" x14ac:dyDescent="0.25"/>
    <row r="40641" customFormat="1" x14ac:dyDescent="0.25"/>
    <row r="40642" customFormat="1" x14ac:dyDescent="0.25"/>
    <row r="40643" customFormat="1" x14ac:dyDescent="0.25"/>
    <row r="40644" customFormat="1" x14ac:dyDescent="0.25"/>
    <row r="40645" customFormat="1" x14ac:dyDescent="0.25"/>
    <row r="40646" customFormat="1" x14ac:dyDescent="0.25"/>
    <row r="40647" customFormat="1" x14ac:dyDescent="0.25"/>
    <row r="40648" customFormat="1" x14ac:dyDescent="0.25"/>
    <row r="40649" customFormat="1" x14ac:dyDescent="0.25"/>
    <row r="40650" customFormat="1" x14ac:dyDescent="0.25"/>
    <row r="40651" customFormat="1" x14ac:dyDescent="0.25"/>
    <row r="40652" customFormat="1" x14ac:dyDescent="0.25"/>
    <row r="40653" customFormat="1" x14ac:dyDescent="0.25"/>
    <row r="40654" customFormat="1" x14ac:dyDescent="0.25"/>
    <row r="40655" customFormat="1" x14ac:dyDescent="0.25"/>
    <row r="40656" customFormat="1" x14ac:dyDescent="0.25"/>
    <row r="40657" customFormat="1" x14ac:dyDescent="0.25"/>
    <row r="40658" customFormat="1" x14ac:dyDescent="0.25"/>
    <row r="40659" customFormat="1" x14ac:dyDescent="0.25"/>
    <row r="40660" customFormat="1" x14ac:dyDescent="0.25"/>
    <row r="40661" customFormat="1" x14ac:dyDescent="0.25"/>
    <row r="40662" customFormat="1" x14ac:dyDescent="0.25"/>
    <row r="40663" customFormat="1" x14ac:dyDescent="0.25"/>
    <row r="40664" customFormat="1" x14ac:dyDescent="0.25"/>
    <row r="40665" customFormat="1" x14ac:dyDescent="0.25"/>
    <row r="40666" customFormat="1" x14ac:dyDescent="0.25"/>
    <row r="40667" customFormat="1" x14ac:dyDescent="0.25"/>
    <row r="40668" customFormat="1" x14ac:dyDescent="0.25"/>
    <row r="40669" customFormat="1" x14ac:dyDescent="0.25"/>
    <row r="40670" customFormat="1" x14ac:dyDescent="0.25"/>
    <row r="40671" customFormat="1" x14ac:dyDescent="0.25"/>
    <row r="40672" customFormat="1" x14ac:dyDescent="0.25"/>
    <row r="40673" customFormat="1" x14ac:dyDescent="0.25"/>
    <row r="40674" customFormat="1" x14ac:dyDescent="0.25"/>
    <row r="40675" customFormat="1" x14ac:dyDescent="0.25"/>
    <row r="40676" customFormat="1" x14ac:dyDescent="0.25"/>
    <row r="40677" customFormat="1" x14ac:dyDescent="0.25"/>
    <row r="40678" customFormat="1" x14ac:dyDescent="0.25"/>
    <row r="40679" customFormat="1" x14ac:dyDescent="0.25"/>
    <row r="40680" customFormat="1" x14ac:dyDescent="0.25"/>
    <row r="40681" customFormat="1" x14ac:dyDescent="0.25"/>
    <row r="40682" customFormat="1" x14ac:dyDescent="0.25"/>
    <row r="40683" customFormat="1" x14ac:dyDescent="0.25"/>
    <row r="40684" customFormat="1" x14ac:dyDescent="0.25"/>
    <row r="40685" customFormat="1" x14ac:dyDescent="0.25"/>
    <row r="40686" customFormat="1" x14ac:dyDescent="0.25"/>
    <row r="40687" customFormat="1" x14ac:dyDescent="0.25"/>
    <row r="40688" customFormat="1" x14ac:dyDescent="0.25"/>
    <row r="40689" customFormat="1" x14ac:dyDescent="0.25"/>
    <row r="40690" customFormat="1" x14ac:dyDescent="0.25"/>
    <row r="40691" customFormat="1" x14ac:dyDescent="0.25"/>
    <row r="40692" customFormat="1" x14ac:dyDescent="0.25"/>
    <row r="40693" customFormat="1" x14ac:dyDescent="0.25"/>
    <row r="40694" customFormat="1" x14ac:dyDescent="0.25"/>
    <row r="40695" customFormat="1" x14ac:dyDescent="0.25"/>
    <row r="40696" customFormat="1" x14ac:dyDescent="0.25"/>
    <row r="40697" customFormat="1" x14ac:dyDescent="0.25"/>
    <row r="40698" customFormat="1" x14ac:dyDescent="0.25"/>
    <row r="40699" customFormat="1" x14ac:dyDescent="0.25"/>
    <row r="40700" customFormat="1" x14ac:dyDescent="0.25"/>
    <row r="40701" customFormat="1" x14ac:dyDescent="0.25"/>
    <row r="40702" customFormat="1" x14ac:dyDescent="0.25"/>
    <row r="40703" customFormat="1" x14ac:dyDescent="0.25"/>
    <row r="40704" customFormat="1" x14ac:dyDescent="0.25"/>
    <row r="40705" customFormat="1" x14ac:dyDescent="0.25"/>
    <row r="40706" customFormat="1" x14ac:dyDescent="0.25"/>
    <row r="40707" customFormat="1" x14ac:dyDescent="0.25"/>
    <row r="40708" customFormat="1" x14ac:dyDescent="0.25"/>
    <row r="40709" customFormat="1" x14ac:dyDescent="0.25"/>
    <row r="40710" customFormat="1" x14ac:dyDescent="0.25"/>
    <row r="40711" customFormat="1" x14ac:dyDescent="0.25"/>
    <row r="40712" customFormat="1" x14ac:dyDescent="0.25"/>
    <row r="40713" customFormat="1" x14ac:dyDescent="0.25"/>
    <row r="40714" customFormat="1" x14ac:dyDescent="0.25"/>
    <row r="40715" customFormat="1" x14ac:dyDescent="0.25"/>
    <row r="40716" customFormat="1" x14ac:dyDescent="0.25"/>
    <row r="40717" customFormat="1" x14ac:dyDescent="0.25"/>
    <row r="40718" customFormat="1" x14ac:dyDescent="0.25"/>
    <row r="40719" customFormat="1" x14ac:dyDescent="0.25"/>
    <row r="40720" customFormat="1" x14ac:dyDescent="0.25"/>
    <row r="40721" customFormat="1" x14ac:dyDescent="0.25"/>
    <row r="40722" customFormat="1" x14ac:dyDescent="0.25"/>
    <row r="40723" customFormat="1" x14ac:dyDescent="0.25"/>
    <row r="40724" customFormat="1" x14ac:dyDescent="0.25"/>
    <row r="40725" customFormat="1" x14ac:dyDescent="0.25"/>
    <row r="40726" customFormat="1" x14ac:dyDescent="0.25"/>
    <row r="40727" customFormat="1" x14ac:dyDescent="0.25"/>
    <row r="40728" customFormat="1" x14ac:dyDescent="0.25"/>
    <row r="40729" customFormat="1" x14ac:dyDescent="0.25"/>
    <row r="40730" customFormat="1" x14ac:dyDescent="0.25"/>
    <row r="40731" customFormat="1" x14ac:dyDescent="0.25"/>
    <row r="40732" customFormat="1" x14ac:dyDescent="0.25"/>
    <row r="40733" customFormat="1" x14ac:dyDescent="0.25"/>
    <row r="40734" customFormat="1" x14ac:dyDescent="0.25"/>
    <row r="40735" customFormat="1" x14ac:dyDescent="0.25"/>
    <row r="40736" customFormat="1" x14ac:dyDescent="0.25"/>
    <row r="40737" customFormat="1" x14ac:dyDescent="0.25"/>
    <row r="40738" customFormat="1" x14ac:dyDescent="0.25"/>
    <row r="40739" customFormat="1" x14ac:dyDescent="0.25"/>
    <row r="40740" customFormat="1" x14ac:dyDescent="0.25"/>
    <row r="40741" customFormat="1" x14ac:dyDescent="0.25"/>
    <row r="40742" customFormat="1" x14ac:dyDescent="0.25"/>
    <row r="40743" customFormat="1" x14ac:dyDescent="0.25"/>
    <row r="40744" customFormat="1" x14ac:dyDescent="0.25"/>
    <row r="40745" customFormat="1" x14ac:dyDescent="0.25"/>
    <row r="40746" customFormat="1" x14ac:dyDescent="0.25"/>
    <row r="40747" customFormat="1" x14ac:dyDescent="0.25"/>
    <row r="40748" customFormat="1" x14ac:dyDescent="0.25"/>
    <row r="40749" customFormat="1" x14ac:dyDescent="0.25"/>
    <row r="40750" customFormat="1" x14ac:dyDescent="0.25"/>
    <row r="40751" customFormat="1" x14ac:dyDescent="0.25"/>
    <row r="40752" customFormat="1" x14ac:dyDescent="0.25"/>
    <row r="40753" customFormat="1" x14ac:dyDescent="0.25"/>
    <row r="40754" customFormat="1" x14ac:dyDescent="0.25"/>
    <row r="40755" customFormat="1" x14ac:dyDescent="0.25"/>
    <row r="40756" customFormat="1" x14ac:dyDescent="0.25"/>
    <row r="40757" customFormat="1" x14ac:dyDescent="0.25"/>
    <row r="40758" customFormat="1" x14ac:dyDescent="0.25"/>
    <row r="40759" customFormat="1" x14ac:dyDescent="0.25"/>
    <row r="40760" customFormat="1" x14ac:dyDescent="0.25"/>
    <row r="40761" customFormat="1" x14ac:dyDescent="0.25"/>
    <row r="40762" customFormat="1" x14ac:dyDescent="0.25"/>
    <row r="40763" customFormat="1" x14ac:dyDescent="0.25"/>
    <row r="40764" customFormat="1" x14ac:dyDescent="0.25"/>
    <row r="40765" customFormat="1" x14ac:dyDescent="0.25"/>
    <row r="40766" customFormat="1" x14ac:dyDescent="0.25"/>
    <row r="40767" customFormat="1" x14ac:dyDescent="0.25"/>
    <row r="40768" customFormat="1" x14ac:dyDescent="0.25"/>
    <row r="40769" customFormat="1" x14ac:dyDescent="0.25"/>
    <row r="40770" customFormat="1" x14ac:dyDescent="0.25"/>
    <row r="40771" customFormat="1" x14ac:dyDescent="0.25"/>
    <row r="40772" customFormat="1" x14ac:dyDescent="0.25"/>
    <row r="40773" customFormat="1" x14ac:dyDescent="0.25"/>
    <row r="40774" customFormat="1" x14ac:dyDescent="0.25"/>
    <row r="40775" customFormat="1" x14ac:dyDescent="0.25"/>
    <row r="40776" customFormat="1" x14ac:dyDescent="0.25"/>
    <row r="40777" customFormat="1" x14ac:dyDescent="0.25"/>
    <row r="40778" customFormat="1" x14ac:dyDescent="0.25"/>
    <row r="40779" customFormat="1" x14ac:dyDescent="0.25"/>
    <row r="40780" customFormat="1" x14ac:dyDescent="0.25"/>
    <row r="40781" customFormat="1" x14ac:dyDescent="0.25"/>
    <row r="40782" customFormat="1" x14ac:dyDescent="0.25"/>
    <row r="40783" customFormat="1" x14ac:dyDescent="0.25"/>
    <row r="40784" customFormat="1" x14ac:dyDescent="0.25"/>
    <row r="40785" customFormat="1" x14ac:dyDescent="0.25"/>
    <row r="40786" customFormat="1" x14ac:dyDescent="0.25"/>
    <row r="40787" customFormat="1" x14ac:dyDescent="0.25"/>
    <row r="40788" customFormat="1" x14ac:dyDescent="0.25"/>
    <row r="40789" customFormat="1" x14ac:dyDescent="0.25"/>
    <row r="40790" customFormat="1" x14ac:dyDescent="0.25"/>
    <row r="40791" customFormat="1" x14ac:dyDescent="0.25"/>
    <row r="40792" customFormat="1" x14ac:dyDescent="0.25"/>
    <row r="40793" customFormat="1" x14ac:dyDescent="0.25"/>
    <row r="40794" customFormat="1" x14ac:dyDescent="0.25"/>
    <row r="40795" customFormat="1" x14ac:dyDescent="0.25"/>
    <row r="40796" customFormat="1" x14ac:dyDescent="0.25"/>
    <row r="40797" customFormat="1" x14ac:dyDescent="0.25"/>
    <row r="40798" customFormat="1" x14ac:dyDescent="0.25"/>
    <row r="40799" customFormat="1" x14ac:dyDescent="0.25"/>
    <row r="40800" customFormat="1" x14ac:dyDescent="0.25"/>
    <row r="40801" customFormat="1" x14ac:dyDescent="0.25"/>
    <row r="40802" customFormat="1" x14ac:dyDescent="0.25"/>
    <row r="40803" customFormat="1" x14ac:dyDescent="0.25"/>
    <row r="40804" customFormat="1" x14ac:dyDescent="0.25"/>
    <row r="40805" customFormat="1" x14ac:dyDescent="0.25"/>
    <row r="40806" customFormat="1" x14ac:dyDescent="0.25"/>
    <row r="40807" customFormat="1" x14ac:dyDescent="0.25"/>
    <row r="40808" customFormat="1" x14ac:dyDescent="0.25"/>
    <row r="40809" customFormat="1" x14ac:dyDescent="0.25"/>
    <row r="40810" customFormat="1" x14ac:dyDescent="0.25"/>
    <row r="40811" customFormat="1" x14ac:dyDescent="0.25"/>
    <row r="40812" customFormat="1" x14ac:dyDescent="0.25"/>
    <row r="40813" customFormat="1" x14ac:dyDescent="0.25"/>
    <row r="40814" customFormat="1" x14ac:dyDescent="0.25"/>
    <row r="40815" customFormat="1" x14ac:dyDescent="0.25"/>
    <row r="40816" customFormat="1" x14ac:dyDescent="0.25"/>
    <row r="40817" customFormat="1" x14ac:dyDescent="0.25"/>
    <row r="40818" customFormat="1" x14ac:dyDescent="0.25"/>
    <row r="40819" customFormat="1" x14ac:dyDescent="0.25"/>
    <row r="40820" customFormat="1" x14ac:dyDescent="0.25"/>
    <row r="40821" customFormat="1" x14ac:dyDescent="0.25"/>
    <row r="40822" customFormat="1" x14ac:dyDescent="0.25"/>
    <row r="40823" customFormat="1" x14ac:dyDescent="0.25"/>
    <row r="40824" customFormat="1" x14ac:dyDescent="0.25"/>
    <row r="40825" customFormat="1" x14ac:dyDescent="0.25"/>
    <row r="40826" customFormat="1" x14ac:dyDescent="0.25"/>
    <row r="40827" customFormat="1" x14ac:dyDescent="0.25"/>
    <row r="40828" customFormat="1" x14ac:dyDescent="0.25"/>
    <row r="40829" customFormat="1" x14ac:dyDescent="0.25"/>
    <row r="40830" customFormat="1" x14ac:dyDescent="0.25"/>
    <row r="40831" customFormat="1" x14ac:dyDescent="0.25"/>
    <row r="40832" customFormat="1" x14ac:dyDescent="0.25"/>
    <row r="40833" customFormat="1" x14ac:dyDescent="0.25"/>
    <row r="40834" customFormat="1" x14ac:dyDescent="0.25"/>
    <row r="40835" customFormat="1" x14ac:dyDescent="0.25"/>
    <row r="40836" customFormat="1" x14ac:dyDescent="0.25"/>
    <row r="40837" customFormat="1" x14ac:dyDescent="0.25"/>
    <row r="40838" customFormat="1" x14ac:dyDescent="0.25"/>
    <row r="40839" customFormat="1" x14ac:dyDescent="0.25"/>
    <row r="40840" customFormat="1" x14ac:dyDescent="0.25"/>
    <row r="40841" customFormat="1" x14ac:dyDescent="0.25"/>
    <row r="40842" customFormat="1" x14ac:dyDescent="0.25"/>
    <row r="40843" customFormat="1" x14ac:dyDescent="0.25"/>
    <row r="40844" customFormat="1" x14ac:dyDescent="0.25"/>
    <row r="40845" customFormat="1" x14ac:dyDescent="0.25"/>
    <row r="40846" customFormat="1" x14ac:dyDescent="0.25"/>
    <row r="40847" customFormat="1" x14ac:dyDescent="0.25"/>
    <row r="40848" customFormat="1" x14ac:dyDescent="0.25"/>
    <row r="40849" customFormat="1" x14ac:dyDescent="0.25"/>
    <row r="40850" customFormat="1" x14ac:dyDescent="0.25"/>
    <row r="40851" customFormat="1" x14ac:dyDescent="0.25"/>
    <row r="40852" customFormat="1" x14ac:dyDescent="0.25"/>
    <row r="40853" customFormat="1" x14ac:dyDescent="0.25"/>
    <row r="40854" customFormat="1" x14ac:dyDescent="0.25"/>
    <row r="40855" customFormat="1" x14ac:dyDescent="0.25"/>
    <row r="40856" customFormat="1" x14ac:dyDescent="0.25"/>
    <row r="40857" customFormat="1" x14ac:dyDescent="0.25"/>
    <row r="40858" customFormat="1" x14ac:dyDescent="0.25"/>
    <row r="40859" customFormat="1" x14ac:dyDescent="0.25"/>
    <row r="40860" customFormat="1" x14ac:dyDescent="0.25"/>
    <row r="40861" customFormat="1" x14ac:dyDescent="0.25"/>
    <row r="40862" customFormat="1" x14ac:dyDescent="0.25"/>
    <row r="40863" customFormat="1" x14ac:dyDescent="0.25"/>
    <row r="40864" customFormat="1" x14ac:dyDescent="0.25"/>
    <row r="40865" customFormat="1" x14ac:dyDescent="0.25"/>
    <row r="40866" customFormat="1" x14ac:dyDescent="0.25"/>
    <row r="40867" customFormat="1" x14ac:dyDescent="0.25"/>
    <row r="40868" customFormat="1" x14ac:dyDescent="0.25"/>
    <row r="40869" customFormat="1" x14ac:dyDescent="0.25"/>
    <row r="40870" customFormat="1" x14ac:dyDescent="0.25"/>
    <row r="40871" customFormat="1" x14ac:dyDescent="0.25"/>
    <row r="40872" customFormat="1" x14ac:dyDescent="0.25"/>
    <row r="40873" customFormat="1" x14ac:dyDescent="0.25"/>
    <row r="40874" customFormat="1" x14ac:dyDescent="0.25"/>
    <row r="40875" customFormat="1" x14ac:dyDescent="0.25"/>
    <row r="40876" customFormat="1" x14ac:dyDescent="0.25"/>
    <row r="40877" customFormat="1" x14ac:dyDescent="0.25"/>
    <row r="40878" customFormat="1" x14ac:dyDescent="0.25"/>
    <row r="40879" customFormat="1" x14ac:dyDescent="0.25"/>
    <row r="40880" customFormat="1" x14ac:dyDescent="0.25"/>
    <row r="40881" customFormat="1" x14ac:dyDescent="0.25"/>
    <row r="40882" customFormat="1" x14ac:dyDescent="0.25"/>
    <row r="40883" customFormat="1" x14ac:dyDescent="0.25"/>
    <row r="40884" customFormat="1" x14ac:dyDescent="0.25"/>
    <row r="40885" customFormat="1" x14ac:dyDescent="0.25"/>
    <row r="40886" customFormat="1" x14ac:dyDescent="0.25"/>
    <row r="40887" customFormat="1" x14ac:dyDescent="0.25"/>
    <row r="40888" customFormat="1" x14ac:dyDescent="0.25"/>
    <row r="40889" customFormat="1" x14ac:dyDescent="0.25"/>
    <row r="40890" customFormat="1" x14ac:dyDescent="0.25"/>
    <row r="40891" customFormat="1" x14ac:dyDescent="0.25"/>
    <row r="40892" customFormat="1" x14ac:dyDescent="0.25"/>
    <row r="40893" customFormat="1" x14ac:dyDescent="0.25"/>
    <row r="40894" customFormat="1" x14ac:dyDescent="0.25"/>
    <row r="40895" customFormat="1" x14ac:dyDescent="0.25"/>
    <row r="40896" customFormat="1" x14ac:dyDescent="0.25"/>
    <row r="40897" customFormat="1" x14ac:dyDescent="0.25"/>
    <row r="40898" customFormat="1" x14ac:dyDescent="0.25"/>
    <row r="40899" customFormat="1" x14ac:dyDescent="0.25"/>
    <row r="40900" customFormat="1" x14ac:dyDescent="0.25"/>
    <row r="40901" customFormat="1" x14ac:dyDescent="0.25"/>
    <row r="40902" customFormat="1" x14ac:dyDescent="0.25"/>
    <row r="40903" customFormat="1" x14ac:dyDescent="0.25"/>
    <row r="40904" customFormat="1" x14ac:dyDescent="0.25"/>
    <row r="40905" customFormat="1" x14ac:dyDescent="0.25"/>
    <row r="40906" customFormat="1" x14ac:dyDescent="0.25"/>
    <row r="40907" customFormat="1" x14ac:dyDescent="0.25"/>
    <row r="40908" customFormat="1" x14ac:dyDescent="0.25"/>
    <row r="40909" customFormat="1" x14ac:dyDescent="0.25"/>
    <row r="40910" customFormat="1" x14ac:dyDescent="0.25"/>
    <row r="40911" customFormat="1" x14ac:dyDescent="0.25"/>
    <row r="40912" customFormat="1" x14ac:dyDescent="0.25"/>
    <row r="40913" customFormat="1" x14ac:dyDescent="0.25"/>
    <row r="40914" customFormat="1" x14ac:dyDescent="0.25"/>
    <row r="40915" customFormat="1" x14ac:dyDescent="0.25"/>
    <row r="40916" customFormat="1" x14ac:dyDescent="0.25"/>
    <row r="40917" customFormat="1" x14ac:dyDescent="0.25"/>
    <row r="40918" customFormat="1" x14ac:dyDescent="0.25"/>
    <row r="40919" customFormat="1" x14ac:dyDescent="0.25"/>
    <row r="40920" customFormat="1" x14ac:dyDescent="0.25"/>
    <row r="40921" customFormat="1" x14ac:dyDescent="0.25"/>
    <row r="40922" customFormat="1" x14ac:dyDescent="0.25"/>
    <row r="40923" customFormat="1" x14ac:dyDescent="0.25"/>
    <row r="40924" customFormat="1" x14ac:dyDescent="0.25"/>
    <row r="40925" customFormat="1" x14ac:dyDescent="0.25"/>
    <row r="40926" customFormat="1" x14ac:dyDescent="0.25"/>
    <row r="40927" customFormat="1" x14ac:dyDescent="0.25"/>
    <row r="40928" customFormat="1" x14ac:dyDescent="0.25"/>
    <row r="40929" customFormat="1" x14ac:dyDescent="0.25"/>
    <row r="40930" customFormat="1" x14ac:dyDescent="0.25"/>
    <row r="40931" customFormat="1" x14ac:dyDescent="0.25"/>
    <row r="40932" customFormat="1" x14ac:dyDescent="0.25"/>
    <row r="40933" customFormat="1" x14ac:dyDescent="0.25"/>
    <row r="40934" customFormat="1" x14ac:dyDescent="0.25"/>
    <row r="40935" customFormat="1" x14ac:dyDescent="0.25"/>
    <row r="40936" customFormat="1" x14ac:dyDescent="0.25"/>
    <row r="40937" customFormat="1" x14ac:dyDescent="0.25"/>
    <row r="40938" customFormat="1" x14ac:dyDescent="0.25"/>
    <row r="40939" customFormat="1" x14ac:dyDescent="0.25"/>
    <row r="40940" customFormat="1" x14ac:dyDescent="0.25"/>
    <row r="40941" customFormat="1" x14ac:dyDescent="0.25"/>
    <row r="40942" customFormat="1" x14ac:dyDescent="0.25"/>
    <row r="40943" customFormat="1" x14ac:dyDescent="0.25"/>
    <row r="40944" customFormat="1" x14ac:dyDescent="0.25"/>
    <row r="40945" customFormat="1" x14ac:dyDescent="0.25"/>
    <row r="40946" customFormat="1" x14ac:dyDescent="0.25"/>
    <row r="40947" customFormat="1" x14ac:dyDescent="0.25"/>
    <row r="40948" customFormat="1" x14ac:dyDescent="0.25"/>
    <row r="40949" customFormat="1" x14ac:dyDescent="0.25"/>
    <row r="40950" customFormat="1" x14ac:dyDescent="0.25"/>
    <row r="40951" customFormat="1" x14ac:dyDescent="0.25"/>
    <row r="40952" customFormat="1" x14ac:dyDescent="0.25"/>
    <row r="40953" customFormat="1" x14ac:dyDescent="0.25"/>
    <row r="40954" customFormat="1" x14ac:dyDescent="0.25"/>
    <row r="40955" customFormat="1" x14ac:dyDescent="0.25"/>
    <row r="40956" customFormat="1" x14ac:dyDescent="0.25"/>
    <row r="40957" customFormat="1" x14ac:dyDescent="0.25"/>
    <row r="40958" customFormat="1" x14ac:dyDescent="0.25"/>
    <row r="40959" customFormat="1" x14ac:dyDescent="0.25"/>
    <row r="40960" customFormat="1" x14ac:dyDescent="0.25"/>
    <row r="40961" customFormat="1" x14ac:dyDescent="0.25"/>
    <row r="40962" customFormat="1" x14ac:dyDescent="0.25"/>
    <row r="40963" customFormat="1" x14ac:dyDescent="0.25"/>
    <row r="40964" customFormat="1" x14ac:dyDescent="0.25"/>
    <row r="40965" customFormat="1" x14ac:dyDescent="0.25"/>
    <row r="40966" customFormat="1" x14ac:dyDescent="0.25"/>
    <row r="40967" customFormat="1" x14ac:dyDescent="0.25"/>
    <row r="40968" customFormat="1" x14ac:dyDescent="0.25"/>
    <row r="40969" customFormat="1" x14ac:dyDescent="0.25"/>
    <row r="40970" customFormat="1" x14ac:dyDescent="0.25"/>
    <row r="40971" customFormat="1" x14ac:dyDescent="0.25"/>
    <row r="40972" customFormat="1" x14ac:dyDescent="0.25"/>
    <row r="40973" customFormat="1" x14ac:dyDescent="0.25"/>
    <row r="40974" customFormat="1" x14ac:dyDescent="0.25"/>
    <row r="40975" customFormat="1" x14ac:dyDescent="0.25"/>
    <row r="40976" customFormat="1" x14ac:dyDescent="0.25"/>
    <row r="40977" customFormat="1" x14ac:dyDescent="0.25"/>
    <row r="40978" customFormat="1" x14ac:dyDescent="0.25"/>
    <row r="40979" customFormat="1" x14ac:dyDescent="0.25"/>
    <row r="40980" customFormat="1" x14ac:dyDescent="0.25"/>
    <row r="40981" customFormat="1" x14ac:dyDescent="0.25"/>
    <row r="40982" customFormat="1" x14ac:dyDescent="0.25"/>
    <row r="40983" customFormat="1" x14ac:dyDescent="0.25"/>
    <row r="40984" customFormat="1" x14ac:dyDescent="0.25"/>
    <row r="40985" customFormat="1" x14ac:dyDescent="0.25"/>
    <row r="40986" customFormat="1" x14ac:dyDescent="0.25"/>
    <row r="40987" customFormat="1" x14ac:dyDescent="0.25"/>
    <row r="40988" customFormat="1" x14ac:dyDescent="0.25"/>
    <row r="40989" customFormat="1" x14ac:dyDescent="0.25"/>
    <row r="40990" customFormat="1" x14ac:dyDescent="0.25"/>
    <row r="40991" customFormat="1" x14ac:dyDescent="0.25"/>
    <row r="40992" customFormat="1" x14ac:dyDescent="0.25"/>
    <row r="40993" customFormat="1" x14ac:dyDescent="0.25"/>
    <row r="40994" customFormat="1" x14ac:dyDescent="0.25"/>
    <row r="40995" customFormat="1" x14ac:dyDescent="0.25"/>
    <row r="40996" customFormat="1" x14ac:dyDescent="0.25"/>
    <row r="40997" customFormat="1" x14ac:dyDescent="0.25"/>
    <row r="40998" customFormat="1" x14ac:dyDescent="0.25"/>
    <row r="40999" customFormat="1" x14ac:dyDescent="0.25"/>
    <row r="41000" customFormat="1" x14ac:dyDescent="0.25"/>
    <row r="41001" customFormat="1" x14ac:dyDescent="0.25"/>
    <row r="41002" customFormat="1" x14ac:dyDescent="0.25"/>
    <row r="41003" customFormat="1" x14ac:dyDescent="0.25"/>
    <row r="41004" customFormat="1" x14ac:dyDescent="0.25"/>
    <row r="41005" customFormat="1" x14ac:dyDescent="0.25"/>
    <row r="41006" customFormat="1" x14ac:dyDescent="0.25"/>
    <row r="41007" customFormat="1" x14ac:dyDescent="0.25"/>
    <row r="41008" customFormat="1" x14ac:dyDescent="0.25"/>
    <row r="41009" customFormat="1" x14ac:dyDescent="0.25"/>
    <row r="41010" customFormat="1" x14ac:dyDescent="0.25"/>
    <row r="41011" customFormat="1" x14ac:dyDescent="0.25"/>
    <row r="41012" customFormat="1" x14ac:dyDescent="0.25"/>
    <row r="41013" customFormat="1" x14ac:dyDescent="0.25"/>
    <row r="41014" customFormat="1" x14ac:dyDescent="0.25"/>
    <row r="41015" customFormat="1" x14ac:dyDescent="0.25"/>
    <row r="41016" customFormat="1" x14ac:dyDescent="0.25"/>
    <row r="41017" customFormat="1" x14ac:dyDescent="0.25"/>
    <row r="41018" customFormat="1" x14ac:dyDescent="0.25"/>
    <row r="41019" customFormat="1" x14ac:dyDescent="0.25"/>
    <row r="41020" customFormat="1" x14ac:dyDescent="0.25"/>
    <row r="41021" customFormat="1" x14ac:dyDescent="0.25"/>
    <row r="41022" customFormat="1" x14ac:dyDescent="0.25"/>
    <row r="41023" customFormat="1" x14ac:dyDescent="0.25"/>
    <row r="41024" customFormat="1" x14ac:dyDescent="0.25"/>
    <row r="41025" customFormat="1" x14ac:dyDescent="0.25"/>
    <row r="41026" customFormat="1" x14ac:dyDescent="0.25"/>
    <row r="41027" customFormat="1" x14ac:dyDescent="0.25"/>
    <row r="41028" customFormat="1" x14ac:dyDescent="0.25"/>
    <row r="41029" customFormat="1" x14ac:dyDescent="0.25"/>
    <row r="41030" customFormat="1" x14ac:dyDescent="0.25"/>
    <row r="41031" customFormat="1" x14ac:dyDescent="0.25"/>
    <row r="41032" customFormat="1" x14ac:dyDescent="0.25"/>
    <row r="41033" customFormat="1" x14ac:dyDescent="0.25"/>
    <row r="41034" customFormat="1" x14ac:dyDescent="0.25"/>
    <row r="41035" customFormat="1" x14ac:dyDescent="0.25"/>
    <row r="41036" customFormat="1" x14ac:dyDescent="0.25"/>
    <row r="41037" customFormat="1" x14ac:dyDescent="0.25"/>
    <row r="41038" customFormat="1" x14ac:dyDescent="0.25"/>
    <row r="41039" customFormat="1" x14ac:dyDescent="0.25"/>
    <row r="41040" customFormat="1" x14ac:dyDescent="0.25"/>
    <row r="41041" customFormat="1" x14ac:dyDescent="0.25"/>
    <row r="41042" customFormat="1" x14ac:dyDescent="0.25"/>
    <row r="41043" customFormat="1" x14ac:dyDescent="0.25"/>
    <row r="41044" customFormat="1" x14ac:dyDescent="0.25"/>
    <row r="41045" customFormat="1" x14ac:dyDescent="0.25"/>
    <row r="41046" customFormat="1" x14ac:dyDescent="0.25"/>
    <row r="41047" customFormat="1" x14ac:dyDescent="0.25"/>
    <row r="41048" customFormat="1" x14ac:dyDescent="0.25"/>
    <row r="41049" customFormat="1" x14ac:dyDescent="0.25"/>
    <row r="41050" customFormat="1" x14ac:dyDescent="0.25"/>
    <row r="41051" customFormat="1" x14ac:dyDescent="0.25"/>
    <row r="41052" customFormat="1" x14ac:dyDescent="0.25"/>
    <row r="41053" customFormat="1" x14ac:dyDescent="0.25"/>
    <row r="41054" customFormat="1" x14ac:dyDescent="0.25"/>
    <row r="41055" customFormat="1" x14ac:dyDescent="0.25"/>
    <row r="41056" customFormat="1" x14ac:dyDescent="0.25"/>
    <row r="41057" customFormat="1" x14ac:dyDescent="0.25"/>
    <row r="41058" customFormat="1" x14ac:dyDescent="0.25"/>
    <row r="41059" customFormat="1" x14ac:dyDescent="0.25"/>
    <row r="41060" customFormat="1" x14ac:dyDescent="0.25"/>
    <row r="41061" customFormat="1" x14ac:dyDescent="0.25"/>
    <row r="41062" customFormat="1" x14ac:dyDescent="0.25"/>
    <row r="41063" customFormat="1" x14ac:dyDescent="0.25"/>
    <row r="41064" customFormat="1" x14ac:dyDescent="0.25"/>
    <row r="41065" customFormat="1" x14ac:dyDescent="0.25"/>
    <row r="41066" customFormat="1" x14ac:dyDescent="0.25"/>
    <row r="41067" customFormat="1" x14ac:dyDescent="0.25"/>
    <row r="41068" customFormat="1" x14ac:dyDescent="0.25"/>
    <row r="41069" customFormat="1" x14ac:dyDescent="0.25"/>
    <row r="41070" customFormat="1" x14ac:dyDescent="0.25"/>
    <row r="41071" customFormat="1" x14ac:dyDescent="0.25"/>
    <row r="41072" customFormat="1" x14ac:dyDescent="0.25"/>
    <row r="41073" customFormat="1" x14ac:dyDescent="0.25"/>
    <row r="41074" customFormat="1" x14ac:dyDescent="0.25"/>
    <row r="41075" customFormat="1" x14ac:dyDescent="0.25"/>
    <row r="41076" customFormat="1" x14ac:dyDescent="0.25"/>
    <row r="41077" customFormat="1" x14ac:dyDescent="0.25"/>
    <row r="41078" customFormat="1" x14ac:dyDescent="0.25"/>
    <row r="41079" customFormat="1" x14ac:dyDescent="0.25"/>
    <row r="41080" customFormat="1" x14ac:dyDescent="0.25"/>
    <row r="41081" customFormat="1" x14ac:dyDescent="0.25"/>
    <row r="41082" customFormat="1" x14ac:dyDescent="0.25"/>
    <row r="41083" customFormat="1" x14ac:dyDescent="0.25"/>
    <row r="41084" customFormat="1" x14ac:dyDescent="0.25"/>
    <row r="41085" customFormat="1" x14ac:dyDescent="0.25"/>
    <row r="41086" customFormat="1" x14ac:dyDescent="0.25"/>
    <row r="41087" customFormat="1" x14ac:dyDescent="0.25"/>
    <row r="41088" customFormat="1" x14ac:dyDescent="0.25"/>
    <row r="41089" customFormat="1" x14ac:dyDescent="0.25"/>
    <row r="41090" customFormat="1" x14ac:dyDescent="0.25"/>
    <row r="41091" customFormat="1" x14ac:dyDescent="0.25"/>
    <row r="41092" customFormat="1" x14ac:dyDescent="0.25"/>
    <row r="41093" customFormat="1" x14ac:dyDescent="0.25"/>
    <row r="41094" customFormat="1" x14ac:dyDescent="0.25"/>
    <row r="41095" customFormat="1" x14ac:dyDescent="0.25"/>
    <row r="41096" customFormat="1" x14ac:dyDescent="0.25"/>
    <row r="41097" customFormat="1" x14ac:dyDescent="0.25"/>
    <row r="41098" customFormat="1" x14ac:dyDescent="0.25"/>
    <row r="41099" customFormat="1" x14ac:dyDescent="0.25"/>
    <row r="41100" customFormat="1" x14ac:dyDescent="0.25"/>
    <row r="41101" customFormat="1" x14ac:dyDescent="0.25"/>
    <row r="41102" customFormat="1" x14ac:dyDescent="0.25"/>
    <row r="41103" customFormat="1" x14ac:dyDescent="0.25"/>
    <row r="41104" customFormat="1" x14ac:dyDescent="0.25"/>
    <row r="41105" customFormat="1" x14ac:dyDescent="0.25"/>
    <row r="41106" customFormat="1" x14ac:dyDescent="0.25"/>
    <row r="41107" customFormat="1" x14ac:dyDescent="0.25"/>
    <row r="41108" customFormat="1" x14ac:dyDescent="0.25"/>
    <row r="41109" customFormat="1" x14ac:dyDescent="0.25"/>
    <row r="41110" customFormat="1" x14ac:dyDescent="0.25"/>
    <row r="41111" customFormat="1" x14ac:dyDescent="0.25"/>
    <row r="41112" customFormat="1" x14ac:dyDescent="0.25"/>
    <row r="41113" customFormat="1" x14ac:dyDescent="0.25"/>
    <row r="41114" customFormat="1" x14ac:dyDescent="0.25"/>
    <row r="41115" customFormat="1" x14ac:dyDescent="0.25"/>
    <row r="41116" customFormat="1" x14ac:dyDescent="0.25"/>
    <row r="41117" customFormat="1" x14ac:dyDescent="0.25"/>
    <row r="41118" customFormat="1" x14ac:dyDescent="0.25"/>
    <row r="41119" customFormat="1" x14ac:dyDescent="0.25"/>
    <row r="41120" customFormat="1" x14ac:dyDescent="0.25"/>
    <row r="41121" customFormat="1" x14ac:dyDescent="0.25"/>
    <row r="41122" customFormat="1" x14ac:dyDescent="0.25"/>
    <row r="41123" customFormat="1" x14ac:dyDescent="0.25"/>
    <row r="41124" customFormat="1" x14ac:dyDescent="0.25"/>
    <row r="41125" customFormat="1" x14ac:dyDescent="0.25"/>
    <row r="41126" customFormat="1" x14ac:dyDescent="0.25"/>
    <row r="41127" customFormat="1" x14ac:dyDescent="0.25"/>
    <row r="41128" customFormat="1" x14ac:dyDescent="0.25"/>
    <row r="41129" customFormat="1" x14ac:dyDescent="0.25"/>
    <row r="41130" customFormat="1" x14ac:dyDescent="0.25"/>
    <row r="41131" customFormat="1" x14ac:dyDescent="0.25"/>
    <row r="41132" customFormat="1" x14ac:dyDescent="0.25"/>
    <row r="41133" customFormat="1" x14ac:dyDescent="0.25"/>
    <row r="41134" customFormat="1" x14ac:dyDescent="0.25"/>
    <row r="41135" customFormat="1" x14ac:dyDescent="0.25"/>
    <row r="41136" customFormat="1" x14ac:dyDescent="0.25"/>
    <row r="41137" customFormat="1" x14ac:dyDescent="0.25"/>
    <row r="41138" customFormat="1" x14ac:dyDescent="0.25"/>
    <row r="41139" customFormat="1" x14ac:dyDescent="0.25"/>
    <row r="41140" customFormat="1" x14ac:dyDescent="0.25"/>
    <row r="41141" customFormat="1" x14ac:dyDescent="0.25"/>
    <row r="41142" customFormat="1" x14ac:dyDescent="0.25"/>
    <row r="41143" customFormat="1" x14ac:dyDescent="0.25"/>
    <row r="41144" customFormat="1" x14ac:dyDescent="0.25"/>
    <row r="41145" customFormat="1" x14ac:dyDescent="0.25"/>
    <row r="41146" customFormat="1" x14ac:dyDescent="0.25"/>
    <row r="41147" customFormat="1" x14ac:dyDescent="0.25"/>
    <row r="41148" customFormat="1" x14ac:dyDescent="0.25"/>
    <row r="41149" customFormat="1" x14ac:dyDescent="0.25"/>
    <row r="41150" customFormat="1" x14ac:dyDescent="0.25"/>
    <row r="41151" customFormat="1" x14ac:dyDescent="0.25"/>
    <row r="41152" customFormat="1" x14ac:dyDescent="0.25"/>
    <row r="41153" customFormat="1" x14ac:dyDescent="0.25"/>
    <row r="41154" customFormat="1" x14ac:dyDescent="0.25"/>
    <row r="41155" customFormat="1" x14ac:dyDescent="0.25"/>
    <row r="41156" customFormat="1" x14ac:dyDescent="0.25"/>
    <row r="41157" customFormat="1" x14ac:dyDescent="0.25"/>
    <row r="41158" customFormat="1" x14ac:dyDescent="0.25"/>
    <row r="41159" customFormat="1" x14ac:dyDescent="0.25"/>
    <row r="41160" customFormat="1" x14ac:dyDescent="0.25"/>
    <row r="41161" customFormat="1" x14ac:dyDescent="0.25"/>
    <row r="41162" customFormat="1" x14ac:dyDescent="0.25"/>
    <row r="41163" customFormat="1" x14ac:dyDescent="0.25"/>
    <row r="41164" customFormat="1" x14ac:dyDescent="0.25"/>
    <row r="41165" customFormat="1" x14ac:dyDescent="0.25"/>
    <row r="41166" customFormat="1" x14ac:dyDescent="0.25"/>
    <row r="41167" customFormat="1" x14ac:dyDescent="0.25"/>
    <row r="41168" customFormat="1" x14ac:dyDescent="0.25"/>
    <row r="41169" customFormat="1" x14ac:dyDescent="0.25"/>
    <row r="41170" customFormat="1" x14ac:dyDescent="0.25"/>
    <row r="41171" customFormat="1" x14ac:dyDescent="0.25"/>
    <row r="41172" customFormat="1" x14ac:dyDescent="0.25"/>
    <row r="41173" customFormat="1" x14ac:dyDescent="0.25"/>
    <row r="41174" customFormat="1" x14ac:dyDescent="0.25"/>
    <row r="41175" customFormat="1" x14ac:dyDescent="0.25"/>
    <row r="41176" customFormat="1" x14ac:dyDescent="0.25"/>
    <row r="41177" customFormat="1" x14ac:dyDescent="0.25"/>
    <row r="41178" customFormat="1" x14ac:dyDescent="0.25"/>
    <row r="41179" customFormat="1" x14ac:dyDescent="0.25"/>
    <row r="41180" customFormat="1" x14ac:dyDescent="0.25"/>
    <row r="41181" customFormat="1" x14ac:dyDescent="0.25"/>
    <row r="41182" customFormat="1" x14ac:dyDescent="0.25"/>
    <row r="41183" customFormat="1" x14ac:dyDescent="0.25"/>
    <row r="41184" customFormat="1" x14ac:dyDescent="0.25"/>
    <row r="41185" customFormat="1" x14ac:dyDescent="0.25"/>
    <row r="41186" customFormat="1" x14ac:dyDescent="0.25"/>
    <row r="41187" customFormat="1" x14ac:dyDescent="0.25"/>
    <row r="41188" customFormat="1" x14ac:dyDescent="0.25"/>
    <row r="41189" customFormat="1" x14ac:dyDescent="0.25"/>
    <row r="41190" customFormat="1" x14ac:dyDescent="0.25"/>
    <row r="41191" customFormat="1" x14ac:dyDescent="0.25"/>
    <row r="41192" customFormat="1" x14ac:dyDescent="0.25"/>
    <row r="41193" customFormat="1" x14ac:dyDescent="0.25"/>
    <row r="41194" customFormat="1" x14ac:dyDescent="0.25"/>
    <row r="41195" customFormat="1" x14ac:dyDescent="0.25"/>
    <row r="41196" customFormat="1" x14ac:dyDescent="0.25"/>
    <row r="41197" customFormat="1" x14ac:dyDescent="0.25"/>
    <row r="41198" customFormat="1" x14ac:dyDescent="0.25"/>
    <row r="41199" customFormat="1" x14ac:dyDescent="0.25"/>
    <row r="41200" customFormat="1" x14ac:dyDescent="0.25"/>
    <row r="41201" customFormat="1" x14ac:dyDescent="0.25"/>
    <row r="41202" customFormat="1" x14ac:dyDescent="0.25"/>
    <row r="41203" customFormat="1" x14ac:dyDescent="0.25"/>
    <row r="41204" customFormat="1" x14ac:dyDescent="0.25"/>
    <row r="41205" customFormat="1" x14ac:dyDescent="0.25"/>
    <row r="41206" customFormat="1" x14ac:dyDescent="0.25"/>
    <row r="41207" customFormat="1" x14ac:dyDescent="0.25"/>
    <row r="41208" customFormat="1" x14ac:dyDescent="0.25"/>
    <row r="41209" customFormat="1" x14ac:dyDescent="0.25"/>
    <row r="41210" customFormat="1" x14ac:dyDescent="0.25"/>
    <row r="41211" customFormat="1" x14ac:dyDescent="0.25"/>
    <row r="41212" customFormat="1" x14ac:dyDescent="0.25"/>
    <row r="41213" customFormat="1" x14ac:dyDescent="0.25"/>
    <row r="41214" customFormat="1" x14ac:dyDescent="0.25"/>
    <row r="41215" customFormat="1" x14ac:dyDescent="0.25"/>
    <row r="41216" customFormat="1" x14ac:dyDescent="0.25"/>
    <row r="41217" customFormat="1" x14ac:dyDescent="0.25"/>
    <row r="41218" customFormat="1" x14ac:dyDescent="0.25"/>
    <row r="41219" customFormat="1" x14ac:dyDescent="0.25"/>
    <row r="41220" customFormat="1" x14ac:dyDescent="0.25"/>
    <row r="41221" customFormat="1" x14ac:dyDescent="0.25"/>
    <row r="41222" customFormat="1" x14ac:dyDescent="0.25"/>
    <row r="41223" customFormat="1" x14ac:dyDescent="0.25"/>
    <row r="41224" customFormat="1" x14ac:dyDescent="0.25"/>
    <row r="41225" customFormat="1" x14ac:dyDescent="0.25"/>
    <row r="41226" customFormat="1" x14ac:dyDescent="0.25"/>
    <row r="41227" customFormat="1" x14ac:dyDescent="0.25"/>
    <row r="41228" customFormat="1" x14ac:dyDescent="0.25"/>
    <row r="41229" customFormat="1" x14ac:dyDescent="0.25"/>
    <row r="41230" customFormat="1" x14ac:dyDescent="0.25"/>
    <row r="41231" customFormat="1" x14ac:dyDescent="0.25"/>
    <row r="41232" customFormat="1" x14ac:dyDescent="0.25"/>
    <row r="41233" customFormat="1" x14ac:dyDescent="0.25"/>
    <row r="41234" customFormat="1" x14ac:dyDescent="0.25"/>
    <row r="41235" customFormat="1" x14ac:dyDescent="0.25"/>
    <row r="41236" customFormat="1" x14ac:dyDescent="0.25"/>
    <row r="41237" customFormat="1" x14ac:dyDescent="0.25"/>
    <row r="41238" customFormat="1" x14ac:dyDescent="0.25"/>
    <row r="41239" customFormat="1" x14ac:dyDescent="0.25"/>
    <row r="41240" customFormat="1" x14ac:dyDescent="0.25"/>
    <row r="41241" customFormat="1" x14ac:dyDescent="0.25"/>
    <row r="41242" customFormat="1" x14ac:dyDescent="0.25"/>
    <row r="41243" customFormat="1" x14ac:dyDescent="0.25"/>
    <row r="41244" customFormat="1" x14ac:dyDescent="0.25"/>
    <row r="41245" customFormat="1" x14ac:dyDescent="0.25"/>
    <row r="41246" customFormat="1" x14ac:dyDescent="0.25"/>
    <row r="41247" customFormat="1" x14ac:dyDescent="0.25"/>
    <row r="41248" customFormat="1" x14ac:dyDescent="0.25"/>
    <row r="41249" customFormat="1" x14ac:dyDescent="0.25"/>
    <row r="41250" customFormat="1" x14ac:dyDescent="0.25"/>
    <row r="41251" customFormat="1" x14ac:dyDescent="0.25"/>
    <row r="41252" customFormat="1" x14ac:dyDescent="0.25"/>
    <row r="41253" customFormat="1" x14ac:dyDescent="0.25"/>
    <row r="41254" customFormat="1" x14ac:dyDescent="0.25"/>
    <row r="41255" customFormat="1" x14ac:dyDescent="0.25"/>
    <row r="41256" customFormat="1" x14ac:dyDescent="0.25"/>
    <row r="41257" customFormat="1" x14ac:dyDescent="0.25"/>
    <row r="41258" customFormat="1" x14ac:dyDescent="0.25"/>
    <row r="41259" customFormat="1" x14ac:dyDescent="0.25"/>
    <row r="41260" customFormat="1" x14ac:dyDescent="0.25"/>
    <row r="41261" customFormat="1" x14ac:dyDescent="0.25"/>
    <row r="41262" customFormat="1" x14ac:dyDescent="0.25"/>
    <row r="41263" customFormat="1" x14ac:dyDescent="0.25"/>
    <row r="41264" customFormat="1" x14ac:dyDescent="0.25"/>
    <row r="41265" customFormat="1" x14ac:dyDescent="0.25"/>
    <row r="41266" customFormat="1" x14ac:dyDescent="0.25"/>
    <row r="41267" customFormat="1" x14ac:dyDescent="0.25"/>
    <row r="41268" customFormat="1" x14ac:dyDescent="0.25"/>
    <row r="41269" customFormat="1" x14ac:dyDescent="0.25"/>
    <row r="41270" customFormat="1" x14ac:dyDescent="0.25"/>
    <row r="41271" customFormat="1" x14ac:dyDescent="0.25"/>
    <row r="41272" customFormat="1" x14ac:dyDescent="0.25"/>
    <row r="41273" customFormat="1" x14ac:dyDescent="0.25"/>
    <row r="41274" customFormat="1" x14ac:dyDescent="0.25"/>
    <row r="41275" customFormat="1" x14ac:dyDescent="0.25"/>
    <row r="41276" customFormat="1" x14ac:dyDescent="0.25"/>
    <row r="41277" customFormat="1" x14ac:dyDescent="0.25"/>
    <row r="41278" customFormat="1" x14ac:dyDescent="0.25"/>
    <row r="41279" customFormat="1" x14ac:dyDescent="0.25"/>
    <row r="41280" customFormat="1" x14ac:dyDescent="0.25"/>
    <row r="41281" customFormat="1" x14ac:dyDescent="0.25"/>
    <row r="41282" customFormat="1" x14ac:dyDescent="0.25"/>
    <row r="41283" customFormat="1" x14ac:dyDescent="0.25"/>
    <row r="41284" customFormat="1" x14ac:dyDescent="0.25"/>
    <row r="41285" customFormat="1" x14ac:dyDescent="0.25"/>
    <row r="41286" customFormat="1" x14ac:dyDescent="0.25"/>
    <row r="41287" customFormat="1" x14ac:dyDescent="0.25"/>
    <row r="41288" customFormat="1" x14ac:dyDescent="0.25"/>
    <row r="41289" customFormat="1" x14ac:dyDescent="0.25"/>
    <row r="41290" customFormat="1" x14ac:dyDescent="0.25"/>
    <row r="41291" customFormat="1" x14ac:dyDescent="0.25"/>
    <row r="41292" customFormat="1" x14ac:dyDescent="0.25"/>
    <row r="41293" customFormat="1" x14ac:dyDescent="0.25"/>
    <row r="41294" customFormat="1" x14ac:dyDescent="0.25"/>
    <row r="41295" customFormat="1" x14ac:dyDescent="0.25"/>
    <row r="41296" customFormat="1" x14ac:dyDescent="0.25"/>
    <row r="41297" customFormat="1" x14ac:dyDescent="0.25"/>
    <row r="41298" customFormat="1" x14ac:dyDescent="0.25"/>
    <row r="41299" customFormat="1" x14ac:dyDescent="0.25"/>
    <row r="41300" customFormat="1" x14ac:dyDescent="0.25"/>
    <row r="41301" customFormat="1" x14ac:dyDescent="0.25"/>
    <row r="41302" customFormat="1" x14ac:dyDescent="0.25"/>
    <row r="41303" customFormat="1" x14ac:dyDescent="0.25"/>
    <row r="41304" customFormat="1" x14ac:dyDescent="0.25"/>
    <row r="41305" customFormat="1" x14ac:dyDescent="0.25"/>
    <row r="41306" customFormat="1" x14ac:dyDescent="0.25"/>
    <row r="41307" customFormat="1" x14ac:dyDescent="0.25"/>
    <row r="41308" customFormat="1" x14ac:dyDescent="0.25"/>
    <row r="41309" customFormat="1" x14ac:dyDescent="0.25"/>
    <row r="41310" customFormat="1" x14ac:dyDescent="0.25"/>
    <row r="41311" customFormat="1" x14ac:dyDescent="0.25"/>
    <row r="41312" customFormat="1" x14ac:dyDescent="0.25"/>
    <row r="41313" customFormat="1" x14ac:dyDescent="0.25"/>
    <row r="41314" customFormat="1" x14ac:dyDescent="0.25"/>
    <row r="41315" customFormat="1" x14ac:dyDescent="0.25"/>
    <row r="41316" customFormat="1" x14ac:dyDescent="0.25"/>
    <row r="41317" customFormat="1" x14ac:dyDescent="0.25"/>
    <row r="41318" customFormat="1" x14ac:dyDescent="0.25"/>
    <row r="41319" customFormat="1" x14ac:dyDescent="0.25"/>
    <row r="41320" customFormat="1" x14ac:dyDescent="0.25"/>
    <row r="41321" customFormat="1" x14ac:dyDescent="0.25"/>
    <row r="41322" customFormat="1" x14ac:dyDescent="0.25"/>
    <row r="41323" customFormat="1" x14ac:dyDescent="0.25"/>
    <row r="41324" customFormat="1" x14ac:dyDescent="0.25"/>
    <row r="41325" customFormat="1" x14ac:dyDescent="0.25"/>
    <row r="41326" customFormat="1" x14ac:dyDescent="0.25"/>
    <row r="41327" customFormat="1" x14ac:dyDescent="0.25"/>
    <row r="41328" customFormat="1" x14ac:dyDescent="0.25"/>
    <row r="41329" customFormat="1" x14ac:dyDescent="0.25"/>
    <row r="41330" customFormat="1" x14ac:dyDescent="0.25"/>
    <row r="41331" customFormat="1" x14ac:dyDescent="0.25"/>
    <row r="41332" customFormat="1" x14ac:dyDescent="0.25"/>
    <row r="41333" customFormat="1" x14ac:dyDescent="0.25"/>
    <row r="41334" customFormat="1" x14ac:dyDescent="0.25"/>
    <row r="41335" customFormat="1" x14ac:dyDescent="0.25"/>
    <row r="41336" customFormat="1" x14ac:dyDescent="0.25"/>
    <row r="41337" customFormat="1" x14ac:dyDescent="0.25"/>
    <row r="41338" customFormat="1" x14ac:dyDescent="0.25"/>
    <row r="41339" customFormat="1" x14ac:dyDescent="0.25"/>
    <row r="41340" customFormat="1" x14ac:dyDescent="0.25"/>
    <row r="41341" customFormat="1" x14ac:dyDescent="0.25"/>
    <row r="41342" customFormat="1" x14ac:dyDescent="0.25"/>
    <row r="41343" customFormat="1" x14ac:dyDescent="0.25"/>
    <row r="41344" customFormat="1" x14ac:dyDescent="0.25"/>
    <row r="41345" customFormat="1" x14ac:dyDescent="0.25"/>
    <row r="41346" customFormat="1" x14ac:dyDescent="0.25"/>
    <row r="41347" customFormat="1" x14ac:dyDescent="0.25"/>
    <row r="41348" customFormat="1" x14ac:dyDescent="0.25"/>
    <row r="41349" customFormat="1" x14ac:dyDescent="0.25"/>
    <row r="41350" customFormat="1" x14ac:dyDescent="0.25"/>
    <row r="41351" customFormat="1" x14ac:dyDescent="0.25"/>
    <row r="41352" customFormat="1" x14ac:dyDescent="0.25"/>
    <row r="41353" customFormat="1" x14ac:dyDescent="0.25"/>
    <row r="41354" customFormat="1" x14ac:dyDescent="0.25"/>
    <row r="41355" customFormat="1" x14ac:dyDescent="0.25"/>
    <row r="41356" customFormat="1" x14ac:dyDescent="0.25"/>
    <row r="41357" customFormat="1" x14ac:dyDescent="0.25"/>
    <row r="41358" customFormat="1" x14ac:dyDescent="0.25"/>
    <row r="41359" customFormat="1" x14ac:dyDescent="0.25"/>
    <row r="41360" customFormat="1" x14ac:dyDescent="0.25"/>
    <row r="41361" customFormat="1" x14ac:dyDescent="0.25"/>
    <row r="41362" customFormat="1" x14ac:dyDescent="0.25"/>
    <row r="41363" customFormat="1" x14ac:dyDescent="0.25"/>
    <row r="41364" customFormat="1" x14ac:dyDescent="0.25"/>
    <row r="41365" customFormat="1" x14ac:dyDescent="0.25"/>
    <row r="41366" customFormat="1" x14ac:dyDescent="0.25"/>
    <row r="41367" customFormat="1" x14ac:dyDescent="0.25"/>
    <row r="41368" customFormat="1" x14ac:dyDescent="0.25"/>
    <row r="41369" customFormat="1" x14ac:dyDescent="0.25"/>
    <row r="41370" customFormat="1" x14ac:dyDescent="0.25"/>
    <row r="41371" customFormat="1" x14ac:dyDescent="0.25"/>
    <row r="41372" customFormat="1" x14ac:dyDescent="0.25"/>
    <row r="41373" customFormat="1" x14ac:dyDescent="0.25"/>
    <row r="41374" customFormat="1" x14ac:dyDescent="0.25"/>
    <row r="41375" customFormat="1" x14ac:dyDescent="0.25"/>
    <row r="41376" customFormat="1" x14ac:dyDescent="0.25"/>
    <row r="41377" customFormat="1" x14ac:dyDescent="0.25"/>
    <row r="41378" customFormat="1" x14ac:dyDescent="0.25"/>
    <row r="41379" customFormat="1" x14ac:dyDescent="0.25"/>
    <row r="41380" customFormat="1" x14ac:dyDescent="0.25"/>
    <row r="41381" customFormat="1" x14ac:dyDescent="0.25"/>
    <row r="41382" customFormat="1" x14ac:dyDescent="0.25"/>
    <row r="41383" customFormat="1" x14ac:dyDescent="0.25"/>
    <row r="41384" customFormat="1" x14ac:dyDescent="0.25"/>
    <row r="41385" customFormat="1" x14ac:dyDescent="0.25"/>
    <row r="41386" customFormat="1" x14ac:dyDescent="0.25"/>
    <row r="41387" customFormat="1" x14ac:dyDescent="0.25"/>
    <row r="41388" customFormat="1" x14ac:dyDescent="0.25"/>
    <row r="41389" customFormat="1" x14ac:dyDescent="0.25"/>
    <row r="41390" customFormat="1" x14ac:dyDescent="0.25"/>
    <row r="41391" customFormat="1" x14ac:dyDescent="0.25"/>
    <row r="41392" customFormat="1" x14ac:dyDescent="0.25"/>
    <row r="41393" customFormat="1" x14ac:dyDescent="0.25"/>
    <row r="41394" customFormat="1" x14ac:dyDescent="0.25"/>
    <row r="41395" customFormat="1" x14ac:dyDescent="0.25"/>
    <row r="41396" customFormat="1" x14ac:dyDescent="0.25"/>
    <row r="41397" customFormat="1" x14ac:dyDescent="0.25"/>
    <row r="41398" customFormat="1" x14ac:dyDescent="0.25"/>
    <row r="41399" customFormat="1" x14ac:dyDescent="0.25"/>
    <row r="41400" customFormat="1" x14ac:dyDescent="0.25"/>
    <row r="41401" customFormat="1" x14ac:dyDescent="0.25"/>
    <row r="41402" customFormat="1" x14ac:dyDescent="0.25"/>
    <row r="41403" customFormat="1" x14ac:dyDescent="0.25"/>
    <row r="41404" customFormat="1" x14ac:dyDescent="0.25"/>
    <row r="41405" customFormat="1" x14ac:dyDescent="0.25"/>
    <row r="41406" customFormat="1" x14ac:dyDescent="0.25"/>
    <row r="41407" customFormat="1" x14ac:dyDescent="0.25"/>
    <row r="41408" customFormat="1" x14ac:dyDescent="0.25"/>
    <row r="41409" customFormat="1" x14ac:dyDescent="0.25"/>
    <row r="41410" customFormat="1" x14ac:dyDescent="0.25"/>
    <row r="41411" customFormat="1" x14ac:dyDescent="0.25"/>
    <row r="41412" customFormat="1" x14ac:dyDescent="0.25"/>
    <row r="41413" customFormat="1" x14ac:dyDescent="0.25"/>
    <row r="41414" customFormat="1" x14ac:dyDescent="0.25"/>
    <row r="41415" customFormat="1" x14ac:dyDescent="0.25"/>
    <row r="41416" customFormat="1" x14ac:dyDescent="0.25"/>
    <row r="41417" customFormat="1" x14ac:dyDescent="0.25"/>
    <row r="41418" customFormat="1" x14ac:dyDescent="0.25"/>
    <row r="41419" customFormat="1" x14ac:dyDescent="0.25"/>
    <row r="41420" customFormat="1" x14ac:dyDescent="0.25"/>
    <row r="41421" customFormat="1" x14ac:dyDescent="0.25"/>
    <row r="41422" customFormat="1" x14ac:dyDescent="0.25"/>
    <row r="41423" customFormat="1" x14ac:dyDescent="0.25"/>
    <row r="41424" customFormat="1" x14ac:dyDescent="0.25"/>
    <row r="41425" customFormat="1" x14ac:dyDescent="0.25"/>
    <row r="41426" customFormat="1" x14ac:dyDescent="0.25"/>
    <row r="41427" customFormat="1" x14ac:dyDescent="0.25"/>
    <row r="41428" customFormat="1" x14ac:dyDescent="0.25"/>
    <row r="41429" customFormat="1" x14ac:dyDescent="0.25"/>
    <row r="41430" customFormat="1" x14ac:dyDescent="0.25"/>
    <row r="41431" customFormat="1" x14ac:dyDescent="0.25"/>
    <row r="41432" customFormat="1" x14ac:dyDescent="0.25"/>
    <row r="41433" customFormat="1" x14ac:dyDescent="0.25"/>
    <row r="41434" customFormat="1" x14ac:dyDescent="0.25"/>
    <row r="41435" customFormat="1" x14ac:dyDescent="0.25"/>
    <row r="41436" customFormat="1" x14ac:dyDescent="0.25"/>
    <row r="41437" customFormat="1" x14ac:dyDescent="0.25"/>
    <row r="41438" customFormat="1" x14ac:dyDescent="0.25"/>
    <row r="41439" customFormat="1" x14ac:dyDescent="0.25"/>
    <row r="41440" customFormat="1" x14ac:dyDescent="0.25"/>
    <row r="41441" customFormat="1" x14ac:dyDescent="0.25"/>
    <row r="41442" customFormat="1" x14ac:dyDescent="0.25"/>
    <row r="41443" customFormat="1" x14ac:dyDescent="0.25"/>
    <row r="41444" customFormat="1" x14ac:dyDescent="0.25"/>
    <row r="41445" customFormat="1" x14ac:dyDescent="0.25"/>
    <row r="41446" customFormat="1" x14ac:dyDescent="0.25"/>
    <row r="41447" customFormat="1" x14ac:dyDescent="0.25"/>
    <row r="41448" customFormat="1" x14ac:dyDescent="0.25"/>
    <row r="41449" customFormat="1" x14ac:dyDescent="0.25"/>
    <row r="41450" customFormat="1" x14ac:dyDescent="0.25"/>
    <row r="41451" customFormat="1" x14ac:dyDescent="0.25"/>
    <row r="41452" customFormat="1" x14ac:dyDescent="0.25"/>
    <row r="41453" customFormat="1" x14ac:dyDescent="0.25"/>
    <row r="41454" customFormat="1" x14ac:dyDescent="0.25"/>
    <row r="41455" customFormat="1" x14ac:dyDescent="0.25"/>
    <row r="41456" customFormat="1" x14ac:dyDescent="0.25"/>
    <row r="41457" customFormat="1" x14ac:dyDescent="0.25"/>
    <row r="41458" customFormat="1" x14ac:dyDescent="0.25"/>
    <row r="41459" customFormat="1" x14ac:dyDescent="0.25"/>
    <row r="41460" customFormat="1" x14ac:dyDescent="0.25"/>
    <row r="41461" customFormat="1" x14ac:dyDescent="0.25"/>
    <row r="41462" customFormat="1" x14ac:dyDescent="0.25"/>
    <row r="41463" customFormat="1" x14ac:dyDescent="0.25"/>
    <row r="41464" customFormat="1" x14ac:dyDescent="0.25"/>
    <row r="41465" customFormat="1" x14ac:dyDescent="0.25"/>
    <row r="41466" customFormat="1" x14ac:dyDescent="0.25"/>
    <row r="41467" customFormat="1" x14ac:dyDescent="0.25"/>
    <row r="41468" customFormat="1" x14ac:dyDescent="0.25"/>
    <row r="41469" customFormat="1" x14ac:dyDescent="0.25"/>
    <row r="41470" customFormat="1" x14ac:dyDescent="0.25"/>
    <row r="41471" customFormat="1" x14ac:dyDescent="0.25"/>
    <row r="41472" customFormat="1" x14ac:dyDescent="0.25"/>
    <row r="41473" customFormat="1" x14ac:dyDescent="0.25"/>
    <row r="41474" customFormat="1" x14ac:dyDescent="0.25"/>
    <row r="41475" customFormat="1" x14ac:dyDescent="0.25"/>
    <row r="41476" customFormat="1" x14ac:dyDescent="0.25"/>
    <row r="41477" customFormat="1" x14ac:dyDescent="0.25"/>
    <row r="41478" customFormat="1" x14ac:dyDescent="0.25"/>
    <row r="41479" customFormat="1" x14ac:dyDescent="0.25"/>
    <row r="41480" customFormat="1" x14ac:dyDescent="0.25"/>
    <row r="41481" customFormat="1" x14ac:dyDescent="0.25"/>
    <row r="41482" customFormat="1" x14ac:dyDescent="0.25"/>
    <row r="41483" customFormat="1" x14ac:dyDescent="0.25"/>
    <row r="41484" customFormat="1" x14ac:dyDescent="0.25"/>
    <row r="41485" customFormat="1" x14ac:dyDescent="0.25"/>
    <row r="41486" customFormat="1" x14ac:dyDescent="0.25"/>
    <row r="41487" customFormat="1" x14ac:dyDescent="0.25"/>
    <row r="41488" customFormat="1" x14ac:dyDescent="0.25"/>
    <row r="41489" customFormat="1" x14ac:dyDescent="0.25"/>
    <row r="41490" customFormat="1" x14ac:dyDescent="0.25"/>
    <row r="41491" customFormat="1" x14ac:dyDescent="0.25"/>
    <row r="41492" customFormat="1" x14ac:dyDescent="0.25"/>
    <row r="41493" customFormat="1" x14ac:dyDescent="0.25"/>
    <row r="41494" customFormat="1" x14ac:dyDescent="0.25"/>
    <row r="41495" customFormat="1" x14ac:dyDescent="0.25"/>
    <row r="41496" customFormat="1" x14ac:dyDescent="0.25"/>
    <row r="41497" customFormat="1" x14ac:dyDescent="0.25"/>
    <row r="41498" customFormat="1" x14ac:dyDescent="0.25"/>
    <row r="41499" customFormat="1" x14ac:dyDescent="0.25"/>
    <row r="41500" customFormat="1" x14ac:dyDescent="0.25"/>
    <row r="41501" customFormat="1" x14ac:dyDescent="0.25"/>
    <row r="41502" customFormat="1" x14ac:dyDescent="0.25"/>
    <row r="41503" customFormat="1" x14ac:dyDescent="0.25"/>
    <row r="41504" customFormat="1" x14ac:dyDescent="0.25"/>
    <row r="41505" customFormat="1" x14ac:dyDescent="0.25"/>
    <row r="41506" customFormat="1" x14ac:dyDescent="0.25"/>
    <row r="41507" customFormat="1" x14ac:dyDescent="0.25"/>
    <row r="41508" customFormat="1" x14ac:dyDescent="0.25"/>
    <row r="41509" customFormat="1" x14ac:dyDescent="0.25"/>
    <row r="41510" customFormat="1" x14ac:dyDescent="0.25"/>
    <row r="41511" customFormat="1" x14ac:dyDescent="0.25"/>
    <row r="41512" customFormat="1" x14ac:dyDescent="0.25"/>
    <row r="41513" customFormat="1" x14ac:dyDescent="0.25"/>
    <row r="41514" customFormat="1" x14ac:dyDescent="0.25"/>
    <row r="41515" customFormat="1" x14ac:dyDescent="0.25"/>
    <row r="41516" customFormat="1" x14ac:dyDescent="0.25"/>
    <row r="41517" customFormat="1" x14ac:dyDescent="0.25"/>
    <row r="41518" customFormat="1" x14ac:dyDescent="0.25"/>
    <row r="41519" customFormat="1" x14ac:dyDescent="0.25"/>
    <row r="41520" customFormat="1" x14ac:dyDescent="0.25"/>
    <row r="41521" customFormat="1" x14ac:dyDescent="0.25"/>
    <row r="41522" customFormat="1" x14ac:dyDescent="0.25"/>
    <row r="41523" customFormat="1" x14ac:dyDescent="0.25"/>
    <row r="41524" customFormat="1" x14ac:dyDescent="0.25"/>
    <row r="41525" customFormat="1" x14ac:dyDescent="0.25"/>
    <row r="41526" customFormat="1" x14ac:dyDescent="0.25"/>
    <row r="41527" customFormat="1" x14ac:dyDescent="0.25"/>
    <row r="41528" customFormat="1" x14ac:dyDescent="0.25"/>
    <row r="41529" customFormat="1" x14ac:dyDescent="0.25"/>
    <row r="41530" customFormat="1" x14ac:dyDescent="0.25"/>
    <row r="41531" customFormat="1" x14ac:dyDescent="0.25"/>
    <row r="41532" customFormat="1" x14ac:dyDescent="0.25"/>
    <row r="41533" customFormat="1" x14ac:dyDescent="0.25"/>
    <row r="41534" customFormat="1" x14ac:dyDescent="0.25"/>
    <row r="41535" customFormat="1" x14ac:dyDescent="0.25"/>
    <row r="41536" customFormat="1" x14ac:dyDescent="0.25"/>
    <row r="41537" customFormat="1" x14ac:dyDescent="0.25"/>
    <row r="41538" customFormat="1" x14ac:dyDescent="0.25"/>
    <row r="41539" customFormat="1" x14ac:dyDescent="0.25"/>
    <row r="41540" customFormat="1" x14ac:dyDescent="0.25"/>
    <row r="41541" customFormat="1" x14ac:dyDescent="0.25"/>
    <row r="41542" customFormat="1" x14ac:dyDescent="0.25"/>
    <row r="41543" customFormat="1" x14ac:dyDescent="0.25"/>
    <row r="41544" customFormat="1" x14ac:dyDescent="0.25"/>
    <row r="41545" customFormat="1" x14ac:dyDescent="0.25"/>
    <row r="41546" customFormat="1" x14ac:dyDescent="0.25"/>
    <row r="41547" customFormat="1" x14ac:dyDescent="0.25"/>
    <row r="41548" customFormat="1" x14ac:dyDescent="0.25"/>
    <row r="41549" customFormat="1" x14ac:dyDescent="0.25"/>
    <row r="41550" customFormat="1" x14ac:dyDescent="0.25"/>
    <row r="41551" customFormat="1" x14ac:dyDescent="0.25"/>
    <row r="41552" customFormat="1" x14ac:dyDescent="0.25"/>
    <row r="41553" customFormat="1" x14ac:dyDescent="0.25"/>
    <row r="41554" customFormat="1" x14ac:dyDescent="0.25"/>
    <row r="41555" customFormat="1" x14ac:dyDescent="0.25"/>
    <row r="41556" customFormat="1" x14ac:dyDescent="0.25"/>
    <row r="41557" customFormat="1" x14ac:dyDescent="0.25"/>
    <row r="41558" customFormat="1" x14ac:dyDescent="0.25"/>
    <row r="41559" customFormat="1" x14ac:dyDescent="0.25"/>
    <row r="41560" customFormat="1" x14ac:dyDescent="0.25"/>
    <row r="41561" customFormat="1" x14ac:dyDescent="0.25"/>
    <row r="41562" customFormat="1" x14ac:dyDescent="0.25"/>
    <row r="41563" customFormat="1" x14ac:dyDescent="0.25"/>
    <row r="41564" customFormat="1" x14ac:dyDescent="0.25"/>
    <row r="41565" customFormat="1" x14ac:dyDescent="0.25"/>
    <row r="41566" customFormat="1" x14ac:dyDescent="0.25"/>
    <row r="41567" customFormat="1" x14ac:dyDescent="0.25"/>
    <row r="41568" customFormat="1" x14ac:dyDescent="0.25"/>
    <row r="41569" customFormat="1" x14ac:dyDescent="0.25"/>
    <row r="41570" customFormat="1" x14ac:dyDescent="0.25"/>
    <row r="41571" customFormat="1" x14ac:dyDescent="0.25"/>
    <row r="41572" customFormat="1" x14ac:dyDescent="0.25"/>
    <row r="41573" customFormat="1" x14ac:dyDescent="0.25"/>
    <row r="41574" customFormat="1" x14ac:dyDescent="0.25"/>
    <row r="41575" customFormat="1" x14ac:dyDescent="0.25"/>
    <row r="41576" customFormat="1" x14ac:dyDescent="0.25"/>
    <row r="41577" customFormat="1" x14ac:dyDescent="0.25"/>
    <row r="41578" customFormat="1" x14ac:dyDescent="0.25"/>
    <row r="41579" customFormat="1" x14ac:dyDescent="0.25"/>
    <row r="41580" customFormat="1" x14ac:dyDescent="0.25"/>
    <row r="41581" customFormat="1" x14ac:dyDescent="0.25"/>
    <row r="41582" customFormat="1" x14ac:dyDescent="0.25"/>
    <row r="41583" customFormat="1" x14ac:dyDescent="0.25"/>
    <row r="41584" customFormat="1" x14ac:dyDescent="0.25"/>
    <row r="41585" customFormat="1" x14ac:dyDescent="0.25"/>
    <row r="41586" customFormat="1" x14ac:dyDescent="0.25"/>
    <row r="41587" customFormat="1" x14ac:dyDescent="0.25"/>
    <row r="41588" customFormat="1" x14ac:dyDescent="0.25"/>
    <row r="41589" customFormat="1" x14ac:dyDescent="0.25"/>
    <row r="41590" customFormat="1" x14ac:dyDescent="0.25"/>
    <row r="41591" customFormat="1" x14ac:dyDescent="0.25"/>
    <row r="41592" customFormat="1" x14ac:dyDescent="0.25"/>
    <row r="41593" customFormat="1" x14ac:dyDescent="0.25"/>
    <row r="41594" customFormat="1" x14ac:dyDescent="0.25"/>
    <row r="41595" customFormat="1" x14ac:dyDescent="0.25"/>
    <row r="41596" customFormat="1" x14ac:dyDescent="0.25"/>
    <row r="41597" customFormat="1" x14ac:dyDescent="0.25"/>
    <row r="41598" customFormat="1" x14ac:dyDescent="0.25"/>
    <row r="41599" customFormat="1" x14ac:dyDescent="0.25"/>
    <row r="41600" customFormat="1" x14ac:dyDescent="0.25"/>
    <row r="41601" customFormat="1" x14ac:dyDescent="0.25"/>
    <row r="41602" customFormat="1" x14ac:dyDescent="0.25"/>
    <row r="41603" customFormat="1" x14ac:dyDescent="0.25"/>
    <row r="41604" customFormat="1" x14ac:dyDescent="0.25"/>
    <row r="41605" customFormat="1" x14ac:dyDescent="0.25"/>
    <row r="41606" customFormat="1" x14ac:dyDescent="0.25"/>
    <row r="41607" customFormat="1" x14ac:dyDescent="0.25"/>
    <row r="41608" customFormat="1" x14ac:dyDescent="0.25"/>
    <row r="41609" customFormat="1" x14ac:dyDescent="0.25"/>
    <row r="41610" customFormat="1" x14ac:dyDescent="0.25"/>
    <row r="41611" customFormat="1" x14ac:dyDescent="0.25"/>
    <row r="41612" customFormat="1" x14ac:dyDescent="0.25"/>
    <row r="41613" customFormat="1" x14ac:dyDescent="0.25"/>
    <row r="41614" customFormat="1" x14ac:dyDescent="0.25"/>
    <row r="41615" customFormat="1" x14ac:dyDescent="0.25"/>
    <row r="41616" customFormat="1" x14ac:dyDescent="0.25"/>
    <row r="41617" customFormat="1" x14ac:dyDescent="0.25"/>
    <row r="41618" customFormat="1" x14ac:dyDescent="0.25"/>
    <row r="41619" customFormat="1" x14ac:dyDescent="0.25"/>
    <row r="41620" customFormat="1" x14ac:dyDescent="0.25"/>
    <row r="41621" customFormat="1" x14ac:dyDescent="0.25"/>
    <row r="41622" customFormat="1" x14ac:dyDescent="0.25"/>
    <row r="41623" customFormat="1" x14ac:dyDescent="0.25"/>
    <row r="41624" customFormat="1" x14ac:dyDescent="0.25"/>
    <row r="41625" customFormat="1" x14ac:dyDescent="0.25"/>
    <row r="41626" customFormat="1" x14ac:dyDescent="0.25"/>
    <row r="41627" customFormat="1" x14ac:dyDescent="0.25"/>
    <row r="41628" customFormat="1" x14ac:dyDescent="0.25"/>
    <row r="41629" customFormat="1" x14ac:dyDescent="0.25"/>
    <row r="41630" customFormat="1" x14ac:dyDescent="0.25"/>
    <row r="41631" customFormat="1" x14ac:dyDescent="0.25"/>
    <row r="41632" customFormat="1" x14ac:dyDescent="0.25"/>
    <row r="41633" customFormat="1" x14ac:dyDescent="0.25"/>
    <row r="41634" customFormat="1" x14ac:dyDescent="0.25"/>
    <row r="41635" customFormat="1" x14ac:dyDescent="0.25"/>
    <row r="41636" customFormat="1" x14ac:dyDescent="0.25"/>
    <row r="41637" customFormat="1" x14ac:dyDescent="0.25"/>
    <row r="41638" customFormat="1" x14ac:dyDescent="0.25"/>
    <row r="41639" customFormat="1" x14ac:dyDescent="0.25"/>
    <row r="41640" customFormat="1" x14ac:dyDescent="0.25"/>
    <row r="41641" customFormat="1" x14ac:dyDescent="0.25"/>
    <row r="41642" customFormat="1" x14ac:dyDescent="0.25"/>
    <row r="41643" customFormat="1" x14ac:dyDescent="0.25"/>
    <row r="41644" customFormat="1" x14ac:dyDescent="0.25"/>
    <row r="41645" customFormat="1" x14ac:dyDescent="0.25"/>
    <row r="41646" customFormat="1" x14ac:dyDescent="0.25"/>
    <row r="41647" customFormat="1" x14ac:dyDescent="0.25"/>
    <row r="41648" customFormat="1" x14ac:dyDescent="0.25"/>
    <row r="41649" customFormat="1" x14ac:dyDescent="0.25"/>
    <row r="41650" customFormat="1" x14ac:dyDescent="0.25"/>
    <row r="41651" customFormat="1" x14ac:dyDescent="0.25"/>
    <row r="41652" customFormat="1" x14ac:dyDescent="0.25"/>
    <row r="41653" customFormat="1" x14ac:dyDescent="0.25"/>
    <row r="41654" customFormat="1" x14ac:dyDescent="0.25"/>
    <row r="41655" customFormat="1" x14ac:dyDescent="0.25"/>
    <row r="41656" customFormat="1" x14ac:dyDescent="0.25"/>
    <row r="41657" customFormat="1" x14ac:dyDescent="0.25"/>
    <row r="41658" customFormat="1" x14ac:dyDescent="0.25"/>
    <row r="41659" customFormat="1" x14ac:dyDescent="0.25"/>
    <row r="41660" customFormat="1" x14ac:dyDescent="0.25"/>
    <row r="41661" customFormat="1" x14ac:dyDescent="0.25"/>
    <row r="41662" customFormat="1" x14ac:dyDescent="0.25"/>
    <row r="41663" customFormat="1" x14ac:dyDescent="0.25"/>
    <row r="41664" customFormat="1" x14ac:dyDescent="0.25"/>
    <row r="41665" customFormat="1" x14ac:dyDescent="0.25"/>
    <row r="41666" customFormat="1" x14ac:dyDescent="0.25"/>
    <row r="41667" customFormat="1" x14ac:dyDescent="0.25"/>
    <row r="41668" customFormat="1" x14ac:dyDescent="0.25"/>
    <row r="41669" customFormat="1" x14ac:dyDescent="0.25"/>
    <row r="41670" customFormat="1" x14ac:dyDescent="0.25"/>
    <row r="41671" customFormat="1" x14ac:dyDescent="0.25"/>
    <row r="41672" customFormat="1" x14ac:dyDescent="0.25"/>
    <row r="41673" customFormat="1" x14ac:dyDescent="0.25"/>
    <row r="41674" customFormat="1" x14ac:dyDescent="0.25"/>
    <row r="41675" customFormat="1" x14ac:dyDescent="0.25"/>
    <row r="41676" customFormat="1" x14ac:dyDescent="0.25"/>
    <row r="41677" customFormat="1" x14ac:dyDescent="0.25"/>
    <row r="41678" customFormat="1" x14ac:dyDescent="0.25"/>
    <row r="41679" customFormat="1" x14ac:dyDescent="0.25"/>
    <row r="41680" customFormat="1" x14ac:dyDescent="0.25"/>
    <row r="41681" customFormat="1" x14ac:dyDescent="0.25"/>
    <row r="41682" customFormat="1" x14ac:dyDescent="0.25"/>
    <row r="41683" customFormat="1" x14ac:dyDescent="0.25"/>
    <row r="41684" customFormat="1" x14ac:dyDescent="0.25"/>
    <row r="41685" customFormat="1" x14ac:dyDescent="0.25"/>
    <row r="41686" customFormat="1" x14ac:dyDescent="0.25"/>
    <row r="41687" customFormat="1" x14ac:dyDescent="0.25"/>
    <row r="41688" customFormat="1" x14ac:dyDescent="0.25"/>
    <row r="41689" customFormat="1" x14ac:dyDescent="0.25"/>
    <row r="41690" customFormat="1" x14ac:dyDescent="0.25"/>
    <row r="41691" customFormat="1" x14ac:dyDescent="0.25"/>
    <row r="41692" customFormat="1" x14ac:dyDescent="0.25"/>
    <row r="41693" customFormat="1" x14ac:dyDescent="0.25"/>
    <row r="41694" customFormat="1" x14ac:dyDescent="0.25"/>
    <row r="41695" customFormat="1" x14ac:dyDescent="0.25"/>
    <row r="41696" customFormat="1" x14ac:dyDescent="0.25"/>
    <row r="41697" customFormat="1" x14ac:dyDescent="0.25"/>
    <row r="41698" customFormat="1" x14ac:dyDescent="0.25"/>
    <row r="41699" customFormat="1" x14ac:dyDescent="0.25"/>
    <row r="41700" customFormat="1" x14ac:dyDescent="0.25"/>
    <row r="41701" customFormat="1" x14ac:dyDescent="0.25"/>
    <row r="41702" customFormat="1" x14ac:dyDescent="0.25"/>
    <row r="41703" customFormat="1" x14ac:dyDescent="0.25"/>
    <row r="41704" customFormat="1" x14ac:dyDescent="0.25"/>
    <row r="41705" customFormat="1" x14ac:dyDescent="0.25"/>
    <row r="41706" customFormat="1" x14ac:dyDescent="0.25"/>
    <row r="41707" customFormat="1" x14ac:dyDescent="0.25"/>
    <row r="41708" customFormat="1" x14ac:dyDescent="0.25"/>
    <row r="41709" customFormat="1" x14ac:dyDescent="0.25"/>
    <row r="41710" customFormat="1" x14ac:dyDescent="0.25"/>
    <row r="41711" customFormat="1" x14ac:dyDescent="0.25"/>
    <row r="41712" customFormat="1" x14ac:dyDescent="0.25"/>
    <row r="41713" customFormat="1" x14ac:dyDescent="0.25"/>
    <row r="41714" customFormat="1" x14ac:dyDescent="0.25"/>
    <row r="41715" customFormat="1" x14ac:dyDescent="0.25"/>
    <row r="41716" customFormat="1" x14ac:dyDescent="0.25"/>
    <row r="41717" customFormat="1" x14ac:dyDescent="0.25"/>
    <row r="41718" customFormat="1" x14ac:dyDescent="0.25"/>
    <row r="41719" customFormat="1" x14ac:dyDescent="0.25"/>
    <row r="41720" customFormat="1" x14ac:dyDescent="0.25"/>
    <row r="41721" customFormat="1" x14ac:dyDescent="0.25"/>
    <row r="41722" customFormat="1" x14ac:dyDescent="0.25"/>
    <row r="41723" customFormat="1" x14ac:dyDescent="0.25"/>
    <row r="41724" customFormat="1" x14ac:dyDescent="0.25"/>
    <row r="41725" customFormat="1" x14ac:dyDescent="0.25"/>
    <row r="41726" customFormat="1" x14ac:dyDescent="0.25"/>
    <row r="41727" customFormat="1" x14ac:dyDescent="0.25"/>
    <row r="41728" customFormat="1" x14ac:dyDescent="0.25"/>
    <row r="41729" customFormat="1" x14ac:dyDescent="0.25"/>
    <row r="41730" customFormat="1" x14ac:dyDescent="0.25"/>
    <row r="41731" customFormat="1" x14ac:dyDescent="0.25"/>
    <row r="41732" customFormat="1" x14ac:dyDescent="0.25"/>
    <row r="41733" customFormat="1" x14ac:dyDescent="0.25"/>
    <row r="41734" customFormat="1" x14ac:dyDescent="0.25"/>
    <row r="41735" customFormat="1" x14ac:dyDescent="0.25"/>
    <row r="41736" customFormat="1" x14ac:dyDescent="0.25"/>
    <row r="41737" customFormat="1" x14ac:dyDescent="0.25"/>
    <row r="41738" customFormat="1" x14ac:dyDescent="0.25"/>
    <row r="41739" customFormat="1" x14ac:dyDescent="0.25"/>
    <row r="41740" customFormat="1" x14ac:dyDescent="0.25"/>
    <row r="41741" customFormat="1" x14ac:dyDescent="0.25"/>
    <row r="41742" customFormat="1" x14ac:dyDescent="0.25"/>
    <row r="41743" customFormat="1" x14ac:dyDescent="0.25"/>
    <row r="41744" customFormat="1" x14ac:dyDescent="0.25"/>
    <row r="41745" customFormat="1" x14ac:dyDescent="0.25"/>
    <row r="41746" customFormat="1" x14ac:dyDescent="0.25"/>
    <row r="41747" customFormat="1" x14ac:dyDescent="0.25"/>
    <row r="41748" customFormat="1" x14ac:dyDescent="0.25"/>
    <row r="41749" customFormat="1" x14ac:dyDescent="0.25"/>
    <row r="41750" customFormat="1" x14ac:dyDescent="0.25"/>
    <row r="41751" customFormat="1" x14ac:dyDescent="0.25"/>
    <row r="41752" customFormat="1" x14ac:dyDescent="0.25"/>
    <row r="41753" customFormat="1" x14ac:dyDescent="0.25"/>
    <row r="41754" customFormat="1" x14ac:dyDescent="0.25"/>
    <row r="41755" customFormat="1" x14ac:dyDescent="0.25"/>
    <row r="41756" customFormat="1" x14ac:dyDescent="0.25"/>
    <row r="41757" customFormat="1" x14ac:dyDescent="0.25"/>
    <row r="41758" customFormat="1" x14ac:dyDescent="0.25"/>
    <row r="41759" customFormat="1" x14ac:dyDescent="0.25"/>
    <row r="41760" customFormat="1" x14ac:dyDescent="0.25"/>
    <row r="41761" customFormat="1" x14ac:dyDescent="0.25"/>
    <row r="41762" customFormat="1" x14ac:dyDescent="0.25"/>
    <row r="41763" customFormat="1" x14ac:dyDescent="0.25"/>
    <row r="41764" customFormat="1" x14ac:dyDescent="0.25"/>
    <row r="41765" customFormat="1" x14ac:dyDescent="0.25"/>
    <row r="41766" customFormat="1" x14ac:dyDescent="0.25"/>
    <row r="41767" customFormat="1" x14ac:dyDescent="0.25"/>
    <row r="41768" customFormat="1" x14ac:dyDescent="0.25"/>
    <row r="41769" customFormat="1" x14ac:dyDescent="0.25"/>
    <row r="41770" customFormat="1" x14ac:dyDescent="0.25"/>
    <row r="41771" customFormat="1" x14ac:dyDescent="0.25"/>
    <row r="41772" customFormat="1" x14ac:dyDescent="0.25"/>
    <row r="41773" customFormat="1" x14ac:dyDescent="0.25"/>
    <row r="41774" customFormat="1" x14ac:dyDescent="0.25"/>
    <row r="41775" customFormat="1" x14ac:dyDescent="0.25"/>
    <row r="41776" customFormat="1" x14ac:dyDescent="0.25"/>
    <row r="41777" customFormat="1" x14ac:dyDescent="0.25"/>
    <row r="41778" customFormat="1" x14ac:dyDescent="0.25"/>
    <row r="41779" customFormat="1" x14ac:dyDescent="0.25"/>
    <row r="41780" customFormat="1" x14ac:dyDescent="0.25"/>
    <row r="41781" customFormat="1" x14ac:dyDescent="0.25"/>
    <row r="41782" customFormat="1" x14ac:dyDescent="0.25"/>
    <row r="41783" customFormat="1" x14ac:dyDescent="0.25"/>
    <row r="41784" customFormat="1" x14ac:dyDescent="0.25"/>
    <row r="41785" customFormat="1" x14ac:dyDescent="0.25"/>
    <row r="41786" customFormat="1" x14ac:dyDescent="0.25"/>
    <row r="41787" customFormat="1" x14ac:dyDescent="0.25"/>
    <row r="41788" customFormat="1" x14ac:dyDescent="0.25"/>
    <row r="41789" customFormat="1" x14ac:dyDescent="0.25"/>
    <row r="41790" customFormat="1" x14ac:dyDescent="0.25"/>
    <row r="41791" customFormat="1" x14ac:dyDescent="0.25"/>
    <row r="41792" customFormat="1" x14ac:dyDescent="0.25"/>
    <row r="41793" customFormat="1" x14ac:dyDescent="0.25"/>
    <row r="41794" customFormat="1" x14ac:dyDescent="0.25"/>
    <row r="41795" customFormat="1" x14ac:dyDescent="0.25"/>
    <row r="41796" customFormat="1" x14ac:dyDescent="0.25"/>
    <row r="41797" customFormat="1" x14ac:dyDescent="0.25"/>
    <row r="41798" customFormat="1" x14ac:dyDescent="0.25"/>
    <row r="41799" customFormat="1" x14ac:dyDescent="0.25"/>
    <row r="41800" customFormat="1" x14ac:dyDescent="0.25"/>
    <row r="41801" customFormat="1" x14ac:dyDescent="0.25"/>
    <row r="41802" customFormat="1" x14ac:dyDescent="0.25"/>
    <row r="41803" customFormat="1" x14ac:dyDescent="0.25"/>
    <row r="41804" customFormat="1" x14ac:dyDescent="0.25"/>
    <row r="41805" customFormat="1" x14ac:dyDescent="0.25"/>
    <row r="41806" customFormat="1" x14ac:dyDescent="0.25"/>
    <row r="41807" customFormat="1" x14ac:dyDescent="0.25"/>
    <row r="41808" customFormat="1" x14ac:dyDescent="0.25"/>
    <row r="41809" customFormat="1" x14ac:dyDescent="0.25"/>
    <row r="41810" customFormat="1" x14ac:dyDescent="0.25"/>
    <row r="41811" customFormat="1" x14ac:dyDescent="0.25"/>
    <row r="41812" customFormat="1" x14ac:dyDescent="0.25"/>
    <row r="41813" customFormat="1" x14ac:dyDescent="0.25"/>
    <row r="41814" customFormat="1" x14ac:dyDescent="0.25"/>
    <row r="41815" customFormat="1" x14ac:dyDescent="0.25"/>
    <row r="41816" customFormat="1" x14ac:dyDescent="0.25"/>
    <row r="41817" customFormat="1" x14ac:dyDescent="0.25"/>
    <row r="41818" customFormat="1" x14ac:dyDescent="0.25"/>
    <row r="41819" customFormat="1" x14ac:dyDescent="0.25"/>
    <row r="41820" customFormat="1" x14ac:dyDescent="0.25"/>
    <row r="41821" customFormat="1" x14ac:dyDescent="0.25"/>
    <row r="41822" customFormat="1" x14ac:dyDescent="0.25"/>
    <row r="41823" customFormat="1" x14ac:dyDescent="0.25"/>
    <row r="41824" customFormat="1" x14ac:dyDescent="0.25"/>
    <row r="41825" customFormat="1" x14ac:dyDescent="0.25"/>
    <row r="41826" customFormat="1" x14ac:dyDescent="0.25"/>
    <row r="41827" customFormat="1" x14ac:dyDescent="0.25"/>
    <row r="41828" customFormat="1" x14ac:dyDescent="0.25"/>
    <row r="41829" customFormat="1" x14ac:dyDescent="0.25"/>
    <row r="41830" customFormat="1" x14ac:dyDescent="0.25"/>
    <row r="41831" customFormat="1" x14ac:dyDescent="0.25"/>
    <row r="41832" customFormat="1" x14ac:dyDescent="0.25"/>
    <row r="41833" customFormat="1" x14ac:dyDescent="0.25"/>
    <row r="41834" customFormat="1" x14ac:dyDescent="0.25"/>
    <row r="41835" customFormat="1" x14ac:dyDescent="0.25"/>
    <row r="41836" customFormat="1" x14ac:dyDescent="0.25"/>
    <row r="41837" customFormat="1" x14ac:dyDescent="0.25"/>
    <row r="41838" customFormat="1" x14ac:dyDescent="0.25"/>
    <row r="41839" customFormat="1" x14ac:dyDescent="0.25"/>
    <row r="41840" customFormat="1" x14ac:dyDescent="0.25"/>
    <row r="41841" customFormat="1" x14ac:dyDescent="0.25"/>
    <row r="41842" customFormat="1" x14ac:dyDescent="0.25"/>
    <row r="41843" customFormat="1" x14ac:dyDescent="0.25"/>
    <row r="41844" customFormat="1" x14ac:dyDescent="0.25"/>
    <row r="41845" customFormat="1" x14ac:dyDescent="0.25"/>
    <row r="41846" customFormat="1" x14ac:dyDescent="0.25"/>
    <row r="41847" customFormat="1" x14ac:dyDescent="0.25"/>
    <row r="41848" customFormat="1" x14ac:dyDescent="0.25"/>
    <row r="41849" customFormat="1" x14ac:dyDescent="0.25"/>
    <row r="41850" customFormat="1" x14ac:dyDescent="0.25"/>
    <row r="41851" customFormat="1" x14ac:dyDescent="0.25"/>
    <row r="41852" customFormat="1" x14ac:dyDescent="0.25"/>
    <row r="41853" customFormat="1" x14ac:dyDescent="0.25"/>
    <row r="41854" customFormat="1" x14ac:dyDescent="0.25"/>
    <row r="41855" customFormat="1" x14ac:dyDescent="0.25"/>
    <row r="41856" customFormat="1" x14ac:dyDescent="0.25"/>
    <row r="41857" customFormat="1" x14ac:dyDescent="0.25"/>
    <row r="41858" customFormat="1" x14ac:dyDescent="0.25"/>
    <row r="41859" customFormat="1" x14ac:dyDescent="0.25"/>
    <row r="41860" customFormat="1" x14ac:dyDescent="0.25"/>
    <row r="41861" customFormat="1" x14ac:dyDescent="0.25"/>
    <row r="41862" customFormat="1" x14ac:dyDescent="0.25"/>
    <row r="41863" customFormat="1" x14ac:dyDescent="0.25"/>
    <row r="41864" customFormat="1" x14ac:dyDescent="0.25"/>
    <row r="41865" customFormat="1" x14ac:dyDescent="0.25"/>
    <row r="41866" customFormat="1" x14ac:dyDescent="0.25"/>
    <row r="41867" customFormat="1" x14ac:dyDescent="0.25"/>
    <row r="41868" customFormat="1" x14ac:dyDescent="0.25"/>
    <row r="41869" customFormat="1" x14ac:dyDescent="0.25"/>
    <row r="41870" customFormat="1" x14ac:dyDescent="0.25"/>
    <row r="41871" customFormat="1" x14ac:dyDescent="0.25"/>
    <row r="41872" customFormat="1" x14ac:dyDescent="0.25"/>
    <row r="41873" customFormat="1" x14ac:dyDescent="0.25"/>
    <row r="41874" customFormat="1" x14ac:dyDescent="0.25"/>
    <row r="41875" customFormat="1" x14ac:dyDescent="0.25"/>
    <row r="41876" customFormat="1" x14ac:dyDescent="0.25"/>
    <row r="41877" customFormat="1" x14ac:dyDescent="0.25"/>
    <row r="41878" customFormat="1" x14ac:dyDescent="0.25"/>
    <row r="41879" customFormat="1" x14ac:dyDescent="0.25"/>
    <row r="41880" customFormat="1" x14ac:dyDescent="0.25"/>
    <row r="41881" customFormat="1" x14ac:dyDescent="0.25"/>
    <row r="41882" customFormat="1" x14ac:dyDescent="0.25"/>
    <row r="41883" customFormat="1" x14ac:dyDescent="0.25"/>
    <row r="41884" customFormat="1" x14ac:dyDescent="0.25"/>
    <row r="41885" customFormat="1" x14ac:dyDescent="0.25"/>
    <row r="41886" customFormat="1" x14ac:dyDescent="0.25"/>
    <row r="41887" customFormat="1" x14ac:dyDescent="0.25"/>
    <row r="41888" customFormat="1" x14ac:dyDescent="0.25"/>
    <row r="41889" customFormat="1" x14ac:dyDescent="0.25"/>
    <row r="41890" customFormat="1" x14ac:dyDescent="0.25"/>
    <row r="41891" customFormat="1" x14ac:dyDescent="0.25"/>
    <row r="41892" customFormat="1" x14ac:dyDescent="0.25"/>
    <row r="41893" customFormat="1" x14ac:dyDescent="0.25"/>
    <row r="41894" customFormat="1" x14ac:dyDescent="0.25"/>
    <row r="41895" customFormat="1" x14ac:dyDescent="0.25"/>
    <row r="41896" customFormat="1" x14ac:dyDescent="0.25"/>
    <row r="41897" customFormat="1" x14ac:dyDescent="0.25"/>
    <row r="41898" customFormat="1" x14ac:dyDescent="0.25"/>
    <row r="41899" customFormat="1" x14ac:dyDescent="0.25"/>
    <row r="41900" customFormat="1" x14ac:dyDescent="0.25"/>
    <row r="41901" customFormat="1" x14ac:dyDescent="0.25"/>
    <row r="41902" customFormat="1" x14ac:dyDescent="0.25"/>
    <row r="41903" customFormat="1" x14ac:dyDescent="0.25"/>
    <row r="41904" customFormat="1" x14ac:dyDescent="0.25"/>
    <row r="41905" customFormat="1" x14ac:dyDescent="0.25"/>
    <row r="41906" customFormat="1" x14ac:dyDescent="0.25"/>
    <row r="41907" customFormat="1" x14ac:dyDescent="0.25"/>
    <row r="41908" customFormat="1" x14ac:dyDescent="0.25"/>
    <row r="41909" customFormat="1" x14ac:dyDescent="0.25"/>
    <row r="41910" customFormat="1" x14ac:dyDescent="0.25"/>
    <row r="41911" customFormat="1" x14ac:dyDescent="0.25"/>
    <row r="41912" customFormat="1" x14ac:dyDescent="0.25"/>
    <row r="41913" customFormat="1" x14ac:dyDescent="0.25"/>
    <row r="41914" customFormat="1" x14ac:dyDescent="0.25"/>
    <row r="41915" customFormat="1" x14ac:dyDescent="0.25"/>
    <row r="41916" customFormat="1" x14ac:dyDescent="0.25"/>
    <row r="41917" customFormat="1" x14ac:dyDescent="0.25"/>
    <row r="41918" customFormat="1" x14ac:dyDescent="0.25"/>
    <row r="41919" customFormat="1" x14ac:dyDescent="0.25"/>
    <row r="41920" customFormat="1" x14ac:dyDescent="0.25"/>
    <row r="41921" customFormat="1" x14ac:dyDescent="0.25"/>
    <row r="41922" customFormat="1" x14ac:dyDescent="0.25"/>
    <row r="41923" customFormat="1" x14ac:dyDescent="0.25"/>
    <row r="41924" customFormat="1" x14ac:dyDescent="0.25"/>
    <row r="41925" customFormat="1" x14ac:dyDescent="0.25"/>
    <row r="41926" customFormat="1" x14ac:dyDescent="0.25"/>
    <row r="41927" customFormat="1" x14ac:dyDescent="0.25"/>
    <row r="41928" customFormat="1" x14ac:dyDescent="0.25"/>
    <row r="41929" customFormat="1" x14ac:dyDescent="0.25"/>
    <row r="41930" customFormat="1" x14ac:dyDescent="0.25"/>
    <row r="41931" customFormat="1" x14ac:dyDescent="0.25"/>
    <row r="41932" customFormat="1" x14ac:dyDescent="0.25"/>
    <row r="41933" customFormat="1" x14ac:dyDescent="0.25"/>
    <row r="41934" customFormat="1" x14ac:dyDescent="0.25"/>
    <row r="41935" customFormat="1" x14ac:dyDescent="0.25"/>
    <row r="41936" customFormat="1" x14ac:dyDescent="0.25"/>
    <row r="41937" customFormat="1" x14ac:dyDescent="0.25"/>
    <row r="41938" customFormat="1" x14ac:dyDescent="0.25"/>
    <row r="41939" customFormat="1" x14ac:dyDescent="0.25"/>
    <row r="41940" customFormat="1" x14ac:dyDescent="0.25"/>
    <row r="41941" customFormat="1" x14ac:dyDescent="0.25"/>
    <row r="41942" customFormat="1" x14ac:dyDescent="0.25"/>
    <row r="41943" customFormat="1" x14ac:dyDescent="0.25"/>
    <row r="41944" customFormat="1" x14ac:dyDescent="0.25"/>
    <row r="41945" customFormat="1" x14ac:dyDescent="0.25"/>
    <row r="41946" customFormat="1" x14ac:dyDescent="0.25"/>
    <row r="41947" customFormat="1" x14ac:dyDescent="0.25"/>
    <row r="41948" customFormat="1" x14ac:dyDescent="0.25"/>
    <row r="41949" customFormat="1" x14ac:dyDescent="0.25"/>
    <row r="41950" customFormat="1" x14ac:dyDescent="0.25"/>
    <row r="41951" customFormat="1" x14ac:dyDescent="0.25"/>
    <row r="41952" customFormat="1" x14ac:dyDescent="0.25"/>
    <row r="41953" customFormat="1" x14ac:dyDescent="0.25"/>
    <row r="41954" customFormat="1" x14ac:dyDescent="0.25"/>
    <row r="41955" customFormat="1" x14ac:dyDescent="0.25"/>
    <row r="41956" customFormat="1" x14ac:dyDescent="0.25"/>
    <row r="41957" customFormat="1" x14ac:dyDescent="0.25"/>
    <row r="41958" customFormat="1" x14ac:dyDescent="0.25"/>
    <row r="41959" customFormat="1" x14ac:dyDescent="0.25"/>
    <row r="41960" customFormat="1" x14ac:dyDescent="0.25"/>
    <row r="41961" customFormat="1" x14ac:dyDescent="0.25"/>
    <row r="41962" customFormat="1" x14ac:dyDescent="0.25"/>
    <row r="41963" customFormat="1" x14ac:dyDescent="0.25"/>
    <row r="41964" customFormat="1" x14ac:dyDescent="0.25"/>
    <row r="41965" customFormat="1" x14ac:dyDescent="0.25"/>
    <row r="41966" customFormat="1" x14ac:dyDescent="0.25"/>
    <row r="41967" customFormat="1" x14ac:dyDescent="0.25"/>
    <row r="41968" customFormat="1" x14ac:dyDescent="0.25"/>
    <row r="41969" customFormat="1" x14ac:dyDescent="0.25"/>
    <row r="41970" customFormat="1" x14ac:dyDescent="0.25"/>
    <row r="41971" customFormat="1" x14ac:dyDescent="0.25"/>
    <row r="41972" customFormat="1" x14ac:dyDescent="0.25"/>
    <row r="41973" customFormat="1" x14ac:dyDescent="0.25"/>
    <row r="41974" customFormat="1" x14ac:dyDescent="0.25"/>
    <row r="41975" customFormat="1" x14ac:dyDescent="0.25"/>
    <row r="41976" customFormat="1" x14ac:dyDescent="0.25"/>
    <row r="41977" customFormat="1" x14ac:dyDescent="0.25"/>
    <row r="41978" customFormat="1" x14ac:dyDescent="0.25"/>
    <row r="41979" customFormat="1" x14ac:dyDescent="0.25"/>
    <row r="41980" customFormat="1" x14ac:dyDescent="0.25"/>
    <row r="41981" customFormat="1" x14ac:dyDescent="0.25"/>
    <row r="41982" customFormat="1" x14ac:dyDescent="0.25"/>
    <row r="41983" customFormat="1" x14ac:dyDescent="0.25"/>
    <row r="41984" customFormat="1" x14ac:dyDescent="0.25"/>
    <row r="41985" customFormat="1" x14ac:dyDescent="0.25"/>
    <row r="41986" customFormat="1" x14ac:dyDescent="0.25"/>
    <row r="41987" customFormat="1" x14ac:dyDescent="0.25"/>
    <row r="41988" customFormat="1" x14ac:dyDescent="0.25"/>
    <row r="41989" customFormat="1" x14ac:dyDescent="0.25"/>
    <row r="41990" customFormat="1" x14ac:dyDescent="0.25"/>
    <row r="41991" customFormat="1" x14ac:dyDescent="0.25"/>
    <row r="41992" customFormat="1" x14ac:dyDescent="0.25"/>
    <row r="41993" customFormat="1" x14ac:dyDescent="0.25"/>
    <row r="41994" customFormat="1" x14ac:dyDescent="0.25"/>
    <row r="41995" customFormat="1" x14ac:dyDescent="0.25"/>
    <row r="41996" customFormat="1" x14ac:dyDescent="0.25"/>
    <row r="41997" customFormat="1" x14ac:dyDescent="0.25"/>
    <row r="41998" customFormat="1" x14ac:dyDescent="0.25"/>
    <row r="41999" customFormat="1" x14ac:dyDescent="0.25"/>
    <row r="42000" customFormat="1" x14ac:dyDescent="0.25"/>
    <row r="42001" customFormat="1" x14ac:dyDescent="0.25"/>
    <row r="42002" customFormat="1" x14ac:dyDescent="0.25"/>
    <row r="42003" customFormat="1" x14ac:dyDescent="0.25"/>
    <row r="42004" customFormat="1" x14ac:dyDescent="0.25"/>
    <row r="42005" customFormat="1" x14ac:dyDescent="0.25"/>
    <row r="42006" customFormat="1" x14ac:dyDescent="0.25"/>
    <row r="42007" customFormat="1" x14ac:dyDescent="0.25"/>
    <row r="42008" customFormat="1" x14ac:dyDescent="0.25"/>
    <row r="42009" customFormat="1" x14ac:dyDescent="0.25"/>
    <row r="42010" customFormat="1" x14ac:dyDescent="0.25"/>
    <row r="42011" customFormat="1" x14ac:dyDescent="0.25"/>
    <row r="42012" customFormat="1" x14ac:dyDescent="0.25"/>
    <row r="42013" customFormat="1" x14ac:dyDescent="0.25"/>
    <row r="42014" customFormat="1" x14ac:dyDescent="0.25"/>
    <row r="42015" customFormat="1" x14ac:dyDescent="0.25"/>
    <row r="42016" customFormat="1" x14ac:dyDescent="0.25"/>
    <row r="42017" customFormat="1" x14ac:dyDescent="0.25"/>
    <row r="42018" customFormat="1" x14ac:dyDescent="0.25"/>
    <row r="42019" customFormat="1" x14ac:dyDescent="0.25"/>
    <row r="42020" customFormat="1" x14ac:dyDescent="0.25"/>
    <row r="42021" customFormat="1" x14ac:dyDescent="0.25"/>
    <row r="42022" customFormat="1" x14ac:dyDescent="0.25"/>
    <row r="42023" customFormat="1" x14ac:dyDescent="0.25"/>
    <row r="42024" customFormat="1" x14ac:dyDescent="0.25"/>
    <row r="42025" customFormat="1" x14ac:dyDescent="0.25"/>
    <row r="42026" customFormat="1" x14ac:dyDescent="0.25"/>
    <row r="42027" customFormat="1" x14ac:dyDescent="0.25"/>
    <row r="42028" customFormat="1" x14ac:dyDescent="0.25"/>
    <row r="42029" customFormat="1" x14ac:dyDescent="0.25"/>
    <row r="42030" customFormat="1" x14ac:dyDescent="0.25"/>
    <row r="42031" customFormat="1" x14ac:dyDescent="0.25"/>
    <row r="42032" customFormat="1" x14ac:dyDescent="0.25"/>
    <row r="42033" customFormat="1" x14ac:dyDescent="0.25"/>
    <row r="42034" customFormat="1" x14ac:dyDescent="0.25"/>
    <row r="42035" customFormat="1" x14ac:dyDescent="0.25"/>
    <row r="42036" customFormat="1" x14ac:dyDescent="0.25"/>
    <row r="42037" customFormat="1" x14ac:dyDescent="0.25"/>
    <row r="42038" customFormat="1" x14ac:dyDescent="0.25"/>
    <row r="42039" customFormat="1" x14ac:dyDescent="0.25"/>
    <row r="42040" customFormat="1" x14ac:dyDescent="0.25"/>
    <row r="42041" customFormat="1" x14ac:dyDescent="0.25"/>
    <row r="42042" customFormat="1" x14ac:dyDescent="0.25"/>
    <row r="42043" customFormat="1" x14ac:dyDescent="0.25"/>
    <row r="42044" customFormat="1" x14ac:dyDescent="0.25"/>
    <row r="42045" customFormat="1" x14ac:dyDescent="0.25"/>
    <row r="42046" customFormat="1" x14ac:dyDescent="0.25"/>
    <row r="42047" customFormat="1" x14ac:dyDescent="0.25"/>
    <row r="42048" customFormat="1" x14ac:dyDescent="0.25"/>
    <row r="42049" customFormat="1" x14ac:dyDescent="0.25"/>
    <row r="42050" customFormat="1" x14ac:dyDescent="0.25"/>
    <row r="42051" customFormat="1" x14ac:dyDescent="0.25"/>
    <row r="42052" customFormat="1" x14ac:dyDescent="0.25"/>
    <row r="42053" customFormat="1" x14ac:dyDescent="0.25"/>
    <row r="42054" customFormat="1" x14ac:dyDescent="0.25"/>
    <row r="42055" customFormat="1" x14ac:dyDescent="0.25"/>
    <row r="42056" customFormat="1" x14ac:dyDescent="0.25"/>
    <row r="42057" customFormat="1" x14ac:dyDescent="0.25"/>
    <row r="42058" customFormat="1" x14ac:dyDescent="0.25"/>
    <row r="42059" customFormat="1" x14ac:dyDescent="0.25"/>
    <row r="42060" customFormat="1" x14ac:dyDescent="0.25"/>
    <row r="42061" customFormat="1" x14ac:dyDescent="0.25"/>
    <row r="42062" customFormat="1" x14ac:dyDescent="0.25"/>
    <row r="42063" customFormat="1" x14ac:dyDescent="0.25"/>
    <row r="42064" customFormat="1" x14ac:dyDescent="0.25"/>
    <row r="42065" customFormat="1" x14ac:dyDescent="0.25"/>
    <row r="42066" customFormat="1" x14ac:dyDescent="0.25"/>
    <row r="42067" customFormat="1" x14ac:dyDescent="0.25"/>
    <row r="42068" customFormat="1" x14ac:dyDescent="0.25"/>
    <row r="42069" customFormat="1" x14ac:dyDescent="0.25"/>
    <row r="42070" customFormat="1" x14ac:dyDescent="0.25"/>
    <row r="42071" customFormat="1" x14ac:dyDescent="0.25"/>
    <row r="42072" customFormat="1" x14ac:dyDescent="0.25"/>
    <row r="42073" customFormat="1" x14ac:dyDescent="0.25"/>
    <row r="42074" customFormat="1" x14ac:dyDescent="0.25"/>
    <row r="42075" customFormat="1" x14ac:dyDescent="0.25"/>
    <row r="42076" customFormat="1" x14ac:dyDescent="0.25"/>
    <row r="42077" customFormat="1" x14ac:dyDescent="0.25"/>
    <row r="42078" customFormat="1" x14ac:dyDescent="0.25"/>
    <row r="42079" customFormat="1" x14ac:dyDescent="0.25"/>
    <row r="42080" customFormat="1" x14ac:dyDescent="0.25"/>
    <row r="42081" customFormat="1" x14ac:dyDescent="0.25"/>
    <row r="42082" customFormat="1" x14ac:dyDescent="0.25"/>
    <row r="42083" customFormat="1" x14ac:dyDescent="0.25"/>
    <row r="42084" customFormat="1" x14ac:dyDescent="0.25"/>
    <row r="42085" customFormat="1" x14ac:dyDescent="0.25"/>
    <row r="42086" customFormat="1" x14ac:dyDescent="0.25"/>
    <row r="42087" customFormat="1" x14ac:dyDescent="0.25"/>
    <row r="42088" customFormat="1" x14ac:dyDescent="0.25"/>
    <row r="42089" customFormat="1" x14ac:dyDescent="0.25"/>
    <row r="42090" customFormat="1" x14ac:dyDescent="0.25"/>
    <row r="42091" customFormat="1" x14ac:dyDescent="0.25"/>
    <row r="42092" customFormat="1" x14ac:dyDescent="0.25"/>
    <row r="42093" customFormat="1" x14ac:dyDescent="0.25"/>
    <row r="42094" customFormat="1" x14ac:dyDescent="0.25"/>
    <row r="42095" customFormat="1" x14ac:dyDescent="0.25"/>
    <row r="42096" customFormat="1" x14ac:dyDescent="0.25"/>
    <row r="42097" customFormat="1" x14ac:dyDescent="0.25"/>
    <row r="42098" customFormat="1" x14ac:dyDescent="0.25"/>
    <row r="42099" customFormat="1" x14ac:dyDescent="0.25"/>
    <row r="42100" customFormat="1" x14ac:dyDescent="0.25"/>
    <row r="42101" customFormat="1" x14ac:dyDescent="0.25"/>
    <row r="42102" customFormat="1" x14ac:dyDescent="0.25"/>
    <row r="42103" customFormat="1" x14ac:dyDescent="0.25"/>
    <row r="42104" customFormat="1" x14ac:dyDescent="0.25"/>
    <row r="42105" customFormat="1" x14ac:dyDescent="0.25"/>
    <row r="42106" customFormat="1" x14ac:dyDescent="0.25"/>
    <row r="42107" customFormat="1" x14ac:dyDescent="0.25"/>
    <row r="42108" customFormat="1" x14ac:dyDescent="0.25"/>
    <row r="42109" customFormat="1" x14ac:dyDescent="0.25"/>
    <row r="42110" customFormat="1" x14ac:dyDescent="0.25"/>
    <row r="42111" customFormat="1" x14ac:dyDescent="0.25"/>
    <row r="42112" customFormat="1" x14ac:dyDescent="0.25"/>
    <row r="42113" customFormat="1" x14ac:dyDescent="0.25"/>
    <row r="42114" customFormat="1" x14ac:dyDescent="0.25"/>
    <row r="42115" customFormat="1" x14ac:dyDescent="0.25"/>
    <row r="42116" customFormat="1" x14ac:dyDescent="0.25"/>
    <row r="42117" customFormat="1" x14ac:dyDescent="0.25"/>
    <row r="42118" customFormat="1" x14ac:dyDescent="0.25"/>
    <row r="42119" customFormat="1" x14ac:dyDescent="0.25"/>
    <row r="42120" customFormat="1" x14ac:dyDescent="0.25"/>
    <row r="42121" customFormat="1" x14ac:dyDescent="0.25"/>
    <row r="42122" customFormat="1" x14ac:dyDescent="0.25"/>
    <row r="42123" customFormat="1" x14ac:dyDescent="0.25"/>
    <row r="42124" customFormat="1" x14ac:dyDescent="0.25"/>
    <row r="42125" customFormat="1" x14ac:dyDescent="0.25"/>
    <row r="42126" customFormat="1" x14ac:dyDescent="0.25"/>
    <row r="42127" customFormat="1" x14ac:dyDescent="0.25"/>
    <row r="42128" customFormat="1" x14ac:dyDescent="0.25"/>
    <row r="42129" customFormat="1" x14ac:dyDescent="0.25"/>
    <row r="42130" customFormat="1" x14ac:dyDescent="0.25"/>
    <row r="42131" customFormat="1" x14ac:dyDescent="0.25"/>
    <row r="42132" customFormat="1" x14ac:dyDescent="0.25"/>
    <row r="42133" customFormat="1" x14ac:dyDescent="0.25"/>
    <row r="42134" customFormat="1" x14ac:dyDescent="0.25"/>
    <row r="42135" customFormat="1" x14ac:dyDescent="0.25"/>
    <row r="42136" customFormat="1" x14ac:dyDescent="0.25"/>
    <row r="42137" customFormat="1" x14ac:dyDescent="0.25"/>
    <row r="42138" customFormat="1" x14ac:dyDescent="0.25"/>
    <row r="42139" customFormat="1" x14ac:dyDescent="0.25"/>
    <row r="42140" customFormat="1" x14ac:dyDescent="0.25"/>
    <row r="42141" customFormat="1" x14ac:dyDescent="0.25"/>
    <row r="42142" customFormat="1" x14ac:dyDescent="0.25"/>
    <row r="42143" customFormat="1" x14ac:dyDescent="0.25"/>
    <row r="42144" customFormat="1" x14ac:dyDescent="0.25"/>
    <row r="42145" customFormat="1" x14ac:dyDescent="0.25"/>
    <row r="42146" customFormat="1" x14ac:dyDescent="0.25"/>
    <row r="42147" customFormat="1" x14ac:dyDescent="0.25"/>
    <row r="42148" customFormat="1" x14ac:dyDescent="0.25"/>
    <row r="42149" customFormat="1" x14ac:dyDescent="0.25"/>
    <row r="42150" customFormat="1" x14ac:dyDescent="0.25"/>
    <row r="42151" customFormat="1" x14ac:dyDescent="0.25"/>
    <row r="42152" customFormat="1" x14ac:dyDescent="0.25"/>
    <row r="42153" customFormat="1" x14ac:dyDescent="0.25"/>
    <row r="42154" customFormat="1" x14ac:dyDescent="0.25"/>
    <row r="42155" customFormat="1" x14ac:dyDescent="0.25"/>
    <row r="42156" customFormat="1" x14ac:dyDescent="0.25"/>
    <row r="42157" customFormat="1" x14ac:dyDescent="0.25"/>
    <row r="42158" customFormat="1" x14ac:dyDescent="0.25"/>
    <row r="42159" customFormat="1" x14ac:dyDescent="0.25"/>
    <row r="42160" customFormat="1" x14ac:dyDescent="0.25"/>
    <row r="42161" customFormat="1" x14ac:dyDescent="0.25"/>
    <row r="42162" customFormat="1" x14ac:dyDescent="0.25"/>
    <row r="42163" customFormat="1" x14ac:dyDescent="0.25"/>
    <row r="42164" customFormat="1" x14ac:dyDescent="0.25"/>
    <row r="42165" customFormat="1" x14ac:dyDescent="0.25"/>
    <row r="42166" customFormat="1" x14ac:dyDescent="0.25"/>
    <row r="42167" customFormat="1" x14ac:dyDescent="0.25"/>
    <row r="42168" customFormat="1" x14ac:dyDescent="0.25"/>
    <row r="42169" customFormat="1" x14ac:dyDescent="0.25"/>
    <row r="42170" customFormat="1" x14ac:dyDescent="0.25"/>
    <row r="42171" customFormat="1" x14ac:dyDescent="0.25"/>
    <row r="42172" customFormat="1" x14ac:dyDescent="0.25"/>
    <row r="42173" customFormat="1" x14ac:dyDescent="0.25"/>
    <row r="42174" customFormat="1" x14ac:dyDescent="0.25"/>
    <row r="42175" customFormat="1" x14ac:dyDescent="0.25"/>
    <row r="42176" customFormat="1" x14ac:dyDescent="0.25"/>
    <row r="42177" customFormat="1" x14ac:dyDescent="0.25"/>
    <row r="42178" customFormat="1" x14ac:dyDescent="0.25"/>
    <row r="42179" customFormat="1" x14ac:dyDescent="0.25"/>
    <row r="42180" customFormat="1" x14ac:dyDescent="0.25"/>
    <row r="42181" customFormat="1" x14ac:dyDescent="0.25"/>
    <row r="42182" customFormat="1" x14ac:dyDescent="0.25"/>
    <row r="42183" customFormat="1" x14ac:dyDescent="0.25"/>
    <row r="42184" customFormat="1" x14ac:dyDescent="0.25"/>
    <row r="42185" customFormat="1" x14ac:dyDescent="0.25"/>
    <row r="42186" customFormat="1" x14ac:dyDescent="0.25"/>
    <row r="42187" customFormat="1" x14ac:dyDescent="0.25"/>
    <row r="42188" customFormat="1" x14ac:dyDescent="0.25"/>
    <row r="42189" customFormat="1" x14ac:dyDescent="0.25"/>
    <row r="42190" customFormat="1" x14ac:dyDescent="0.25"/>
    <row r="42191" customFormat="1" x14ac:dyDescent="0.25"/>
    <row r="42192" customFormat="1" x14ac:dyDescent="0.25"/>
    <row r="42193" customFormat="1" x14ac:dyDescent="0.25"/>
    <row r="42194" customFormat="1" x14ac:dyDescent="0.25"/>
    <row r="42195" customFormat="1" x14ac:dyDescent="0.25"/>
    <row r="42196" customFormat="1" x14ac:dyDescent="0.25"/>
    <row r="42197" customFormat="1" x14ac:dyDescent="0.25"/>
    <row r="42198" customFormat="1" x14ac:dyDescent="0.25"/>
    <row r="42199" customFormat="1" x14ac:dyDescent="0.25"/>
    <row r="42200" customFormat="1" x14ac:dyDescent="0.25"/>
    <row r="42201" customFormat="1" x14ac:dyDescent="0.25"/>
    <row r="42202" customFormat="1" x14ac:dyDescent="0.25"/>
    <row r="42203" customFormat="1" x14ac:dyDescent="0.25"/>
    <row r="42204" customFormat="1" x14ac:dyDescent="0.25"/>
    <row r="42205" customFormat="1" x14ac:dyDescent="0.25"/>
    <row r="42206" customFormat="1" x14ac:dyDescent="0.25"/>
    <row r="42207" customFormat="1" x14ac:dyDescent="0.25"/>
    <row r="42208" customFormat="1" x14ac:dyDescent="0.25"/>
    <row r="42209" customFormat="1" x14ac:dyDescent="0.25"/>
    <row r="42210" customFormat="1" x14ac:dyDescent="0.25"/>
    <row r="42211" customFormat="1" x14ac:dyDescent="0.25"/>
    <row r="42212" customFormat="1" x14ac:dyDescent="0.25"/>
    <row r="42213" customFormat="1" x14ac:dyDescent="0.25"/>
    <row r="42214" customFormat="1" x14ac:dyDescent="0.25"/>
    <row r="42215" customFormat="1" x14ac:dyDescent="0.25"/>
    <row r="42216" customFormat="1" x14ac:dyDescent="0.25"/>
    <row r="42217" customFormat="1" x14ac:dyDescent="0.25"/>
    <row r="42218" customFormat="1" x14ac:dyDescent="0.25"/>
    <row r="42219" customFormat="1" x14ac:dyDescent="0.25"/>
    <row r="42220" customFormat="1" x14ac:dyDescent="0.25"/>
    <row r="42221" customFormat="1" x14ac:dyDescent="0.25"/>
    <row r="42222" customFormat="1" x14ac:dyDescent="0.25"/>
    <row r="42223" customFormat="1" x14ac:dyDescent="0.25"/>
    <row r="42224" customFormat="1" x14ac:dyDescent="0.25"/>
    <row r="42225" customFormat="1" x14ac:dyDescent="0.25"/>
    <row r="42226" customFormat="1" x14ac:dyDescent="0.25"/>
    <row r="42227" customFormat="1" x14ac:dyDescent="0.25"/>
    <row r="42228" customFormat="1" x14ac:dyDescent="0.25"/>
    <row r="42229" customFormat="1" x14ac:dyDescent="0.25"/>
    <row r="42230" customFormat="1" x14ac:dyDescent="0.25"/>
    <row r="42231" customFormat="1" x14ac:dyDescent="0.25"/>
    <row r="42232" customFormat="1" x14ac:dyDescent="0.25"/>
    <row r="42233" customFormat="1" x14ac:dyDescent="0.25"/>
    <row r="42234" customFormat="1" x14ac:dyDescent="0.25"/>
    <row r="42235" customFormat="1" x14ac:dyDescent="0.25"/>
    <row r="42236" customFormat="1" x14ac:dyDescent="0.25"/>
    <row r="42237" customFormat="1" x14ac:dyDescent="0.25"/>
    <row r="42238" customFormat="1" x14ac:dyDescent="0.25"/>
    <row r="42239" customFormat="1" x14ac:dyDescent="0.25"/>
    <row r="42240" customFormat="1" x14ac:dyDescent="0.25"/>
    <row r="42241" customFormat="1" x14ac:dyDescent="0.25"/>
    <row r="42242" customFormat="1" x14ac:dyDescent="0.25"/>
    <row r="42243" customFormat="1" x14ac:dyDescent="0.25"/>
    <row r="42244" customFormat="1" x14ac:dyDescent="0.25"/>
    <row r="42245" customFormat="1" x14ac:dyDescent="0.25"/>
    <row r="42246" customFormat="1" x14ac:dyDescent="0.25"/>
    <row r="42247" customFormat="1" x14ac:dyDescent="0.25"/>
    <row r="42248" customFormat="1" x14ac:dyDescent="0.25"/>
    <row r="42249" customFormat="1" x14ac:dyDescent="0.25"/>
    <row r="42250" customFormat="1" x14ac:dyDescent="0.25"/>
    <row r="42251" customFormat="1" x14ac:dyDescent="0.25"/>
    <row r="42252" customFormat="1" x14ac:dyDescent="0.25"/>
    <row r="42253" customFormat="1" x14ac:dyDescent="0.25"/>
    <row r="42254" customFormat="1" x14ac:dyDescent="0.25"/>
    <row r="42255" customFormat="1" x14ac:dyDescent="0.25"/>
    <row r="42256" customFormat="1" x14ac:dyDescent="0.25"/>
    <row r="42257" customFormat="1" x14ac:dyDescent="0.25"/>
    <row r="42258" customFormat="1" x14ac:dyDescent="0.25"/>
    <row r="42259" customFormat="1" x14ac:dyDescent="0.25"/>
    <row r="42260" customFormat="1" x14ac:dyDescent="0.25"/>
    <row r="42261" customFormat="1" x14ac:dyDescent="0.25"/>
    <row r="42262" customFormat="1" x14ac:dyDescent="0.25"/>
    <row r="42263" customFormat="1" x14ac:dyDescent="0.25"/>
    <row r="42264" customFormat="1" x14ac:dyDescent="0.25"/>
    <row r="42265" customFormat="1" x14ac:dyDescent="0.25"/>
    <row r="42266" customFormat="1" x14ac:dyDescent="0.25"/>
    <row r="42267" customFormat="1" x14ac:dyDescent="0.25"/>
    <row r="42268" customFormat="1" x14ac:dyDescent="0.25"/>
    <row r="42269" customFormat="1" x14ac:dyDescent="0.25"/>
    <row r="42270" customFormat="1" x14ac:dyDescent="0.25"/>
    <row r="42271" customFormat="1" x14ac:dyDescent="0.25"/>
    <row r="42272" customFormat="1" x14ac:dyDescent="0.25"/>
    <row r="42273" customFormat="1" x14ac:dyDescent="0.25"/>
    <row r="42274" customFormat="1" x14ac:dyDescent="0.25"/>
    <row r="42275" customFormat="1" x14ac:dyDescent="0.25"/>
    <row r="42276" customFormat="1" x14ac:dyDescent="0.25"/>
    <row r="42277" customFormat="1" x14ac:dyDescent="0.25"/>
    <row r="42278" customFormat="1" x14ac:dyDescent="0.25"/>
    <row r="42279" customFormat="1" x14ac:dyDescent="0.25"/>
    <row r="42280" customFormat="1" x14ac:dyDescent="0.25"/>
    <row r="42281" customFormat="1" x14ac:dyDescent="0.25"/>
    <row r="42282" customFormat="1" x14ac:dyDescent="0.25"/>
    <row r="42283" customFormat="1" x14ac:dyDescent="0.25"/>
    <row r="42284" customFormat="1" x14ac:dyDescent="0.25"/>
    <row r="42285" customFormat="1" x14ac:dyDescent="0.25"/>
    <row r="42286" customFormat="1" x14ac:dyDescent="0.25"/>
    <row r="42287" customFormat="1" x14ac:dyDescent="0.25"/>
    <row r="42288" customFormat="1" x14ac:dyDescent="0.25"/>
    <row r="42289" customFormat="1" x14ac:dyDescent="0.25"/>
    <row r="42290" customFormat="1" x14ac:dyDescent="0.25"/>
    <row r="42291" customFormat="1" x14ac:dyDescent="0.25"/>
    <row r="42292" customFormat="1" x14ac:dyDescent="0.25"/>
    <row r="42293" customFormat="1" x14ac:dyDescent="0.25"/>
    <row r="42294" customFormat="1" x14ac:dyDescent="0.25"/>
    <row r="42295" customFormat="1" x14ac:dyDescent="0.25"/>
    <row r="42296" customFormat="1" x14ac:dyDescent="0.25"/>
    <row r="42297" customFormat="1" x14ac:dyDescent="0.25"/>
    <row r="42298" customFormat="1" x14ac:dyDescent="0.25"/>
    <row r="42299" customFormat="1" x14ac:dyDescent="0.25"/>
    <row r="42300" customFormat="1" x14ac:dyDescent="0.25"/>
    <row r="42301" customFormat="1" x14ac:dyDescent="0.25"/>
    <row r="42302" customFormat="1" x14ac:dyDescent="0.25"/>
    <row r="42303" customFormat="1" x14ac:dyDescent="0.25"/>
    <row r="42304" customFormat="1" x14ac:dyDescent="0.25"/>
    <row r="42305" customFormat="1" x14ac:dyDescent="0.25"/>
    <row r="42306" customFormat="1" x14ac:dyDescent="0.25"/>
    <row r="42307" customFormat="1" x14ac:dyDescent="0.25"/>
    <row r="42308" customFormat="1" x14ac:dyDescent="0.25"/>
    <row r="42309" customFormat="1" x14ac:dyDescent="0.25"/>
    <row r="42310" customFormat="1" x14ac:dyDescent="0.25"/>
    <row r="42311" customFormat="1" x14ac:dyDescent="0.25"/>
    <row r="42312" customFormat="1" x14ac:dyDescent="0.25"/>
    <row r="42313" customFormat="1" x14ac:dyDescent="0.25"/>
    <row r="42314" customFormat="1" x14ac:dyDescent="0.25"/>
    <row r="42315" customFormat="1" x14ac:dyDescent="0.25"/>
    <row r="42316" customFormat="1" x14ac:dyDescent="0.25"/>
    <row r="42317" customFormat="1" x14ac:dyDescent="0.25"/>
    <row r="42318" customFormat="1" x14ac:dyDescent="0.25"/>
    <row r="42319" customFormat="1" x14ac:dyDescent="0.25"/>
    <row r="42320" customFormat="1" x14ac:dyDescent="0.25"/>
    <row r="42321" customFormat="1" x14ac:dyDescent="0.25"/>
    <row r="42322" customFormat="1" x14ac:dyDescent="0.25"/>
    <row r="42323" customFormat="1" x14ac:dyDescent="0.25"/>
    <row r="42324" customFormat="1" x14ac:dyDescent="0.25"/>
    <row r="42325" customFormat="1" x14ac:dyDescent="0.25"/>
    <row r="42326" customFormat="1" x14ac:dyDescent="0.25"/>
    <row r="42327" customFormat="1" x14ac:dyDescent="0.25"/>
    <row r="42328" customFormat="1" x14ac:dyDescent="0.25"/>
    <row r="42329" customFormat="1" x14ac:dyDescent="0.25"/>
    <row r="42330" customFormat="1" x14ac:dyDescent="0.25"/>
    <row r="42331" customFormat="1" x14ac:dyDescent="0.25"/>
    <row r="42332" customFormat="1" x14ac:dyDescent="0.25"/>
    <row r="42333" customFormat="1" x14ac:dyDescent="0.25"/>
    <row r="42334" customFormat="1" x14ac:dyDescent="0.25"/>
    <row r="42335" customFormat="1" x14ac:dyDescent="0.25"/>
    <row r="42336" customFormat="1" x14ac:dyDescent="0.25"/>
    <row r="42337" customFormat="1" x14ac:dyDescent="0.25"/>
    <row r="42338" customFormat="1" x14ac:dyDescent="0.25"/>
    <row r="42339" customFormat="1" x14ac:dyDescent="0.25"/>
    <row r="42340" customFormat="1" x14ac:dyDescent="0.25"/>
    <row r="42341" customFormat="1" x14ac:dyDescent="0.25"/>
    <row r="42342" customFormat="1" x14ac:dyDescent="0.25"/>
    <row r="42343" customFormat="1" x14ac:dyDescent="0.25"/>
    <row r="42344" customFormat="1" x14ac:dyDescent="0.25"/>
    <row r="42345" customFormat="1" x14ac:dyDescent="0.25"/>
    <row r="42346" customFormat="1" x14ac:dyDescent="0.25"/>
    <row r="42347" customFormat="1" x14ac:dyDescent="0.25"/>
    <row r="42348" customFormat="1" x14ac:dyDescent="0.25"/>
    <row r="42349" customFormat="1" x14ac:dyDescent="0.25"/>
    <row r="42350" customFormat="1" x14ac:dyDescent="0.25"/>
    <row r="42351" customFormat="1" x14ac:dyDescent="0.25"/>
    <row r="42352" customFormat="1" x14ac:dyDescent="0.25"/>
    <row r="42353" customFormat="1" x14ac:dyDescent="0.25"/>
    <row r="42354" customFormat="1" x14ac:dyDescent="0.25"/>
    <row r="42355" customFormat="1" x14ac:dyDescent="0.25"/>
    <row r="42356" customFormat="1" x14ac:dyDescent="0.25"/>
    <row r="42357" customFormat="1" x14ac:dyDescent="0.25"/>
    <row r="42358" customFormat="1" x14ac:dyDescent="0.25"/>
    <row r="42359" customFormat="1" x14ac:dyDescent="0.25"/>
    <row r="42360" customFormat="1" x14ac:dyDescent="0.25"/>
    <row r="42361" customFormat="1" x14ac:dyDescent="0.25"/>
    <row r="42362" customFormat="1" x14ac:dyDescent="0.25"/>
    <row r="42363" customFormat="1" x14ac:dyDescent="0.25"/>
    <row r="42364" customFormat="1" x14ac:dyDescent="0.25"/>
    <row r="42365" customFormat="1" x14ac:dyDescent="0.25"/>
    <row r="42366" customFormat="1" x14ac:dyDescent="0.25"/>
    <row r="42367" customFormat="1" x14ac:dyDescent="0.25"/>
    <row r="42368" customFormat="1" x14ac:dyDescent="0.25"/>
    <row r="42369" customFormat="1" x14ac:dyDescent="0.25"/>
    <row r="42370" customFormat="1" x14ac:dyDescent="0.25"/>
    <row r="42371" customFormat="1" x14ac:dyDescent="0.25"/>
    <row r="42372" customFormat="1" x14ac:dyDescent="0.25"/>
    <row r="42373" customFormat="1" x14ac:dyDescent="0.25"/>
    <row r="42374" customFormat="1" x14ac:dyDescent="0.25"/>
    <row r="42375" customFormat="1" x14ac:dyDescent="0.25"/>
    <row r="42376" customFormat="1" x14ac:dyDescent="0.25"/>
    <row r="42377" customFormat="1" x14ac:dyDescent="0.25"/>
    <row r="42378" customFormat="1" x14ac:dyDescent="0.25"/>
    <row r="42379" customFormat="1" x14ac:dyDescent="0.25"/>
    <row r="42380" customFormat="1" x14ac:dyDescent="0.25"/>
    <row r="42381" customFormat="1" x14ac:dyDescent="0.25"/>
    <row r="42382" customFormat="1" x14ac:dyDescent="0.25"/>
    <row r="42383" customFormat="1" x14ac:dyDescent="0.25"/>
    <row r="42384" customFormat="1" x14ac:dyDescent="0.25"/>
    <row r="42385" customFormat="1" x14ac:dyDescent="0.25"/>
    <row r="42386" customFormat="1" x14ac:dyDescent="0.25"/>
    <row r="42387" customFormat="1" x14ac:dyDescent="0.25"/>
    <row r="42388" customFormat="1" x14ac:dyDescent="0.25"/>
    <row r="42389" customFormat="1" x14ac:dyDescent="0.25"/>
    <row r="42390" customFormat="1" x14ac:dyDescent="0.25"/>
    <row r="42391" customFormat="1" x14ac:dyDescent="0.25"/>
    <row r="42392" customFormat="1" x14ac:dyDescent="0.25"/>
    <row r="42393" customFormat="1" x14ac:dyDescent="0.25"/>
    <row r="42394" customFormat="1" x14ac:dyDescent="0.25"/>
    <row r="42395" customFormat="1" x14ac:dyDescent="0.25"/>
    <row r="42396" customFormat="1" x14ac:dyDescent="0.25"/>
    <row r="42397" customFormat="1" x14ac:dyDescent="0.25"/>
    <row r="42398" customFormat="1" x14ac:dyDescent="0.25"/>
    <row r="42399" customFormat="1" x14ac:dyDescent="0.25"/>
    <row r="42400" customFormat="1" x14ac:dyDescent="0.25"/>
    <row r="42401" customFormat="1" x14ac:dyDescent="0.25"/>
    <row r="42402" customFormat="1" x14ac:dyDescent="0.25"/>
    <row r="42403" customFormat="1" x14ac:dyDescent="0.25"/>
    <row r="42404" customFormat="1" x14ac:dyDescent="0.25"/>
    <row r="42405" customFormat="1" x14ac:dyDescent="0.25"/>
    <row r="42406" customFormat="1" x14ac:dyDescent="0.25"/>
    <row r="42407" customFormat="1" x14ac:dyDescent="0.25"/>
    <row r="42408" customFormat="1" x14ac:dyDescent="0.25"/>
    <row r="42409" customFormat="1" x14ac:dyDescent="0.25"/>
    <row r="42410" customFormat="1" x14ac:dyDescent="0.25"/>
    <row r="42411" customFormat="1" x14ac:dyDescent="0.25"/>
    <row r="42412" customFormat="1" x14ac:dyDescent="0.25"/>
    <row r="42413" customFormat="1" x14ac:dyDescent="0.25"/>
    <row r="42414" customFormat="1" x14ac:dyDescent="0.25"/>
    <row r="42415" customFormat="1" x14ac:dyDescent="0.25"/>
    <row r="42416" customFormat="1" x14ac:dyDescent="0.25"/>
    <row r="42417" customFormat="1" x14ac:dyDescent="0.25"/>
    <row r="42418" customFormat="1" x14ac:dyDescent="0.25"/>
    <row r="42419" customFormat="1" x14ac:dyDescent="0.25"/>
    <row r="42420" customFormat="1" x14ac:dyDescent="0.25"/>
    <row r="42421" customFormat="1" x14ac:dyDescent="0.25"/>
    <row r="42422" customFormat="1" x14ac:dyDescent="0.25"/>
    <row r="42423" customFormat="1" x14ac:dyDescent="0.25"/>
    <row r="42424" customFormat="1" x14ac:dyDescent="0.25"/>
    <row r="42425" customFormat="1" x14ac:dyDescent="0.25"/>
    <row r="42426" customFormat="1" x14ac:dyDescent="0.25"/>
    <row r="42427" customFormat="1" x14ac:dyDescent="0.25"/>
    <row r="42428" customFormat="1" x14ac:dyDescent="0.25"/>
    <row r="42429" customFormat="1" x14ac:dyDescent="0.25"/>
    <row r="42430" customFormat="1" x14ac:dyDescent="0.25"/>
    <row r="42431" customFormat="1" x14ac:dyDescent="0.25"/>
    <row r="42432" customFormat="1" x14ac:dyDescent="0.25"/>
    <row r="42433" customFormat="1" x14ac:dyDescent="0.25"/>
    <row r="42434" customFormat="1" x14ac:dyDescent="0.25"/>
    <row r="42435" customFormat="1" x14ac:dyDescent="0.25"/>
    <row r="42436" customFormat="1" x14ac:dyDescent="0.25"/>
    <row r="42437" customFormat="1" x14ac:dyDescent="0.25"/>
    <row r="42438" customFormat="1" x14ac:dyDescent="0.25"/>
    <row r="42439" customFormat="1" x14ac:dyDescent="0.25"/>
    <row r="42440" customFormat="1" x14ac:dyDescent="0.25"/>
    <row r="42441" customFormat="1" x14ac:dyDescent="0.25"/>
    <row r="42442" customFormat="1" x14ac:dyDescent="0.25"/>
    <row r="42443" customFormat="1" x14ac:dyDescent="0.25"/>
    <row r="42444" customFormat="1" x14ac:dyDescent="0.25"/>
    <row r="42445" customFormat="1" x14ac:dyDescent="0.25"/>
    <row r="42446" customFormat="1" x14ac:dyDescent="0.25"/>
    <row r="42447" customFormat="1" x14ac:dyDescent="0.25"/>
    <row r="42448" customFormat="1" x14ac:dyDescent="0.25"/>
    <row r="42449" customFormat="1" x14ac:dyDescent="0.25"/>
    <row r="42450" customFormat="1" x14ac:dyDescent="0.25"/>
    <row r="42451" customFormat="1" x14ac:dyDescent="0.25"/>
    <row r="42452" customFormat="1" x14ac:dyDescent="0.25"/>
    <row r="42453" customFormat="1" x14ac:dyDescent="0.25"/>
    <row r="42454" customFormat="1" x14ac:dyDescent="0.25"/>
    <row r="42455" customFormat="1" x14ac:dyDescent="0.25"/>
    <row r="42456" customFormat="1" x14ac:dyDescent="0.25"/>
    <row r="42457" customFormat="1" x14ac:dyDescent="0.25"/>
    <row r="42458" customFormat="1" x14ac:dyDescent="0.25"/>
    <row r="42459" customFormat="1" x14ac:dyDescent="0.25"/>
    <row r="42460" customFormat="1" x14ac:dyDescent="0.25"/>
    <row r="42461" customFormat="1" x14ac:dyDescent="0.25"/>
    <row r="42462" customFormat="1" x14ac:dyDescent="0.25"/>
    <row r="42463" customFormat="1" x14ac:dyDescent="0.25"/>
    <row r="42464" customFormat="1" x14ac:dyDescent="0.25"/>
    <row r="42465" customFormat="1" x14ac:dyDescent="0.25"/>
    <row r="42466" customFormat="1" x14ac:dyDescent="0.25"/>
    <row r="42467" customFormat="1" x14ac:dyDescent="0.25"/>
    <row r="42468" customFormat="1" x14ac:dyDescent="0.25"/>
    <row r="42469" customFormat="1" x14ac:dyDescent="0.25"/>
    <row r="42470" customFormat="1" x14ac:dyDescent="0.25"/>
    <row r="42471" customFormat="1" x14ac:dyDescent="0.25"/>
    <row r="42472" customFormat="1" x14ac:dyDescent="0.25"/>
    <row r="42473" customFormat="1" x14ac:dyDescent="0.25"/>
    <row r="42474" customFormat="1" x14ac:dyDescent="0.25"/>
    <row r="42475" customFormat="1" x14ac:dyDescent="0.25"/>
    <row r="42476" customFormat="1" x14ac:dyDescent="0.25"/>
    <row r="42477" customFormat="1" x14ac:dyDescent="0.25"/>
    <row r="42478" customFormat="1" x14ac:dyDescent="0.25"/>
    <row r="42479" customFormat="1" x14ac:dyDescent="0.25"/>
    <row r="42480" customFormat="1" x14ac:dyDescent="0.25"/>
    <row r="42481" customFormat="1" x14ac:dyDescent="0.25"/>
    <row r="42482" customFormat="1" x14ac:dyDescent="0.25"/>
    <row r="42483" customFormat="1" x14ac:dyDescent="0.25"/>
    <row r="42484" customFormat="1" x14ac:dyDescent="0.25"/>
    <row r="42485" customFormat="1" x14ac:dyDescent="0.25"/>
    <row r="42486" customFormat="1" x14ac:dyDescent="0.25"/>
    <row r="42487" customFormat="1" x14ac:dyDescent="0.25"/>
    <row r="42488" customFormat="1" x14ac:dyDescent="0.25"/>
    <row r="42489" customFormat="1" x14ac:dyDescent="0.25"/>
    <row r="42490" customFormat="1" x14ac:dyDescent="0.25"/>
    <row r="42491" customFormat="1" x14ac:dyDescent="0.25"/>
    <row r="42492" customFormat="1" x14ac:dyDescent="0.25"/>
    <row r="42493" customFormat="1" x14ac:dyDescent="0.25"/>
    <row r="42494" customFormat="1" x14ac:dyDescent="0.25"/>
    <row r="42495" customFormat="1" x14ac:dyDescent="0.25"/>
    <row r="42496" customFormat="1" x14ac:dyDescent="0.25"/>
    <row r="42497" customFormat="1" x14ac:dyDescent="0.25"/>
    <row r="42498" customFormat="1" x14ac:dyDescent="0.25"/>
    <row r="42499" customFormat="1" x14ac:dyDescent="0.25"/>
    <row r="42500" customFormat="1" x14ac:dyDescent="0.25"/>
    <row r="42501" customFormat="1" x14ac:dyDescent="0.25"/>
    <row r="42502" customFormat="1" x14ac:dyDescent="0.25"/>
    <row r="42503" customFormat="1" x14ac:dyDescent="0.25"/>
    <row r="42504" customFormat="1" x14ac:dyDescent="0.25"/>
    <row r="42505" customFormat="1" x14ac:dyDescent="0.25"/>
    <row r="42506" customFormat="1" x14ac:dyDescent="0.25"/>
    <row r="42507" customFormat="1" x14ac:dyDescent="0.25"/>
    <row r="42508" customFormat="1" x14ac:dyDescent="0.25"/>
    <row r="42509" customFormat="1" x14ac:dyDescent="0.25"/>
    <row r="42510" customFormat="1" x14ac:dyDescent="0.25"/>
    <row r="42511" customFormat="1" x14ac:dyDescent="0.25"/>
    <row r="42512" customFormat="1" x14ac:dyDescent="0.25"/>
    <row r="42513" customFormat="1" x14ac:dyDescent="0.25"/>
    <row r="42514" customFormat="1" x14ac:dyDescent="0.25"/>
    <row r="42515" customFormat="1" x14ac:dyDescent="0.25"/>
    <row r="42516" customFormat="1" x14ac:dyDescent="0.25"/>
    <row r="42517" customFormat="1" x14ac:dyDescent="0.25"/>
    <row r="42518" customFormat="1" x14ac:dyDescent="0.25"/>
    <row r="42519" customFormat="1" x14ac:dyDescent="0.25"/>
    <row r="42520" customFormat="1" x14ac:dyDescent="0.25"/>
    <row r="42521" customFormat="1" x14ac:dyDescent="0.25"/>
    <row r="42522" customFormat="1" x14ac:dyDescent="0.25"/>
    <row r="42523" customFormat="1" x14ac:dyDescent="0.25"/>
    <row r="42524" customFormat="1" x14ac:dyDescent="0.25"/>
    <row r="42525" customFormat="1" x14ac:dyDescent="0.25"/>
    <row r="42526" customFormat="1" x14ac:dyDescent="0.25"/>
    <row r="42527" customFormat="1" x14ac:dyDescent="0.25"/>
    <row r="42528" customFormat="1" x14ac:dyDescent="0.25"/>
    <row r="42529" customFormat="1" x14ac:dyDescent="0.25"/>
    <row r="42530" customFormat="1" x14ac:dyDescent="0.25"/>
    <row r="42531" customFormat="1" x14ac:dyDescent="0.25"/>
    <row r="42532" customFormat="1" x14ac:dyDescent="0.25"/>
    <row r="42533" customFormat="1" x14ac:dyDescent="0.25"/>
    <row r="42534" customFormat="1" x14ac:dyDescent="0.25"/>
    <row r="42535" customFormat="1" x14ac:dyDescent="0.25"/>
    <row r="42536" customFormat="1" x14ac:dyDescent="0.25"/>
    <row r="42537" customFormat="1" x14ac:dyDescent="0.25"/>
    <row r="42538" customFormat="1" x14ac:dyDescent="0.25"/>
    <row r="42539" customFormat="1" x14ac:dyDescent="0.25"/>
    <row r="42540" customFormat="1" x14ac:dyDescent="0.25"/>
    <row r="42541" customFormat="1" x14ac:dyDescent="0.25"/>
    <row r="42542" customFormat="1" x14ac:dyDescent="0.25"/>
    <row r="42543" customFormat="1" x14ac:dyDescent="0.25"/>
    <row r="42544" customFormat="1" x14ac:dyDescent="0.25"/>
    <row r="42545" customFormat="1" x14ac:dyDescent="0.25"/>
    <row r="42546" customFormat="1" x14ac:dyDescent="0.25"/>
    <row r="42547" customFormat="1" x14ac:dyDescent="0.25"/>
    <row r="42548" customFormat="1" x14ac:dyDescent="0.25"/>
    <row r="42549" customFormat="1" x14ac:dyDescent="0.25"/>
    <row r="42550" customFormat="1" x14ac:dyDescent="0.25"/>
    <row r="42551" customFormat="1" x14ac:dyDescent="0.25"/>
    <row r="42552" customFormat="1" x14ac:dyDescent="0.25"/>
    <row r="42553" customFormat="1" x14ac:dyDescent="0.25"/>
    <row r="42554" customFormat="1" x14ac:dyDescent="0.25"/>
    <row r="42555" customFormat="1" x14ac:dyDescent="0.25"/>
    <row r="42556" customFormat="1" x14ac:dyDescent="0.25"/>
    <row r="42557" customFormat="1" x14ac:dyDescent="0.25"/>
    <row r="42558" customFormat="1" x14ac:dyDescent="0.25"/>
    <row r="42559" customFormat="1" x14ac:dyDescent="0.25"/>
    <row r="42560" customFormat="1" x14ac:dyDescent="0.25"/>
    <row r="42561" customFormat="1" x14ac:dyDescent="0.25"/>
    <row r="42562" customFormat="1" x14ac:dyDescent="0.25"/>
    <row r="42563" customFormat="1" x14ac:dyDescent="0.25"/>
    <row r="42564" customFormat="1" x14ac:dyDescent="0.25"/>
    <row r="42565" customFormat="1" x14ac:dyDescent="0.25"/>
    <row r="42566" customFormat="1" x14ac:dyDescent="0.25"/>
    <row r="42567" customFormat="1" x14ac:dyDescent="0.25"/>
    <row r="42568" customFormat="1" x14ac:dyDescent="0.25"/>
    <row r="42569" customFormat="1" x14ac:dyDescent="0.25"/>
    <row r="42570" customFormat="1" x14ac:dyDescent="0.25"/>
    <row r="42571" customFormat="1" x14ac:dyDescent="0.25"/>
    <row r="42572" customFormat="1" x14ac:dyDescent="0.25"/>
    <row r="42573" customFormat="1" x14ac:dyDescent="0.25"/>
    <row r="42574" customFormat="1" x14ac:dyDescent="0.25"/>
    <row r="42575" customFormat="1" x14ac:dyDescent="0.25"/>
    <row r="42576" customFormat="1" x14ac:dyDescent="0.25"/>
    <row r="42577" customFormat="1" x14ac:dyDescent="0.25"/>
    <row r="42578" customFormat="1" x14ac:dyDescent="0.25"/>
    <row r="42579" customFormat="1" x14ac:dyDescent="0.25"/>
    <row r="42580" customFormat="1" x14ac:dyDescent="0.25"/>
    <row r="42581" customFormat="1" x14ac:dyDescent="0.25"/>
    <row r="42582" customFormat="1" x14ac:dyDescent="0.25"/>
    <row r="42583" customFormat="1" x14ac:dyDescent="0.25"/>
    <row r="42584" customFormat="1" x14ac:dyDescent="0.25"/>
    <row r="42585" customFormat="1" x14ac:dyDescent="0.25"/>
    <row r="42586" customFormat="1" x14ac:dyDescent="0.25"/>
    <row r="42587" customFormat="1" x14ac:dyDescent="0.25"/>
    <row r="42588" customFormat="1" x14ac:dyDescent="0.25"/>
    <row r="42589" customFormat="1" x14ac:dyDescent="0.25"/>
    <row r="42590" customFormat="1" x14ac:dyDescent="0.25"/>
    <row r="42591" customFormat="1" x14ac:dyDescent="0.25"/>
    <row r="42592" customFormat="1" x14ac:dyDescent="0.25"/>
    <row r="42593" customFormat="1" x14ac:dyDescent="0.25"/>
    <row r="42594" customFormat="1" x14ac:dyDescent="0.25"/>
    <row r="42595" customFormat="1" x14ac:dyDescent="0.25"/>
    <row r="42596" customFormat="1" x14ac:dyDescent="0.25"/>
    <row r="42597" customFormat="1" x14ac:dyDescent="0.25"/>
    <row r="42598" customFormat="1" x14ac:dyDescent="0.25"/>
    <row r="42599" customFormat="1" x14ac:dyDescent="0.25"/>
    <row r="42600" customFormat="1" x14ac:dyDescent="0.25"/>
    <row r="42601" customFormat="1" x14ac:dyDescent="0.25"/>
    <row r="42602" customFormat="1" x14ac:dyDescent="0.25"/>
    <row r="42603" customFormat="1" x14ac:dyDescent="0.25"/>
    <row r="42604" customFormat="1" x14ac:dyDescent="0.25"/>
    <row r="42605" customFormat="1" x14ac:dyDescent="0.25"/>
    <row r="42606" customFormat="1" x14ac:dyDescent="0.25"/>
    <row r="42607" customFormat="1" x14ac:dyDescent="0.25"/>
    <row r="42608" customFormat="1" x14ac:dyDescent="0.25"/>
    <row r="42609" customFormat="1" x14ac:dyDescent="0.25"/>
    <row r="42610" customFormat="1" x14ac:dyDescent="0.25"/>
    <row r="42611" customFormat="1" x14ac:dyDescent="0.25"/>
    <row r="42612" customFormat="1" x14ac:dyDescent="0.25"/>
    <row r="42613" customFormat="1" x14ac:dyDescent="0.25"/>
    <row r="42614" customFormat="1" x14ac:dyDescent="0.25"/>
    <row r="42615" customFormat="1" x14ac:dyDescent="0.25"/>
    <row r="42616" customFormat="1" x14ac:dyDescent="0.25"/>
    <row r="42617" customFormat="1" x14ac:dyDescent="0.25"/>
    <row r="42618" customFormat="1" x14ac:dyDescent="0.25"/>
    <row r="42619" customFormat="1" x14ac:dyDescent="0.25"/>
    <row r="42620" customFormat="1" x14ac:dyDescent="0.25"/>
    <row r="42621" customFormat="1" x14ac:dyDescent="0.25"/>
    <row r="42622" customFormat="1" x14ac:dyDescent="0.25"/>
    <row r="42623" customFormat="1" x14ac:dyDescent="0.25"/>
    <row r="42624" customFormat="1" x14ac:dyDescent="0.25"/>
    <row r="42625" customFormat="1" x14ac:dyDescent="0.25"/>
    <row r="42626" customFormat="1" x14ac:dyDescent="0.25"/>
    <row r="42627" customFormat="1" x14ac:dyDescent="0.25"/>
    <row r="42628" customFormat="1" x14ac:dyDescent="0.25"/>
    <row r="42629" customFormat="1" x14ac:dyDescent="0.25"/>
    <row r="42630" customFormat="1" x14ac:dyDescent="0.25"/>
    <row r="42631" customFormat="1" x14ac:dyDescent="0.25"/>
    <row r="42632" customFormat="1" x14ac:dyDescent="0.25"/>
    <row r="42633" customFormat="1" x14ac:dyDescent="0.25"/>
    <row r="42634" customFormat="1" x14ac:dyDescent="0.25"/>
    <row r="42635" customFormat="1" x14ac:dyDescent="0.25"/>
    <row r="42636" customFormat="1" x14ac:dyDescent="0.25"/>
    <row r="42637" customFormat="1" x14ac:dyDescent="0.25"/>
    <row r="42638" customFormat="1" x14ac:dyDescent="0.25"/>
    <row r="42639" customFormat="1" x14ac:dyDescent="0.25"/>
    <row r="42640" customFormat="1" x14ac:dyDescent="0.25"/>
    <row r="42641" customFormat="1" x14ac:dyDescent="0.25"/>
    <row r="42642" customFormat="1" x14ac:dyDescent="0.25"/>
    <row r="42643" customFormat="1" x14ac:dyDescent="0.25"/>
    <row r="42644" customFormat="1" x14ac:dyDescent="0.25"/>
    <row r="42645" customFormat="1" x14ac:dyDescent="0.25"/>
    <row r="42646" customFormat="1" x14ac:dyDescent="0.25"/>
    <row r="42647" customFormat="1" x14ac:dyDescent="0.25"/>
    <row r="42648" customFormat="1" x14ac:dyDescent="0.25"/>
    <row r="42649" customFormat="1" x14ac:dyDescent="0.25"/>
    <row r="42650" customFormat="1" x14ac:dyDescent="0.25"/>
    <row r="42651" customFormat="1" x14ac:dyDescent="0.25"/>
    <row r="42652" customFormat="1" x14ac:dyDescent="0.25"/>
    <row r="42653" customFormat="1" x14ac:dyDescent="0.25"/>
    <row r="42654" customFormat="1" x14ac:dyDescent="0.25"/>
    <row r="42655" customFormat="1" x14ac:dyDescent="0.25"/>
    <row r="42656" customFormat="1" x14ac:dyDescent="0.25"/>
    <row r="42657" customFormat="1" x14ac:dyDescent="0.25"/>
    <row r="42658" customFormat="1" x14ac:dyDescent="0.25"/>
    <row r="42659" customFormat="1" x14ac:dyDescent="0.25"/>
    <row r="42660" customFormat="1" x14ac:dyDescent="0.25"/>
    <row r="42661" customFormat="1" x14ac:dyDescent="0.25"/>
    <row r="42662" customFormat="1" x14ac:dyDescent="0.25"/>
    <row r="42663" customFormat="1" x14ac:dyDescent="0.25"/>
    <row r="42664" customFormat="1" x14ac:dyDescent="0.25"/>
    <row r="42665" customFormat="1" x14ac:dyDescent="0.25"/>
    <row r="42666" customFormat="1" x14ac:dyDescent="0.25"/>
    <row r="42667" customFormat="1" x14ac:dyDescent="0.25"/>
    <row r="42668" customFormat="1" x14ac:dyDescent="0.25"/>
    <row r="42669" customFormat="1" x14ac:dyDescent="0.25"/>
    <row r="42670" customFormat="1" x14ac:dyDescent="0.25"/>
    <row r="42671" customFormat="1" x14ac:dyDescent="0.25"/>
    <row r="42672" customFormat="1" x14ac:dyDescent="0.25"/>
    <row r="42673" customFormat="1" x14ac:dyDescent="0.25"/>
    <row r="42674" customFormat="1" x14ac:dyDescent="0.25"/>
    <row r="42675" customFormat="1" x14ac:dyDescent="0.25"/>
    <row r="42676" customFormat="1" x14ac:dyDescent="0.25"/>
    <row r="42677" customFormat="1" x14ac:dyDescent="0.25"/>
    <row r="42678" customFormat="1" x14ac:dyDescent="0.25"/>
    <row r="42679" customFormat="1" x14ac:dyDescent="0.25"/>
    <row r="42680" customFormat="1" x14ac:dyDescent="0.25"/>
    <row r="42681" customFormat="1" x14ac:dyDescent="0.25"/>
    <row r="42682" customFormat="1" x14ac:dyDescent="0.25"/>
    <row r="42683" customFormat="1" x14ac:dyDescent="0.25"/>
    <row r="42684" customFormat="1" x14ac:dyDescent="0.25"/>
    <row r="42685" customFormat="1" x14ac:dyDescent="0.25"/>
    <row r="42686" customFormat="1" x14ac:dyDescent="0.25"/>
    <row r="42687" customFormat="1" x14ac:dyDescent="0.25"/>
    <row r="42688" customFormat="1" x14ac:dyDescent="0.25"/>
    <row r="42689" customFormat="1" x14ac:dyDescent="0.25"/>
    <row r="42690" customFormat="1" x14ac:dyDescent="0.25"/>
    <row r="42691" customFormat="1" x14ac:dyDescent="0.25"/>
    <row r="42692" customFormat="1" x14ac:dyDescent="0.25"/>
    <row r="42693" customFormat="1" x14ac:dyDescent="0.25"/>
    <row r="42694" customFormat="1" x14ac:dyDescent="0.25"/>
    <row r="42695" customFormat="1" x14ac:dyDescent="0.25"/>
    <row r="42696" customFormat="1" x14ac:dyDescent="0.25"/>
    <row r="42697" customFormat="1" x14ac:dyDescent="0.25"/>
    <row r="42698" customFormat="1" x14ac:dyDescent="0.25"/>
    <row r="42699" customFormat="1" x14ac:dyDescent="0.25"/>
    <row r="42700" customFormat="1" x14ac:dyDescent="0.25"/>
    <row r="42701" customFormat="1" x14ac:dyDescent="0.25"/>
    <row r="42702" customFormat="1" x14ac:dyDescent="0.25"/>
    <row r="42703" customFormat="1" x14ac:dyDescent="0.25"/>
    <row r="42704" customFormat="1" x14ac:dyDescent="0.25"/>
    <row r="42705" customFormat="1" x14ac:dyDescent="0.25"/>
    <row r="42706" customFormat="1" x14ac:dyDescent="0.25"/>
    <row r="42707" customFormat="1" x14ac:dyDescent="0.25"/>
    <row r="42708" customFormat="1" x14ac:dyDescent="0.25"/>
    <row r="42709" customFormat="1" x14ac:dyDescent="0.25"/>
    <row r="42710" customFormat="1" x14ac:dyDescent="0.25"/>
    <row r="42711" customFormat="1" x14ac:dyDescent="0.25"/>
    <row r="42712" customFormat="1" x14ac:dyDescent="0.25"/>
    <row r="42713" customFormat="1" x14ac:dyDescent="0.25"/>
    <row r="42714" customFormat="1" x14ac:dyDescent="0.25"/>
    <row r="42715" customFormat="1" x14ac:dyDescent="0.25"/>
    <row r="42716" customFormat="1" x14ac:dyDescent="0.25"/>
    <row r="42717" customFormat="1" x14ac:dyDescent="0.25"/>
    <row r="42718" customFormat="1" x14ac:dyDescent="0.25"/>
    <row r="42719" customFormat="1" x14ac:dyDescent="0.25"/>
    <row r="42720" customFormat="1" x14ac:dyDescent="0.25"/>
    <row r="42721" customFormat="1" x14ac:dyDescent="0.25"/>
    <row r="42722" customFormat="1" x14ac:dyDescent="0.25"/>
    <row r="42723" customFormat="1" x14ac:dyDescent="0.25"/>
    <row r="42724" customFormat="1" x14ac:dyDescent="0.25"/>
    <row r="42725" customFormat="1" x14ac:dyDescent="0.25"/>
    <row r="42726" customFormat="1" x14ac:dyDescent="0.25"/>
    <row r="42727" customFormat="1" x14ac:dyDescent="0.25"/>
    <row r="42728" customFormat="1" x14ac:dyDescent="0.25"/>
    <row r="42729" customFormat="1" x14ac:dyDescent="0.25"/>
    <row r="42730" customFormat="1" x14ac:dyDescent="0.25"/>
    <row r="42731" customFormat="1" x14ac:dyDescent="0.25"/>
    <row r="42732" customFormat="1" x14ac:dyDescent="0.25"/>
    <row r="42733" customFormat="1" x14ac:dyDescent="0.25"/>
    <row r="42734" customFormat="1" x14ac:dyDescent="0.25"/>
    <row r="42735" customFormat="1" x14ac:dyDescent="0.25"/>
    <row r="42736" customFormat="1" x14ac:dyDescent="0.25"/>
    <row r="42737" customFormat="1" x14ac:dyDescent="0.25"/>
    <row r="42738" customFormat="1" x14ac:dyDescent="0.25"/>
    <row r="42739" customFormat="1" x14ac:dyDescent="0.25"/>
    <row r="42740" customFormat="1" x14ac:dyDescent="0.25"/>
    <row r="42741" customFormat="1" x14ac:dyDescent="0.25"/>
    <row r="42742" customFormat="1" x14ac:dyDescent="0.25"/>
    <row r="42743" customFormat="1" x14ac:dyDescent="0.25"/>
    <row r="42744" customFormat="1" x14ac:dyDescent="0.25"/>
    <row r="42745" customFormat="1" x14ac:dyDescent="0.25"/>
    <row r="42746" customFormat="1" x14ac:dyDescent="0.25"/>
    <row r="42747" customFormat="1" x14ac:dyDescent="0.25"/>
    <row r="42748" customFormat="1" x14ac:dyDescent="0.25"/>
    <row r="42749" customFormat="1" x14ac:dyDescent="0.25"/>
    <row r="42750" customFormat="1" x14ac:dyDescent="0.25"/>
    <row r="42751" customFormat="1" x14ac:dyDescent="0.25"/>
    <row r="42752" customFormat="1" x14ac:dyDescent="0.25"/>
    <row r="42753" customFormat="1" x14ac:dyDescent="0.25"/>
    <row r="42754" customFormat="1" x14ac:dyDescent="0.25"/>
    <row r="42755" customFormat="1" x14ac:dyDescent="0.25"/>
    <row r="42756" customFormat="1" x14ac:dyDescent="0.25"/>
    <row r="42757" customFormat="1" x14ac:dyDescent="0.25"/>
    <row r="42758" customFormat="1" x14ac:dyDescent="0.25"/>
    <row r="42759" customFormat="1" x14ac:dyDescent="0.25"/>
    <row r="42760" customFormat="1" x14ac:dyDescent="0.25"/>
    <row r="42761" customFormat="1" x14ac:dyDescent="0.25"/>
    <row r="42762" customFormat="1" x14ac:dyDescent="0.25"/>
    <row r="42763" customFormat="1" x14ac:dyDescent="0.25"/>
    <row r="42764" customFormat="1" x14ac:dyDescent="0.25"/>
    <row r="42765" customFormat="1" x14ac:dyDescent="0.25"/>
    <row r="42766" customFormat="1" x14ac:dyDescent="0.25"/>
    <row r="42767" customFormat="1" x14ac:dyDescent="0.25"/>
    <row r="42768" customFormat="1" x14ac:dyDescent="0.25"/>
    <row r="42769" customFormat="1" x14ac:dyDescent="0.25"/>
    <row r="42770" customFormat="1" x14ac:dyDescent="0.25"/>
    <row r="42771" customFormat="1" x14ac:dyDescent="0.25"/>
    <row r="42772" customFormat="1" x14ac:dyDescent="0.25"/>
    <row r="42773" customFormat="1" x14ac:dyDescent="0.25"/>
    <row r="42774" customFormat="1" x14ac:dyDescent="0.25"/>
    <row r="42775" customFormat="1" x14ac:dyDescent="0.25"/>
    <row r="42776" customFormat="1" x14ac:dyDescent="0.25"/>
    <row r="42777" customFormat="1" x14ac:dyDescent="0.25"/>
    <row r="42778" customFormat="1" x14ac:dyDescent="0.25"/>
    <row r="42779" customFormat="1" x14ac:dyDescent="0.25"/>
    <row r="42780" customFormat="1" x14ac:dyDescent="0.25"/>
    <row r="42781" customFormat="1" x14ac:dyDescent="0.25"/>
    <row r="42782" customFormat="1" x14ac:dyDescent="0.25"/>
    <row r="42783" customFormat="1" x14ac:dyDescent="0.25"/>
    <row r="42784" customFormat="1" x14ac:dyDescent="0.25"/>
    <row r="42785" customFormat="1" x14ac:dyDescent="0.25"/>
    <row r="42786" customFormat="1" x14ac:dyDescent="0.25"/>
    <row r="42787" customFormat="1" x14ac:dyDescent="0.25"/>
    <row r="42788" customFormat="1" x14ac:dyDescent="0.25"/>
    <row r="42789" customFormat="1" x14ac:dyDescent="0.25"/>
    <row r="42790" customFormat="1" x14ac:dyDescent="0.25"/>
    <row r="42791" customFormat="1" x14ac:dyDescent="0.25"/>
    <row r="42792" customFormat="1" x14ac:dyDescent="0.25"/>
    <row r="42793" customFormat="1" x14ac:dyDescent="0.25"/>
    <row r="42794" customFormat="1" x14ac:dyDescent="0.25"/>
    <row r="42795" customFormat="1" x14ac:dyDescent="0.25"/>
    <row r="42796" customFormat="1" x14ac:dyDescent="0.25"/>
    <row r="42797" customFormat="1" x14ac:dyDescent="0.25"/>
    <row r="42798" customFormat="1" x14ac:dyDescent="0.25"/>
    <row r="42799" customFormat="1" x14ac:dyDescent="0.25"/>
    <row r="42800" customFormat="1" x14ac:dyDescent="0.25"/>
    <row r="42801" customFormat="1" x14ac:dyDescent="0.25"/>
    <row r="42802" customFormat="1" x14ac:dyDescent="0.25"/>
    <row r="42803" customFormat="1" x14ac:dyDescent="0.25"/>
    <row r="42804" customFormat="1" x14ac:dyDescent="0.25"/>
    <row r="42805" customFormat="1" x14ac:dyDescent="0.25"/>
    <row r="42806" customFormat="1" x14ac:dyDescent="0.25"/>
    <row r="42807" customFormat="1" x14ac:dyDescent="0.25"/>
    <row r="42808" customFormat="1" x14ac:dyDescent="0.25"/>
    <row r="42809" customFormat="1" x14ac:dyDescent="0.25"/>
    <row r="42810" customFormat="1" x14ac:dyDescent="0.25"/>
    <row r="42811" customFormat="1" x14ac:dyDescent="0.25"/>
    <row r="42812" customFormat="1" x14ac:dyDescent="0.25"/>
    <row r="42813" customFormat="1" x14ac:dyDescent="0.25"/>
    <row r="42814" customFormat="1" x14ac:dyDescent="0.25"/>
    <row r="42815" customFormat="1" x14ac:dyDescent="0.25"/>
    <row r="42816" customFormat="1" x14ac:dyDescent="0.25"/>
    <row r="42817" customFormat="1" x14ac:dyDescent="0.25"/>
    <row r="42818" customFormat="1" x14ac:dyDescent="0.25"/>
    <row r="42819" customFormat="1" x14ac:dyDescent="0.25"/>
    <row r="42820" customFormat="1" x14ac:dyDescent="0.25"/>
    <row r="42821" customFormat="1" x14ac:dyDescent="0.25"/>
    <row r="42822" customFormat="1" x14ac:dyDescent="0.25"/>
    <row r="42823" customFormat="1" x14ac:dyDescent="0.25"/>
    <row r="42824" customFormat="1" x14ac:dyDescent="0.25"/>
    <row r="42825" customFormat="1" x14ac:dyDescent="0.25"/>
    <row r="42826" customFormat="1" x14ac:dyDescent="0.25"/>
    <row r="42827" customFormat="1" x14ac:dyDescent="0.25"/>
    <row r="42828" customFormat="1" x14ac:dyDescent="0.25"/>
    <row r="42829" customFormat="1" x14ac:dyDescent="0.25"/>
    <row r="42830" customFormat="1" x14ac:dyDescent="0.25"/>
    <row r="42831" customFormat="1" x14ac:dyDescent="0.25"/>
    <row r="42832" customFormat="1" x14ac:dyDescent="0.25"/>
    <row r="42833" customFormat="1" x14ac:dyDescent="0.25"/>
    <row r="42834" customFormat="1" x14ac:dyDescent="0.25"/>
    <row r="42835" customFormat="1" x14ac:dyDescent="0.25"/>
    <row r="42836" customFormat="1" x14ac:dyDescent="0.25"/>
    <row r="42837" customFormat="1" x14ac:dyDescent="0.25"/>
    <row r="42838" customFormat="1" x14ac:dyDescent="0.25"/>
    <row r="42839" customFormat="1" x14ac:dyDescent="0.25"/>
    <row r="42840" customFormat="1" x14ac:dyDescent="0.25"/>
    <row r="42841" customFormat="1" x14ac:dyDescent="0.25"/>
    <row r="42842" customFormat="1" x14ac:dyDescent="0.25"/>
    <row r="42843" customFormat="1" x14ac:dyDescent="0.25"/>
    <row r="42844" customFormat="1" x14ac:dyDescent="0.25"/>
    <row r="42845" customFormat="1" x14ac:dyDescent="0.25"/>
    <row r="42846" customFormat="1" x14ac:dyDescent="0.25"/>
    <row r="42847" customFormat="1" x14ac:dyDescent="0.25"/>
    <row r="42848" customFormat="1" x14ac:dyDescent="0.25"/>
    <row r="42849" customFormat="1" x14ac:dyDescent="0.25"/>
    <row r="42850" customFormat="1" x14ac:dyDescent="0.25"/>
    <row r="42851" customFormat="1" x14ac:dyDescent="0.25"/>
    <row r="42852" customFormat="1" x14ac:dyDescent="0.25"/>
    <row r="42853" customFormat="1" x14ac:dyDescent="0.25"/>
    <row r="42854" customFormat="1" x14ac:dyDescent="0.25"/>
    <row r="42855" customFormat="1" x14ac:dyDescent="0.25"/>
    <row r="42856" customFormat="1" x14ac:dyDescent="0.25"/>
    <row r="42857" customFormat="1" x14ac:dyDescent="0.25"/>
    <row r="42858" customFormat="1" x14ac:dyDescent="0.25"/>
    <row r="42859" customFormat="1" x14ac:dyDescent="0.25"/>
    <row r="42860" customFormat="1" x14ac:dyDescent="0.25"/>
    <row r="42861" customFormat="1" x14ac:dyDescent="0.25"/>
    <row r="42862" customFormat="1" x14ac:dyDescent="0.25"/>
    <row r="42863" customFormat="1" x14ac:dyDescent="0.25"/>
    <row r="42864" customFormat="1" x14ac:dyDescent="0.25"/>
    <row r="42865" customFormat="1" x14ac:dyDescent="0.25"/>
    <row r="42866" customFormat="1" x14ac:dyDescent="0.25"/>
    <row r="42867" customFormat="1" x14ac:dyDescent="0.25"/>
    <row r="42868" customFormat="1" x14ac:dyDescent="0.25"/>
    <row r="42869" customFormat="1" x14ac:dyDescent="0.25"/>
    <row r="42870" customFormat="1" x14ac:dyDescent="0.25"/>
    <row r="42871" customFormat="1" x14ac:dyDescent="0.25"/>
    <row r="42872" customFormat="1" x14ac:dyDescent="0.25"/>
    <row r="42873" customFormat="1" x14ac:dyDescent="0.25"/>
    <row r="42874" customFormat="1" x14ac:dyDescent="0.25"/>
    <row r="42875" customFormat="1" x14ac:dyDescent="0.25"/>
    <row r="42876" customFormat="1" x14ac:dyDescent="0.25"/>
    <row r="42877" customFormat="1" x14ac:dyDescent="0.25"/>
    <row r="42878" customFormat="1" x14ac:dyDescent="0.25"/>
    <row r="42879" customFormat="1" x14ac:dyDescent="0.25"/>
    <row r="42880" customFormat="1" x14ac:dyDescent="0.25"/>
    <row r="42881" customFormat="1" x14ac:dyDescent="0.25"/>
    <row r="42882" customFormat="1" x14ac:dyDescent="0.25"/>
    <row r="42883" customFormat="1" x14ac:dyDescent="0.25"/>
    <row r="42884" customFormat="1" x14ac:dyDescent="0.25"/>
    <row r="42885" customFormat="1" x14ac:dyDescent="0.25"/>
    <row r="42886" customFormat="1" x14ac:dyDescent="0.25"/>
    <row r="42887" customFormat="1" x14ac:dyDescent="0.25"/>
    <row r="42888" customFormat="1" x14ac:dyDescent="0.25"/>
    <row r="42889" customFormat="1" x14ac:dyDescent="0.25"/>
    <row r="42890" customFormat="1" x14ac:dyDescent="0.25"/>
    <row r="42891" customFormat="1" x14ac:dyDescent="0.25"/>
    <row r="42892" customFormat="1" x14ac:dyDescent="0.25"/>
    <row r="42893" customFormat="1" x14ac:dyDescent="0.25"/>
    <row r="42894" customFormat="1" x14ac:dyDescent="0.25"/>
    <row r="42895" customFormat="1" x14ac:dyDescent="0.25"/>
    <row r="42896" customFormat="1" x14ac:dyDescent="0.25"/>
    <row r="42897" customFormat="1" x14ac:dyDescent="0.25"/>
    <row r="42898" customFormat="1" x14ac:dyDescent="0.25"/>
    <row r="42899" customFormat="1" x14ac:dyDescent="0.25"/>
    <row r="42900" customFormat="1" x14ac:dyDescent="0.25"/>
    <row r="42901" customFormat="1" x14ac:dyDescent="0.25"/>
    <row r="42902" customFormat="1" x14ac:dyDescent="0.25"/>
    <row r="42903" customFormat="1" x14ac:dyDescent="0.25"/>
    <row r="42904" customFormat="1" x14ac:dyDescent="0.25"/>
    <row r="42905" customFormat="1" x14ac:dyDescent="0.25"/>
    <row r="42906" customFormat="1" x14ac:dyDescent="0.25"/>
    <row r="42907" customFormat="1" x14ac:dyDescent="0.25"/>
    <row r="42908" customFormat="1" x14ac:dyDescent="0.25"/>
    <row r="42909" customFormat="1" x14ac:dyDescent="0.25"/>
    <row r="42910" customFormat="1" x14ac:dyDescent="0.25"/>
    <row r="42911" customFormat="1" x14ac:dyDescent="0.25"/>
    <row r="42912" customFormat="1" x14ac:dyDescent="0.25"/>
    <row r="42913" customFormat="1" x14ac:dyDescent="0.25"/>
    <row r="42914" customFormat="1" x14ac:dyDescent="0.25"/>
    <row r="42915" customFormat="1" x14ac:dyDescent="0.25"/>
    <row r="42916" customFormat="1" x14ac:dyDescent="0.25"/>
    <row r="42917" customFormat="1" x14ac:dyDescent="0.25"/>
    <row r="42918" customFormat="1" x14ac:dyDescent="0.25"/>
    <row r="42919" customFormat="1" x14ac:dyDescent="0.25"/>
    <row r="42920" customFormat="1" x14ac:dyDescent="0.25"/>
    <row r="42921" customFormat="1" x14ac:dyDescent="0.25"/>
    <row r="42922" customFormat="1" x14ac:dyDescent="0.25"/>
    <row r="42923" customFormat="1" x14ac:dyDescent="0.25"/>
    <row r="42924" customFormat="1" x14ac:dyDescent="0.25"/>
    <row r="42925" customFormat="1" x14ac:dyDescent="0.25"/>
    <row r="42926" customFormat="1" x14ac:dyDescent="0.25"/>
    <row r="42927" customFormat="1" x14ac:dyDescent="0.25"/>
    <row r="42928" customFormat="1" x14ac:dyDescent="0.25"/>
    <row r="42929" customFormat="1" x14ac:dyDescent="0.25"/>
    <row r="42930" customFormat="1" x14ac:dyDescent="0.25"/>
    <row r="42931" customFormat="1" x14ac:dyDescent="0.25"/>
    <row r="42932" customFormat="1" x14ac:dyDescent="0.25"/>
    <row r="42933" customFormat="1" x14ac:dyDescent="0.25"/>
    <row r="42934" customFormat="1" x14ac:dyDescent="0.25"/>
    <row r="42935" customFormat="1" x14ac:dyDescent="0.25"/>
    <row r="42936" customFormat="1" x14ac:dyDescent="0.25"/>
    <row r="42937" customFormat="1" x14ac:dyDescent="0.25"/>
    <row r="42938" customFormat="1" x14ac:dyDescent="0.25"/>
    <row r="42939" customFormat="1" x14ac:dyDescent="0.25"/>
    <row r="42940" customFormat="1" x14ac:dyDescent="0.25"/>
    <row r="42941" customFormat="1" x14ac:dyDescent="0.25"/>
    <row r="42942" customFormat="1" x14ac:dyDescent="0.25"/>
    <row r="42943" customFormat="1" x14ac:dyDescent="0.25"/>
    <row r="42944" customFormat="1" x14ac:dyDescent="0.25"/>
    <row r="42945" customFormat="1" x14ac:dyDescent="0.25"/>
    <row r="42946" customFormat="1" x14ac:dyDescent="0.25"/>
    <row r="42947" customFormat="1" x14ac:dyDescent="0.25"/>
    <row r="42948" customFormat="1" x14ac:dyDescent="0.25"/>
    <row r="42949" customFormat="1" x14ac:dyDescent="0.25"/>
    <row r="42950" customFormat="1" x14ac:dyDescent="0.25"/>
    <row r="42951" customFormat="1" x14ac:dyDescent="0.25"/>
    <row r="42952" customFormat="1" x14ac:dyDescent="0.25"/>
    <row r="42953" customFormat="1" x14ac:dyDescent="0.25"/>
    <row r="42954" customFormat="1" x14ac:dyDescent="0.25"/>
    <row r="42955" customFormat="1" x14ac:dyDescent="0.25"/>
    <row r="42956" customFormat="1" x14ac:dyDescent="0.25"/>
    <row r="42957" customFormat="1" x14ac:dyDescent="0.25"/>
    <row r="42958" customFormat="1" x14ac:dyDescent="0.25"/>
    <row r="42959" customFormat="1" x14ac:dyDescent="0.25"/>
    <row r="42960" customFormat="1" x14ac:dyDescent="0.25"/>
    <row r="42961" customFormat="1" x14ac:dyDescent="0.25"/>
    <row r="42962" customFormat="1" x14ac:dyDescent="0.25"/>
    <row r="42963" customFormat="1" x14ac:dyDescent="0.25"/>
    <row r="42964" customFormat="1" x14ac:dyDescent="0.25"/>
    <row r="42965" customFormat="1" x14ac:dyDescent="0.25"/>
    <row r="42966" customFormat="1" x14ac:dyDescent="0.25"/>
    <row r="42967" customFormat="1" x14ac:dyDescent="0.25"/>
    <row r="42968" customFormat="1" x14ac:dyDescent="0.25"/>
    <row r="42969" customFormat="1" x14ac:dyDescent="0.25"/>
    <row r="42970" customFormat="1" x14ac:dyDescent="0.25"/>
    <row r="42971" customFormat="1" x14ac:dyDescent="0.25"/>
    <row r="42972" customFormat="1" x14ac:dyDescent="0.25"/>
    <row r="42973" customFormat="1" x14ac:dyDescent="0.25"/>
    <row r="42974" customFormat="1" x14ac:dyDescent="0.25"/>
    <row r="42975" customFormat="1" x14ac:dyDescent="0.25"/>
    <row r="42976" customFormat="1" x14ac:dyDescent="0.25"/>
    <row r="42977" customFormat="1" x14ac:dyDescent="0.25"/>
    <row r="42978" customFormat="1" x14ac:dyDescent="0.25"/>
    <row r="42979" customFormat="1" x14ac:dyDescent="0.25"/>
    <row r="42980" customFormat="1" x14ac:dyDescent="0.25"/>
    <row r="42981" customFormat="1" x14ac:dyDescent="0.25"/>
    <row r="42982" customFormat="1" x14ac:dyDescent="0.25"/>
    <row r="42983" customFormat="1" x14ac:dyDescent="0.25"/>
    <row r="42984" customFormat="1" x14ac:dyDescent="0.25"/>
    <row r="42985" customFormat="1" x14ac:dyDescent="0.25"/>
    <row r="42986" customFormat="1" x14ac:dyDescent="0.25"/>
    <row r="42987" customFormat="1" x14ac:dyDescent="0.25"/>
    <row r="42988" customFormat="1" x14ac:dyDescent="0.25"/>
    <row r="42989" customFormat="1" x14ac:dyDescent="0.25"/>
    <row r="42990" customFormat="1" x14ac:dyDescent="0.25"/>
    <row r="42991" customFormat="1" x14ac:dyDescent="0.25"/>
    <row r="42992" customFormat="1" x14ac:dyDescent="0.25"/>
    <row r="42993" customFormat="1" x14ac:dyDescent="0.25"/>
    <row r="42994" customFormat="1" x14ac:dyDescent="0.25"/>
    <row r="42995" customFormat="1" x14ac:dyDescent="0.25"/>
    <row r="42996" customFormat="1" x14ac:dyDescent="0.25"/>
    <row r="42997" customFormat="1" x14ac:dyDescent="0.25"/>
    <row r="42998" customFormat="1" x14ac:dyDescent="0.25"/>
    <row r="42999" customFormat="1" x14ac:dyDescent="0.25"/>
    <row r="43000" customFormat="1" x14ac:dyDescent="0.25"/>
    <row r="43001" customFormat="1" x14ac:dyDescent="0.25"/>
    <row r="43002" customFormat="1" x14ac:dyDescent="0.25"/>
    <row r="43003" customFormat="1" x14ac:dyDescent="0.25"/>
    <row r="43004" customFormat="1" x14ac:dyDescent="0.25"/>
    <row r="43005" customFormat="1" x14ac:dyDescent="0.25"/>
    <row r="43006" customFormat="1" x14ac:dyDescent="0.25"/>
    <row r="43007" customFormat="1" x14ac:dyDescent="0.25"/>
    <row r="43008" customFormat="1" x14ac:dyDescent="0.25"/>
    <row r="43009" customFormat="1" x14ac:dyDescent="0.25"/>
    <row r="43010" customFormat="1" x14ac:dyDescent="0.25"/>
    <row r="43011" customFormat="1" x14ac:dyDescent="0.25"/>
    <row r="43012" customFormat="1" x14ac:dyDescent="0.25"/>
    <row r="43013" customFormat="1" x14ac:dyDescent="0.25"/>
    <row r="43014" customFormat="1" x14ac:dyDescent="0.25"/>
    <row r="43015" customFormat="1" x14ac:dyDescent="0.25"/>
    <row r="43016" customFormat="1" x14ac:dyDescent="0.25"/>
    <row r="43017" customFormat="1" x14ac:dyDescent="0.25"/>
    <row r="43018" customFormat="1" x14ac:dyDescent="0.25"/>
    <row r="43019" customFormat="1" x14ac:dyDescent="0.25"/>
    <row r="43020" customFormat="1" x14ac:dyDescent="0.25"/>
    <row r="43021" customFormat="1" x14ac:dyDescent="0.25"/>
    <row r="43022" customFormat="1" x14ac:dyDescent="0.25"/>
    <row r="43023" customFormat="1" x14ac:dyDescent="0.25"/>
    <row r="43024" customFormat="1" x14ac:dyDescent="0.25"/>
    <row r="43025" customFormat="1" x14ac:dyDescent="0.25"/>
    <row r="43026" customFormat="1" x14ac:dyDescent="0.25"/>
    <row r="43027" customFormat="1" x14ac:dyDescent="0.25"/>
    <row r="43028" customFormat="1" x14ac:dyDescent="0.25"/>
    <row r="43029" customFormat="1" x14ac:dyDescent="0.25"/>
    <row r="43030" customFormat="1" x14ac:dyDescent="0.25"/>
    <row r="43031" customFormat="1" x14ac:dyDescent="0.25"/>
    <row r="43032" customFormat="1" x14ac:dyDescent="0.25"/>
    <row r="43033" customFormat="1" x14ac:dyDescent="0.25"/>
    <row r="43034" customFormat="1" x14ac:dyDescent="0.25"/>
    <row r="43035" customFormat="1" x14ac:dyDescent="0.25"/>
    <row r="43036" customFormat="1" x14ac:dyDescent="0.25"/>
    <row r="43037" customFormat="1" x14ac:dyDescent="0.25"/>
    <row r="43038" customFormat="1" x14ac:dyDescent="0.25"/>
    <row r="43039" customFormat="1" x14ac:dyDescent="0.25"/>
    <row r="43040" customFormat="1" x14ac:dyDescent="0.25"/>
    <row r="43041" customFormat="1" x14ac:dyDescent="0.25"/>
    <row r="43042" customFormat="1" x14ac:dyDescent="0.25"/>
    <row r="43043" customFormat="1" x14ac:dyDescent="0.25"/>
    <row r="43044" customFormat="1" x14ac:dyDescent="0.25"/>
    <row r="43045" customFormat="1" x14ac:dyDescent="0.25"/>
    <row r="43046" customFormat="1" x14ac:dyDescent="0.25"/>
    <row r="43047" customFormat="1" x14ac:dyDescent="0.25"/>
    <row r="43048" customFormat="1" x14ac:dyDescent="0.25"/>
    <row r="43049" customFormat="1" x14ac:dyDescent="0.25"/>
    <row r="43050" customFormat="1" x14ac:dyDescent="0.25"/>
    <row r="43051" customFormat="1" x14ac:dyDescent="0.25"/>
    <row r="43052" customFormat="1" x14ac:dyDescent="0.25"/>
    <row r="43053" customFormat="1" x14ac:dyDescent="0.25"/>
    <row r="43054" customFormat="1" x14ac:dyDescent="0.25"/>
    <row r="43055" customFormat="1" x14ac:dyDescent="0.25"/>
    <row r="43056" customFormat="1" x14ac:dyDescent="0.25"/>
    <row r="43057" customFormat="1" x14ac:dyDescent="0.25"/>
    <row r="43058" customFormat="1" x14ac:dyDescent="0.25"/>
    <row r="43059" customFormat="1" x14ac:dyDescent="0.25"/>
    <row r="43060" customFormat="1" x14ac:dyDescent="0.25"/>
    <row r="43061" customFormat="1" x14ac:dyDescent="0.25"/>
    <row r="43062" customFormat="1" x14ac:dyDescent="0.25"/>
    <row r="43063" customFormat="1" x14ac:dyDescent="0.25"/>
    <row r="43064" customFormat="1" x14ac:dyDescent="0.25"/>
    <row r="43065" customFormat="1" x14ac:dyDescent="0.25"/>
    <row r="43066" customFormat="1" x14ac:dyDescent="0.25"/>
    <row r="43067" customFormat="1" x14ac:dyDescent="0.25"/>
    <row r="43068" customFormat="1" x14ac:dyDescent="0.25"/>
    <row r="43069" customFormat="1" x14ac:dyDescent="0.25"/>
    <row r="43070" customFormat="1" x14ac:dyDescent="0.25"/>
    <row r="43071" customFormat="1" x14ac:dyDescent="0.25"/>
    <row r="43072" customFormat="1" x14ac:dyDescent="0.25"/>
    <row r="43073" customFormat="1" x14ac:dyDescent="0.25"/>
    <row r="43074" customFormat="1" x14ac:dyDescent="0.25"/>
    <row r="43075" customFormat="1" x14ac:dyDescent="0.25"/>
    <row r="43076" customFormat="1" x14ac:dyDescent="0.25"/>
    <row r="43077" customFormat="1" x14ac:dyDescent="0.25"/>
    <row r="43078" customFormat="1" x14ac:dyDescent="0.25"/>
    <row r="43079" customFormat="1" x14ac:dyDescent="0.25"/>
    <row r="43080" customFormat="1" x14ac:dyDescent="0.25"/>
    <row r="43081" customFormat="1" x14ac:dyDescent="0.25"/>
    <row r="43082" customFormat="1" x14ac:dyDescent="0.25"/>
    <row r="43083" customFormat="1" x14ac:dyDescent="0.25"/>
    <row r="43084" customFormat="1" x14ac:dyDescent="0.25"/>
    <row r="43085" customFormat="1" x14ac:dyDescent="0.25"/>
    <row r="43086" customFormat="1" x14ac:dyDescent="0.25"/>
    <row r="43087" customFormat="1" x14ac:dyDescent="0.25"/>
    <row r="43088" customFormat="1" x14ac:dyDescent="0.25"/>
    <row r="43089" customFormat="1" x14ac:dyDescent="0.25"/>
    <row r="43090" customFormat="1" x14ac:dyDescent="0.25"/>
    <row r="43091" customFormat="1" x14ac:dyDescent="0.25"/>
    <row r="43092" customFormat="1" x14ac:dyDescent="0.25"/>
    <row r="43093" customFormat="1" x14ac:dyDescent="0.25"/>
    <row r="43094" customFormat="1" x14ac:dyDescent="0.25"/>
    <row r="43095" customFormat="1" x14ac:dyDescent="0.25"/>
    <row r="43096" customFormat="1" x14ac:dyDescent="0.25"/>
    <row r="43097" customFormat="1" x14ac:dyDescent="0.25"/>
    <row r="43098" customFormat="1" x14ac:dyDescent="0.25"/>
    <row r="43099" customFormat="1" x14ac:dyDescent="0.25"/>
    <row r="43100" customFormat="1" x14ac:dyDescent="0.25"/>
    <row r="43101" customFormat="1" x14ac:dyDescent="0.25"/>
    <row r="43102" customFormat="1" x14ac:dyDescent="0.25"/>
    <row r="43103" customFormat="1" x14ac:dyDescent="0.25"/>
    <row r="43104" customFormat="1" x14ac:dyDescent="0.25"/>
    <row r="43105" customFormat="1" x14ac:dyDescent="0.25"/>
    <row r="43106" customFormat="1" x14ac:dyDescent="0.25"/>
    <row r="43107" customFormat="1" x14ac:dyDescent="0.25"/>
    <row r="43108" customFormat="1" x14ac:dyDescent="0.25"/>
    <row r="43109" customFormat="1" x14ac:dyDescent="0.25"/>
    <row r="43110" customFormat="1" x14ac:dyDescent="0.25"/>
    <row r="43111" customFormat="1" x14ac:dyDescent="0.25"/>
    <row r="43112" customFormat="1" x14ac:dyDescent="0.25"/>
    <row r="43113" customFormat="1" x14ac:dyDescent="0.25"/>
    <row r="43114" customFormat="1" x14ac:dyDescent="0.25"/>
    <row r="43115" customFormat="1" x14ac:dyDescent="0.25"/>
    <row r="43116" customFormat="1" x14ac:dyDescent="0.25"/>
    <row r="43117" customFormat="1" x14ac:dyDescent="0.25"/>
    <row r="43118" customFormat="1" x14ac:dyDescent="0.25"/>
    <row r="43119" customFormat="1" x14ac:dyDescent="0.25"/>
    <row r="43120" customFormat="1" x14ac:dyDescent="0.25"/>
    <row r="43121" customFormat="1" x14ac:dyDescent="0.25"/>
    <row r="43122" customFormat="1" x14ac:dyDescent="0.25"/>
    <row r="43123" customFormat="1" x14ac:dyDescent="0.25"/>
    <row r="43124" customFormat="1" x14ac:dyDescent="0.25"/>
    <row r="43125" customFormat="1" x14ac:dyDescent="0.25"/>
    <row r="43126" customFormat="1" x14ac:dyDescent="0.25"/>
    <row r="43127" customFormat="1" x14ac:dyDescent="0.25"/>
    <row r="43128" customFormat="1" x14ac:dyDescent="0.25"/>
    <row r="43129" customFormat="1" x14ac:dyDescent="0.25"/>
    <row r="43130" customFormat="1" x14ac:dyDescent="0.25"/>
    <row r="43131" customFormat="1" x14ac:dyDescent="0.25"/>
    <row r="43132" customFormat="1" x14ac:dyDescent="0.25"/>
    <row r="43133" customFormat="1" x14ac:dyDescent="0.25"/>
    <row r="43134" customFormat="1" x14ac:dyDescent="0.25"/>
    <row r="43135" customFormat="1" x14ac:dyDescent="0.25"/>
    <row r="43136" customFormat="1" x14ac:dyDescent="0.25"/>
    <row r="43137" customFormat="1" x14ac:dyDescent="0.25"/>
    <row r="43138" customFormat="1" x14ac:dyDescent="0.25"/>
    <row r="43139" customFormat="1" x14ac:dyDescent="0.25"/>
    <row r="43140" customFormat="1" x14ac:dyDescent="0.25"/>
    <row r="43141" customFormat="1" x14ac:dyDescent="0.25"/>
    <row r="43142" customFormat="1" x14ac:dyDescent="0.25"/>
    <row r="43143" customFormat="1" x14ac:dyDescent="0.25"/>
    <row r="43144" customFormat="1" x14ac:dyDescent="0.25"/>
    <row r="43145" customFormat="1" x14ac:dyDescent="0.25"/>
    <row r="43146" customFormat="1" x14ac:dyDescent="0.25"/>
    <row r="43147" customFormat="1" x14ac:dyDescent="0.25"/>
    <row r="43148" customFormat="1" x14ac:dyDescent="0.25"/>
    <row r="43149" customFormat="1" x14ac:dyDescent="0.25"/>
    <row r="43150" customFormat="1" x14ac:dyDescent="0.25"/>
    <row r="43151" customFormat="1" x14ac:dyDescent="0.25"/>
    <row r="43152" customFormat="1" x14ac:dyDescent="0.25"/>
    <row r="43153" customFormat="1" x14ac:dyDescent="0.25"/>
    <row r="43154" customFormat="1" x14ac:dyDescent="0.25"/>
    <row r="43155" customFormat="1" x14ac:dyDescent="0.25"/>
    <row r="43156" customFormat="1" x14ac:dyDescent="0.25"/>
    <row r="43157" customFormat="1" x14ac:dyDescent="0.25"/>
    <row r="43158" customFormat="1" x14ac:dyDescent="0.25"/>
    <row r="43159" customFormat="1" x14ac:dyDescent="0.25"/>
    <row r="43160" customFormat="1" x14ac:dyDescent="0.25"/>
    <row r="43161" customFormat="1" x14ac:dyDescent="0.25"/>
    <row r="43162" customFormat="1" x14ac:dyDescent="0.25"/>
    <row r="43163" customFormat="1" x14ac:dyDescent="0.25"/>
    <row r="43164" customFormat="1" x14ac:dyDescent="0.25"/>
    <row r="43165" customFormat="1" x14ac:dyDescent="0.25"/>
    <row r="43166" customFormat="1" x14ac:dyDescent="0.25"/>
    <row r="43167" customFormat="1" x14ac:dyDescent="0.25"/>
    <row r="43168" customFormat="1" x14ac:dyDescent="0.25"/>
    <row r="43169" customFormat="1" x14ac:dyDescent="0.25"/>
    <row r="43170" customFormat="1" x14ac:dyDescent="0.25"/>
    <row r="43171" customFormat="1" x14ac:dyDescent="0.25"/>
    <row r="43172" customFormat="1" x14ac:dyDescent="0.25"/>
    <row r="43173" customFormat="1" x14ac:dyDescent="0.25"/>
    <row r="43174" customFormat="1" x14ac:dyDescent="0.25"/>
    <row r="43175" customFormat="1" x14ac:dyDescent="0.25"/>
    <row r="43176" customFormat="1" x14ac:dyDescent="0.25"/>
    <row r="43177" customFormat="1" x14ac:dyDescent="0.25"/>
    <row r="43178" customFormat="1" x14ac:dyDescent="0.25"/>
    <row r="43179" customFormat="1" x14ac:dyDescent="0.25"/>
    <row r="43180" customFormat="1" x14ac:dyDescent="0.25"/>
    <row r="43181" customFormat="1" x14ac:dyDescent="0.25"/>
    <row r="43182" customFormat="1" x14ac:dyDescent="0.25"/>
    <row r="43183" customFormat="1" x14ac:dyDescent="0.25"/>
    <row r="43184" customFormat="1" x14ac:dyDescent="0.25"/>
    <row r="43185" customFormat="1" x14ac:dyDescent="0.25"/>
    <row r="43186" customFormat="1" x14ac:dyDescent="0.25"/>
    <row r="43187" customFormat="1" x14ac:dyDescent="0.25"/>
    <row r="43188" customFormat="1" x14ac:dyDescent="0.25"/>
    <row r="43189" customFormat="1" x14ac:dyDescent="0.25"/>
    <row r="43190" customFormat="1" x14ac:dyDescent="0.25"/>
    <row r="43191" customFormat="1" x14ac:dyDescent="0.25"/>
    <row r="43192" customFormat="1" x14ac:dyDescent="0.25"/>
    <row r="43193" customFormat="1" x14ac:dyDescent="0.25"/>
    <row r="43194" customFormat="1" x14ac:dyDescent="0.25"/>
    <row r="43195" customFormat="1" x14ac:dyDescent="0.25"/>
    <row r="43196" customFormat="1" x14ac:dyDescent="0.25"/>
    <row r="43197" customFormat="1" x14ac:dyDescent="0.25"/>
    <row r="43198" customFormat="1" x14ac:dyDescent="0.25"/>
    <row r="43199" customFormat="1" x14ac:dyDescent="0.25"/>
    <row r="43200" customFormat="1" x14ac:dyDescent="0.25"/>
    <row r="43201" customFormat="1" x14ac:dyDescent="0.25"/>
    <row r="43202" customFormat="1" x14ac:dyDescent="0.25"/>
    <row r="43203" customFormat="1" x14ac:dyDescent="0.25"/>
    <row r="43204" customFormat="1" x14ac:dyDescent="0.25"/>
    <row r="43205" customFormat="1" x14ac:dyDescent="0.25"/>
    <row r="43206" customFormat="1" x14ac:dyDescent="0.25"/>
    <row r="43207" customFormat="1" x14ac:dyDescent="0.25"/>
    <row r="43208" customFormat="1" x14ac:dyDescent="0.25"/>
    <row r="43209" customFormat="1" x14ac:dyDescent="0.25"/>
    <row r="43210" customFormat="1" x14ac:dyDescent="0.25"/>
    <row r="43211" customFormat="1" x14ac:dyDescent="0.25"/>
    <row r="43212" customFormat="1" x14ac:dyDescent="0.25"/>
    <row r="43213" customFormat="1" x14ac:dyDescent="0.25"/>
    <row r="43214" customFormat="1" x14ac:dyDescent="0.25"/>
    <row r="43215" customFormat="1" x14ac:dyDescent="0.25"/>
    <row r="43216" customFormat="1" x14ac:dyDescent="0.25"/>
    <row r="43217" customFormat="1" x14ac:dyDescent="0.25"/>
    <row r="43218" customFormat="1" x14ac:dyDescent="0.25"/>
    <row r="43219" customFormat="1" x14ac:dyDescent="0.25"/>
    <row r="43220" customFormat="1" x14ac:dyDescent="0.25"/>
    <row r="43221" customFormat="1" x14ac:dyDescent="0.25"/>
    <row r="43222" customFormat="1" x14ac:dyDescent="0.25"/>
    <row r="43223" customFormat="1" x14ac:dyDescent="0.25"/>
    <row r="43224" customFormat="1" x14ac:dyDescent="0.25"/>
    <row r="43225" customFormat="1" x14ac:dyDescent="0.25"/>
    <row r="43226" customFormat="1" x14ac:dyDescent="0.25"/>
    <row r="43227" customFormat="1" x14ac:dyDescent="0.25"/>
    <row r="43228" customFormat="1" x14ac:dyDescent="0.25"/>
    <row r="43229" customFormat="1" x14ac:dyDescent="0.25"/>
    <row r="43230" customFormat="1" x14ac:dyDescent="0.25"/>
    <row r="43231" customFormat="1" x14ac:dyDescent="0.25"/>
    <row r="43232" customFormat="1" x14ac:dyDescent="0.25"/>
    <row r="43233" customFormat="1" x14ac:dyDescent="0.25"/>
    <row r="43234" customFormat="1" x14ac:dyDescent="0.25"/>
    <row r="43235" customFormat="1" x14ac:dyDescent="0.25"/>
    <row r="43236" customFormat="1" x14ac:dyDescent="0.25"/>
    <row r="43237" customFormat="1" x14ac:dyDescent="0.25"/>
    <row r="43238" customFormat="1" x14ac:dyDescent="0.25"/>
    <row r="43239" customFormat="1" x14ac:dyDescent="0.25"/>
    <row r="43240" customFormat="1" x14ac:dyDescent="0.25"/>
    <row r="43241" customFormat="1" x14ac:dyDescent="0.25"/>
    <row r="43242" customFormat="1" x14ac:dyDescent="0.25"/>
    <row r="43243" customFormat="1" x14ac:dyDescent="0.25"/>
    <row r="43244" customFormat="1" x14ac:dyDescent="0.25"/>
    <row r="43245" customFormat="1" x14ac:dyDescent="0.25"/>
    <row r="43246" customFormat="1" x14ac:dyDescent="0.25"/>
    <row r="43247" customFormat="1" x14ac:dyDescent="0.25"/>
    <row r="43248" customFormat="1" x14ac:dyDescent="0.25"/>
    <row r="43249" customFormat="1" x14ac:dyDescent="0.25"/>
    <row r="43250" customFormat="1" x14ac:dyDescent="0.25"/>
    <row r="43251" customFormat="1" x14ac:dyDescent="0.25"/>
    <row r="43252" customFormat="1" x14ac:dyDescent="0.25"/>
    <row r="43253" customFormat="1" x14ac:dyDescent="0.25"/>
    <row r="43254" customFormat="1" x14ac:dyDescent="0.25"/>
    <row r="43255" customFormat="1" x14ac:dyDescent="0.25"/>
    <row r="43256" customFormat="1" x14ac:dyDescent="0.25"/>
    <row r="43257" customFormat="1" x14ac:dyDescent="0.25"/>
    <row r="43258" customFormat="1" x14ac:dyDescent="0.25"/>
    <row r="43259" customFormat="1" x14ac:dyDescent="0.25"/>
    <row r="43260" customFormat="1" x14ac:dyDescent="0.25"/>
    <row r="43261" customFormat="1" x14ac:dyDescent="0.25"/>
    <row r="43262" customFormat="1" x14ac:dyDescent="0.25"/>
    <row r="43263" customFormat="1" x14ac:dyDescent="0.25"/>
    <row r="43264" customFormat="1" x14ac:dyDescent="0.25"/>
    <row r="43265" customFormat="1" x14ac:dyDescent="0.25"/>
    <row r="43266" customFormat="1" x14ac:dyDescent="0.25"/>
    <row r="43267" customFormat="1" x14ac:dyDescent="0.25"/>
    <row r="43268" customFormat="1" x14ac:dyDescent="0.25"/>
    <row r="43269" customFormat="1" x14ac:dyDescent="0.25"/>
    <row r="43270" customFormat="1" x14ac:dyDescent="0.25"/>
    <row r="43271" customFormat="1" x14ac:dyDescent="0.25"/>
    <row r="43272" customFormat="1" x14ac:dyDescent="0.25"/>
    <row r="43273" customFormat="1" x14ac:dyDescent="0.25"/>
    <row r="43274" customFormat="1" x14ac:dyDescent="0.25"/>
    <row r="43275" customFormat="1" x14ac:dyDescent="0.25"/>
    <row r="43276" customFormat="1" x14ac:dyDescent="0.25"/>
    <row r="43277" customFormat="1" x14ac:dyDescent="0.25"/>
    <row r="43278" customFormat="1" x14ac:dyDescent="0.25"/>
    <row r="43279" customFormat="1" x14ac:dyDescent="0.25"/>
    <row r="43280" customFormat="1" x14ac:dyDescent="0.25"/>
    <row r="43281" customFormat="1" x14ac:dyDescent="0.25"/>
    <row r="43282" customFormat="1" x14ac:dyDescent="0.25"/>
    <row r="43283" customFormat="1" x14ac:dyDescent="0.25"/>
    <row r="43284" customFormat="1" x14ac:dyDescent="0.25"/>
    <row r="43285" customFormat="1" x14ac:dyDescent="0.25"/>
    <row r="43286" customFormat="1" x14ac:dyDescent="0.25"/>
    <row r="43287" customFormat="1" x14ac:dyDescent="0.25"/>
    <row r="43288" customFormat="1" x14ac:dyDescent="0.25"/>
    <row r="43289" customFormat="1" x14ac:dyDescent="0.25"/>
    <row r="43290" customFormat="1" x14ac:dyDescent="0.25"/>
    <row r="43291" customFormat="1" x14ac:dyDescent="0.25"/>
    <row r="43292" customFormat="1" x14ac:dyDescent="0.25"/>
    <row r="43293" customFormat="1" x14ac:dyDescent="0.25"/>
    <row r="43294" customFormat="1" x14ac:dyDescent="0.25"/>
    <row r="43295" customFormat="1" x14ac:dyDescent="0.25"/>
    <row r="43296" customFormat="1" x14ac:dyDescent="0.25"/>
    <row r="43297" customFormat="1" x14ac:dyDescent="0.25"/>
    <row r="43298" customFormat="1" x14ac:dyDescent="0.25"/>
    <row r="43299" customFormat="1" x14ac:dyDescent="0.25"/>
    <row r="43300" customFormat="1" x14ac:dyDescent="0.25"/>
    <row r="43301" customFormat="1" x14ac:dyDescent="0.25"/>
    <row r="43302" customFormat="1" x14ac:dyDescent="0.25"/>
    <row r="43303" customFormat="1" x14ac:dyDescent="0.25"/>
    <row r="43304" customFormat="1" x14ac:dyDescent="0.25"/>
    <row r="43305" customFormat="1" x14ac:dyDescent="0.25"/>
    <row r="43306" customFormat="1" x14ac:dyDescent="0.25"/>
    <row r="43307" customFormat="1" x14ac:dyDescent="0.25"/>
    <row r="43308" customFormat="1" x14ac:dyDescent="0.25"/>
    <row r="43309" customFormat="1" x14ac:dyDescent="0.25"/>
    <row r="43310" customFormat="1" x14ac:dyDescent="0.25"/>
    <row r="43311" customFormat="1" x14ac:dyDescent="0.25"/>
    <row r="43312" customFormat="1" x14ac:dyDescent="0.25"/>
    <row r="43313" customFormat="1" x14ac:dyDescent="0.25"/>
    <row r="43314" customFormat="1" x14ac:dyDescent="0.25"/>
    <row r="43315" customFormat="1" x14ac:dyDescent="0.25"/>
    <row r="43316" customFormat="1" x14ac:dyDescent="0.25"/>
    <row r="43317" customFormat="1" x14ac:dyDescent="0.25"/>
    <row r="43318" customFormat="1" x14ac:dyDescent="0.25"/>
    <row r="43319" customFormat="1" x14ac:dyDescent="0.25"/>
    <row r="43320" customFormat="1" x14ac:dyDescent="0.25"/>
    <row r="43321" customFormat="1" x14ac:dyDescent="0.25"/>
    <row r="43322" customFormat="1" x14ac:dyDescent="0.25"/>
    <row r="43323" customFormat="1" x14ac:dyDescent="0.25"/>
    <row r="43324" customFormat="1" x14ac:dyDescent="0.25"/>
    <row r="43325" customFormat="1" x14ac:dyDescent="0.25"/>
    <row r="43326" customFormat="1" x14ac:dyDescent="0.25"/>
    <row r="43327" customFormat="1" x14ac:dyDescent="0.25"/>
    <row r="43328" customFormat="1" x14ac:dyDescent="0.25"/>
    <row r="43329" customFormat="1" x14ac:dyDescent="0.25"/>
    <row r="43330" customFormat="1" x14ac:dyDescent="0.25"/>
    <row r="43331" customFormat="1" x14ac:dyDescent="0.25"/>
    <row r="43332" customFormat="1" x14ac:dyDescent="0.25"/>
    <row r="43333" customFormat="1" x14ac:dyDescent="0.25"/>
    <row r="43334" customFormat="1" x14ac:dyDescent="0.25"/>
    <row r="43335" customFormat="1" x14ac:dyDescent="0.25"/>
    <row r="43336" customFormat="1" x14ac:dyDescent="0.25"/>
    <row r="43337" customFormat="1" x14ac:dyDescent="0.25"/>
    <row r="43338" customFormat="1" x14ac:dyDescent="0.25"/>
    <row r="43339" customFormat="1" x14ac:dyDescent="0.25"/>
    <row r="43340" customFormat="1" x14ac:dyDescent="0.25"/>
    <row r="43341" customFormat="1" x14ac:dyDescent="0.25"/>
    <row r="43342" customFormat="1" x14ac:dyDescent="0.25"/>
    <row r="43343" customFormat="1" x14ac:dyDescent="0.25"/>
    <row r="43344" customFormat="1" x14ac:dyDescent="0.25"/>
    <row r="43345" customFormat="1" x14ac:dyDescent="0.25"/>
    <row r="43346" customFormat="1" x14ac:dyDescent="0.25"/>
    <row r="43347" customFormat="1" x14ac:dyDescent="0.25"/>
    <row r="43348" customFormat="1" x14ac:dyDescent="0.25"/>
    <row r="43349" customFormat="1" x14ac:dyDescent="0.25"/>
    <row r="43350" customFormat="1" x14ac:dyDescent="0.25"/>
    <row r="43351" customFormat="1" x14ac:dyDescent="0.25"/>
    <row r="43352" customFormat="1" x14ac:dyDescent="0.25"/>
    <row r="43353" customFormat="1" x14ac:dyDescent="0.25"/>
    <row r="43354" customFormat="1" x14ac:dyDescent="0.25"/>
    <row r="43355" customFormat="1" x14ac:dyDescent="0.25"/>
    <row r="43356" customFormat="1" x14ac:dyDescent="0.25"/>
    <row r="43357" customFormat="1" x14ac:dyDescent="0.25"/>
    <row r="43358" customFormat="1" x14ac:dyDescent="0.25"/>
    <row r="43359" customFormat="1" x14ac:dyDescent="0.25"/>
    <row r="43360" customFormat="1" x14ac:dyDescent="0.25"/>
    <row r="43361" customFormat="1" x14ac:dyDescent="0.25"/>
    <row r="43362" customFormat="1" x14ac:dyDescent="0.25"/>
    <row r="43363" customFormat="1" x14ac:dyDescent="0.25"/>
    <row r="43364" customFormat="1" x14ac:dyDescent="0.25"/>
    <row r="43365" customFormat="1" x14ac:dyDescent="0.25"/>
    <row r="43366" customFormat="1" x14ac:dyDescent="0.25"/>
    <row r="43367" customFormat="1" x14ac:dyDescent="0.25"/>
    <row r="43368" customFormat="1" x14ac:dyDescent="0.25"/>
    <row r="43369" customFormat="1" x14ac:dyDescent="0.25"/>
    <row r="43370" customFormat="1" x14ac:dyDescent="0.25"/>
    <row r="43371" customFormat="1" x14ac:dyDescent="0.25"/>
    <row r="43372" customFormat="1" x14ac:dyDescent="0.25"/>
    <row r="43373" customFormat="1" x14ac:dyDescent="0.25"/>
    <row r="43374" customFormat="1" x14ac:dyDescent="0.25"/>
    <row r="43375" customFormat="1" x14ac:dyDescent="0.25"/>
    <row r="43376" customFormat="1" x14ac:dyDescent="0.25"/>
    <row r="43377" customFormat="1" x14ac:dyDescent="0.25"/>
    <row r="43378" customFormat="1" x14ac:dyDescent="0.25"/>
    <row r="43379" customFormat="1" x14ac:dyDescent="0.25"/>
    <row r="43380" customFormat="1" x14ac:dyDescent="0.25"/>
    <row r="43381" customFormat="1" x14ac:dyDescent="0.25"/>
    <row r="43382" customFormat="1" x14ac:dyDescent="0.25"/>
    <row r="43383" customFormat="1" x14ac:dyDescent="0.25"/>
    <row r="43384" customFormat="1" x14ac:dyDescent="0.25"/>
    <row r="43385" customFormat="1" x14ac:dyDescent="0.25"/>
    <row r="43386" customFormat="1" x14ac:dyDescent="0.25"/>
    <row r="43387" customFormat="1" x14ac:dyDescent="0.25"/>
    <row r="43388" customFormat="1" x14ac:dyDescent="0.25"/>
    <row r="43389" customFormat="1" x14ac:dyDescent="0.25"/>
    <row r="43390" customFormat="1" x14ac:dyDescent="0.25"/>
    <row r="43391" customFormat="1" x14ac:dyDescent="0.25"/>
    <row r="43392" customFormat="1" x14ac:dyDescent="0.25"/>
    <row r="43393" customFormat="1" x14ac:dyDescent="0.25"/>
    <row r="43394" customFormat="1" x14ac:dyDescent="0.25"/>
    <row r="43395" customFormat="1" x14ac:dyDescent="0.25"/>
    <row r="43396" customFormat="1" x14ac:dyDescent="0.25"/>
    <row r="43397" customFormat="1" x14ac:dyDescent="0.25"/>
    <row r="43398" customFormat="1" x14ac:dyDescent="0.25"/>
    <row r="43399" customFormat="1" x14ac:dyDescent="0.25"/>
    <row r="43400" customFormat="1" x14ac:dyDescent="0.25"/>
    <row r="43401" customFormat="1" x14ac:dyDescent="0.25"/>
    <row r="43402" customFormat="1" x14ac:dyDescent="0.25"/>
    <row r="43403" customFormat="1" x14ac:dyDescent="0.25"/>
    <row r="43404" customFormat="1" x14ac:dyDescent="0.25"/>
    <row r="43405" customFormat="1" x14ac:dyDescent="0.25"/>
    <row r="43406" customFormat="1" x14ac:dyDescent="0.25"/>
    <row r="43407" customFormat="1" x14ac:dyDescent="0.25"/>
    <row r="43408" customFormat="1" x14ac:dyDescent="0.25"/>
    <row r="43409" customFormat="1" x14ac:dyDescent="0.25"/>
    <row r="43410" customFormat="1" x14ac:dyDescent="0.25"/>
    <row r="43411" customFormat="1" x14ac:dyDescent="0.25"/>
    <row r="43412" customFormat="1" x14ac:dyDescent="0.25"/>
    <row r="43413" customFormat="1" x14ac:dyDescent="0.25"/>
    <row r="43414" customFormat="1" x14ac:dyDescent="0.25"/>
    <row r="43415" customFormat="1" x14ac:dyDescent="0.25"/>
    <row r="43416" customFormat="1" x14ac:dyDescent="0.25"/>
    <row r="43417" customFormat="1" x14ac:dyDescent="0.25"/>
    <row r="43418" customFormat="1" x14ac:dyDescent="0.25"/>
    <row r="43419" customFormat="1" x14ac:dyDescent="0.25"/>
    <row r="43420" customFormat="1" x14ac:dyDescent="0.25"/>
    <row r="43421" customFormat="1" x14ac:dyDescent="0.25"/>
    <row r="43422" customFormat="1" x14ac:dyDescent="0.25"/>
    <row r="43423" customFormat="1" x14ac:dyDescent="0.25"/>
    <row r="43424" customFormat="1" x14ac:dyDescent="0.25"/>
    <row r="43425" customFormat="1" x14ac:dyDescent="0.25"/>
    <row r="43426" customFormat="1" x14ac:dyDescent="0.25"/>
    <row r="43427" customFormat="1" x14ac:dyDescent="0.25"/>
    <row r="43428" customFormat="1" x14ac:dyDescent="0.25"/>
    <row r="43429" customFormat="1" x14ac:dyDescent="0.25"/>
    <row r="43430" customFormat="1" x14ac:dyDescent="0.25"/>
    <row r="43431" customFormat="1" x14ac:dyDescent="0.25"/>
    <row r="43432" customFormat="1" x14ac:dyDescent="0.25"/>
    <row r="43433" customFormat="1" x14ac:dyDescent="0.25"/>
    <row r="43434" customFormat="1" x14ac:dyDescent="0.25"/>
    <row r="43435" customFormat="1" x14ac:dyDescent="0.25"/>
    <row r="43436" customFormat="1" x14ac:dyDescent="0.25"/>
    <row r="43437" customFormat="1" x14ac:dyDescent="0.25"/>
    <row r="43438" customFormat="1" x14ac:dyDescent="0.25"/>
    <row r="43439" customFormat="1" x14ac:dyDescent="0.25"/>
    <row r="43440" customFormat="1" x14ac:dyDescent="0.25"/>
    <row r="43441" customFormat="1" x14ac:dyDescent="0.25"/>
    <row r="43442" customFormat="1" x14ac:dyDescent="0.25"/>
    <row r="43443" customFormat="1" x14ac:dyDescent="0.25"/>
    <row r="43444" customFormat="1" x14ac:dyDescent="0.25"/>
    <row r="43445" customFormat="1" x14ac:dyDescent="0.25"/>
    <row r="43446" customFormat="1" x14ac:dyDescent="0.25"/>
    <row r="43447" customFormat="1" x14ac:dyDescent="0.25"/>
    <row r="43448" customFormat="1" x14ac:dyDescent="0.25"/>
    <row r="43449" customFormat="1" x14ac:dyDescent="0.25"/>
    <row r="43450" customFormat="1" x14ac:dyDescent="0.25"/>
    <row r="43451" customFormat="1" x14ac:dyDescent="0.25"/>
    <row r="43452" customFormat="1" x14ac:dyDescent="0.25"/>
    <row r="43453" customFormat="1" x14ac:dyDescent="0.25"/>
    <row r="43454" customFormat="1" x14ac:dyDescent="0.25"/>
    <row r="43455" customFormat="1" x14ac:dyDescent="0.25"/>
    <row r="43456" customFormat="1" x14ac:dyDescent="0.25"/>
    <row r="43457" customFormat="1" x14ac:dyDescent="0.25"/>
    <row r="43458" customFormat="1" x14ac:dyDescent="0.25"/>
    <row r="43459" customFormat="1" x14ac:dyDescent="0.25"/>
    <row r="43460" customFormat="1" x14ac:dyDescent="0.25"/>
    <row r="43461" customFormat="1" x14ac:dyDescent="0.25"/>
    <row r="43462" customFormat="1" x14ac:dyDescent="0.25"/>
    <row r="43463" customFormat="1" x14ac:dyDescent="0.25"/>
    <row r="43464" customFormat="1" x14ac:dyDescent="0.25"/>
    <row r="43465" customFormat="1" x14ac:dyDescent="0.25"/>
    <row r="43466" customFormat="1" x14ac:dyDescent="0.25"/>
    <row r="43467" customFormat="1" x14ac:dyDescent="0.25"/>
    <row r="43468" customFormat="1" x14ac:dyDescent="0.25"/>
    <row r="43469" customFormat="1" x14ac:dyDescent="0.25"/>
    <row r="43470" customFormat="1" x14ac:dyDescent="0.25"/>
    <row r="43471" customFormat="1" x14ac:dyDescent="0.25"/>
    <row r="43472" customFormat="1" x14ac:dyDescent="0.25"/>
    <row r="43473" customFormat="1" x14ac:dyDescent="0.25"/>
    <row r="43474" customFormat="1" x14ac:dyDescent="0.25"/>
    <row r="43475" customFormat="1" x14ac:dyDescent="0.25"/>
    <row r="43476" customFormat="1" x14ac:dyDescent="0.25"/>
    <row r="43477" customFormat="1" x14ac:dyDescent="0.25"/>
    <row r="43478" customFormat="1" x14ac:dyDescent="0.25"/>
    <row r="43479" customFormat="1" x14ac:dyDescent="0.25"/>
    <row r="43480" customFormat="1" x14ac:dyDescent="0.25"/>
    <row r="43481" customFormat="1" x14ac:dyDescent="0.25"/>
    <row r="43482" customFormat="1" x14ac:dyDescent="0.25"/>
    <row r="43483" customFormat="1" x14ac:dyDescent="0.25"/>
    <row r="43484" customFormat="1" x14ac:dyDescent="0.25"/>
    <row r="43485" customFormat="1" x14ac:dyDescent="0.25"/>
    <row r="43486" customFormat="1" x14ac:dyDescent="0.25"/>
    <row r="43487" customFormat="1" x14ac:dyDescent="0.25"/>
    <row r="43488" customFormat="1" x14ac:dyDescent="0.25"/>
    <row r="43489" customFormat="1" x14ac:dyDescent="0.25"/>
    <row r="43490" customFormat="1" x14ac:dyDescent="0.25"/>
    <row r="43491" customFormat="1" x14ac:dyDescent="0.25"/>
    <row r="43492" customFormat="1" x14ac:dyDescent="0.25"/>
    <row r="43493" customFormat="1" x14ac:dyDescent="0.25"/>
    <row r="43494" customFormat="1" x14ac:dyDescent="0.25"/>
    <row r="43495" customFormat="1" x14ac:dyDescent="0.25"/>
    <row r="43496" customFormat="1" x14ac:dyDescent="0.25"/>
    <row r="43497" customFormat="1" x14ac:dyDescent="0.25"/>
    <row r="43498" customFormat="1" x14ac:dyDescent="0.25"/>
    <row r="43499" customFormat="1" x14ac:dyDescent="0.25"/>
    <row r="43500" customFormat="1" x14ac:dyDescent="0.25"/>
    <row r="43501" customFormat="1" x14ac:dyDescent="0.25"/>
    <row r="43502" customFormat="1" x14ac:dyDescent="0.25"/>
    <row r="43503" customFormat="1" x14ac:dyDescent="0.25"/>
    <row r="43504" customFormat="1" x14ac:dyDescent="0.25"/>
    <row r="43505" customFormat="1" x14ac:dyDescent="0.25"/>
    <row r="43506" customFormat="1" x14ac:dyDescent="0.25"/>
    <row r="43507" customFormat="1" x14ac:dyDescent="0.25"/>
    <row r="43508" customFormat="1" x14ac:dyDescent="0.25"/>
    <row r="43509" customFormat="1" x14ac:dyDescent="0.25"/>
    <row r="43510" customFormat="1" x14ac:dyDescent="0.25"/>
    <row r="43511" customFormat="1" x14ac:dyDescent="0.25"/>
    <row r="43512" customFormat="1" x14ac:dyDescent="0.25"/>
    <row r="43513" customFormat="1" x14ac:dyDescent="0.25"/>
    <row r="43514" customFormat="1" x14ac:dyDescent="0.25"/>
    <row r="43515" customFormat="1" x14ac:dyDescent="0.25"/>
    <row r="43516" customFormat="1" x14ac:dyDescent="0.25"/>
    <row r="43517" customFormat="1" x14ac:dyDescent="0.25"/>
    <row r="43518" customFormat="1" x14ac:dyDescent="0.25"/>
    <row r="43519" customFormat="1" x14ac:dyDescent="0.25"/>
    <row r="43520" customFormat="1" x14ac:dyDescent="0.25"/>
    <row r="43521" customFormat="1" x14ac:dyDescent="0.25"/>
    <row r="43522" customFormat="1" x14ac:dyDescent="0.25"/>
    <row r="43523" customFormat="1" x14ac:dyDescent="0.25"/>
    <row r="43524" customFormat="1" x14ac:dyDescent="0.25"/>
    <row r="43525" customFormat="1" x14ac:dyDescent="0.25"/>
    <row r="43526" customFormat="1" x14ac:dyDescent="0.25"/>
    <row r="43527" customFormat="1" x14ac:dyDescent="0.25"/>
    <row r="43528" customFormat="1" x14ac:dyDescent="0.25"/>
    <row r="43529" customFormat="1" x14ac:dyDescent="0.25"/>
    <row r="43530" customFormat="1" x14ac:dyDescent="0.25"/>
    <row r="43531" customFormat="1" x14ac:dyDescent="0.25"/>
    <row r="43532" customFormat="1" x14ac:dyDescent="0.25"/>
    <row r="43533" customFormat="1" x14ac:dyDescent="0.25"/>
    <row r="43534" customFormat="1" x14ac:dyDescent="0.25"/>
    <row r="43535" customFormat="1" x14ac:dyDescent="0.25"/>
    <row r="43536" customFormat="1" x14ac:dyDescent="0.25"/>
    <row r="43537" customFormat="1" x14ac:dyDescent="0.25"/>
    <row r="43538" customFormat="1" x14ac:dyDescent="0.25"/>
    <row r="43539" customFormat="1" x14ac:dyDescent="0.25"/>
    <row r="43540" customFormat="1" x14ac:dyDescent="0.25"/>
    <row r="43541" customFormat="1" x14ac:dyDescent="0.25"/>
    <row r="43542" customFormat="1" x14ac:dyDescent="0.25"/>
    <row r="43543" customFormat="1" x14ac:dyDescent="0.25"/>
    <row r="43544" customFormat="1" x14ac:dyDescent="0.25"/>
    <row r="43545" customFormat="1" x14ac:dyDescent="0.25"/>
    <row r="43546" customFormat="1" x14ac:dyDescent="0.25"/>
    <row r="43547" customFormat="1" x14ac:dyDescent="0.25"/>
    <row r="43548" customFormat="1" x14ac:dyDescent="0.25"/>
    <row r="43549" customFormat="1" x14ac:dyDescent="0.25"/>
    <row r="43550" customFormat="1" x14ac:dyDescent="0.25"/>
    <row r="43551" customFormat="1" x14ac:dyDescent="0.25"/>
    <row r="43552" customFormat="1" x14ac:dyDescent="0.25"/>
    <row r="43553" customFormat="1" x14ac:dyDescent="0.25"/>
    <row r="43554" customFormat="1" x14ac:dyDescent="0.25"/>
    <row r="43555" customFormat="1" x14ac:dyDescent="0.25"/>
    <row r="43556" customFormat="1" x14ac:dyDescent="0.25"/>
    <row r="43557" customFormat="1" x14ac:dyDescent="0.25"/>
    <row r="43558" customFormat="1" x14ac:dyDescent="0.25"/>
    <row r="43559" customFormat="1" x14ac:dyDescent="0.25"/>
    <row r="43560" customFormat="1" x14ac:dyDescent="0.25"/>
    <row r="43561" customFormat="1" x14ac:dyDescent="0.25"/>
    <row r="43562" customFormat="1" x14ac:dyDescent="0.25"/>
    <row r="43563" customFormat="1" x14ac:dyDescent="0.25"/>
    <row r="43564" customFormat="1" x14ac:dyDescent="0.25"/>
    <row r="43565" customFormat="1" x14ac:dyDescent="0.25"/>
    <row r="43566" customFormat="1" x14ac:dyDescent="0.25"/>
    <row r="43567" customFormat="1" x14ac:dyDescent="0.25"/>
    <row r="43568" customFormat="1" x14ac:dyDescent="0.25"/>
    <row r="43569" customFormat="1" x14ac:dyDescent="0.25"/>
    <row r="43570" customFormat="1" x14ac:dyDescent="0.25"/>
    <row r="43571" customFormat="1" x14ac:dyDescent="0.25"/>
    <row r="43572" customFormat="1" x14ac:dyDescent="0.25"/>
    <row r="43573" customFormat="1" x14ac:dyDescent="0.25"/>
    <row r="43574" customFormat="1" x14ac:dyDescent="0.25"/>
    <row r="43575" customFormat="1" x14ac:dyDescent="0.25"/>
    <row r="43576" customFormat="1" x14ac:dyDescent="0.25"/>
    <row r="43577" customFormat="1" x14ac:dyDescent="0.25"/>
    <row r="43578" customFormat="1" x14ac:dyDescent="0.25"/>
    <row r="43579" customFormat="1" x14ac:dyDescent="0.25"/>
    <row r="43580" customFormat="1" x14ac:dyDescent="0.25"/>
    <row r="43581" customFormat="1" x14ac:dyDescent="0.25"/>
    <row r="43582" customFormat="1" x14ac:dyDescent="0.25"/>
    <row r="43583" customFormat="1" x14ac:dyDescent="0.25"/>
    <row r="43584" customFormat="1" x14ac:dyDescent="0.25"/>
    <row r="43585" customFormat="1" x14ac:dyDescent="0.25"/>
    <row r="43586" customFormat="1" x14ac:dyDescent="0.25"/>
    <row r="43587" customFormat="1" x14ac:dyDescent="0.25"/>
    <row r="43588" customFormat="1" x14ac:dyDescent="0.25"/>
    <row r="43589" customFormat="1" x14ac:dyDescent="0.25"/>
    <row r="43590" customFormat="1" x14ac:dyDescent="0.25"/>
    <row r="43591" customFormat="1" x14ac:dyDescent="0.25"/>
    <row r="43592" customFormat="1" x14ac:dyDescent="0.25"/>
    <row r="43593" customFormat="1" x14ac:dyDescent="0.25"/>
    <row r="43594" customFormat="1" x14ac:dyDescent="0.25"/>
    <row r="43595" customFormat="1" x14ac:dyDescent="0.25"/>
    <row r="43596" customFormat="1" x14ac:dyDescent="0.25"/>
    <row r="43597" customFormat="1" x14ac:dyDescent="0.25"/>
    <row r="43598" customFormat="1" x14ac:dyDescent="0.25"/>
    <row r="43599" customFormat="1" x14ac:dyDescent="0.25"/>
    <row r="43600" customFormat="1" x14ac:dyDescent="0.25"/>
    <row r="43601" customFormat="1" x14ac:dyDescent="0.25"/>
    <row r="43602" customFormat="1" x14ac:dyDescent="0.25"/>
    <row r="43603" customFormat="1" x14ac:dyDescent="0.25"/>
    <row r="43604" customFormat="1" x14ac:dyDescent="0.25"/>
    <row r="43605" customFormat="1" x14ac:dyDescent="0.25"/>
    <row r="43606" customFormat="1" x14ac:dyDescent="0.25"/>
    <row r="43607" customFormat="1" x14ac:dyDescent="0.25"/>
    <row r="43608" customFormat="1" x14ac:dyDescent="0.25"/>
    <row r="43609" customFormat="1" x14ac:dyDescent="0.25"/>
    <row r="43610" customFormat="1" x14ac:dyDescent="0.25"/>
    <row r="43611" customFormat="1" x14ac:dyDescent="0.25"/>
    <row r="43612" customFormat="1" x14ac:dyDescent="0.25"/>
    <row r="43613" customFormat="1" x14ac:dyDescent="0.25"/>
    <row r="43614" customFormat="1" x14ac:dyDescent="0.25"/>
    <row r="43615" customFormat="1" x14ac:dyDescent="0.25"/>
    <row r="43616" customFormat="1" x14ac:dyDescent="0.25"/>
    <row r="43617" customFormat="1" x14ac:dyDescent="0.25"/>
    <row r="43618" customFormat="1" x14ac:dyDescent="0.25"/>
    <row r="43619" customFormat="1" x14ac:dyDescent="0.25"/>
    <row r="43620" customFormat="1" x14ac:dyDescent="0.25"/>
    <row r="43621" customFormat="1" x14ac:dyDescent="0.25"/>
    <row r="43622" customFormat="1" x14ac:dyDescent="0.25"/>
    <row r="43623" customFormat="1" x14ac:dyDescent="0.25"/>
    <row r="43624" customFormat="1" x14ac:dyDescent="0.25"/>
    <row r="43625" customFormat="1" x14ac:dyDescent="0.25"/>
    <row r="43626" customFormat="1" x14ac:dyDescent="0.25"/>
    <row r="43627" customFormat="1" x14ac:dyDescent="0.25"/>
    <row r="43628" customFormat="1" x14ac:dyDescent="0.25"/>
    <row r="43629" customFormat="1" x14ac:dyDescent="0.25"/>
    <row r="43630" customFormat="1" x14ac:dyDescent="0.25"/>
    <row r="43631" customFormat="1" x14ac:dyDescent="0.25"/>
    <row r="43632" customFormat="1" x14ac:dyDescent="0.25"/>
    <row r="43633" customFormat="1" x14ac:dyDescent="0.25"/>
    <row r="43634" customFormat="1" x14ac:dyDescent="0.25"/>
    <row r="43635" customFormat="1" x14ac:dyDescent="0.25"/>
    <row r="43636" customFormat="1" x14ac:dyDescent="0.25"/>
    <row r="43637" customFormat="1" x14ac:dyDescent="0.25"/>
    <row r="43638" customFormat="1" x14ac:dyDescent="0.25"/>
    <row r="43639" customFormat="1" x14ac:dyDescent="0.25"/>
    <row r="43640" customFormat="1" x14ac:dyDescent="0.25"/>
    <row r="43641" customFormat="1" x14ac:dyDescent="0.25"/>
    <row r="43642" customFormat="1" x14ac:dyDescent="0.25"/>
    <row r="43643" customFormat="1" x14ac:dyDescent="0.25"/>
    <row r="43644" customFormat="1" x14ac:dyDescent="0.25"/>
    <row r="43645" customFormat="1" x14ac:dyDescent="0.25"/>
    <row r="43646" customFormat="1" x14ac:dyDescent="0.25"/>
    <row r="43647" customFormat="1" x14ac:dyDescent="0.25"/>
    <row r="43648" customFormat="1" x14ac:dyDescent="0.25"/>
    <row r="43649" customFormat="1" x14ac:dyDescent="0.25"/>
    <row r="43650" customFormat="1" x14ac:dyDescent="0.25"/>
    <row r="43651" customFormat="1" x14ac:dyDescent="0.25"/>
    <row r="43652" customFormat="1" x14ac:dyDescent="0.25"/>
    <row r="43653" customFormat="1" x14ac:dyDescent="0.25"/>
    <row r="43654" customFormat="1" x14ac:dyDescent="0.25"/>
    <row r="43655" customFormat="1" x14ac:dyDescent="0.25"/>
    <row r="43656" customFormat="1" x14ac:dyDescent="0.25"/>
    <row r="43657" customFormat="1" x14ac:dyDescent="0.25"/>
    <row r="43658" customFormat="1" x14ac:dyDescent="0.25"/>
    <row r="43659" customFormat="1" x14ac:dyDescent="0.25"/>
    <row r="43660" customFormat="1" x14ac:dyDescent="0.25"/>
    <row r="43661" customFormat="1" x14ac:dyDescent="0.25"/>
    <row r="43662" customFormat="1" x14ac:dyDescent="0.25"/>
    <row r="43663" customFormat="1" x14ac:dyDescent="0.25"/>
    <row r="43664" customFormat="1" x14ac:dyDescent="0.25"/>
    <row r="43665" customFormat="1" x14ac:dyDescent="0.25"/>
    <row r="43666" customFormat="1" x14ac:dyDescent="0.25"/>
    <row r="43667" customFormat="1" x14ac:dyDescent="0.25"/>
    <row r="43668" customFormat="1" x14ac:dyDescent="0.25"/>
    <row r="43669" customFormat="1" x14ac:dyDescent="0.25"/>
    <row r="43670" customFormat="1" x14ac:dyDescent="0.25"/>
    <row r="43671" customFormat="1" x14ac:dyDescent="0.25"/>
    <row r="43672" customFormat="1" x14ac:dyDescent="0.25"/>
    <row r="43673" customFormat="1" x14ac:dyDescent="0.25"/>
    <row r="43674" customFormat="1" x14ac:dyDescent="0.25"/>
    <row r="43675" customFormat="1" x14ac:dyDescent="0.25"/>
    <row r="43676" customFormat="1" x14ac:dyDescent="0.25"/>
    <row r="43677" customFormat="1" x14ac:dyDescent="0.25"/>
    <row r="43678" customFormat="1" x14ac:dyDescent="0.25"/>
    <row r="43679" customFormat="1" x14ac:dyDescent="0.25"/>
    <row r="43680" customFormat="1" x14ac:dyDescent="0.25"/>
    <row r="43681" customFormat="1" x14ac:dyDescent="0.25"/>
    <row r="43682" customFormat="1" x14ac:dyDescent="0.25"/>
    <row r="43683" customFormat="1" x14ac:dyDescent="0.25"/>
    <row r="43684" customFormat="1" x14ac:dyDescent="0.25"/>
    <row r="43685" customFormat="1" x14ac:dyDescent="0.25"/>
    <row r="43686" customFormat="1" x14ac:dyDescent="0.25"/>
    <row r="43687" customFormat="1" x14ac:dyDescent="0.25"/>
    <row r="43688" customFormat="1" x14ac:dyDescent="0.25"/>
    <row r="43689" customFormat="1" x14ac:dyDescent="0.25"/>
    <row r="43690" customFormat="1" x14ac:dyDescent="0.25"/>
    <row r="43691" customFormat="1" x14ac:dyDescent="0.25"/>
    <row r="43692" customFormat="1" x14ac:dyDescent="0.25"/>
    <row r="43693" customFormat="1" x14ac:dyDescent="0.25"/>
    <row r="43694" customFormat="1" x14ac:dyDescent="0.25"/>
    <row r="43695" customFormat="1" x14ac:dyDescent="0.25"/>
    <row r="43696" customFormat="1" x14ac:dyDescent="0.25"/>
    <row r="43697" customFormat="1" x14ac:dyDescent="0.25"/>
    <row r="43698" customFormat="1" x14ac:dyDescent="0.25"/>
    <row r="43699" customFormat="1" x14ac:dyDescent="0.25"/>
    <row r="43700" customFormat="1" x14ac:dyDescent="0.25"/>
    <row r="43701" customFormat="1" x14ac:dyDescent="0.25"/>
    <row r="43702" customFormat="1" x14ac:dyDescent="0.25"/>
    <row r="43703" customFormat="1" x14ac:dyDescent="0.25"/>
    <row r="43704" customFormat="1" x14ac:dyDescent="0.25"/>
    <row r="43705" customFormat="1" x14ac:dyDescent="0.25"/>
    <row r="43706" customFormat="1" x14ac:dyDescent="0.25"/>
    <row r="43707" customFormat="1" x14ac:dyDescent="0.25"/>
    <row r="43708" customFormat="1" x14ac:dyDescent="0.25"/>
    <row r="43709" customFormat="1" x14ac:dyDescent="0.25"/>
    <row r="43710" customFormat="1" x14ac:dyDescent="0.25"/>
    <row r="43711" customFormat="1" x14ac:dyDescent="0.25"/>
    <row r="43712" customFormat="1" x14ac:dyDescent="0.25"/>
    <row r="43713" customFormat="1" x14ac:dyDescent="0.25"/>
    <row r="43714" customFormat="1" x14ac:dyDescent="0.25"/>
    <row r="43715" customFormat="1" x14ac:dyDescent="0.25"/>
    <row r="43716" customFormat="1" x14ac:dyDescent="0.25"/>
    <row r="43717" customFormat="1" x14ac:dyDescent="0.25"/>
    <row r="43718" customFormat="1" x14ac:dyDescent="0.25"/>
    <row r="43719" customFormat="1" x14ac:dyDescent="0.25"/>
    <row r="43720" customFormat="1" x14ac:dyDescent="0.25"/>
    <row r="43721" customFormat="1" x14ac:dyDescent="0.25"/>
    <row r="43722" customFormat="1" x14ac:dyDescent="0.25"/>
    <row r="43723" customFormat="1" x14ac:dyDescent="0.25"/>
    <row r="43724" customFormat="1" x14ac:dyDescent="0.25"/>
    <row r="43725" customFormat="1" x14ac:dyDescent="0.25"/>
    <row r="43726" customFormat="1" x14ac:dyDescent="0.25"/>
    <row r="43727" customFormat="1" x14ac:dyDescent="0.25"/>
    <row r="43728" customFormat="1" x14ac:dyDescent="0.25"/>
    <row r="43729" customFormat="1" x14ac:dyDescent="0.25"/>
    <row r="43730" customFormat="1" x14ac:dyDescent="0.25"/>
    <row r="43731" customFormat="1" x14ac:dyDescent="0.25"/>
    <row r="43732" customFormat="1" x14ac:dyDescent="0.25"/>
    <row r="43733" customFormat="1" x14ac:dyDescent="0.25"/>
    <row r="43734" customFormat="1" x14ac:dyDescent="0.25"/>
    <row r="43735" customFormat="1" x14ac:dyDescent="0.25"/>
    <row r="43736" customFormat="1" x14ac:dyDescent="0.25"/>
    <row r="43737" customFormat="1" x14ac:dyDescent="0.25"/>
    <row r="43738" customFormat="1" x14ac:dyDescent="0.25"/>
    <row r="43739" customFormat="1" x14ac:dyDescent="0.25"/>
    <row r="43740" customFormat="1" x14ac:dyDescent="0.25"/>
    <row r="43741" customFormat="1" x14ac:dyDescent="0.25"/>
    <row r="43742" customFormat="1" x14ac:dyDescent="0.25"/>
    <row r="43743" customFormat="1" x14ac:dyDescent="0.25"/>
    <row r="43744" customFormat="1" x14ac:dyDescent="0.25"/>
    <row r="43745" customFormat="1" x14ac:dyDescent="0.25"/>
    <row r="43746" customFormat="1" x14ac:dyDescent="0.25"/>
    <row r="43747" customFormat="1" x14ac:dyDescent="0.25"/>
    <row r="43748" customFormat="1" x14ac:dyDescent="0.25"/>
    <row r="43749" customFormat="1" x14ac:dyDescent="0.25"/>
    <row r="43750" customFormat="1" x14ac:dyDescent="0.25"/>
    <row r="43751" customFormat="1" x14ac:dyDescent="0.25"/>
    <row r="43752" customFormat="1" x14ac:dyDescent="0.25"/>
    <row r="43753" customFormat="1" x14ac:dyDescent="0.25"/>
    <row r="43754" customFormat="1" x14ac:dyDescent="0.25"/>
    <row r="43755" customFormat="1" x14ac:dyDescent="0.25"/>
    <row r="43756" customFormat="1" x14ac:dyDescent="0.25"/>
    <row r="43757" customFormat="1" x14ac:dyDescent="0.25"/>
    <row r="43758" customFormat="1" x14ac:dyDescent="0.25"/>
    <row r="43759" customFormat="1" x14ac:dyDescent="0.25"/>
    <row r="43760" customFormat="1" x14ac:dyDescent="0.25"/>
    <row r="43761" customFormat="1" x14ac:dyDescent="0.25"/>
    <row r="43762" customFormat="1" x14ac:dyDescent="0.25"/>
    <row r="43763" customFormat="1" x14ac:dyDescent="0.25"/>
    <row r="43764" customFormat="1" x14ac:dyDescent="0.25"/>
    <row r="43765" customFormat="1" x14ac:dyDescent="0.25"/>
    <row r="43766" customFormat="1" x14ac:dyDescent="0.25"/>
    <row r="43767" customFormat="1" x14ac:dyDescent="0.25"/>
    <row r="43768" customFormat="1" x14ac:dyDescent="0.25"/>
    <row r="43769" customFormat="1" x14ac:dyDescent="0.25"/>
    <row r="43770" customFormat="1" x14ac:dyDescent="0.25"/>
    <row r="43771" customFormat="1" x14ac:dyDescent="0.25"/>
    <row r="43772" customFormat="1" x14ac:dyDescent="0.25"/>
    <row r="43773" customFormat="1" x14ac:dyDescent="0.25"/>
    <row r="43774" customFormat="1" x14ac:dyDescent="0.25"/>
    <row r="43775" customFormat="1" x14ac:dyDescent="0.25"/>
    <row r="43776" customFormat="1" x14ac:dyDescent="0.25"/>
    <row r="43777" customFormat="1" x14ac:dyDescent="0.25"/>
    <row r="43778" customFormat="1" x14ac:dyDescent="0.25"/>
    <row r="43779" customFormat="1" x14ac:dyDescent="0.25"/>
    <row r="43780" customFormat="1" x14ac:dyDescent="0.25"/>
    <row r="43781" customFormat="1" x14ac:dyDescent="0.25"/>
    <row r="43782" customFormat="1" x14ac:dyDescent="0.25"/>
    <row r="43783" customFormat="1" x14ac:dyDescent="0.25"/>
    <row r="43784" customFormat="1" x14ac:dyDescent="0.25"/>
    <row r="43785" customFormat="1" x14ac:dyDescent="0.25"/>
    <row r="43786" customFormat="1" x14ac:dyDescent="0.25"/>
    <row r="43787" customFormat="1" x14ac:dyDescent="0.25"/>
    <row r="43788" customFormat="1" x14ac:dyDescent="0.25"/>
    <row r="43789" customFormat="1" x14ac:dyDescent="0.25"/>
    <row r="43790" customFormat="1" x14ac:dyDescent="0.25"/>
    <row r="43791" customFormat="1" x14ac:dyDescent="0.25"/>
    <row r="43792" customFormat="1" x14ac:dyDescent="0.25"/>
    <row r="43793" customFormat="1" x14ac:dyDescent="0.25"/>
    <row r="43794" customFormat="1" x14ac:dyDescent="0.25"/>
    <row r="43795" customFormat="1" x14ac:dyDescent="0.25"/>
    <row r="43796" customFormat="1" x14ac:dyDescent="0.25"/>
    <row r="43797" customFormat="1" x14ac:dyDescent="0.25"/>
    <row r="43798" customFormat="1" x14ac:dyDescent="0.25"/>
    <row r="43799" customFormat="1" x14ac:dyDescent="0.25"/>
    <row r="43800" customFormat="1" x14ac:dyDescent="0.25"/>
    <row r="43801" customFormat="1" x14ac:dyDescent="0.25"/>
    <row r="43802" customFormat="1" x14ac:dyDescent="0.25"/>
    <row r="43803" customFormat="1" x14ac:dyDescent="0.25"/>
    <row r="43804" customFormat="1" x14ac:dyDescent="0.25"/>
    <row r="43805" customFormat="1" x14ac:dyDescent="0.25"/>
    <row r="43806" customFormat="1" x14ac:dyDescent="0.25"/>
    <row r="43807" customFormat="1" x14ac:dyDescent="0.25"/>
    <row r="43808" customFormat="1" x14ac:dyDescent="0.25"/>
    <row r="43809" customFormat="1" x14ac:dyDescent="0.25"/>
    <row r="43810" customFormat="1" x14ac:dyDescent="0.25"/>
    <row r="43811" customFormat="1" x14ac:dyDescent="0.25"/>
    <row r="43812" customFormat="1" x14ac:dyDescent="0.25"/>
    <row r="43813" customFormat="1" x14ac:dyDescent="0.25"/>
    <row r="43814" customFormat="1" x14ac:dyDescent="0.25"/>
    <row r="43815" customFormat="1" x14ac:dyDescent="0.25"/>
    <row r="43816" customFormat="1" x14ac:dyDescent="0.25"/>
    <row r="43817" customFormat="1" x14ac:dyDescent="0.25"/>
    <row r="43818" customFormat="1" x14ac:dyDescent="0.25"/>
    <row r="43819" customFormat="1" x14ac:dyDescent="0.25"/>
    <row r="43820" customFormat="1" x14ac:dyDescent="0.25"/>
    <row r="43821" customFormat="1" x14ac:dyDescent="0.25"/>
    <row r="43822" customFormat="1" x14ac:dyDescent="0.25"/>
    <row r="43823" customFormat="1" x14ac:dyDescent="0.25"/>
    <row r="43824" customFormat="1" x14ac:dyDescent="0.25"/>
    <row r="43825" customFormat="1" x14ac:dyDescent="0.25"/>
    <row r="43826" customFormat="1" x14ac:dyDescent="0.25"/>
    <row r="43827" customFormat="1" x14ac:dyDescent="0.25"/>
    <row r="43828" customFormat="1" x14ac:dyDescent="0.25"/>
    <row r="43829" customFormat="1" x14ac:dyDescent="0.25"/>
    <row r="43830" customFormat="1" x14ac:dyDescent="0.25"/>
    <row r="43831" customFormat="1" x14ac:dyDescent="0.25"/>
    <row r="43832" customFormat="1" x14ac:dyDescent="0.25"/>
    <row r="43833" customFormat="1" x14ac:dyDescent="0.25"/>
    <row r="43834" customFormat="1" x14ac:dyDescent="0.25"/>
    <row r="43835" customFormat="1" x14ac:dyDescent="0.25"/>
    <row r="43836" customFormat="1" x14ac:dyDescent="0.25"/>
    <row r="43837" customFormat="1" x14ac:dyDescent="0.25"/>
    <row r="43838" customFormat="1" x14ac:dyDescent="0.25"/>
    <row r="43839" customFormat="1" x14ac:dyDescent="0.25"/>
    <row r="43840" customFormat="1" x14ac:dyDescent="0.25"/>
    <row r="43841" customFormat="1" x14ac:dyDescent="0.25"/>
    <row r="43842" customFormat="1" x14ac:dyDescent="0.25"/>
    <row r="43843" customFormat="1" x14ac:dyDescent="0.25"/>
    <row r="43844" customFormat="1" x14ac:dyDescent="0.25"/>
    <row r="43845" customFormat="1" x14ac:dyDescent="0.25"/>
    <row r="43846" customFormat="1" x14ac:dyDescent="0.25"/>
    <row r="43847" customFormat="1" x14ac:dyDescent="0.25"/>
    <row r="43848" customFormat="1" x14ac:dyDescent="0.25"/>
    <row r="43849" customFormat="1" x14ac:dyDescent="0.25"/>
    <row r="43850" customFormat="1" x14ac:dyDescent="0.25"/>
    <row r="43851" customFormat="1" x14ac:dyDescent="0.25"/>
    <row r="43852" customFormat="1" x14ac:dyDescent="0.25"/>
    <row r="43853" customFormat="1" x14ac:dyDescent="0.25"/>
    <row r="43854" customFormat="1" x14ac:dyDescent="0.25"/>
    <row r="43855" customFormat="1" x14ac:dyDescent="0.25"/>
    <row r="43856" customFormat="1" x14ac:dyDescent="0.25"/>
    <row r="43857" customFormat="1" x14ac:dyDescent="0.25"/>
    <row r="43858" customFormat="1" x14ac:dyDescent="0.25"/>
    <row r="43859" customFormat="1" x14ac:dyDescent="0.25"/>
    <row r="43860" customFormat="1" x14ac:dyDescent="0.25"/>
    <row r="43861" customFormat="1" x14ac:dyDescent="0.25"/>
    <row r="43862" customFormat="1" x14ac:dyDescent="0.25"/>
    <row r="43863" customFormat="1" x14ac:dyDescent="0.25"/>
    <row r="43864" customFormat="1" x14ac:dyDescent="0.25"/>
    <row r="43865" customFormat="1" x14ac:dyDescent="0.25"/>
    <row r="43866" customFormat="1" x14ac:dyDescent="0.25"/>
    <row r="43867" customFormat="1" x14ac:dyDescent="0.25"/>
    <row r="43868" customFormat="1" x14ac:dyDescent="0.25"/>
    <row r="43869" customFormat="1" x14ac:dyDescent="0.25"/>
    <row r="43870" customFormat="1" x14ac:dyDescent="0.25"/>
    <row r="43871" customFormat="1" x14ac:dyDescent="0.25"/>
    <row r="43872" customFormat="1" x14ac:dyDescent="0.25"/>
    <row r="43873" customFormat="1" x14ac:dyDescent="0.25"/>
    <row r="43874" customFormat="1" x14ac:dyDescent="0.25"/>
    <row r="43875" customFormat="1" x14ac:dyDescent="0.25"/>
    <row r="43876" customFormat="1" x14ac:dyDescent="0.25"/>
    <row r="43877" customFormat="1" x14ac:dyDescent="0.25"/>
    <row r="43878" customFormat="1" x14ac:dyDescent="0.25"/>
    <row r="43879" customFormat="1" x14ac:dyDescent="0.25"/>
    <row r="43880" customFormat="1" x14ac:dyDescent="0.25"/>
    <row r="43881" customFormat="1" x14ac:dyDescent="0.25"/>
    <row r="43882" customFormat="1" x14ac:dyDescent="0.25"/>
    <row r="43883" customFormat="1" x14ac:dyDescent="0.25"/>
    <row r="43884" customFormat="1" x14ac:dyDescent="0.25"/>
    <row r="43885" customFormat="1" x14ac:dyDescent="0.25"/>
    <row r="43886" customFormat="1" x14ac:dyDescent="0.25"/>
    <row r="43887" customFormat="1" x14ac:dyDescent="0.25"/>
    <row r="43888" customFormat="1" x14ac:dyDescent="0.25"/>
    <row r="43889" customFormat="1" x14ac:dyDescent="0.25"/>
    <row r="43890" customFormat="1" x14ac:dyDescent="0.25"/>
    <row r="43891" customFormat="1" x14ac:dyDescent="0.25"/>
    <row r="43892" customFormat="1" x14ac:dyDescent="0.25"/>
    <row r="43893" customFormat="1" x14ac:dyDescent="0.25"/>
    <row r="43894" customFormat="1" x14ac:dyDescent="0.25"/>
    <row r="43895" customFormat="1" x14ac:dyDescent="0.25"/>
    <row r="43896" customFormat="1" x14ac:dyDescent="0.25"/>
    <row r="43897" customFormat="1" x14ac:dyDescent="0.25"/>
    <row r="43898" customFormat="1" x14ac:dyDescent="0.25"/>
    <row r="43899" customFormat="1" x14ac:dyDescent="0.25"/>
    <row r="43900" customFormat="1" x14ac:dyDescent="0.25"/>
    <row r="43901" customFormat="1" x14ac:dyDescent="0.25"/>
    <row r="43902" customFormat="1" x14ac:dyDescent="0.25"/>
    <row r="43903" customFormat="1" x14ac:dyDescent="0.25"/>
    <row r="43904" customFormat="1" x14ac:dyDescent="0.25"/>
    <row r="43905" customFormat="1" x14ac:dyDescent="0.25"/>
    <row r="43906" customFormat="1" x14ac:dyDescent="0.25"/>
    <row r="43907" customFormat="1" x14ac:dyDescent="0.25"/>
    <row r="43908" customFormat="1" x14ac:dyDescent="0.25"/>
    <row r="43909" customFormat="1" x14ac:dyDescent="0.25"/>
    <row r="43910" customFormat="1" x14ac:dyDescent="0.25"/>
    <row r="43911" customFormat="1" x14ac:dyDescent="0.25"/>
    <row r="43912" customFormat="1" x14ac:dyDescent="0.25"/>
    <row r="43913" customFormat="1" x14ac:dyDescent="0.25"/>
    <row r="43914" customFormat="1" x14ac:dyDescent="0.25"/>
    <row r="43915" customFormat="1" x14ac:dyDescent="0.25"/>
    <row r="43916" customFormat="1" x14ac:dyDescent="0.25"/>
    <row r="43917" customFormat="1" x14ac:dyDescent="0.25"/>
    <row r="43918" customFormat="1" x14ac:dyDescent="0.25"/>
    <row r="43919" customFormat="1" x14ac:dyDescent="0.25"/>
    <row r="43920" customFormat="1" x14ac:dyDescent="0.25"/>
    <row r="43921" customFormat="1" x14ac:dyDescent="0.25"/>
    <row r="43922" customFormat="1" x14ac:dyDescent="0.25"/>
    <row r="43923" customFormat="1" x14ac:dyDescent="0.25"/>
    <row r="43924" customFormat="1" x14ac:dyDescent="0.25"/>
    <row r="43925" customFormat="1" x14ac:dyDescent="0.25"/>
    <row r="43926" customFormat="1" x14ac:dyDescent="0.25"/>
    <row r="43927" customFormat="1" x14ac:dyDescent="0.25"/>
    <row r="43928" customFormat="1" x14ac:dyDescent="0.25"/>
    <row r="43929" customFormat="1" x14ac:dyDescent="0.25"/>
    <row r="43930" customFormat="1" x14ac:dyDescent="0.25"/>
    <row r="43931" customFormat="1" x14ac:dyDescent="0.25"/>
    <row r="43932" customFormat="1" x14ac:dyDescent="0.25"/>
    <row r="43933" customFormat="1" x14ac:dyDescent="0.25"/>
    <row r="43934" customFormat="1" x14ac:dyDescent="0.25"/>
    <row r="43935" customFormat="1" x14ac:dyDescent="0.25"/>
    <row r="43936" customFormat="1" x14ac:dyDescent="0.25"/>
    <row r="43937" customFormat="1" x14ac:dyDescent="0.25"/>
    <row r="43938" customFormat="1" x14ac:dyDescent="0.25"/>
    <row r="43939" customFormat="1" x14ac:dyDescent="0.25"/>
    <row r="43940" customFormat="1" x14ac:dyDescent="0.25"/>
    <row r="43941" customFormat="1" x14ac:dyDescent="0.25"/>
    <row r="43942" customFormat="1" x14ac:dyDescent="0.25"/>
    <row r="43943" customFormat="1" x14ac:dyDescent="0.25"/>
    <row r="43944" customFormat="1" x14ac:dyDescent="0.25"/>
    <row r="43945" customFormat="1" x14ac:dyDescent="0.25"/>
    <row r="43946" customFormat="1" x14ac:dyDescent="0.25"/>
    <row r="43947" customFormat="1" x14ac:dyDescent="0.25"/>
    <row r="43948" customFormat="1" x14ac:dyDescent="0.25"/>
    <row r="43949" customFormat="1" x14ac:dyDescent="0.25"/>
    <row r="43950" customFormat="1" x14ac:dyDescent="0.25"/>
    <row r="43951" customFormat="1" x14ac:dyDescent="0.25"/>
    <row r="43952" customFormat="1" x14ac:dyDescent="0.25"/>
    <row r="43953" customFormat="1" x14ac:dyDescent="0.25"/>
    <row r="43954" customFormat="1" x14ac:dyDescent="0.25"/>
    <row r="43955" customFormat="1" x14ac:dyDescent="0.25"/>
    <row r="43956" customFormat="1" x14ac:dyDescent="0.25"/>
    <row r="43957" customFormat="1" x14ac:dyDescent="0.25"/>
    <row r="43958" customFormat="1" x14ac:dyDescent="0.25"/>
    <row r="43959" customFormat="1" x14ac:dyDescent="0.25"/>
    <row r="43960" customFormat="1" x14ac:dyDescent="0.25"/>
    <row r="43961" customFormat="1" x14ac:dyDescent="0.25"/>
    <row r="43962" customFormat="1" x14ac:dyDescent="0.25"/>
    <row r="43963" customFormat="1" x14ac:dyDescent="0.25"/>
    <row r="43964" customFormat="1" x14ac:dyDescent="0.25"/>
    <row r="43965" customFormat="1" x14ac:dyDescent="0.25"/>
    <row r="43966" customFormat="1" x14ac:dyDescent="0.25"/>
    <row r="43967" customFormat="1" x14ac:dyDescent="0.25"/>
    <row r="43968" customFormat="1" x14ac:dyDescent="0.25"/>
    <row r="43969" customFormat="1" x14ac:dyDescent="0.25"/>
    <row r="43970" customFormat="1" x14ac:dyDescent="0.25"/>
    <row r="43971" customFormat="1" x14ac:dyDescent="0.25"/>
    <row r="43972" customFormat="1" x14ac:dyDescent="0.25"/>
    <row r="43973" customFormat="1" x14ac:dyDescent="0.25"/>
    <row r="43974" customFormat="1" x14ac:dyDescent="0.25"/>
    <row r="43975" customFormat="1" x14ac:dyDescent="0.25"/>
    <row r="43976" customFormat="1" x14ac:dyDescent="0.25"/>
    <row r="43977" customFormat="1" x14ac:dyDescent="0.25"/>
    <row r="43978" customFormat="1" x14ac:dyDescent="0.25"/>
    <row r="43979" customFormat="1" x14ac:dyDescent="0.25"/>
    <row r="43980" customFormat="1" x14ac:dyDescent="0.25"/>
    <row r="43981" customFormat="1" x14ac:dyDescent="0.25"/>
    <row r="43982" customFormat="1" x14ac:dyDescent="0.25"/>
    <row r="43983" customFormat="1" x14ac:dyDescent="0.25"/>
    <row r="43984" customFormat="1" x14ac:dyDescent="0.25"/>
    <row r="43985" customFormat="1" x14ac:dyDescent="0.25"/>
    <row r="43986" customFormat="1" x14ac:dyDescent="0.25"/>
    <row r="43987" customFormat="1" x14ac:dyDescent="0.25"/>
    <row r="43988" customFormat="1" x14ac:dyDescent="0.25"/>
    <row r="43989" customFormat="1" x14ac:dyDescent="0.25"/>
    <row r="43990" customFormat="1" x14ac:dyDescent="0.25"/>
    <row r="43991" customFormat="1" x14ac:dyDescent="0.25"/>
    <row r="43992" customFormat="1" x14ac:dyDescent="0.25"/>
    <row r="43993" customFormat="1" x14ac:dyDescent="0.25"/>
    <row r="43994" customFormat="1" x14ac:dyDescent="0.25"/>
    <row r="43995" customFormat="1" x14ac:dyDescent="0.25"/>
    <row r="43996" customFormat="1" x14ac:dyDescent="0.25"/>
    <row r="43997" customFormat="1" x14ac:dyDescent="0.25"/>
    <row r="43998" customFormat="1" x14ac:dyDescent="0.25"/>
    <row r="43999" customFormat="1" x14ac:dyDescent="0.25"/>
    <row r="44000" customFormat="1" x14ac:dyDescent="0.25"/>
    <row r="44001" customFormat="1" x14ac:dyDescent="0.25"/>
    <row r="44002" customFormat="1" x14ac:dyDescent="0.25"/>
    <row r="44003" customFormat="1" x14ac:dyDescent="0.25"/>
    <row r="44004" customFormat="1" x14ac:dyDescent="0.25"/>
    <row r="44005" customFormat="1" x14ac:dyDescent="0.25"/>
    <row r="44006" customFormat="1" x14ac:dyDescent="0.25"/>
    <row r="44007" customFormat="1" x14ac:dyDescent="0.25"/>
    <row r="44008" customFormat="1" x14ac:dyDescent="0.25"/>
    <row r="44009" customFormat="1" x14ac:dyDescent="0.25"/>
    <row r="44010" customFormat="1" x14ac:dyDescent="0.25"/>
    <row r="44011" customFormat="1" x14ac:dyDescent="0.25"/>
    <row r="44012" customFormat="1" x14ac:dyDescent="0.25"/>
    <row r="44013" customFormat="1" x14ac:dyDescent="0.25"/>
    <row r="44014" customFormat="1" x14ac:dyDescent="0.25"/>
    <row r="44015" customFormat="1" x14ac:dyDescent="0.25"/>
    <row r="44016" customFormat="1" x14ac:dyDescent="0.25"/>
    <row r="44017" customFormat="1" x14ac:dyDescent="0.25"/>
    <row r="44018" customFormat="1" x14ac:dyDescent="0.25"/>
    <row r="44019" customFormat="1" x14ac:dyDescent="0.25"/>
    <row r="44020" customFormat="1" x14ac:dyDescent="0.25"/>
    <row r="44021" customFormat="1" x14ac:dyDescent="0.25"/>
    <row r="44022" customFormat="1" x14ac:dyDescent="0.25"/>
    <row r="44023" customFormat="1" x14ac:dyDescent="0.25"/>
    <row r="44024" customFormat="1" x14ac:dyDescent="0.25"/>
    <row r="44025" customFormat="1" x14ac:dyDescent="0.25"/>
    <row r="44026" customFormat="1" x14ac:dyDescent="0.25"/>
    <row r="44027" customFormat="1" x14ac:dyDescent="0.25"/>
    <row r="44028" customFormat="1" x14ac:dyDescent="0.25"/>
    <row r="44029" customFormat="1" x14ac:dyDescent="0.25"/>
    <row r="44030" customFormat="1" x14ac:dyDescent="0.25"/>
    <row r="44031" customFormat="1" x14ac:dyDescent="0.25"/>
    <row r="44032" customFormat="1" x14ac:dyDescent="0.25"/>
    <row r="44033" customFormat="1" x14ac:dyDescent="0.25"/>
    <row r="44034" customFormat="1" x14ac:dyDescent="0.25"/>
    <row r="44035" customFormat="1" x14ac:dyDescent="0.25"/>
    <row r="44036" customFormat="1" x14ac:dyDescent="0.25"/>
    <row r="44037" customFormat="1" x14ac:dyDescent="0.25"/>
    <row r="44038" customFormat="1" x14ac:dyDescent="0.25"/>
    <row r="44039" customFormat="1" x14ac:dyDescent="0.25"/>
    <row r="44040" customFormat="1" x14ac:dyDescent="0.25"/>
    <row r="44041" customFormat="1" x14ac:dyDescent="0.25"/>
    <row r="44042" customFormat="1" x14ac:dyDescent="0.25"/>
    <row r="44043" customFormat="1" x14ac:dyDescent="0.25"/>
    <row r="44044" customFormat="1" x14ac:dyDescent="0.25"/>
    <row r="44045" customFormat="1" x14ac:dyDescent="0.25"/>
    <row r="44046" customFormat="1" x14ac:dyDescent="0.25"/>
    <row r="44047" customFormat="1" x14ac:dyDescent="0.25"/>
    <row r="44048" customFormat="1" x14ac:dyDescent="0.25"/>
    <row r="44049" customFormat="1" x14ac:dyDescent="0.25"/>
    <row r="44050" customFormat="1" x14ac:dyDescent="0.25"/>
    <row r="44051" customFormat="1" x14ac:dyDescent="0.25"/>
    <row r="44052" customFormat="1" x14ac:dyDescent="0.25"/>
    <row r="44053" customFormat="1" x14ac:dyDescent="0.25"/>
    <row r="44054" customFormat="1" x14ac:dyDescent="0.25"/>
    <row r="44055" customFormat="1" x14ac:dyDescent="0.25"/>
    <row r="44056" customFormat="1" x14ac:dyDescent="0.25"/>
    <row r="44057" customFormat="1" x14ac:dyDescent="0.25"/>
    <row r="44058" customFormat="1" x14ac:dyDescent="0.25"/>
    <row r="44059" customFormat="1" x14ac:dyDescent="0.25"/>
    <row r="44060" customFormat="1" x14ac:dyDescent="0.25"/>
    <row r="44061" customFormat="1" x14ac:dyDescent="0.25"/>
    <row r="44062" customFormat="1" x14ac:dyDescent="0.25"/>
    <row r="44063" customFormat="1" x14ac:dyDescent="0.25"/>
    <row r="44064" customFormat="1" x14ac:dyDescent="0.25"/>
    <row r="44065" customFormat="1" x14ac:dyDescent="0.25"/>
    <row r="44066" customFormat="1" x14ac:dyDescent="0.25"/>
    <row r="44067" customFormat="1" x14ac:dyDescent="0.25"/>
    <row r="44068" customFormat="1" x14ac:dyDescent="0.25"/>
    <row r="44069" customFormat="1" x14ac:dyDescent="0.25"/>
    <row r="44070" customFormat="1" x14ac:dyDescent="0.25"/>
    <row r="44071" customFormat="1" x14ac:dyDescent="0.25"/>
    <row r="44072" customFormat="1" x14ac:dyDescent="0.25"/>
    <row r="44073" customFormat="1" x14ac:dyDescent="0.25"/>
    <row r="44074" customFormat="1" x14ac:dyDescent="0.25"/>
    <row r="44075" customFormat="1" x14ac:dyDescent="0.25"/>
    <row r="44076" customFormat="1" x14ac:dyDescent="0.25"/>
    <row r="44077" customFormat="1" x14ac:dyDescent="0.25"/>
    <row r="44078" customFormat="1" x14ac:dyDescent="0.25"/>
    <row r="44079" customFormat="1" x14ac:dyDescent="0.25"/>
    <row r="44080" customFormat="1" x14ac:dyDescent="0.25"/>
    <row r="44081" customFormat="1" x14ac:dyDescent="0.25"/>
    <row r="44082" customFormat="1" x14ac:dyDescent="0.25"/>
    <row r="44083" customFormat="1" x14ac:dyDescent="0.25"/>
    <row r="44084" customFormat="1" x14ac:dyDescent="0.25"/>
    <row r="44085" customFormat="1" x14ac:dyDescent="0.25"/>
    <row r="44086" customFormat="1" x14ac:dyDescent="0.25"/>
    <row r="44087" customFormat="1" x14ac:dyDescent="0.25"/>
    <row r="44088" customFormat="1" x14ac:dyDescent="0.25"/>
    <row r="44089" customFormat="1" x14ac:dyDescent="0.25"/>
    <row r="44090" customFormat="1" x14ac:dyDescent="0.25"/>
    <row r="44091" customFormat="1" x14ac:dyDescent="0.25"/>
    <row r="44092" customFormat="1" x14ac:dyDescent="0.25"/>
    <row r="44093" customFormat="1" x14ac:dyDescent="0.25"/>
    <row r="44094" customFormat="1" x14ac:dyDescent="0.25"/>
    <row r="44095" customFormat="1" x14ac:dyDescent="0.25"/>
    <row r="44096" customFormat="1" x14ac:dyDescent="0.25"/>
    <row r="44097" customFormat="1" x14ac:dyDescent="0.25"/>
    <row r="44098" customFormat="1" x14ac:dyDescent="0.25"/>
    <row r="44099" customFormat="1" x14ac:dyDescent="0.25"/>
    <row r="44100" customFormat="1" x14ac:dyDescent="0.25"/>
    <row r="44101" customFormat="1" x14ac:dyDescent="0.25"/>
    <row r="44102" customFormat="1" x14ac:dyDescent="0.25"/>
    <row r="44103" customFormat="1" x14ac:dyDescent="0.25"/>
    <row r="44104" customFormat="1" x14ac:dyDescent="0.25"/>
    <row r="44105" customFormat="1" x14ac:dyDescent="0.25"/>
    <row r="44106" customFormat="1" x14ac:dyDescent="0.25"/>
    <row r="44107" customFormat="1" x14ac:dyDescent="0.25"/>
    <row r="44108" customFormat="1" x14ac:dyDescent="0.25"/>
    <row r="44109" customFormat="1" x14ac:dyDescent="0.25"/>
    <row r="44110" customFormat="1" x14ac:dyDescent="0.25"/>
    <row r="44111" customFormat="1" x14ac:dyDescent="0.25"/>
    <row r="44112" customFormat="1" x14ac:dyDescent="0.25"/>
    <row r="44113" customFormat="1" x14ac:dyDescent="0.25"/>
    <row r="44114" customFormat="1" x14ac:dyDescent="0.25"/>
    <row r="44115" customFormat="1" x14ac:dyDescent="0.25"/>
    <row r="44116" customFormat="1" x14ac:dyDescent="0.25"/>
    <row r="44117" customFormat="1" x14ac:dyDescent="0.25"/>
    <row r="44118" customFormat="1" x14ac:dyDescent="0.25"/>
    <row r="44119" customFormat="1" x14ac:dyDescent="0.25"/>
    <row r="44120" customFormat="1" x14ac:dyDescent="0.25"/>
    <row r="44121" customFormat="1" x14ac:dyDescent="0.25"/>
    <row r="44122" customFormat="1" x14ac:dyDescent="0.25"/>
    <row r="44123" customFormat="1" x14ac:dyDescent="0.25"/>
    <row r="44124" customFormat="1" x14ac:dyDescent="0.25"/>
    <row r="44125" customFormat="1" x14ac:dyDescent="0.25"/>
    <row r="44126" customFormat="1" x14ac:dyDescent="0.25"/>
    <row r="44127" customFormat="1" x14ac:dyDescent="0.25"/>
    <row r="44128" customFormat="1" x14ac:dyDescent="0.25"/>
    <row r="44129" customFormat="1" x14ac:dyDescent="0.25"/>
    <row r="44130" customFormat="1" x14ac:dyDescent="0.25"/>
    <row r="44131" customFormat="1" x14ac:dyDescent="0.25"/>
    <row r="44132" customFormat="1" x14ac:dyDescent="0.25"/>
    <row r="44133" customFormat="1" x14ac:dyDescent="0.25"/>
    <row r="44134" customFormat="1" x14ac:dyDescent="0.25"/>
    <row r="44135" customFormat="1" x14ac:dyDescent="0.25"/>
    <row r="44136" customFormat="1" x14ac:dyDescent="0.25"/>
    <row r="44137" customFormat="1" x14ac:dyDescent="0.25"/>
    <row r="44138" customFormat="1" x14ac:dyDescent="0.25"/>
    <row r="44139" customFormat="1" x14ac:dyDescent="0.25"/>
    <row r="44140" customFormat="1" x14ac:dyDescent="0.25"/>
    <row r="44141" customFormat="1" x14ac:dyDescent="0.25"/>
    <row r="44142" customFormat="1" x14ac:dyDescent="0.25"/>
    <row r="44143" customFormat="1" x14ac:dyDescent="0.25"/>
    <row r="44144" customFormat="1" x14ac:dyDescent="0.25"/>
    <row r="44145" customFormat="1" x14ac:dyDescent="0.25"/>
    <row r="44146" customFormat="1" x14ac:dyDescent="0.25"/>
    <row r="44147" customFormat="1" x14ac:dyDescent="0.25"/>
    <row r="44148" customFormat="1" x14ac:dyDescent="0.25"/>
    <row r="44149" customFormat="1" x14ac:dyDescent="0.25"/>
    <row r="44150" customFormat="1" x14ac:dyDescent="0.25"/>
    <row r="44151" customFormat="1" x14ac:dyDescent="0.25"/>
    <row r="44152" customFormat="1" x14ac:dyDescent="0.25"/>
    <row r="44153" customFormat="1" x14ac:dyDescent="0.25"/>
    <row r="44154" customFormat="1" x14ac:dyDescent="0.25"/>
    <row r="44155" customFormat="1" x14ac:dyDescent="0.25"/>
    <row r="44156" customFormat="1" x14ac:dyDescent="0.25"/>
    <row r="44157" customFormat="1" x14ac:dyDescent="0.25"/>
    <row r="44158" customFormat="1" x14ac:dyDescent="0.25"/>
    <row r="44159" customFormat="1" x14ac:dyDescent="0.25"/>
    <row r="44160" customFormat="1" x14ac:dyDescent="0.25"/>
    <row r="44161" customFormat="1" x14ac:dyDescent="0.25"/>
    <row r="44162" customFormat="1" x14ac:dyDescent="0.25"/>
    <row r="44163" customFormat="1" x14ac:dyDescent="0.25"/>
    <row r="44164" customFormat="1" x14ac:dyDescent="0.25"/>
    <row r="44165" customFormat="1" x14ac:dyDescent="0.25"/>
    <row r="44166" customFormat="1" x14ac:dyDescent="0.25"/>
    <row r="44167" customFormat="1" x14ac:dyDescent="0.25"/>
    <row r="44168" customFormat="1" x14ac:dyDescent="0.25"/>
    <row r="44169" customFormat="1" x14ac:dyDescent="0.25"/>
    <row r="44170" customFormat="1" x14ac:dyDescent="0.25"/>
    <row r="44171" customFormat="1" x14ac:dyDescent="0.25"/>
    <row r="44172" customFormat="1" x14ac:dyDescent="0.25"/>
    <row r="44173" customFormat="1" x14ac:dyDescent="0.25"/>
    <row r="44174" customFormat="1" x14ac:dyDescent="0.25"/>
    <row r="44175" customFormat="1" x14ac:dyDescent="0.25"/>
    <row r="44176" customFormat="1" x14ac:dyDescent="0.25"/>
    <row r="44177" customFormat="1" x14ac:dyDescent="0.25"/>
    <row r="44178" customFormat="1" x14ac:dyDescent="0.25"/>
    <row r="44179" customFormat="1" x14ac:dyDescent="0.25"/>
    <row r="44180" customFormat="1" x14ac:dyDescent="0.25"/>
    <row r="44181" customFormat="1" x14ac:dyDescent="0.25"/>
    <row r="44182" customFormat="1" x14ac:dyDescent="0.25"/>
    <row r="44183" customFormat="1" x14ac:dyDescent="0.25"/>
    <row r="44184" customFormat="1" x14ac:dyDescent="0.25"/>
    <row r="44185" customFormat="1" x14ac:dyDescent="0.25"/>
    <row r="44186" customFormat="1" x14ac:dyDescent="0.25"/>
    <row r="44187" customFormat="1" x14ac:dyDescent="0.25"/>
    <row r="44188" customFormat="1" x14ac:dyDescent="0.25"/>
    <row r="44189" customFormat="1" x14ac:dyDescent="0.25"/>
    <row r="44190" customFormat="1" x14ac:dyDescent="0.25"/>
    <row r="44191" customFormat="1" x14ac:dyDescent="0.25"/>
    <row r="44192" customFormat="1" x14ac:dyDescent="0.25"/>
    <row r="44193" customFormat="1" x14ac:dyDescent="0.25"/>
    <row r="44194" customFormat="1" x14ac:dyDescent="0.25"/>
    <row r="44195" customFormat="1" x14ac:dyDescent="0.25"/>
    <row r="44196" customFormat="1" x14ac:dyDescent="0.25"/>
    <row r="44197" customFormat="1" x14ac:dyDescent="0.25"/>
    <row r="44198" customFormat="1" x14ac:dyDescent="0.25"/>
    <row r="44199" customFormat="1" x14ac:dyDescent="0.25"/>
    <row r="44200" customFormat="1" x14ac:dyDescent="0.25"/>
    <row r="44201" customFormat="1" x14ac:dyDescent="0.25"/>
    <row r="44202" customFormat="1" x14ac:dyDescent="0.25"/>
    <row r="44203" customFormat="1" x14ac:dyDescent="0.25"/>
    <row r="44204" customFormat="1" x14ac:dyDescent="0.25"/>
    <row r="44205" customFormat="1" x14ac:dyDescent="0.25"/>
    <row r="44206" customFormat="1" x14ac:dyDescent="0.25"/>
    <row r="44207" customFormat="1" x14ac:dyDescent="0.25"/>
    <row r="44208" customFormat="1" x14ac:dyDescent="0.25"/>
    <row r="44209" customFormat="1" x14ac:dyDescent="0.25"/>
    <row r="44210" customFormat="1" x14ac:dyDescent="0.25"/>
    <row r="44211" customFormat="1" x14ac:dyDescent="0.25"/>
    <row r="44212" customFormat="1" x14ac:dyDescent="0.25"/>
    <row r="44213" customFormat="1" x14ac:dyDescent="0.25"/>
    <row r="44214" customFormat="1" x14ac:dyDescent="0.25"/>
    <row r="44215" customFormat="1" x14ac:dyDescent="0.25"/>
    <row r="44216" customFormat="1" x14ac:dyDescent="0.25"/>
    <row r="44217" customFormat="1" x14ac:dyDescent="0.25"/>
    <row r="44218" customFormat="1" x14ac:dyDescent="0.25"/>
    <row r="44219" customFormat="1" x14ac:dyDescent="0.25"/>
    <row r="44220" customFormat="1" x14ac:dyDescent="0.25"/>
    <row r="44221" customFormat="1" x14ac:dyDescent="0.25"/>
    <row r="44222" customFormat="1" x14ac:dyDescent="0.25"/>
    <row r="44223" customFormat="1" x14ac:dyDescent="0.25"/>
    <row r="44224" customFormat="1" x14ac:dyDescent="0.25"/>
    <row r="44225" customFormat="1" x14ac:dyDescent="0.25"/>
    <row r="44226" customFormat="1" x14ac:dyDescent="0.25"/>
    <row r="44227" customFormat="1" x14ac:dyDescent="0.25"/>
    <row r="44228" customFormat="1" x14ac:dyDescent="0.25"/>
    <row r="44229" customFormat="1" x14ac:dyDescent="0.25"/>
    <row r="44230" customFormat="1" x14ac:dyDescent="0.25"/>
    <row r="44231" customFormat="1" x14ac:dyDescent="0.25"/>
    <row r="44232" customFormat="1" x14ac:dyDescent="0.25"/>
    <row r="44233" customFormat="1" x14ac:dyDescent="0.25"/>
    <row r="44234" customFormat="1" x14ac:dyDescent="0.25"/>
    <row r="44235" customFormat="1" x14ac:dyDescent="0.25"/>
    <row r="44236" customFormat="1" x14ac:dyDescent="0.25"/>
    <row r="44237" customFormat="1" x14ac:dyDescent="0.25"/>
    <row r="44238" customFormat="1" x14ac:dyDescent="0.25"/>
    <row r="44239" customFormat="1" x14ac:dyDescent="0.25"/>
    <row r="44240" customFormat="1" x14ac:dyDescent="0.25"/>
    <row r="44241" customFormat="1" x14ac:dyDescent="0.25"/>
    <row r="44242" customFormat="1" x14ac:dyDescent="0.25"/>
    <row r="44243" customFormat="1" x14ac:dyDescent="0.25"/>
    <row r="44244" customFormat="1" x14ac:dyDescent="0.25"/>
    <row r="44245" customFormat="1" x14ac:dyDescent="0.25"/>
    <row r="44246" customFormat="1" x14ac:dyDescent="0.25"/>
    <row r="44247" customFormat="1" x14ac:dyDescent="0.25"/>
    <row r="44248" customFormat="1" x14ac:dyDescent="0.25"/>
    <row r="44249" customFormat="1" x14ac:dyDescent="0.25"/>
    <row r="44250" customFormat="1" x14ac:dyDescent="0.25"/>
    <row r="44251" customFormat="1" x14ac:dyDescent="0.25"/>
    <row r="44252" customFormat="1" x14ac:dyDescent="0.25"/>
    <row r="44253" customFormat="1" x14ac:dyDescent="0.25"/>
    <row r="44254" customFormat="1" x14ac:dyDescent="0.25"/>
    <row r="44255" customFormat="1" x14ac:dyDescent="0.25"/>
    <row r="44256" customFormat="1" x14ac:dyDescent="0.25"/>
    <row r="44257" customFormat="1" x14ac:dyDescent="0.25"/>
    <row r="44258" customFormat="1" x14ac:dyDescent="0.25"/>
    <row r="44259" customFormat="1" x14ac:dyDescent="0.25"/>
    <row r="44260" customFormat="1" x14ac:dyDescent="0.25"/>
    <row r="44261" customFormat="1" x14ac:dyDescent="0.25"/>
    <row r="44262" customFormat="1" x14ac:dyDescent="0.25"/>
    <row r="44263" customFormat="1" x14ac:dyDescent="0.25"/>
    <row r="44264" customFormat="1" x14ac:dyDescent="0.25"/>
    <row r="44265" customFormat="1" x14ac:dyDescent="0.25"/>
    <row r="44266" customFormat="1" x14ac:dyDescent="0.25"/>
    <row r="44267" customFormat="1" x14ac:dyDescent="0.25"/>
    <row r="44268" customFormat="1" x14ac:dyDescent="0.25"/>
    <row r="44269" customFormat="1" x14ac:dyDescent="0.25"/>
    <row r="44270" customFormat="1" x14ac:dyDescent="0.25"/>
    <row r="44271" customFormat="1" x14ac:dyDescent="0.25"/>
    <row r="44272" customFormat="1" x14ac:dyDescent="0.25"/>
    <row r="44273" customFormat="1" x14ac:dyDescent="0.25"/>
    <row r="44274" customFormat="1" x14ac:dyDescent="0.25"/>
    <row r="44275" customFormat="1" x14ac:dyDescent="0.25"/>
    <row r="44276" customFormat="1" x14ac:dyDescent="0.25"/>
    <row r="44277" customFormat="1" x14ac:dyDescent="0.25"/>
    <row r="44278" customFormat="1" x14ac:dyDescent="0.25"/>
    <row r="44279" customFormat="1" x14ac:dyDescent="0.25"/>
    <row r="44280" customFormat="1" x14ac:dyDescent="0.25"/>
    <row r="44281" customFormat="1" x14ac:dyDescent="0.25"/>
    <row r="44282" customFormat="1" x14ac:dyDescent="0.25"/>
    <row r="44283" customFormat="1" x14ac:dyDescent="0.25"/>
    <row r="44284" customFormat="1" x14ac:dyDescent="0.25"/>
    <row r="44285" customFormat="1" x14ac:dyDescent="0.25"/>
    <row r="44286" customFormat="1" x14ac:dyDescent="0.25"/>
    <row r="44287" customFormat="1" x14ac:dyDescent="0.25"/>
    <row r="44288" customFormat="1" x14ac:dyDescent="0.25"/>
    <row r="44289" customFormat="1" x14ac:dyDescent="0.25"/>
    <row r="44290" customFormat="1" x14ac:dyDescent="0.25"/>
    <row r="44291" customFormat="1" x14ac:dyDescent="0.25"/>
    <row r="44292" customFormat="1" x14ac:dyDescent="0.25"/>
    <row r="44293" customFormat="1" x14ac:dyDescent="0.25"/>
    <row r="44294" customFormat="1" x14ac:dyDescent="0.25"/>
    <row r="44295" customFormat="1" x14ac:dyDescent="0.25"/>
    <row r="44296" customFormat="1" x14ac:dyDescent="0.25"/>
    <row r="44297" customFormat="1" x14ac:dyDescent="0.25"/>
    <row r="44298" customFormat="1" x14ac:dyDescent="0.25"/>
    <row r="44299" customFormat="1" x14ac:dyDescent="0.25"/>
    <row r="44300" customFormat="1" x14ac:dyDescent="0.25"/>
    <row r="44301" customFormat="1" x14ac:dyDescent="0.25"/>
    <row r="44302" customFormat="1" x14ac:dyDescent="0.25"/>
    <row r="44303" customFormat="1" x14ac:dyDescent="0.25"/>
    <row r="44304" customFormat="1" x14ac:dyDescent="0.25"/>
    <row r="44305" customFormat="1" x14ac:dyDescent="0.25"/>
    <row r="44306" customFormat="1" x14ac:dyDescent="0.25"/>
    <row r="44307" customFormat="1" x14ac:dyDescent="0.25"/>
    <row r="44308" customFormat="1" x14ac:dyDescent="0.25"/>
    <row r="44309" customFormat="1" x14ac:dyDescent="0.25"/>
    <row r="44310" customFormat="1" x14ac:dyDescent="0.25"/>
    <row r="44311" customFormat="1" x14ac:dyDescent="0.25"/>
    <row r="44312" customFormat="1" x14ac:dyDescent="0.25"/>
    <row r="44313" customFormat="1" x14ac:dyDescent="0.25"/>
    <row r="44314" customFormat="1" x14ac:dyDescent="0.25"/>
    <row r="44315" customFormat="1" x14ac:dyDescent="0.25"/>
    <row r="44316" customFormat="1" x14ac:dyDescent="0.25"/>
    <row r="44317" customFormat="1" x14ac:dyDescent="0.25"/>
    <row r="44318" customFormat="1" x14ac:dyDescent="0.25"/>
    <row r="44319" customFormat="1" x14ac:dyDescent="0.25"/>
    <row r="44320" customFormat="1" x14ac:dyDescent="0.25"/>
    <row r="44321" customFormat="1" x14ac:dyDescent="0.25"/>
    <row r="44322" customFormat="1" x14ac:dyDescent="0.25"/>
    <row r="44323" customFormat="1" x14ac:dyDescent="0.25"/>
    <row r="44324" customFormat="1" x14ac:dyDescent="0.25"/>
    <row r="44325" customFormat="1" x14ac:dyDescent="0.25"/>
    <row r="44326" customFormat="1" x14ac:dyDescent="0.25"/>
    <row r="44327" customFormat="1" x14ac:dyDescent="0.25"/>
    <row r="44328" customFormat="1" x14ac:dyDescent="0.25"/>
    <row r="44329" customFormat="1" x14ac:dyDescent="0.25"/>
    <row r="44330" customFormat="1" x14ac:dyDescent="0.25"/>
    <row r="44331" customFormat="1" x14ac:dyDescent="0.25"/>
    <row r="44332" customFormat="1" x14ac:dyDescent="0.25"/>
    <row r="44333" customFormat="1" x14ac:dyDescent="0.25"/>
    <row r="44334" customFormat="1" x14ac:dyDescent="0.25"/>
    <row r="44335" customFormat="1" x14ac:dyDescent="0.25"/>
    <row r="44336" customFormat="1" x14ac:dyDescent="0.25"/>
    <row r="44337" customFormat="1" x14ac:dyDescent="0.25"/>
    <row r="44338" customFormat="1" x14ac:dyDescent="0.25"/>
    <row r="44339" customFormat="1" x14ac:dyDescent="0.25"/>
    <row r="44340" customFormat="1" x14ac:dyDescent="0.25"/>
    <row r="44341" customFormat="1" x14ac:dyDescent="0.25"/>
    <row r="44342" customFormat="1" x14ac:dyDescent="0.25"/>
    <row r="44343" customFormat="1" x14ac:dyDescent="0.25"/>
    <row r="44344" customFormat="1" x14ac:dyDescent="0.25"/>
    <row r="44345" customFormat="1" x14ac:dyDescent="0.25"/>
    <row r="44346" customFormat="1" x14ac:dyDescent="0.25"/>
    <row r="44347" customFormat="1" x14ac:dyDescent="0.25"/>
    <row r="44348" customFormat="1" x14ac:dyDescent="0.25"/>
    <row r="44349" customFormat="1" x14ac:dyDescent="0.25"/>
    <row r="44350" customFormat="1" x14ac:dyDescent="0.25"/>
    <row r="44351" customFormat="1" x14ac:dyDescent="0.25"/>
    <row r="44352" customFormat="1" x14ac:dyDescent="0.25"/>
    <row r="44353" customFormat="1" x14ac:dyDescent="0.25"/>
    <row r="44354" customFormat="1" x14ac:dyDescent="0.25"/>
    <row r="44355" customFormat="1" x14ac:dyDescent="0.25"/>
    <row r="44356" customFormat="1" x14ac:dyDescent="0.25"/>
    <row r="44357" customFormat="1" x14ac:dyDescent="0.25"/>
    <row r="44358" customFormat="1" x14ac:dyDescent="0.25"/>
    <row r="44359" customFormat="1" x14ac:dyDescent="0.25"/>
    <row r="44360" customFormat="1" x14ac:dyDescent="0.25"/>
    <row r="44361" customFormat="1" x14ac:dyDescent="0.25"/>
    <row r="44362" customFormat="1" x14ac:dyDescent="0.25"/>
    <row r="44363" customFormat="1" x14ac:dyDescent="0.25"/>
    <row r="44364" customFormat="1" x14ac:dyDescent="0.25"/>
    <row r="44365" customFormat="1" x14ac:dyDescent="0.25"/>
    <row r="44366" customFormat="1" x14ac:dyDescent="0.25"/>
    <row r="44367" customFormat="1" x14ac:dyDescent="0.25"/>
    <row r="44368" customFormat="1" x14ac:dyDescent="0.25"/>
    <row r="44369" customFormat="1" x14ac:dyDescent="0.25"/>
    <row r="44370" customFormat="1" x14ac:dyDescent="0.25"/>
    <row r="44371" customFormat="1" x14ac:dyDescent="0.25"/>
    <row r="44372" customFormat="1" x14ac:dyDescent="0.25"/>
    <row r="44373" customFormat="1" x14ac:dyDescent="0.25"/>
    <row r="44374" customFormat="1" x14ac:dyDescent="0.25"/>
    <row r="44375" customFormat="1" x14ac:dyDescent="0.25"/>
    <row r="44376" customFormat="1" x14ac:dyDescent="0.25"/>
    <row r="44377" customFormat="1" x14ac:dyDescent="0.25"/>
    <row r="44378" customFormat="1" x14ac:dyDescent="0.25"/>
    <row r="44379" customFormat="1" x14ac:dyDescent="0.25"/>
    <row r="44380" customFormat="1" x14ac:dyDescent="0.25"/>
    <row r="44381" customFormat="1" x14ac:dyDescent="0.25"/>
    <row r="44382" customFormat="1" x14ac:dyDescent="0.25"/>
    <row r="44383" customFormat="1" x14ac:dyDescent="0.25"/>
    <row r="44384" customFormat="1" x14ac:dyDescent="0.25"/>
    <row r="44385" customFormat="1" x14ac:dyDescent="0.25"/>
    <row r="44386" customFormat="1" x14ac:dyDescent="0.25"/>
    <row r="44387" customFormat="1" x14ac:dyDescent="0.25"/>
    <row r="44388" customFormat="1" x14ac:dyDescent="0.25"/>
    <row r="44389" customFormat="1" x14ac:dyDescent="0.25"/>
    <row r="44390" customFormat="1" x14ac:dyDescent="0.25"/>
    <row r="44391" customFormat="1" x14ac:dyDescent="0.25"/>
    <row r="44392" customFormat="1" x14ac:dyDescent="0.25"/>
    <row r="44393" customFormat="1" x14ac:dyDescent="0.25"/>
    <row r="44394" customFormat="1" x14ac:dyDescent="0.25"/>
    <row r="44395" customFormat="1" x14ac:dyDescent="0.25"/>
    <row r="44396" customFormat="1" x14ac:dyDescent="0.25"/>
    <row r="44397" customFormat="1" x14ac:dyDescent="0.25"/>
    <row r="44398" customFormat="1" x14ac:dyDescent="0.25"/>
    <row r="44399" customFormat="1" x14ac:dyDescent="0.25"/>
    <row r="44400" customFormat="1" x14ac:dyDescent="0.25"/>
    <row r="44401" customFormat="1" x14ac:dyDescent="0.25"/>
    <row r="44402" customFormat="1" x14ac:dyDescent="0.25"/>
    <row r="44403" customFormat="1" x14ac:dyDescent="0.25"/>
    <row r="44404" customFormat="1" x14ac:dyDescent="0.25"/>
    <row r="44405" customFormat="1" x14ac:dyDescent="0.25"/>
    <row r="44406" customFormat="1" x14ac:dyDescent="0.25"/>
    <row r="44407" customFormat="1" x14ac:dyDescent="0.25"/>
    <row r="44408" customFormat="1" x14ac:dyDescent="0.25"/>
    <row r="44409" customFormat="1" x14ac:dyDescent="0.25"/>
    <row r="44410" customFormat="1" x14ac:dyDescent="0.25"/>
    <row r="44411" customFormat="1" x14ac:dyDescent="0.25"/>
    <row r="44412" customFormat="1" x14ac:dyDescent="0.25"/>
    <row r="44413" customFormat="1" x14ac:dyDescent="0.25"/>
    <row r="44414" customFormat="1" x14ac:dyDescent="0.25"/>
    <row r="44415" customFormat="1" x14ac:dyDescent="0.25"/>
    <row r="44416" customFormat="1" x14ac:dyDescent="0.25"/>
    <row r="44417" customFormat="1" x14ac:dyDescent="0.25"/>
    <row r="44418" customFormat="1" x14ac:dyDescent="0.25"/>
    <row r="44419" customFormat="1" x14ac:dyDescent="0.25"/>
    <row r="44420" customFormat="1" x14ac:dyDescent="0.25"/>
    <row r="44421" customFormat="1" x14ac:dyDescent="0.25"/>
    <row r="44422" customFormat="1" x14ac:dyDescent="0.25"/>
    <row r="44423" customFormat="1" x14ac:dyDescent="0.25"/>
    <row r="44424" customFormat="1" x14ac:dyDescent="0.25"/>
    <row r="44425" customFormat="1" x14ac:dyDescent="0.25"/>
    <row r="44426" customFormat="1" x14ac:dyDescent="0.25"/>
    <row r="44427" customFormat="1" x14ac:dyDescent="0.25"/>
    <row r="44428" customFormat="1" x14ac:dyDescent="0.25"/>
    <row r="44429" customFormat="1" x14ac:dyDescent="0.25"/>
    <row r="44430" customFormat="1" x14ac:dyDescent="0.25"/>
    <row r="44431" customFormat="1" x14ac:dyDescent="0.25"/>
    <row r="44432" customFormat="1" x14ac:dyDescent="0.25"/>
    <row r="44433" customFormat="1" x14ac:dyDescent="0.25"/>
    <row r="44434" customFormat="1" x14ac:dyDescent="0.25"/>
    <row r="44435" customFormat="1" x14ac:dyDescent="0.25"/>
    <row r="44436" customFormat="1" x14ac:dyDescent="0.25"/>
    <row r="44437" customFormat="1" x14ac:dyDescent="0.25"/>
    <row r="44438" customFormat="1" x14ac:dyDescent="0.25"/>
    <row r="44439" customFormat="1" x14ac:dyDescent="0.25"/>
    <row r="44440" customFormat="1" x14ac:dyDescent="0.25"/>
    <row r="44441" customFormat="1" x14ac:dyDescent="0.25"/>
    <row r="44442" customFormat="1" x14ac:dyDescent="0.25"/>
    <row r="44443" customFormat="1" x14ac:dyDescent="0.25"/>
    <row r="44444" customFormat="1" x14ac:dyDescent="0.25"/>
    <row r="44445" customFormat="1" x14ac:dyDescent="0.25"/>
    <row r="44446" customFormat="1" x14ac:dyDescent="0.25"/>
    <row r="44447" customFormat="1" x14ac:dyDescent="0.25"/>
    <row r="44448" customFormat="1" x14ac:dyDescent="0.25"/>
    <row r="44449" customFormat="1" x14ac:dyDescent="0.25"/>
    <row r="44450" customFormat="1" x14ac:dyDescent="0.25"/>
    <row r="44451" customFormat="1" x14ac:dyDescent="0.25"/>
    <row r="44452" customFormat="1" x14ac:dyDescent="0.25"/>
    <row r="44453" customFormat="1" x14ac:dyDescent="0.25"/>
    <row r="44454" customFormat="1" x14ac:dyDescent="0.25"/>
    <row r="44455" customFormat="1" x14ac:dyDescent="0.25"/>
    <row r="44456" customFormat="1" x14ac:dyDescent="0.25"/>
    <row r="44457" customFormat="1" x14ac:dyDescent="0.25"/>
    <row r="44458" customFormat="1" x14ac:dyDescent="0.25"/>
    <row r="44459" customFormat="1" x14ac:dyDescent="0.25"/>
    <row r="44460" customFormat="1" x14ac:dyDescent="0.25"/>
    <row r="44461" customFormat="1" x14ac:dyDescent="0.25"/>
    <row r="44462" customFormat="1" x14ac:dyDescent="0.25"/>
    <row r="44463" customFormat="1" x14ac:dyDescent="0.25"/>
    <row r="44464" customFormat="1" x14ac:dyDescent="0.25"/>
    <row r="44465" customFormat="1" x14ac:dyDescent="0.25"/>
    <row r="44466" customFormat="1" x14ac:dyDescent="0.25"/>
    <row r="44467" customFormat="1" x14ac:dyDescent="0.25"/>
    <row r="44468" customFormat="1" x14ac:dyDescent="0.25"/>
    <row r="44469" customFormat="1" x14ac:dyDescent="0.25"/>
    <row r="44470" customFormat="1" x14ac:dyDescent="0.25"/>
    <row r="44471" customFormat="1" x14ac:dyDescent="0.25"/>
    <row r="44472" customFormat="1" x14ac:dyDescent="0.25"/>
    <row r="44473" customFormat="1" x14ac:dyDescent="0.25"/>
    <row r="44474" customFormat="1" x14ac:dyDescent="0.25"/>
    <row r="44475" customFormat="1" x14ac:dyDescent="0.25"/>
    <row r="44476" customFormat="1" x14ac:dyDescent="0.25"/>
    <row r="44477" customFormat="1" x14ac:dyDescent="0.25"/>
    <row r="44478" customFormat="1" x14ac:dyDescent="0.25"/>
    <row r="44479" customFormat="1" x14ac:dyDescent="0.25"/>
    <row r="44480" customFormat="1" x14ac:dyDescent="0.25"/>
    <row r="44481" customFormat="1" x14ac:dyDescent="0.25"/>
    <row r="44482" customFormat="1" x14ac:dyDescent="0.25"/>
    <row r="44483" customFormat="1" x14ac:dyDescent="0.25"/>
    <row r="44484" customFormat="1" x14ac:dyDescent="0.25"/>
    <row r="44485" customFormat="1" x14ac:dyDescent="0.25"/>
    <row r="44486" customFormat="1" x14ac:dyDescent="0.25"/>
    <row r="44487" customFormat="1" x14ac:dyDescent="0.25"/>
    <row r="44488" customFormat="1" x14ac:dyDescent="0.25"/>
    <row r="44489" customFormat="1" x14ac:dyDescent="0.25"/>
    <row r="44490" customFormat="1" x14ac:dyDescent="0.25"/>
    <row r="44491" customFormat="1" x14ac:dyDescent="0.25"/>
    <row r="44492" customFormat="1" x14ac:dyDescent="0.25"/>
    <row r="44493" customFormat="1" x14ac:dyDescent="0.25"/>
    <row r="44494" customFormat="1" x14ac:dyDescent="0.25"/>
    <row r="44495" customFormat="1" x14ac:dyDescent="0.25"/>
    <row r="44496" customFormat="1" x14ac:dyDescent="0.25"/>
    <row r="44497" customFormat="1" x14ac:dyDescent="0.25"/>
    <row r="44498" customFormat="1" x14ac:dyDescent="0.25"/>
    <row r="44499" customFormat="1" x14ac:dyDescent="0.25"/>
    <row r="44500" customFormat="1" x14ac:dyDescent="0.25"/>
    <row r="44501" customFormat="1" x14ac:dyDescent="0.25"/>
    <row r="44502" customFormat="1" x14ac:dyDescent="0.25"/>
    <row r="44503" customFormat="1" x14ac:dyDescent="0.25"/>
    <row r="44504" customFormat="1" x14ac:dyDescent="0.25"/>
    <row r="44505" customFormat="1" x14ac:dyDescent="0.25"/>
    <row r="44506" customFormat="1" x14ac:dyDescent="0.25"/>
    <row r="44507" customFormat="1" x14ac:dyDescent="0.25"/>
    <row r="44508" customFormat="1" x14ac:dyDescent="0.25"/>
    <row r="44509" customFormat="1" x14ac:dyDescent="0.25"/>
    <row r="44510" customFormat="1" x14ac:dyDescent="0.25"/>
    <row r="44511" customFormat="1" x14ac:dyDescent="0.25"/>
    <row r="44512" customFormat="1" x14ac:dyDescent="0.25"/>
    <row r="44513" customFormat="1" x14ac:dyDescent="0.25"/>
    <row r="44514" customFormat="1" x14ac:dyDescent="0.25"/>
    <row r="44515" customFormat="1" x14ac:dyDescent="0.25"/>
    <row r="44516" customFormat="1" x14ac:dyDescent="0.25"/>
    <row r="44517" customFormat="1" x14ac:dyDescent="0.25"/>
    <row r="44518" customFormat="1" x14ac:dyDescent="0.25"/>
    <row r="44519" customFormat="1" x14ac:dyDescent="0.25"/>
    <row r="44520" customFormat="1" x14ac:dyDescent="0.25"/>
    <row r="44521" customFormat="1" x14ac:dyDescent="0.25"/>
    <row r="44522" customFormat="1" x14ac:dyDescent="0.25"/>
    <row r="44523" customFormat="1" x14ac:dyDescent="0.25"/>
    <row r="44524" customFormat="1" x14ac:dyDescent="0.25"/>
    <row r="44525" customFormat="1" x14ac:dyDescent="0.25"/>
    <row r="44526" customFormat="1" x14ac:dyDescent="0.25"/>
    <row r="44527" customFormat="1" x14ac:dyDescent="0.25"/>
    <row r="44528" customFormat="1" x14ac:dyDescent="0.25"/>
    <row r="44529" customFormat="1" x14ac:dyDescent="0.25"/>
    <row r="44530" customFormat="1" x14ac:dyDescent="0.25"/>
    <row r="44531" customFormat="1" x14ac:dyDescent="0.25"/>
    <row r="44532" customFormat="1" x14ac:dyDescent="0.25"/>
    <row r="44533" customFormat="1" x14ac:dyDescent="0.25"/>
    <row r="44534" customFormat="1" x14ac:dyDescent="0.25"/>
    <row r="44535" customFormat="1" x14ac:dyDescent="0.25"/>
    <row r="44536" customFormat="1" x14ac:dyDescent="0.25"/>
    <row r="44537" customFormat="1" x14ac:dyDescent="0.25"/>
    <row r="44538" customFormat="1" x14ac:dyDescent="0.25"/>
    <row r="44539" customFormat="1" x14ac:dyDescent="0.25"/>
    <row r="44540" customFormat="1" x14ac:dyDescent="0.25"/>
    <row r="44541" customFormat="1" x14ac:dyDescent="0.25"/>
    <row r="44542" customFormat="1" x14ac:dyDescent="0.25"/>
    <row r="44543" customFormat="1" x14ac:dyDescent="0.25"/>
    <row r="44544" customFormat="1" x14ac:dyDescent="0.25"/>
    <row r="44545" customFormat="1" x14ac:dyDescent="0.25"/>
    <row r="44546" customFormat="1" x14ac:dyDescent="0.25"/>
    <row r="44547" customFormat="1" x14ac:dyDescent="0.25"/>
    <row r="44548" customFormat="1" x14ac:dyDescent="0.25"/>
    <row r="44549" customFormat="1" x14ac:dyDescent="0.25"/>
    <row r="44550" customFormat="1" x14ac:dyDescent="0.25"/>
    <row r="44551" customFormat="1" x14ac:dyDescent="0.25"/>
    <row r="44552" customFormat="1" x14ac:dyDescent="0.25"/>
    <row r="44553" customFormat="1" x14ac:dyDescent="0.25"/>
    <row r="44554" customFormat="1" x14ac:dyDescent="0.25"/>
    <row r="44555" customFormat="1" x14ac:dyDescent="0.25"/>
    <row r="44556" customFormat="1" x14ac:dyDescent="0.25"/>
    <row r="44557" customFormat="1" x14ac:dyDescent="0.25"/>
    <row r="44558" customFormat="1" x14ac:dyDescent="0.25"/>
    <row r="44559" customFormat="1" x14ac:dyDescent="0.25"/>
    <row r="44560" customFormat="1" x14ac:dyDescent="0.25"/>
    <row r="44561" customFormat="1" x14ac:dyDescent="0.25"/>
    <row r="44562" customFormat="1" x14ac:dyDescent="0.25"/>
    <row r="44563" customFormat="1" x14ac:dyDescent="0.25"/>
    <row r="44564" customFormat="1" x14ac:dyDescent="0.25"/>
    <row r="44565" customFormat="1" x14ac:dyDescent="0.25"/>
    <row r="44566" customFormat="1" x14ac:dyDescent="0.25"/>
    <row r="44567" customFormat="1" x14ac:dyDescent="0.25"/>
    <row r="44568" customFormat="1" x14ac:dyDescent="0.25"/>
    <row r="44569" customFormat="1" x14ac:dyDescent="0.25"/>
    <row r="44570" customFormat="1" x14ac:dyDescent="0.25"/>
    <row r="44571" customFormat="1" x14ac:dyDescent="0.25"/>
    <row r="44572" customFormat="1" x14ac:dyDescent="0.25"/>
    <row r="44573" customFormat="1" x14ac:dyDescent="0.25"/>
    <row r="44574" customFormat="1" x14ac:dyDescent="0.25"/>
    <row r="44575" customFormat="1" x14ac:dyDescent="0.25"/>
    <row r="44576" customFormat="1" x14ac:dyDescent="0.25"/>
    <row r="44577" customFormat="1" x14ac:dyDescent="0.25"/>
    <row r="44578" customFormat="1" x14ac:dyDescent="0.25"/>
    <row r="44579" customFormat="1" x14ac:dyDescent="0.25"/>
    <row r="44580" customFormat="1" x14ac:dyDescent="0.25"/>
    <row r="44581" customFormat="1" x14ac:dyDescent="0.25"/>
    <row r="44582" customFormat="1" x14ac:dyDescent="0.25"/>
    <row r="44583" customFormat="1" x14ac:dyDescent="0.25"/>
    <row r="44584" customFormat="1" x14ac:dyDescent="0.25"/>
    <row r="44585" customFormat="1" x14ac:dyDescent="0.25"/>
    <row r="44586" customFormat="1" x14ac:dyDescent="0.25"/>
    <row r="44587" customFormat="1" x14ac:dyDescent="0.25"/>
    <row r="44588" customFormat="1" x14ac:dyDescent="0.25"/>
    <row r="44589" customFormat="1" x14ac:dyDescent="0.25"/>
    <row r="44590" customFormat="1" x14ac:dyDescent="0.25"/>
    <row r="44591" customFormat="1" x14ac:dyDescent="0.25"/>
    <row r="44592" customFormat="1" x14ac:dyDescent="0.25"/>
    <row r="44593" customFormat="1" x14ac:dyDescent="0.25"/>
    <row r="44594" customFormat="1" x14ac:dyDescent="0.25"/>
    <row r="44595" customFormat="1" x14ac:dyDescent="0.25"/>
    <row r="44596" customFormat="1" x14ac:dyDescent="0.25"/>
    <row r="44597" customFormat="1" x14ac:dyDescent="0.25"/>
    <row r="44598" customFormat="1" x14ac:dyDescent="0.25"/>
    <row r="44599" customFormat="1" x14ac:dyDescent="0.25"/>
    <row r="44600" customFormat="1" x14ac:dyDescent="0.25"/>
    <row r="44601" customFormat="1" x14ac:dyDescent="0.25"/>
    <row r="44602" customFormat="1" x14ac:dyDescent="0.25"/>
    <row r="44603" customFormat="1" x14ac:dyDescent="0.25"/>
    <row r="44604" customFormat="1" x14ac:dyDescent="0.25"/>
    <row r="44605" customFormat="1" x14ac:dyDescent="0.25"/>
    <row r="44606" customFormat="1" x14ac:dyDescent="0.25"/>
    <row r="44607" customFormat="1" x14ac:dyDescent="0.25"/>
    <row r="44608" customFormat="1" x14ac:dyDescent="0.25"/>
    <row r="44609" customFormat="1" x14ac:dyDescent="0.25"/>
    <row r="44610" customFormat="1" x14ac:dyDescent="0.25"/>
    <row r="44611" customFormat="1" x14ac:dyDescent="0.25"/>
    <row r="44612" customFormat="1" x14ac:dyDescent="0.25"/>
    <row r="44613" customFormat="1" x14ac:dyDescent="0.25"/>
    <row r="44614" customFormat="1" x14ac:dyDescent="0.25"/>
    <row r="44615" customFormat="1" x14ac:dyDescent="0.25"/>
    <row r="44616" customFormat="1" x14ac:dyDescent="0.25"/>
    <row r="44617" customFormat="1" x14ac:dyDescent="0.25"/>
    <row r="44618" customFormat="1" x14ac:dyDescent="0.25"/>
    <row r="44619" customFormat="1" x14ac:dyDescent="0.25"/>
    <row r="44620" customFormat="1" x14ac:dyDescent="0.25"/>
    <row r="44621" customFormat="1" x14ac:dyDescent="0.25"/>
    <row r="44622" customFormat="1" x14ac:dyDescent="0.25"/>
    <row r="44623" customFormat="1" x14ac:dyDescent="0.25"/>
    <row r="44624" customFormat="1" x14ac:dyDescent="0.25"/>
    <row r="44625" customFormat="1" x14ac:dyDescent="0.25"/>
    <row r="44626" customFormat="1" x14ac:dyDescent="0.25"/>
    <row r="44627" customFormat="1" x14ac:dyDescent="0.25"/>
    <row r="44628" customFormat="1" x14ac:dyDescent="0.25"/>
    <row r="44629" customFormat="1" x14ac:dyDescent="0.25"/>
    <row r="44630" customFormat="1" x14ac:dyDescent="0.25"/>
    <row r="44631" customFormat="1" x14ac:dyDescent="0.25"/>
    <row r="44632" customFormat="1" x14ac:dyDescent="0.25"/>
    <row r="44633" customFormat="1" x14ac:dyDescent="0.25"/>
    <row r="44634" customFormat="1" x14ac:dyDescent="0.25"/>
    <row r="44635" customFormat="1" x14ac:dyDescent="0.25"/>
    <row r="44636" customFormat="1" x14ac:dyDescent="0.25"/>
    <row r="44637" customFormat="1" x14ac:dyDescent="0.25"/>
    <row r="44638" customFormat="1" x14ac:dyDescent="0.25"/>
    <row r="44639" customFormat="1" x14ac:dyDescent="0.25"/>
    <row r="44640" customFormat="1" x14ac:dyDescent="0.25"/>
    <row r="44641" customFormat="1" x14ac:dyDescent="0.25"/>
    <row r="44642" customFormat="1" x14ac:dyDescent="0.25"/>
    <row r="44643" customFormat="1" x14ac:dyDescent="0.25"/>
    <row r="44644" customFormat="1" x14ac:dyDescent="0.25"/>
    <row r="44645" customFormat="1" x14ac:dyDescent="0.25"/>
    <row r="44646" customFormat="1" x14ac:dyDescent="0.25"/>
    <row r="44647" customFormat="1" x14ac:dyDescent="0.25"/>
    <row r="44648" customFormat="1" x14ac:dyDescent="0.25"/>
    <row r="44649" customFormat="1" x14ac:dyDescent="0.25"/>
    <row r="44650" customFormat="1" x14ac:dyDescent="0.25"/>
    <row r="44651" customFormat="1" x14ac:dyDescent="0.25"/>
    <row r="44652" customFormat="1" x14ac:dyDescent="0.25"/>
    <row r="44653" customFormat="1" x14ac:dyDescent="0.25"/>
    <row r="44654" customFormat="1" x14ac:dyDescent="0.25"/>
    <row r="44655" customFormat="1" x14ac:dyDescent="0.25"/>
    <row r="44656" customFormat="1" x14ac:dyDescent="0.25"/>
    <row r="44657" customFormat="1" x14ac:dyDescent="0.25"/>
    <row r="44658" customFormat="1" x14ac:dyDescent="0.25"/>
    <row r="44659" customFormat="1" x14ac:dyDescent="0.25"/>
    <row r="44660" customFormat="1" x14ac:dyDescent="0.25"/>
    <row r="44661" customFormat="1" x14ac:dyDescent="0.25"/>
    <row r="44662" customFormat="1" x14ac:dyDescent="0.25"/>
    <row r="44663" customFormat="1" x14ac:dyDescent="0.25"/>
    <row r="44664" customFormat="1" x14ac:dyDescent="0.25"/>
    <row r="44665" customFormat="1" x14ac:dyDescent="0.25"/>
    <row r="44666" customFormat="1" x14ac:dyDescent="0.25"/>
    <row r="44667" customFormat="1" x14ac:dyDescent="0.25"/>
    <row r="44668" customFormat="1" x14ac:dyDescent="0.25"/>
    <row r="44669" customFormat="1" x14ac:dyDescent="0.25"/>
    <row r="44670" customFormat="1" x14ac:dyDescent="0.25"/>
    <row r="44671" customFormat="1" x14ac:dyDescent="0.25"/>
    <row r="44672" customFormat="1" x14ac:dyDescent="0.25"/>
    <row r="44673" customFormat="1" x14ac:dyDescent="0.25"/>
    <row r="44674" customFormat="1" x14ac:dyDescent="0.25"/>
    <row r="44675" customFormat="1" x14ac:dyDescent="0.25"/>
    <row r="44676" customFormat="1" x14ac:dyDescent="0.25"/>
    <row r="44677" customFormat="1" x14ac:dyDescent="0.25"/>
    <row r="44678" customFormat="1" x14ac:dyDescent="0.25"/>
    <row r="44679" customFormat="1" x14ac:dyDescent="0.25"/>
    <row r="44680" customFormat="1" x14ac:dyDescent="0.25"/>
    <row r="44681" customFormat="1" x14ac:dyDescent="0.25"/>
    <row r="44682" customFormat="1" x14ac:dyDescent="0.25"/>
    <row r="44683" customFormat="1" x14ac:dyDescent="0.25"/>
    <row r="44684" customFormat="1" x14ac:dyDescent="0.25"/>
    <row r="44685" customFormat="1" x14ac:dyDescent="0.25"/>
    <row r="44686" customFormat="1" x14ac:dyDescent="0.25"/>
    <row r="44687" customFormat="1" x14ac:dyDescent="0.25"/>
    <row r="44688" customFormat="1" x14ac:dyDescent="0.25"/>
    <row r="44689" customFormat="1" x14ac:dyDescent="0.25"/>
    <row r="44690" customFormat="1" x14ac:dyDescent="0.25"/>
    <row r="44691" customFormat="1" x14ac:dyDescent="0.25"/>
    <row r="44692" customFormat="1" x14ac:dyDescent="0.25"/>
    <row r="44693" customFormat="1" x14ac:dyDescent="0.25"/>
    <row r="44694" customFormat="1" x14ac:dyDescent="0.25"/>
    <row r="44695" customFormat="1" x14ac:dyDescent="0.25"/>
    <row r="44696" customFormat="1" x14ac:dyDescent="0.25"/>
    <row r="44697" customFormat="1" x14ac:dyDescent="0.25"/>
    <row r="44698" customFormat="1" x14ac:dyDescent="0.25"/>
    <row r="44699" customFormat="1" x14ac:dyDescent="0.25"/>
    <row r="44700" customFormat="1" x14ac:dyDescent="0.25"/>
    <row r="44701" customFormat="1" x14ac:dyDescent="0.25"/>
    <row r="44702" customFormat="1" x14ac:dyDescent="0.25"/>
    <row r="44703" customFormat="1" x14ac:dyDescent="0.25"/>
    <row r="44704" customFormat="1" x14ac:dyDescent="0.25"/>
    <row r="44705" customFormat="1" x14ac:dyDescent="0.25"/>
    <row r="44706" customFormat="1" x14ac:dyDescent="0.25"/>
    <row r="44707" customFormat="1" x14ac:dyDescent="0.25"/>
    <row r="44708" customFormat="1" x14ac:dyDescent="0.25"/>
    <row r="44709" customFormat="1" x14ac:dyDescent="0.25"/>
    <row r="44710" customFormat="1" x14ac:dyDescent="0.25"/>
    <row r="44711" customFormat="1" x14ac:dyDescent="0.25"/>
    <row r="44712" customFormat="1" x14ac:dyDescent="0.25"/>
    <row r="44713" customFormat="1" x14ac:dyDescent="0.25"/>
    <row r="44714" customFormat="1" x14ac:dyDescent="0.25"/>
    <row r="44715" customFormat="1" x14ac:dyDescent="0.25"/>
    <row r="44716" customFormat="1" x14ac:dyDescent="0.25"/>
    <row r="44717" customFormat="1" x14ac:dyDescent="0.25"/>
    <row r="44718" customFormat="1" x14ac:dyDescent="0.25"/>
    <row r="44719" customFormat="1" x14ac:dyDescent="0.25"/>
    <row r="44720" customFormat="1" x14ac:dyDescent="0.25"/>
    <row r="44721" customFormat="1" x14ac:dyDescent="0.25"/>
    <row r="44722" customFormat="1" x14ac:dyDescent="0.25"/>
    <row r="44723" customFormat="1" x14ac:dyDescent="0.25"/>
    <row r="44724" customFormat="1" x14ac:dyDescent="0.25"/>
    <row r="44725" customFormat="1" x14ac:dyDescent="0.25"/>
    <row r="44726" customFormat="1" x14ac:dyDescent="0.25"/>
    <row r="44727" customFormat="1" x14ac:dyDescent="0.25"/>
    <row r="44728" customFormat="1" x14ac:dyDescent="0.25"/>
    <row r="44729" customFormat="1" x14ac:dyDescent="0.25"/>
    <row r="44730" customFormat="1" x14ac:dyDescent="0.25"/>
    <row r="44731" customFormat="1" x14ac:dyDescent="0.25"/>
    <row r="44732" customFormat="1" x14ac:dyDescent="0.25"/>
    <row r="44733" customFormat="1" x14ac:dyDescent="0.25"/>
    <row r="44734" customFormat="1" x14ac:dyDescent="0.25"/>
    <row r="44735" customFormat="1" x14ac:dyDescent="0.25"/>
    <row r="44736" customFormat="1" x14ac:dyDescent="0.25"/>
    <row r="44737" customFormat="1" x14ac:dyDescent="0.25"/>
    <row r="44738" customFormat="1" x14ac:dyDescent="0.25"/>
    <row r="44739" customFormat="1" x14ac:dyDescent="0.25"/>
    <row r="44740" customFormat="1" x14ac:dyDescent="0.25"/>
    <row r="44741" customFormat="1" x14ac:dyDescent="0.25"/>
    <row r="44742" customFormat="1" x14ac:dyDescent="0.25"/>
    <row r="44743" customFormat="1" x14ac:dyDescent="0.25"/>
    <row r="44744" customFormat="1" x14ac:dyDescent="0.25"/>
    <row r="44745" customFormat="1" x14ac:dyDescent="0.25"/>
    <row r="44746" customFormat="1" x14ac:dyDescent="0.25"/>
    <row r="44747" customFormat="1" x14ac:dyDescent="0.25"/>
    <row r="44748" customFormat="1" x14ac:dyDescent="0.25"/>
    <row r="44749" customFormat="1" x14ac:dyDescent="0.25"/>
    <row r="44750" customFormat="1" x14ac:dyDescent="0.25"/>
    <row r="44751" customFormat="1" x14ac:dyDescent="0.25"/>
    <row r="44752" customFormat="1" x14ac:dyDescent="0.25"/>
    <row r="44753" customFormat="1" x14ac:dyDescent="0.25"/>
    <row r="44754" customFormat="1" x14ac:dyDescent="0.25"/>
    <row r="44755" customFormat="1" x14ac:dyDescent="0.25"/>
    <row r="44756" customFormat="1" x14ac:dyDescent="0.25"/>
    <row r="44757" customFormat="1" x14ac:dyDescent="0.25"/>
    <row r="44758" customFormat="1" x14ac:dyDescent="0.25"/>
    <row r="44759" customFormat="1" x14ac:dyDescent="0.25"/>
    <row r="44760" customFormat="1" x14ac:dyDescent="0.25"/>
    <row r="44761" customFormat="1" x14ac:dyDescent="0.25"/>
    <row r="44762" customFormat="1" x14ac:dyDescent="0.25"/>
    <row r="44763" customFormat="1" x14ac:dyDescent="0.25"/>
    <row r="44764" customFormat="1" x14ac:dyDescent="0.25"/>
    <row r="44765" customFormat="1" x14ac:dyDescent="0.25"/>
    <row r="44766" customFormat="1" x14ac:dyDescent="0.25"/>
    <row r="44767" customFormat="1" x14ac:dyDescent="0.25"/>
    <row r="44768" customFormat="1" x14ac:dyDescent="0.25"/>
    <row r="44769" customFormat="1" x14ac:dyDescent="0.25"/>
    <row r="44770" customFormat="1" x14ac:dyDescent="0.25"/>
    <row r="44771" customFormat="1" x14ac:dyDescent="0.25"/>
    <row r="44772" customFormat="1" x14ac:dyDescent="0.25"/>
    <row r="44773" customFormat="1" x14ac:dyDescent="0.25"/>
    <row r="44774" customFormat="1" x14ac:dyDescent="0.25"/>
    <row r="44775" customFormat="1" x14ac:dyDescent="0.25"/>
    <row r="44776" customFormat="1" x14ac:dyDescent="0.25"/>
    <row r="44777" customFormat="1" x14ac:dyDescent="0.25"/>
    <row r="44778" customFormat="1" x14ac:dyDescent="0.25"/>
    <row r="44779" customFormat="1" x14ac:dyDescent="0.25"/>
    <row r="44780" customFormat="1" x14ac:dyDescent="0.25"/>
    <row r="44781" customFormat="1" x14ac:dyDescent="0.25"/>
    <row r="44782" customFormat="1" x14ac:dyDescent="0.25"/>
    <row r="44783" customFormat="1" x14ac:dyDescent="0.25"/>
    <row r="44784" customFormat="1" x14ac:dyDescent="0.25"/>
    <row r="44785" customFormat="1" x14ac:dyDescent="0.25"/>
    <row r="44786" customFormat="1" x14ac:dyDescent="0.25"/>
    <row r="44787" customFormat="1" x14ac:dyDescent="0.25"/>
    <row r="44788" customFormat="1" x14ac:dyDescent="0.25"/>
    <row r="44789" customFormat="1" x14ac:dyDescent="0.25"/>
    <row r="44790" customFormat="1" x14ac:dyDescent="0.25"/>
    <row r="44791" customFormat="1" x14ac:dyDescent="0.25"/>
    <row r="44792" customFormat="1" x14ac:dyDescent="0.25"/>
    <row r="44793" customFormat="1" x14ac:dyDescent="0.25"/>
    <row r="44794" customFormat="1" x14ac:dyDescent="0.25"/>
    <row r="44795" customFormat="1" x14ac:dyDescent="0.25"/>
    <row r="44796" customFormat="1" x14ac:dyDescent="0.25"/>
    <row r="44797" customFormat="1" x14ac:dyDescent="0.25"/>
    <row r="44798" customFormat="1" x14ac:dyDescent="0.25"/>
    <row r="44799" customFormat="1" x14ac:dyDescent="0.25"/>
    <row r="44800" customFormat="1" x14ac:dyDescent="0.25"/>
    <row r="44801" customFormat="1" x14ac:dyDescent="0.25"/>
    <row r="44802" customFormat="1" x14ac:dyDescent="0.25"/>
    <row r="44803" customFormat="1" x14ac:dyDescent="0.25"/>
    <row r="44804" customFormat="1" x14ac:dyDescent="0.25"/>
    <row r="44805" customFormat="1" x14ac:dyDescent="0.25"/>
    <row r="44806" customFormat="1" x14ac:dyDescent="0.25"/>
    <row r="44807" customFormat="1" x14ac:dyDescent="0.25"/>
    <row r="44808" customFormat="1" x14ac:dyDescent="0.25"/>
    <row r="44809" customFormat="1" x14ac:dyDescent="0.25"/>
    <row r="44810" customFormat="1" x14ac:dyDescent="0.25"/>
    <row r="44811" customFormat="1" x14ac:dyDescent="0.25"/>
    <row r="44812" customFormat="1" x14ac:dyDescent="0.25"/>
    <row r="44813" customFormat="1" x14ac:dyDescent="0.25"/>
    <row r="44814" customFormat="1" x14ac:dyDescent="0.25"/>
    <row r="44815" customFormat="1" x14ac:dyDescent="0.25"/>
    <row r="44816" customFormat="1" x14ac:dyDescent="0.25"/>
    <row r="44817" customFormat="1" x14ac:dyDescent="0.25"/>
    <row r="44818" customFormat="1" x14ac:dyDescent="0.25"/>
    <row r="44819" customFormat="1" x14ac:dyDescent="0.25"/>
    <row r="44820" customFormat="1" x14ac:dyDescent="0.25"/>
    <row r="44821" customFormat="1" x14ac:dyDescent="0.25"/>
    <row r="44822" customFormat="1" x14ac:dyDescent="0.25"/>
    <row r="44823" customFormat="1" x14ac:dyDescent="0.25"/>
    <row r="44824" customFormat="1" x14ac:dyDescent="0.25"/>
    <row r="44825" customFormat="1" x14ac:dyDescent="0.25"/>
    <row r="44826" customFormat="1" x14ac:dyDescent="0.25"/>
    <row r="44827" customFormat="1" x14ac:dyDescent="0.25"/>
    <row r="44828" customFormat="1" x14ac:dyDescent="0.25"/>
    <row r="44829" customFormat="1" x14ac:dyDescent="0.25"/>
    <row r="44830" customFormat="1" x14ac:dyDescent="0.25"/>
    <row r="44831" customFormat="1" x14ac:dyDescent="0.25"/>
    <row r="44832" customFormat="1" x14ac:dyDescent="0.25"/>
    <row r="44833" customFormat="1" x14ac:dyDescent="0.25"/>
    <row r="44834" customFormat="1" x14ac:dyDescent="0.25"/>
    <row r="44835" customFormat="1" x14ac:dyDescent="0.25"/>
    <row r="44836" customFormat="1" x14ac:dyDescent="0.25"/>
    <row r="44837" customFormat="1" x14ac:dyDescent="0.25"/>
    <row r="44838" customFormat="1" x14ac:dyDescent="0.25"/>
    <row r="44839" customFormat="1" x14ac:dyDescent="0.25"/>
    <row r="44840" customFormat="1" x14ac:dyDescent="0.25"/>
    <row r="44841" customFormat="1" x14ac:dyDescent="0.25"/>
    <row r="44842" customFormat="1" x14ac:dyDescent="0.25"/>
    <row r="44843" customFormat="1" x14ac:dyDescent="0.25"/>
    <row r="44844" customFormat="1" x14ac:dyDescent="0.25"/>
    <row r="44845" customFormat="1" x14ac:dyDescent="0.25"/>
    <row r="44846" customFormat="1" x14ac:dyDescent="0.25"/>
    <row r="44847" customFormat="1" x14ac:dyDescent="0.25"/>
    <row r="44848" customFormat="1" x14ac:dyDescent="0.25"/>
    <row r="44849" customFormat="1" x14ac:dyDescent="0.25"/>
    <row r="44850" customFormat="1" x14ac:dyDescent="0.25"/>
    <row r="44851" customFormat="1" x14ac:dyDescent="0.25"/>
    <row r="44852" customFormat="1" x14ac:dyDescent="0.25"/>
    <row r="44853" customFormat="1" x14ac:dyDescent="0.25"/>
    <row r="44854" customFormat="1" x14ac:dyDescent="0.25"/>
    <row r="44855" customFormat="1" x14ac:dyDescent="0.25"/>
    <row r="44856" customFormat="1" x14ac:dyDescent="0.25"/>
    <row r="44857" customFormat="1" x14ac:dyDescent="0.25"/>
    <row r="44858" customFormat="1" x14ac:dyDescent="0.25"/>
    <row r="44859" customFormat="1" x14ac:dyDescent="0.25"/>
    <row r="44860" customFormat="1" x14ac:dyDescent="0.25"/>
    <row r="44861" customFormat="1" x14ac:dyDescent="0.25"/>
    <row r="44862" customFormat="1" x14ac:dyDescent="0.25"/>
    <row r="44863" customFormat="1" x14ac:dyDescent="0.25"/>
    <row r="44864" customFormat="1" x14ac:dyDescent="0.25"/>
    <row r="44865" customFormat="1" x14ac:dyDescent="0.25"/>
    <row r="44866" customFormat="1" x14ac:dyDescent="0.25"/>
    <row r="44867" customFormat="1" x14ac:dyDescent="0.25"/>
    <row r="44868" customFormat="1" x14ac:dyDescent="0.25"/>
    <row r="44869" customFormat="1" x14ac:dyDescent="0.25"/>
    <row r="44870" customFormat="1" x14ac:dyDescent="0.25"/>
    <row r="44871" customFormat="1" x14ac:dyDescent="0.25"/>
    <row r="44872" customFormat="1" x14ac:dyDescent="0.25"/>
    <row r="44873" customFormat="1" x14ac:dyDescent="0.25"/>
    <row r="44874" customFormat="1" x14ac:dyDescent="0.25"/>
    <row r="44875" customFormat="1" x14ac:dyDescent="0.25"/>
    <row r="44876" customFormat="1" x14ac:dyDescent="0.25"/>
    <row r="44877" customFormat="1" x14ac:dyDescent="0.25"/>
    <row r="44878" customFormat="1" x14ac:dyDescent="0.25"/>
    <row r="44879" customFormat="1" x14ac:dyDescent="0.25"/>
    <row r="44880" customFormat="1" x14ac:dyDescent="0.25"/>
    <row r="44881" customFormat="1" x14ac:dyDescent="0.25"/>
    <row r="44882" customFormat="1" x14ac:dyDescent="0.25"/>
    <row r="44883" customFormat="1" x14ac:dyDescent="0.25"/>
    <row r="44884" customFormat="1" x14ac:dyDescent="0.25"/>
    <row r="44885" customFormat="1" x14ac:dyDescent="0.25"/>
    <row r="44886" customFormat="1" x14ac:dyDescent="0.25"/>
    <row r="44887" customFormat="1" x14ac:dyDescent="0.25"/>
    <row r="44888" customFormat="1" x14ac:dyDescent="0.25"/>
    <row r="44889" customFormat="1" x14ac:dyDescent="0.25"/>
    <row r="44890" customFormat="1" x14ac:dyDescent="0.25"/>
    <row r="44891" customFormat="1" x14ac:dyDescent="0.25"/>
    <row r="44892" customFormat="1" x14ac:dyDescent="0.25"/>
    <row r="44893" customFormat="1" x14ac:dyDescent="0.25"/>
    <row r="44894" customFormat="1" x14ac:dyDescent="0.25"/>
    <row r="44895" customFormat="1" x14ac:dyDescent="0.25"/>
    <row r="44896" customFormat="1" x14ac:dyDescent="0.25"/>
    <row r="44897" customFormat="1" x14ac:dyDescent="0.25"/>
    <row r="44898" customFormat="1" x14ac:dyDescent="0.25"/>
    <row r="44899" customFormat="1" x14ac:dyDescent="0.25"/>
    <row r="44900" customFormat="1" x14ac:dyDescent="0.25"/>
    <row r="44901" customFormat="1" x14ac:dyDescent="0.25"/>
    <row r="44902" customFormat="1" x14ac:dyDescent="0.25"/>
    <row r="44903" customFormat="1" x14ac:dyDescent="0.25"/>
    <row r="44904" customFormat="1" x14ac:dyDescent="0.25"/>
    <row r="44905" customFormat="1" x14ac:dyDescent="0.25"/>
    <row r="44906" customFormat="1" x14ac:dyDescent="0.25"/>
    <row r="44907" customFormat="1" x14ac:dyDescent="0.25"/>
    <row r="44908" customFormat="1" x14ac:dyDescent="0.25"/>
    <row r="44909" customFormat="1" x14ac:dyDescent="0.25"/>
    <row r="44910" customFormat="1" x14ac:dyDescent="0.25"/>
    <row r="44911" customFormat="1" x14ac:dyDescent="0.25"/>
    <row r="44912" customFormat="1" x14ac:dyDescent="0.25"/>
    <row r="44913" customFormat="1" x14ac:dyDescent="0.25"/>
    <row r="44914" customFormat="1" x14ac:dyDescent="0.25"/>
    <row r="44915" customFormat="1" x14ac:dyDescent="0.25"/>
    <row r="44916" customFormat="1" x14ac:dyDescent="0.25"/>
    <row r="44917" customFormat="1" x14ac:dyDescent="0.25"/>
    <row r="44918" customFormat="1" x14ac:dyDescent="0.25"/>
    <row r="44919" customFormat="1" x14ac:dyDescent="0.25"/>
    <row r="44920" customFormat="1" x14ac:dyDescent="0.25"/>
    <row r="44921" customFormat="1" x14ac:dyDescent="0.25"/>
    <row r="44922" customFormat="1" x14ac:dyDescent="0.25"/>
    <row r="44923" customFormat="1" x14ac:dyDescent="0.25"/>
    <row r="44924" customFormat="1" x14ac:dyDescent="0.25"/>
    <row r="44925" customFormat="1" x14ac:dyDescent="0.25"/>
    <row r="44926" customFormat="1" x14ac:dyDescent="0.25"/>
    <row r="44927" customFormat="1" x14ac:dyDescent="0.25"/>
    <row r="44928" customFormat="1" x14ac:dyDescent="0.25"/>
    <row r="44929" customFormat="1" x14ac:dyDescent="0.25"/>
    <row r="44930" customFormat="1" x14ac:dyDescent="0.25"/>
    <row r="44931" customFormat="1" x14ac:dyDescent="0.25"/>
    <row r="44932" customFormat="1" x14ac:dyDescent="0.25"/>
    <row r="44933" customFormat="1" x14ac:dyDescent="0.25"/>
    <row r="44934" customFormat="1" x14ac:dyDescent="0.25"/>
    <row r="44935" customFormat="1" x14ac:dyDescent="0.25"/>
    <row r="44936" customFormat="1" x14ac:dyDescent="0.25"/>
    <row r="44937" customFormat="1" x14ac:dyDescent="0.25"/>
    <row r="44938" customFormat="1" x14ac:dyDescent="0.25"/>
    <row r="44939" customFormat="1" x14ac:dyDescent="0.25"/>
    <row r="44940" customFormat="1" x14ac:dyDescent="0.25"/>
    <row r="44941" customFormat="1" x14ac:dyDescent="0.25"/>
    <row r="44942" customFormat="1" x14ac:dyDescent="0.25"/>
    <row r="44943" customFormat="1" x14ac:dyDescent="0.25"/>
    <row r="44944" customFormat="1" x14ac:dyDescent="0.25"/>
    <row r="44945" customFormat="1" x14ac:dyDescent="0.25"/>
    <row r="44946" customFormat="1" x14ac:dyDescent="0.25"/>
    <row r="44947" customFormat="1" x14ac:dyDescent="0.25"/>
    <row r="44948" customFormat="1" x14ac:dyDescent="0.25"/>
    <row r="44949" customFormat="1" x14ac:dyDescent="0.25"/>
    <row r="44950" customFormat="1" x14ac:dyDescent="0.25"/>
    <row r="44951" customFormat="1" x14ac:dyDescent="0.25"/>
    <row r="44952" customFormat="1" x14ac:dyDescent="0.25"/>
    <row r="44953" customFormat="1" x14ac:dyDescent="0.25"/>
    <row r="44954" customFormat="1" x14ac:dyDescent="0.25"/>
    <row r="44955" customFormat="1" x14ac:dyDescent="0.25"/>
    <row r="44956" customFormat="1" x14ac:dyDescent="0.25"/>
    <row r="44957" customFormat="1" x14ac:dyDescent="0.25"/>
    <row r="44958" customFormat="1" x14ac:dyDescent="0.25"/>
    <row r="44959" customFormat="1" x14ac:dyDescent="0.25"/>
    <row r="44960" customFormat="1" x14ac:dyDescent="0.25"/>
    <row r="44961" customFormat="1" x14ac:dyDescent="0.25"/>
    <row r="44962" customFormat="1" x14ac:dyDescent="0.25"/>
    <row r="44963" customFormat="1" x14ac:dyDescent="0.25"/>
    <row r="44964" customFormat="1" x14ac:dyDescent="0.25"/>
    <row r="44965" customFormat="1" x14ac:dyDescent="0.25"/>
    <row r="44966" customFormat="1" x14ac:dyDescent="0.25"/>
    <row r="44967" customFormat="1" x14ac:dyDescent="0.25"/>
    <row r="44968" customFormat="1" x14ac:dyDescent="0.25"/>
    <row r="44969" customFormat="1" x14ac:dyDescent="0.25"/>
    <row r="44970" customFormat="1" x14ac:dyDescent="0.25"/>
    <row r="44971" customFormat="1" x14ac:dyDescent="0.25"/>
    <row r="44972" customFormat="1" x14ac:dyDescent="0.25"/>
    <row r="44973" customFormat="1" x14ac:dyDescent="0.25"/>
    <row r="44974" customFormat="1" x14ac:dyDescent="0.25"/>
    <row r="44975" customFormat="1" x14ac:dyDescent="0.25"/>
    <row r="44976" customFormat="1" x14ac:dyDescent="0.25"/>
    <row r="44977" customFormat="1" x14ac:dyDescent="0.25"/>
    <row r="44978" customFormat="1" x14ac:dyDescent="0.25"/>
    <row r="44979" customFormat="1" x14ac:dyDescent="0.25"/>
    <row r="44980" customFormat="1" x14ac:dyDescent="0.25"/>
    <row r="44981" customFormat="1" x14ac:dyDescent="0.25"/>
    <row r="44982" customFormat="1" x14ac:dyDescent="0.25"/>
    <row r="44983" customFormat="1" x14ac:dyDescent="0.25"/>
    <row r="44984" customFormat="1" x14ac:dyDescent="0.25"/>
    <row r="44985" customFormat="1" x14ac:dyDescent="0.25"/>
    <row r="44986" customFormat="1" x14ac:dyDescent="0.25"/>
    <row r="44987" customFormat="1" x14ac:dyDescent="0.25"/>
    <row r="44988" customFormat="1" x14ac:dyDescent="0.25"/>
    <row r="44989" customFormat="1" x14ac:dyDescent="0.25"/>
    <row r="44990" customFormat="1" x14ac:dyDescent="0.25"/>
    <row r="44991" customFormat="1" x14ac:dyDescent="0.25"/>
    <row r="44992" customFormat="1" x14ac:dyDescent="0.25"/>
    <row r="44993" customFormat="1" x14ac:dyDescent="0.25"/>
    <row r="44994" customFormat="1" x14ac:dyDescent="0.25"/>
    <row r="44995" customFormat="1" x14ac:dyDescent="0.25"/>
    <row r="44996" customFormat="1" x14ac:dyDescent="0.25"/>
    <row r="44997" customFormat="1" x14ac:dyDescent="0.25"/>
    <row r="44998" customFormat="1" x14ac:dyDescent="0.25"/>
    <row r="44999" customFormat="1" x14ac:dyDescent="0.25"/>
    <row r="45000" customFormat="1" x14ac:dyDescent="0.25"/>
    <row r="45001" customFormat="1" x14ac:dyDescent="0.25"/>
    <row r="45002" customFormat="1" x14ac:dyDescent="0.25"/>
    <row r="45003" customFormat="1" x14ac:dyDescent="0.25"/>
    <row r="45004" customFormat="1" x14ac:dyDescent="0.25"/>
    <row r="45005" customFormat="1" x14ac:dyDescent="0.25"/>
    <row r="45006" customFormat="1" x14ac:dyDescent="0.25"/>
    <row r="45007" customFormat="1" x14ac:dyDescent="0.25"/>
    <row r="45008" customFormat="1" x14ac:dyDescent="0.25"/>
    <row r="45009" customFormat="1" x14ac:dyDescent="0.25"/>
    <row r="45010" customFormat="1" x14ac:dyDescent="0.25"/>
    <row r="45011" customFormat="1" x14ac:dyDescent="0.25"/>
    <row r="45012" customFormat="1" x14ac:dyDescent="0.25"/>
    <row r="45013" customFormat="1" x14ac:dyDescent="0.25"/>
    <row r="45014" customFormat="1" x14ac:dyDescent="0.25"/>
    <row r="45015" customFormat="1" x14ac:dyDescent="0.25"/>
    <row r="45016" customFormat="1" x14ac:dyDescent="0.25"/>
    <row r="45017" customFormat="1" x14ac:dyDescent="0.25"/>
    <row r="45018" customFormat="1" x14ac:dyDescent="0.25"/>
    <row r="45019" customFormat="1" x14ac:dyDescent="0.25"/>
    <row r="45020" customFormat="1" x14ac:dyDescent="0.25"/>
    <row r="45021" customFormat="1" x14ac:dyDescent="0.25"/>
    <row r="45022" customFormat="1" x14ac:dyDescent="0.25"/>
    <row r="45023" customFormat="1" x14ac:dyDescent="0.25"/>
    <row r="45024" customFormat="1" x14ac:dyDescent="0.25"/>
    <row r="45025" customFormat="1" x14ac:dyDescent="0.25"/>
    <row r="45026" customFormat="1" x14ac:dyDescent="0.25"/>
    <row r="45027" customFormat="1" x14ac:dyDescent="0.25"/>
    <row r="45028" customFormat="1" x14ac:dyDescent="0.25"/>
    <row r="45029" customFormat="1" x14ac:dyDescent="0.25"/>
    <row r="45030" customFormat="1" x14ac:dyDescent="0.25"/>
    <row r="45031" customFormat="1" x14ac:dyDescent="0.25"/>
    <row r="45032" customFormat="1" x14ac:dyDescent="0.25"/>
    <row r="45033" customFormat="1" x14ac:dyDescent="0.25"/>
    <row r="45034" customFormat="1" x14ac:dyDescent="0.25"/>
    <row r="45035" customFormat="1" x14ac:dyDescent="0.25"/>
    <row r="45036" customFormat="1" x14ac:dyDescent="0.25"/>
    <row r="45037" customFormat="1" x14ac:dyDescent="0.25"/>
    <row r="45038" customFormat="1" x14ac:dyDescent="0.25"/>
    <row r="45039" customFormat="1" x14ac:dyDescent="0.25"/>
    <row r="45040" customFormat="1" x14ac:dyDescent="0.25"/>
    <row r="45041" customFormat="1" x14ac:dyDescent="0.25"/>
    <row r="45042" customFormat="1" x14ac:dyDescent="0.25"/>
    <row r="45043" customFormat="1" x14ac:dyDescent="0.25"/>
    <row r="45044" customFormat="1" x14ac:dyDescent="0.25"/>
    <row r="45045" customFormat="1" x14ac:dyDescent="0.25"/>
    <row r="45046" customFormat="1" x14ac:dyDescent="0.25"/>
    <row r="45047" customFormat="1" x14ac:dyDescent="0.25"/>
    <row r="45048" customFormat="1" x14ac:dyDescent="0.25"/>
    <row r="45049" customFormat="1" x14ac:dyDescent="0.25"/>
    <row r="45050" customFormat="1" x14ac:dyDescent="0.25"/>
    <row r="45051" customFormat="1" x14ac:dyDescent="0.25"/>
    <row r="45052" customFormat="1" x14ac:dyDescent="0.25"/>
    <row r="45053" customFormat="1" x14ac:dyDescent="0.25"/>
    <row r="45054" customFormat="1" x14ac:dyDescent="0.25"/>
    <row r="45055" customFormat="1" x14ac:dyDescent="0.25"/>
    <row r="45056" customFormat="1" x14ac:dyDescent="0.25"/>
    <row r="45057" customFormat="1" x14ac:dyDescent="0.25"/>
    <row r="45058" customFormat="1" x14ac:dyDescent="0.25"/>
    <row r="45059" customFormat="1" x14ac:dyDescent="0.25"/>
    <row r="45060" customFormat="1" x14ac:dyDescent="0.25"/>
    <row r="45061" customFormat="1" x14ac:dyDescent="0.25"/>
    <row r="45062" customFormat="1" x14ac:dyDescent="0.25"/>
    <row r="45063" customFormat="1" x14ac:dyDescent="0.25"/>
    <row r="45064" customFormat="1" x14ac:dyDescent="0.25"/>
    <row r="45065" customFormat="1" x14ac:dyDescent="0.25"/>
    <row r="45066" customFormat="1" x14ac:dyDescent="0.25"/>
    <row r="45067" customFormat="1" x14ac:dyDescent="0.25"/>
    <row r="45068" customFormat="1" x14ac:dyDescent="0.25"/>
    <row r="45069" customFormat="1" x14ac:dyDescent="0.25"/>
    <row r="45070" customFormat="1" x14ac:dyDescent="0.25"/>
    <row r="45071" customFormat="1" x14ac:dyDescent="0.25"/>
    <row r="45072" customFormat="1" x14ac:dyDescent="0.25"/>
    <row r="45073" customFormat="1" x14ac:dyDescent="0.25"/>
    <row r="45074" customFormat="1" x14ac:dyDescent="0.25"/>
    <row r="45075" customFormat="1" x14ac:dyDescent="0.25"/>
    <row r="45076" customFormat="1" x14ac:dyDescent="0.25"/>
    <row r="45077" customFormat="1" x14ac:dyDescent="0.25"/>
    <row r="45078" customFormat="1" x14ac:dyDescent="0.25"/>
    <row r="45079" customFormat="1" x14ac:dyDescent="0.25"/>
    <row r="45080" customFormat="1" x14ac:dyDescent="0.25"/>
    <row r="45081" customFormat="1" x14ac:dyDescent="0.25"/>
    <row r="45082" customFormat="1" x14ac:dyDescent="0.25"/>
    <row r="45083" customFormat="1" x14ac:dyDescent="0.25"/>
    <row r="45084" customFormat="1" x14ac:dyDescent="0.25"/>
    <row r="45085" customFormat="1" x14ac:dyDescent="0.25"/>
    <row r="45086" customFormat="1" x14ac:dyDescent="0.25"/>
    <row r="45087" customFormat="1" x14ac:dyDescent="0.25"/>
    <row r="45088" customFormat="1" x14ac:dyDescent="0.25"/>
    <row r="45089" customFormat="1" x14ac:dyDescent="0.25"/>
    <row r="45090" customFormat="1" x14ac:dyDescent="0.25"/>
    <row r="45091" customFormat="1" x14ac:dyDescent="0.25"/>
    <row r="45092" customFormat="1" x14ac:dyDescent="0.25"/>
    <row r="45093" customFormat="1" x14ac:dyDescent="0.25"/>
    <row r="45094" customFormat="1" x14ac:dyDescent="0.25"/>
    <row r="45095" customFormat="1" x14ac:dyDescent="0.25"/>
    <row r="45096" customFormat="1" x14ac:dyDescent="0.25"/>
    <row r="45097" customFormat="1" x14ac:dyDescent="0.25"/>
    <row r="45098" customFormat="1" x14ac:dyDescent="0.25"/>
    <row r="45099" customFormat="1" x14ac:dyDescent="0.25"/>
    <row r="45100" customFormat="1" x14ac:dyDescent="0.25"/>
    <row r="45101" customFormat="1" x14ac:dyDescent="0.25"/>
    <row r="45102" customFormat="1" x14ac:dyDescent="0.25"/>
    <row r="45103" customFormat="1" x14ac:dyDescent="0.25"/>
    <row r="45104" customFormat="1" x14ac:dyDescent="0.25"/>
    <row r="45105" customFormat="1" x14ac:dyDescent="0.25"/>
    <row r="45106" customFormat="1" x14ac:dyDescent="0.25"/>
    <row r="45107" customFormat="1" x14ac:dyDescent="0.25"/>
    <row r="45108" customFormat="1" x14ac:dyDescent="0.25"/>
    <row r="45109" customFormat="1" x14ac:dyDescent="0.25"/>
    <row r="45110" customFormat="1" x14ac:dyDescent="0.25"/>
    <row r="45111" customFormat="1" x14ac:dyDescent="0.25"/>
    <row r="45112" customFormat="1" x14ac:dyDescent="0.25"/>
    <row r="45113" customFormat="1" x14ac:dyDescent="0.25"/>
    <row r="45114" customFormat="1" x14ac:dyDescent="0.25"/>
    <row r="45115" customFormat="1" x14ac:dyDescent="0.25"/>
    <row r="45116" customFormat="1" x14ac:dyDescent="0.25"/>
    <row r="45117" customFormat="1" x14ac:dyDescent="0.25"/>
    <row r="45118" customFormat="1" x14ac:dyDescent="0.25"/>
    <row r="45119" customFormat="1" x14ac:dyDescent="0.25"/>
    <row r="45120" customFormat="1" x14ac:dyDescent="0.25"/>
    <row r="45121" customFormat="1" x14ac:dyDescent="0.25"/>
    <row r="45122" customFormat="1" x14ac:dyDescent="0.25"/>
    <row r="45123" customFormat="1" x14ac:dyDescent="0.25"/>
    <row r="45124" customFormat="1" x14ac:dyDescent="0.25"/>
    <row r="45125" customFormat="1" x14ac:dyDescent="0.25"/>
    <row r="45126" customFormat="1" x14ac:dyDescent="0.25"/>
    <row r="45127" customFormat="1" x14ac:dyDescent="0.25"/>
    <row r="45128" customFormat="1" x14ac:dyDescent="0.25"/>
    <row r="45129" customFormat="1" x14ac:dyDescent="0.25"/>
    <row r="45130" customFormat="1" x14ac:dyDescent="0.25"/>
    <row r="45131" customFormat="1" x14ac:dyDescent="0.25"/>
    <row r="45132" customFormat="1" x14ac:dyDescent="0.25"/>
    <row r="45133" customFormat="1" x14ac:dyDescent="0.25"/>
    <row r="45134" customFormat="1" x14ac:dyDescent="0.25"/>
    <row r="45135" customFormat="1" x14ac:dyDescent="0.25"/>
    <row r="45136" customFormat="1" x14ac:dyDescent="0.25"/>
    <row r="45137" customFormat="1" x14ac:dyDescent="0.25"/>
    <row r="45138" customFormat="1" x14ac:dyDescent="0.25"/>
    <row r="45139" customFormat="1" x14ac:dyDescent="0.25"/>
    <row r="45140" customFormat="1" x14ac:dyDescent="0.25"/>
    <row r="45141" customFormat="1" x14ac:dyDescent="0.25"/>
    <row r="45142" customFormat="1" x14ac:dyDescent="0.25"/>
    <row r="45143" customFormat="1" x14ac:dyDescent="0.25"/>
    <row r="45144" customFormat="1" x14ac:dyDescent="0.25"/>
    <row r="45145" customFormat="1" x14ac:dyDescent="0.25"/>
    <row r="45146" customFormat="1" x14ac:dyDescent="0.25"/>
    <row r="45147" customFormat="1" x14ac:dyDescent="0.25"/>
    <row r="45148" customFormat="1" x14ac:dyDescent="0.25"/>
    <row r="45149" customFormat="1" x14ac:dyDescent="0.25"/>
    <row r="45150" customFormat="1" x14ac:dyDescent="0.25"/>
    <row r="45151" customFormat="1" x14ac:dyDescent="0.25"/>
    <row r="45152" customFormat="1" x14ac:dyDescent="0.25"/>
    <row r="45153" customFormat="1" x14ac:dyDescent="0.25"/>
    <row r="45154" customFormat="1" x14ac:dyDescent="0.25"/>
    <row r="45155" customFormat="1" x14ac:dyDescent="0.25"/>
    <row r="45156" customFormat="1" x14ac:dyDescent="0.25"/>
    <row r="45157" customFormat="1" x14ac:dyDescent="0.25"/>
    <row r="45158" customFormat="1" x14ac:dyDescent="0.25"/>
    <row r="45159" customFormat="1" x14ac:dyDescent="0.25"/>
    <row r="45160" customFormat="1" x14ac:dyDescent="0.25"/>
    <row r="45161" customFormat="1" x14ac:dyDescent="0.25"/>
    <row r="45162" customFormat="1" x14ac:dyDescent="0.25"/>
    <row r="45163" customFormat="1" x14ac:dyDescent="0.25"/>
    <row r="45164" customFormat="1" x14ac:dyDescent="0.25"/>
    <row r="45165" customFormat="1" x14ac:dyDescent="0.25"/>
    <row r="45166" customFormat="1" x14ac:dyDescent="0.25"/>
    <row r="45167" customFormat="1" x14ac:dyDescent="0.25"/>
    <row r="45168" customFormat="1" x14ac:dyDescent="0.25"/>
    <row r="45169" customFormat="1" x14ac:dyDescent="0.25"/>
    <row r="45170" customFormat="1" x14ac:dyDescent="0.25"/>
    <row r="45171" customFormat="1" x14ac:dyDescent="0.25"/>
    <row r="45172" customFormat="1" x14ac:dyDescent="0.25"/>
    <row r="45173" customFormat="1" x14ac:dyDescent="0.25"/>
    <row r="45174" customFormat="1" x14ac:dyDescent="0.25"/>
    <row r="45175" customFormat="1" x14ac:dyDescent="0.25"/>
    <row r="45176" customFormat="1" x14ac:dyDescent="0.25"/>
    <row r="45177" customFormat="1" x14ac:dyDescent="0.25"/>
    <row r="45178" customFormat="1" x14ac:dyDescent="0.25"/>
    <row r="45179" customFormat="1" x14ac:dyDescent="0.25"/>
    <row r="45180" customFormat="1" x14ac:dyDescent="0.25"/>
    <row r="45181" customFormat="1" x14ac:dyDescent="0.25"/>
    <row r="45182" customFormat="1" x14ac:dyDescent="0.25"/>
    <row r="45183" customFormat="1" x14ac:dyDescent="0.25"/>
    <row r="45184" customFormat="1" x14ac:dyDescent="0.25"/>
    <row r="45185" customFormat="1" x14ac:dyDescent="0.25"/>
    <row r="45186" customFormat="1" x14ac:dyDescent="0.25"/>
    <row r="45187" customFormat="1" x14ac:dyDescent="0.25"/>
    <row r="45188" customFormat="1" x14ac:dyDescent="0.25"/>
    <row r="45189" customFormat="1" x14ac:dyDescent="0.25"/>
    <row r="45190" customFormat="1" x14ac:dyDescent="0.25"/>
    <row r="45191" customFormat="1" x14ac:dyDescent="0.25"/>
    <row r="45192" customFormat="1" x14ac:dyDescent="0.25"/>
    <row r="45193" customFormat="1" x14ac:dyDescent="0.25"/>
    <row r="45194" customFormat="1" x14ac:dyDescent="0.25"/>
    <row r="45195" customFormat="1" x14ac:dyDescent="0.25"/>
    <row r="45196" customFormat="1" x14ac:dyDescent="0.25"/>
    <row r="45197" customFormat="1" x14ac:dyDescent="0.25"/>
    <row r="45198" customFormat="1" x14ac:dyDescent="0.25"/>
    <row r="45199" customFormat="1" x14ac:dyDescent="0.25"/>
    <row r="45200" customFormat="1" x14ac:dyDescent="0.25"/>
    <row r="45201" customFormat="1" x14ac:dyDescent="0.25"/>
    <row r="45202" customFormat="1" x14ac:dyDescent="0.25"/>
    <row r="45203" customFormat="1" x14ac:dyDescent="0.25"/>
    <row r="45204" customFormat="1" x14ac:dyDescent="0.25"/>
    <row r="45205" customFormat="1" x14ac:dyDescent="0.25"/>
    <row r="45206" customFormat="1" x14ac:dyDescent="0.25"/>
    <row r="45207" customFormat="1" x14ac:dyDescent="0.25"/>
    <row r="45208" customFormat="1" x14ac:dyDescent="0.25"/>
    <row r="45209" customFormat="1" x14ac:dyDescent="0.25"/>
    <row r="45210" customFormat="1" x14ac:dyDescent="0.25"/>
    <row r="45211" customFormat="1" x14ac:dyDescent="0.25"/>
    <row r="45212" customFormat="1" x14ac:dyDescent="0.25"/>
    <row r="45213" customFormat="1" x14ac:dyDescent="0.25"/>
    <row r="45214" customFormat="1" x14ac:dyDescent="0.25"/>
    <row r="45215" customFormat="1" x14ac:dyDescent="0.25"/>
    <row r="45216" customFormat="1" x14ac:dyDescent="0.25"/>
    <row r="45217" customFormat="1" x14ac:dyDescent="0.25"/>
    <row r="45218" customFormat="1" x14ac:dyDescent="0.25"/>
    <row r="45219" customFormat="1" x14ac:dyDescent="0.25"/>
    <row r="45220" customFormat="1" x14ac:dyDescent="0.25"/>
    <row r="45221" customFormat="1" x14ac:dyDescent="0.25"/>
    <row r="45222" customFormat="1" x14ac:dyDescent="0.25"/>
    <row r="45223" customFormat="1" x14ac:dyDescent="0.25"/>
    <row r="45224" customFormat="1" x14ac:dyDescent="0.25"/>
    <row r="45225" customFormat="1" x14ac:dyDescent="0.25"/>
    <row r="45226" customFormat="1" x14ac:dyDescent="0.25"/>
    <row r="45227" customFormat="1" x14ac:dyDescent="0.25"/>
    <row r="45228" customFormat="1" x14ac:dyDescent="0.25"/>
    <row r="45229" customFormat="1" x14ac:dyDescent="0.25"/>
    <row r="45230" customFormat="1" x14ac:dyDescent="0.25"/>
    <row r="45231" customFormat="1" x14ac:dyDescent="0.25"/>
    <row r="45232" customFormat="1" x14ac:dyDescent="0.25"/>
    <row r="45233" customFormat="1" x14ac:dyDescent="0.25"/>
    <row r="45234" customFormat="1" x14ac:dyDescent="0.25"/>
    <row r="45235" customFormat="1" x14ac:dyDescent="0.25"/>
    <row r="45236" customFormat="1" x14ac:dyDescent="0.25"/>
    <row r="45237" customFormat="1" x14ac:dyDescent="0.25"/>
    <row r="45238" customFormat="1" x14ac:dyDescent="0.25"/>
    <row r="45239" customFormat="1" x14ac:dyDescent="0.25"/>
    <row r="45240" customFormat="1" x14ac:dyDescent="0.25"/>
    <row r="45241" customFormat="1" x14ac:dyDescent="0.25"/>
    <row r="45242" customFormat="1" x14ac:dyDescent="0.25"/>
    <row r="45243" customFormat="1" x14ac:dyDescent="0.25"/>
    <row r="45244" customFormat="1" x14ac:dyDescent="0.25"/>
    <row r="45245" customFormat="1" x14ac:dyDescent="0.25"/>
    <row r="45246" customFormat="1" x14ac:dyDescent="0.25"/>
    <row r="45247" customFormat="1" x14ac:dyDescent="0.25"/>
    <row r="45248" customFormat="1" x14ac:dyDescent="0.25"/>
    <row r="45249" customFormat="1" x14ac:dyDescent="0.25"/>
    <row r="45250" customFormat="1" x14ac:dyDescent="0.25"/>
    <row r="45251" customFormat="1" x14ac:dyDescent="0.25"/>
    <row r="45252" customFormat="1" x14ac:dyDescent="0.25"/>
    <row r="45253" customFormat="1" x14ac:dyDescent="0.25"/>
    <row r="45254" customFormat="1" x14ac:dyDescent="0.25"/>
    <row r="45255" customFormat="1" x14ac:dyDescent="0.25"/>
    <row r="45256" customFormat="1" x14ac:dyDescent="0.25"/>
    <row r="45257" customFormat="1" x14ac:dyDescent="0.25"/>
    <row r="45258" customFormat="1" x14ac:dyDescent="0.25"/>
    <row r="45259" customFormat="1" x14ac:dyDescent="0.25"/>
    <row r="45260" customFormat="1" x14ac:dyDescent="0.25"/>
    <row r="45261" customFormat="1" x14ac:dyDescent="0.25"/>
    <row r="45262" customFormat="1" x14ac:dyDescent="0.25"/>
    <row r="45263" customFormat="1" x14ac:dyDescent="0.25"/>
    <row r="45264" customFormat="1" x14ac:dyDescent="0.25"/>
    <row r="45265" customFormat="1" x14ac:dyDescent="0.25"/>
    <row r="45266" customFormat="1" x14ac:dyDescent="0.25"/>
    <row r="45267" customFormat="1" x14ac:dyDescent="0.25"/>
    <row r="45268" customFormat="1" x14ac:dyDescent="0.25"/>
    <row r="45269" customFormat="1" x14ac:dyDescent="0.25"/>
    <row r="45270" customFormat="1" x14ac:dyDescent="0.25"/>
    <row r="45271" customFormat="1" x14ac:dyDescent="0.25"/>
    <row r="45272" customFormat="1" x14ac:dyDescent="0.25"/>
    <row r="45273" customFormat="1" x14ac:dyDescent="0.25"/>
    <row r="45274" customFormat="1" x14ac:dyDescent="0.25"/>
    <row r="45275" customFormat="1" x14ac:dyDescent="0.25"/>
    <row r="45276" customFormat="1" x14ac:dyDescent="0.25"/>
    <row r="45277" customFormat="1" x14ac:dyDescent="0.25"/>
    <row r="45278" customFormat="1" x14ac:dyDescent="0.25"/>
    <row r="45279" customFormat="1" x14ac:dyDescent="0.25"/>
    <row r="45280" customFormat="1" x14ac:dyDescent="0.25"/>
    <row r="45281" customFormat="1" x14ac:dyDescent="0.25"/>
    <row r="45282" customFormat="1" x14ac:dyDescent="0.25"/>
    <row r="45283" customFormat="1" x14ac:dyDescent="0.25"/>
    <row r="45284" customFormat="1" x14ac:dyDescent="0.25"/>
    <row r="45285" customFormat="1" x14ac:dyDescent="0.25"/>
    <row r="45286" customFormat="1" x14ac:dyDescent="0.25"/>
    <row r="45287" customFormat="1" x14ac:dyDescent="0.25"/>
    <row r="45288" customFormat="1" x14ac:dyDescent="0.25"/>
    <row r="45289" customFormat="1" x14ac:dyDescent="0.25"/>
    <row r="45290" customFormat="1" x14ac:dyDescent="0.25"/>
    <row r="45291" customFormat="1" x14ac:dyDescent="0.25"/>
    <row r="45292" customFormat="1" x14ac:dyDescent="0.25"/>
    <row r="45293" customFormat="1" x14ac:dyDescent="0.25"/>
    <row r="45294" customFormat="1" x14ac:dyDescent="0.25"/>
    <row r="45295" customFormat="1" x14ac:dyDescent="0.25"/>
    <row r="45296" customFormat="1" x14ac:dyDescent="0.25"/>
    <row r="45297" customFormat="1" x14ac:dyDescent="0.25"/>
    <row r="45298" customFormat="1" x14ac:dyDescent="0.25"/>
    <row r="45299" customFormat="1" x14ac:dyDescent="0.25"/>
    <row r="45300" customFormat="1" x14ac:dyDescent="0.25"/>
    <row r="45301" customFormat="1" x14ac:dyDescent="0.25"/>
    <row r="45302" customFormat="1" x14ac:dyDescent="0.25"/>
    <row r="45303" customFormat="1" x14ac:dyDescent="0.25"/>
    <row r="45304" customFormat="1" x14ac:dyDescent="0.25"/>
    <row r="45305" customFormat="1" x14ac:dyDescent="0.25"/>
    <row r="45306" customFormat="1" x14ac:dyDescent="0.25"/>
    <row r="45307" customFormat="1" x14ac:dyDescent="0.25"/>
    <row r="45308" customFormat="1" x14ac:dyDescent="0.25"/>
    <row r="45309" customFormat="1" x14ac:dyDescent="0.25"/>
    <row r="45310" customFormat="1" x14ac:dyDescent="0.25"/>
    <row r="45311" customFormat="1" x14ac:dyDescent="0.25"/>
    <row r="45312" customFormat="1" x14ac:dyDescent="0.25"/>
    <row r="45313" customFormat="1" x14ac:dyDescent="0.25"/>
    <row r="45314" customFormat="1" x14ac:dyDescent="0.25"/>
    <row r="45315" customFormat="1" x14ac:dyDescent="0.25"/>
    <row r="45316" customFormat="1" x14ac:dyDescent="0.25"/>
    <row r="45317" customFormat="1" x14ac:dyDescent="0.25"/>
    <row r="45318" customFormat="1" x14ac:dyDescent="0.25"/>
    <row r="45319" customFormat="1" x14ac:dyDescent="0.25"/>
    <row r="45320" customFormat="1" x14ac:dyDescent="0.25"/>
    <row r="45321" customFormat="1" x14ac:dyDescent="0.25"/>
    <row r="45322" customFormat="1" x14ac:dyDescent="0.25"/>
    <row r="45323" customFormat="1" x14ac:dyDescent="0.25"/>
    <row r="45324" customFormat="1" x14ac:dyDescent="0.25"/>
    <row r="45325" customFormat="1" x14ac:dyDescent="0.25"/>
    <row r="45326" customFormat="1" x14ac:dyDescent="0.25"/>
    <row r="45327" customFormat="1" x14ac:dyDescent="0.25"/>
    <row r="45328" customFormat="1" x14ac:dyDescent="0.25"/>
    <row r="45329" customFormat="1" x14ac:dyDescent="0.25"/>
    <row r="45330" customFormat="1" x14ac:dyDescent="0.25"/>
    <row r="45331" customFormat="1" x14ac:dyDescent="0.25"/>
    <row r="45332" customFormat="1" x14ac:dyDescent="0.25"/>
    <row r="45333" customFormat="1" x14ac:dyDescent="0.25"/>
    <row r="45334" customFormat="1" x14ac:dyDescent="0.25"/>
    <row r="45335" customFormat="1" x14ac:dyDescent="0.25"/>
    <row r="45336" customFormat="1" x14ac:dyDescent="0.25"/>
    <row r="45337" customFormat="1" x14ac:dyDescent="0.25"/>
    <row r="45338" customFormat="1" x14ac:dyDescent="0.25"/>
    <row r="45339" customFormat="1" x14ac:dyDescent="0.25"/>
    <row r="45340" customFormat="1" x14ac:dyDescent="0.25"/>
    <row r="45341" customFormat="1" x14ac:dyDescent="0.25"/>
    <row r="45342" customFormat="1" x14ac:dyDescent="0.25"/>
    <row r="45343" customFormat="1" x14ac:dyDescent="0.25"/>
    <row r="45344" customFormat="1" x14ac:dyDescent="0.25"/>
    <row r="45345" customFormat="1" x14ac:dyDescent="0.25"/>
    <row r="45346" customFormat="1" x14ac:dyDescent="0.25"/>
    <row r="45347" customFormat="1" x14ac:dyDescent="0.25"/>
    <row r="45348" customFormat="1" x14ac:dyDescent="0.25"/>
    <row r="45349" customFormat="1" x14ac:dyDescent="0.25"/>
    <row r="45350" customFormat="1" x14ac:dyDescent="0.25"/>
    <row r="45351" customFormat="1" x14ac:dyDescent="0.25"/>
    <row r="45352" customFormat="1" x14ac:dyDescent="0.25"/>
    <row r="45353" customFormat="1" x14ac:dyDescent="0.25"/>
    <row r="45354" customFormat="1" x14ac:dyDescent="0.25"/>
    <row r="45355" customFormat="1" x14ac:dyDescent="0.25"/>
    <row r="45356" customFormat="1" x14ac:dyDescent="0.25"/>
    <row r="45357" customFormat="1" x14ac:dyDescent="0.25"/>
    <row r="45358" customFormat="1" x14ac:dyDescent="0.25"/>
    <row r="45359" customFormat="1" x14ac:dyDescent="0.25"/>
    <row r="45360" customFormat="1" x14ac:dyDescent="0.25"/>
    <row r="45361" customFormat="1" x14ac:dyDescent="0.25"/>
    <row r="45362" customFormat="1" x14ac:dyDescent="0.25"/>
    <row r="45363" customFormat="1" x14ac:dyDescent="0.25"/>
    <row r="45364" customFormat="1" x14ac:dyDescent="0.25"/>
    <row r="45365" customFormat="1" x14ac:dyDescent="0.25"/>
    <row r="45366" customFormat="1" x14ac:dyDescent="0.25"/>
    <row r="45367" customFormat="1" x14ac:dyDescent="0.25"/>
    <row r="45368" customFormat="1" x14ac:dyDescent="0.25"/>
    <row r="45369" customFormat="1" x14ac:dyDescent="0.25"/>
    <row r="45370" customFormat="1" x14ac:dyDescent="0.25"/>
    <row r="45371" customFormat="1" x14ac:dyDescent="0.25"/>
    <row r="45372" customFormat="1" x14ac:dyDescent="0.25"/>
    <row r="45373" customFormat="1" x14ac:dyDescent="0.25"/>
    <row r="45374" customFormat="1" x14ac:dyDescent="0.25"/>
    <row r="45375" customFormat="1" x14ac:dyDescent="0.25"/>
    <row r="45376" customFormat="1" x14ac:dyDescent="0.25"/>
    <row r="45377" customFormat="1" x14ac:dyDescent="0.25"/>
    <row r="45378" customFormat="1" x14ac:dyDescent="0.25"/>
    <row r="45379" customFormat="1" x14ac:dyDescent="0.25"/>
    <row r="45380" customFormat="1" x14ac:dyDescent="0.25"/>
    <row r="45381" customFormat="1" x14ac:dyDescent="0.25"/>
    <row r="45382" customFormat="1" x14ac:dyDescent="0.25"/>
    <row r="45383" customFormat="1" x14ac:dyDescent="0.25"/>
    <row r="45384" customFormat="1" x14ac:dyDescent="0.25"/>
    <row r="45385" customFormat="1" x14ac:dyDescent="0.25"/>
    <row r="45386" customFormat="1" x14ac:dyDescent="0.25"/>
    <row r="45387" customFormat="1" x14ac:dyDescent="0.25"/>
    <row r="45388" customFormat="1" x14ac:dyDescent="0.25"/>
    <row r="45389" customFormat="1" x14ac:dyDescent="0.25"/>
    <row r="45390" customFormat="1" x14ac:dyDescent="0.25"/>
    <row r="45391" customFormat="1" x14ac:dyDescent="0.25"/>
    <row r="45392" customFormat="1" x14ac:dyDescent="0.25"/>
    <row r="45393" customFormat="1" x14ac:dyDescent="0.25"/>
    <row r="45394" customFormat="1" x14ac:dyDescent="0.25"/>
    <row r="45395" customFormat="1" x14ac:dyDescent="0.25"/>
    <row r="45396" customFormat="1" x14ac:dyDescent="0.25"/>
    <row r="45397" customFormat="1" x14ac:dyDescent="0.25"/>
    <row r="45398" customFormat="1" x14ac:dyDescent="0.25"/>
    <row r="45399" customFormat="1" x14ac:dyDescent="0.25"/>
    <row r="45400" customFormat="1" x14ac:dyDescent="0.25"/>
    <row r="45401" customFormat="1" x14ac:dyDescent="0.25"/>
    <row r="45402" customFormat="1" x14ac:dyDescent="0.25"/>
    <row r="45403" customFormat="1" x14ac:dyDescent="0.25"/>
    <row r="45404" customFormat="1" x14ac:dyDescent="0.25"/>
    <row r="45405" customFormat="1" x14ac:dyDescent="0.25"/>
    <row r="45406" customFormat="1" x14ac:dyDescent="0.25"/>
    <row r="45407" customFormat="1" x14ac:dyDescent="0.25"/>
    <row r="45408" customFormat="1" x14ac:dyDescent="0.25"/>
    <row r="45409" customFormat="1" x14ac:dyDescent="0.25"/>
    <row r="45410" customFormat="1" x14ac:dyDescent="0.25"/>
    <row r="45411" customFormat="1" x14ac:dyDescent="0.25"/>
    <row r="45412" customFormat="1" x14ac:dyDescent="0.25"/>
    <row r="45413" customFormat="1" x14ac:dyDescent="0.25"/>
    <row r="45414" customFormat="1" x14ac:dyDescent="0.25"/>
    <row r="45415" customFormat="1" x14ac:dyDescent="0.25"/>
    <row r="45416" customFormat="1" x14ac:dyDescent="0.25"/>
    <row r="45417" customFormat="1" x14ac:dyDescent="0.25"/>
    <row r="45418" customFormat="1" x14ac:dyDescent="0.25"/>
    <row r="45419" customFormat="1" x14ac:dyDescent="0.25"/>
    <row r="45420" customFormat="1" x14ac:dyDescent="0.25"/>
    <row r="45421" customFormat="1" x14ac:dyDescent="0.25"/>
    <row r="45422" customFormat="1" x14ac:dyDescent="0.25"/>
    <row r="45423" customFormat="1" x14ac:dyDescent="0.25"/>
    <row r="45424" customFormat="1" x14ac:dyDescent="0.25"/>
    <row r="45425" customFormat="1" x14ac:dyDescent="0.25"/>
    <row r="45426" customFormat="1" x14ac:dyDescent="0.25"/>
    <row r="45427" customFormat="1" x14ac:dyDescent="0.25"/>
    <row r="45428" customFormat="1" x14ac:dyDescent="0.25"/>
    <row r="45429" customFormat="1" x14ac:dyDescent="0.25"/>
    <row r="45430" customFormat="1" x14ac:dyDescent="0.25"/>
    <row r="45431" customFormat="1" x14ac:dyDescent="0.25"/>
    <row r="45432" customFormat="1" x14ac:dyDescent="0.25"/>
    <row r="45433" customFormat="1" x14ac:dyDescent="0.25"/>
    <row r="45434" customFormat="1" x14ac:dyDescent="0.25"/>
    <row r="45435" customFormat="1" x14ac:dyDescent="0.25"/>
    <row r="45436" customFormat="1" x14ac:dyDescent="0.25"/>
    <row r="45437" customFormat="1" x14ac:dyDescent="0.25"/>
    <row r="45438" customFormat="1" x14ac:dyDescent="0.25"/>
    <row r="45439" customFormat="1" x14ac:dyDescent="0.25"/>
    <row r="45440" customFormat="1" x14ac:dyDescent="0.25"/>
    <row r="45441" customFormat="1" x14ac:dyDescent="0.25"/>
    <row r="45442" customFormat="1" x14ac:dyDescent="0.25"/>
    <row r="45443" customFormat="1" x14ac:dyDescent="0.25"/>
    <row r="45444" customFormat="1" x14ac:dyDescent="0.25"/>
    <row r="45445" customFormat="1" x14ac:dyDescent="0.25"/>
    <row r="45446" customFormat="1" x14ac:dyDescent="0.25"/>
    <row r="45447" customFormat="1" x14ac:dyDescent="0.25"/>
    <row r="45448" customFormat="1" x14ac:dyDescent="0.25"/>
    <row r="45449" customFormat="1" x14ac:dyDescent="0.25"/>
    <row r="45450" customFormat="1" x14ac:dyDescent="0.25"/>
    <row r="45451" customFormat="1" x14ac:dyDescent="0.25"/>
    <row r="45452" customFormat="1" x14ac:dyDescent="0.25"/>
    <row r="45453" customFormat="1" x14ac:dyDescent="0.25"/>
    <row r="45454" customFormat="1" x14ac:dyDescent="0.25"/>
    <row r="45455" customFormat="1" x14ac:dyDescent="0.25"/>
    <row r="45456" customFormat="1" x14ac:dyDescent="0.25"/>
    <row r="45457" customFormat="1" x14ac:dyDescent="0.25"/>
    <row r="45458" customFormat="1" x14ac:dyDescent="0.25"/>
    <row r="45459" customFormat="1" x14ac:dyDescent="0.25"/>
    <row r="45460" customFormat="1" x14ac:dyDescent="0.25"/>
    <row r="45461" customFormat="1" x14ac:dyDescent="0.25"/>
    <row r="45462" customFormat="1" x14ac:dyDescent="0.25"/>
    <row r="45463" customFormat="1" x14ac:dyDescent="0.25"/>
    <row r="45464" customFormat="1" x14ac:dyDescent="0.25"/>
    <row r="45465" customFormat="1" x14ac:dyDescent="0.25"/>
    <row r="45466" customFormat="1" x14ac:dyDescent="0.25"/>
    <row r="45467" customFormat="1" x14ac:dyDescent="0.25"/>
    <row r="45468" customFormat="1" x14ac:dyDescent="0.25"/>
    <row r="45469" customFormat="1" x14ac:dyDescent="0.25"/>
    <row r="45470" customFormat="1" x14ac:dyDescent="0.25"/>
    <row r="45471" customFormat="1" x14ac:dyDescent="0.25"/>
    <row r="45472" customFormat="1" x14ac:dyDescent="0.25"/>
    <row r="45473" customFormat="1" x14ac:dyDescent="0.25"/>
    <row r="45474" customFormat="1" x14ac:dyDescent="0.25"/>
    <row r="45475" customFormat="1" x14ac:dyDescent="0.25"/>
    <row r="45476" customFormat="1" x14ac:dyDescent="0.25"/>
    <row r="45477" customFormat="1" x14ac:dyDescent="0.25"/>
    <row r="45478" customFormat="1" x14ac:dyDescent="0.25"/>
    <row r="45479" customFormat="1" x14ac:dyDescent="0.25"/>
    <row r="45480" customFormat="1" x14ac:dyDescent="0.25"/>
    <row r="45481" customFormat="1" x14ac:dyDescent="0.25"/>
    <row r="45482" customFormat="1" x14ac:dyDescent="0.25"/>
    <row r="45483" customFormat="1" x14ac:dyDescent="0.25"/>
    <row r="45484" customFormat="1" x14ac:dyDescent="0.25"/>
    <row r="45485" customFormat="1" x14ac:dyDescent="0.25"/>
    <row r="45486" customFormat="1" x14ac:dyDescent="0.25"/>
    <row r="45487" customFormat="1" x14ac:dyDescent="0.25"/>
    <row r="45488" customFormat="1" x14ac:dyDescent="0.25"/>
    <row r="45489" customFormat="1" x14ac:dyDescent="0.25"/>
    <row r="45490" customFormat="1" x14ac:dyDescent="0.25"/>
    <row r="45491" customFormat="1" x14ac:dyDescent="0.25"/>
    <row r="45492" customFormat="1" x14ac:dyDescent="0.25"/>
    <row r="45493" customFormat="1" x14ac:dyDescent="0.25"/>
    <row r="45494" customFormat="1" x14ac:dyDescent="0.25"/>
    <row r="45495" customFormat="1" x14ac:dyDescent="0.25"/>
    <row r="45496" customFormat="1" x14ac:dyDescent="0.25"/>
    <row r="45497" customFormat="1" x14ac:dyDescent="0.25"/>
    <row r="45498" customFormat="1" x14ac:dyDescent="0.25"/>
    <row r="45499" customFormat="1" x14ac:dyDescent="0.25"/>
    <row r="45500" customFormat="1" x14ac:dyDescent="0.25"/>
    <row r="45501" customFormat="1" x14ac:dyDescent="0.25"/>
    <row r="45502" customFormat="1" x14ac:dyDescent="0.25"/>
    <row r="45503" customFormat="1" x14ac:dyDescent="0.25"/>
    <row r="45504" customFormat="1" x14ac:dyDescent="0.25"/>
    <row r="45505" customFormat="1" x14ac:dyDescent="0.25"/>
    <row r="45506" customFormat="1" x14ac:dyDescent="0.25"/>
    <row r="45507" customFormat="1" x14ac:dyDescent="0.25"/>
    <row r="45508" customFormat="1" x14ac:dyDescent="0.25"/>
    <row r="45509" customFormat="1" x14ac:dyDescent="0.25"/>
    <row r="45510" customFormat="1" x14ac:dyDescent="0.25"/>
    <row r="45511" customFormat="1" x14ac:dyDescent="0.25"/>
    <row r="45512" customFormat="1" x14ac:dyDescent="0.25"/>
    <row r="45513" customFormat="1" x14ac:dyDescent="0.25"/>
    <row r="45514" customFormat="1" x14ac:dyDescent="0.25"/>
    <row r="45515" customFormat="1" x14ac:dyDescent="0.25"/>
    <row r="45516" customFormat="1" x14ac:dyDescent="0.25"/>
    <row r="45517" customFormat="1" x14ac:dyDescent="0.25"/>
    <row r="45518" customFormat="1" x14ac:dyDescent="0.25"/>
    <row r="45519" customFormat="1" x14ac:dyDescent="0.25"/>
    <row r="45520" customFormat="1" x14ac:dyDescent="0.25"/>
    <row r="45521" customFormat="1" x14ac:dyDescent="0.25"/>
    <row r="45522" customFormat="1" x14ac:dyDescent="0.25"/>
    <row r="45523" customFormat="1" x14ac:dyDescent="0.25"/>
    <row r="45524" customFormat="1" x14ac:dyDescent="0.25"/>
    <row r="45525" customFormat="1" x14ac:dyDescent="0.25"/>
    <row r="45526" customFormat="1" x14ac:dyDescent="0.25"/>
    <row r="45527" customFormat="1" x14ac:dyDescent="0.25"/>
    <row r="45528" customFormat="1" x14ac:dyDescent="0.25"/>
    <row r="45529" customFormat="1" x14ac:dyDescent="0.25"/>
    <row r="45530" customFormat="1" x14ac:dyDescent="0.25"/>
    <row r="45531" customFormat="1" x14ac:dyDescent="0.25"/>
    <row r="45532" customFormat="1" x14ac:dyDescent="0.25"/>
    <row r="45533" customFormat="1" x14ac:dyDescent="0.25"/>
    <row r="45534" customFormat="1" x14ac:dyDescent="0.25"/>
    <row r="45535" customFormat="1" x14ac:dyDescent="0.25"/>
    <row r="45536" customFormat="1" x14ac:dyDescent="0.25"/>
    <row r="45537" customFormat="1" x14ac:dyDescent="0.25"/>
    <row r="45538" customFormat="1" x14ac:dyDescent="0.25"/>
    <row r="45539" customFormat="1" x14ac:dyDescent="0.25"/>
    <row r="45540" customFormat="1" x14ac:dyDescent="0.25"/>
    <row r="45541" customFormat="1" x14ac:dyDescent="0.25"/>
    <row r="45542" customFormat="1" x14ac:dyDescent="0.25"/>
    <row r="45543" customFormat="1" x14ac:dyDescent="0.25"/>
    <row r="45544" customFormat="1" x14ac:dyDescent="0.25"/>
    <row r="45545" customFormat="1" x14ac:dyDescent="0.25"/>
    <row r="45546" customFormat="1" x14ac:dyDescent="0.25"/>
    <row r="45547" customFormat="1" x14ac:dyDescent="0.25"/>
    <row r="45548" customFormat="1" x14ac:dyDescent="0.25"/>
    <row r="45549" customFormat="1" x14ac:dyDescent="0.25"/>
    <row r="45550" customFormat="1" x14ac:dyDescent="0.25"/>
    <row r="45551" customFormat="1" x14ac:dyDescent="0.25"/>
    <row r="45552" customFormat="1" x14ac:dyDescent="0.25"/>
    <row r="45553" customFormat="1" x14ac:dyDescent="0.25"/>
    <row r="45554" customFormat="1" x14ac:dyDescent="0.25"/>
    <row r="45555" customFormat="1" x14ac:dyDescent="0.25"/>
    <row r="45556" customFormat="1" x14ac:dyDescent="0.25"/>
    <row r="45557" customFormat="1" x14ac:dyDescent="0.25"/>
    <row r="45558" customFormat="1" x14ac:dyDescent="0.25"/>
    <row r="45559" customFormat="1" x14ac:dyDescent="0.25"/>
    <row r="45560" customFormat="1" x14ac:dyDescent="0.25"/>
    <row r="45561" customFormat="1" x14ac:dyDescent="0.25"/>
    <row r="45562" customFormat="1" x14ac:dyDescent="0.25"/>
    <row r="45563" customFormat="1" x14ac:dyDescent="0.25"/>
    <row r="45564" customFormat="1" x14ac:dyDescent="0.25"/>
    <row r="45565" customFormat="1" x14ac:dyDescent="0.25"/>
    <row r="45566" customFormat="1" x14ac:dyDescent="0.25"/>
    <row r="45567" customFormat="1" x14ac:dyDescent="0.25"/>
    <row r="45568" customFormat="1" x14ac:dyDescent="0.25"/>
    <row r="45569" customFormat="1" x14ac:dyDescent="0.25"/>
    <row r="45570" customFormat="1" x14ac:dyDescent="0.25"/>
    <row r="45571" customFormat="1" x14ac:dyDescent="0.25"/>
    <row r="45572" customFormat="1" x14ac:dyDescent="0.25"/>
    <row r="45573" customFormat="1" x14ac:dyDescent="0.25"/>
    <row r="45574" customFormat="1" x14ac:dyDescent="0.25"/>
    <row r="45575" customFormat="1" x14ac:dyDescent="0.25"/>
    <row r="45576" customFormat="1" x14ac:dyDescent="0.25"/>
    <row r="45577" customFormat="1" x14ac:dyDescent="0.25"/>
    <row r="45578" customFormat="1" x14ac:dyDescent="0.25"/>
    <row r="45579" customFormat="1" x14ac:dyDescent="0.25"/>
    <row r="45580" customFormat="1" x14ac:dyDescent="0.25"/>
    <row r="45581" customFormat="1" x14ac:dyDescent="0.25"/>
    <row r="45582" customFormat="1" x14ac:dyDescent="0.25"/>
    <row r="45583" customFormat="1" x14ac:dyDescent="0.25"/>
    <row r="45584" customFormat="1" x14ac:dyDescent="0.25"/>
    <row r="45585" customFormat="1" x14ac:dyDescent="0.25"/>
    <row r="45586" customFormat="1" x14ac:dyDescent="0.25"/>
    <row r="45587" customFormat="1" x14ac:dyDescent="0.25"/>
    <row r="45588" customFormat="1" x14ac:dyDescent="0.25"/>
    <row r="45589" customFormat="1" x14ac:dyDescent="0.25"/>
    <row r="45590" customFormat="1" x14ac:dyDescent="0.25"/>
    <row r="45591" customFormat="1" x14ac:dyDescent="0.25"/>
    <row r="45592" customFormat="1" x14ac:dyDescent="0.25"/>
    <row r="45593" customFormat="1" x14ac:dyDescent="0.25"/>
    <row r="45594" customFormat="1" x14ac:dyDescent="0.25"/>
    <row r="45595" customFormat="1" x14ac:dyDescent="0.25"/>
    <row r="45596" customFormat="1" x14ac:dyDescent="0.25"/>
    <row r="45597" customFormat="1" x14ac:dyDescent="0.25"/>
    <row r="45598" customFormat="1" x14ac:dyDescent="0.25"/>
    <row r="45599" customFormat="1" x14ac:dyDescent="0.25"/>
    <row r="45600" customFormat="1" x14ac:dyDescent="0.25"/>
    <row r="45601" customFormat="1" x14ac:dyDescent="0.25"/>
    <row r="45602" customFormat="1" x14ac:dyDescent="0.25"/>
    <row r="45603" customFormat="1" x14ac:dyDescent="0.25"/>
    <row r="45604" customFormat="1" x14ac:dyDescent="0.25"/>
    <row r="45605" customFormat="1" x14ac:dyDescent="0.25"/>
    <row r="45606" customFormat="1" x14ac:dyDescent="0.25"/>
    <row r="45607" customFormat="1" x14ac:dyDescent="0.25"/>
    <row r="45608" customFormat="1" x14ac:dyDescent="0.25"/>
    <row r="45609" customFormat="1" x14ac:dyDescent="0.25"/>
    <row r="45610" customFormat="1" x14ac:dyDescent="0.25"/>
    <row r="45611" customFormat="1" x14ac:dyDescent="0.25"/>
    <row r="45612" customFormat="1" x14ac:dyDescent="0.25"/>
    <row r="45613" customFormat="1" x14ac:dyDescent="0.25"/>
    <row r="45614" customFormat="1" x14ac:dyDescent="0.25"/>
    <row r="45615" customFormat="1" x14ac:dyDescent="0.25"/>
    <row r="45616" customFormat="1" x14ac:dyDescent="0.25"/>
    <row r="45617" customFormat="1" x14ac:dyDescent="0.25"/>
    <row r="45618" customFormat="1" x14ac:dyDescent="0.25"/>
    <row r="45619" customFormat="1" x14ac:dyDescent="0.25"/>
    <row r="45620" customFormat="1" x14ac:dyDescent="0.25"/>
    <row r="45621" customFormat="1" x14ac:dyDescent="0.25"/>
    <row r="45622" customFormat="1" x14ac:dyDescent="0.25"/>
    <row r="45623" customFormat="1" x14ac:dyDescent="0.25"/>
    <row r="45624" customFormat="1" x14ac:dyDescent="0.25"/>
    <row r="45625" customFormat="1" x14ac:dyDescent="0.25"/>
    <row r="45626" customFormat="1" x14ac:dyDescent="0.25"/>
    <row r="45627" customFormat="1" x14ac:dyDescent="0.25"/>
    <row r="45628" customFormat="1" x14ac:dyDescent="0.25"/>
    <row r="45629" customFormat="1" x14ac:dyDescent="0.25"/>
    <row r="45630" customFormat="1" x14ac:dyDescent="0.25"/>
    <row r="45631" customFormat="1" x14ac:dyDescent="0.25"/>
    <row r="45632" customFormat="1" x14ac:dyDescent="0.25"/>
    <row r="45633" customFormat="1" x14ac:dyDescent="0.25"/>
    <row r="45634" customFormat="1" x14ac:dyDescent="0.25"/>
    <row r="45635" customFormat="1" x14ac:dyDescent="0.25"/>
    <row r="45636" customFormat="1" x14ac:dyDescent="0.25"/>
    <row r="45637" customFormat="1" x14ac:dyDescent="0.25"/>
    <row r="45638" customFormat="1" x14ac:dyDescent="0.25"/>
    <row r="45639" customFormat="1" x14ac:dyDescent="0.25"/>
    <row r="45640" customFormat="1" x14ac:dyDescent="0.25"/>
    <row r="45641" customFormat="1" x14ac:dyDescent="0.25"/>
    <row r="45642" customFormat="1" x14ac:dyDescent="0.25"/>
    <row r="45643" customFormat="1" x14ac:dyDescent="0.25"/>
    <row r="45644" customFormat="1" x14ac:dyDescent="0.25"/>
    <row r="45645" customFormat="1" x14ac:dyDescent="0.25"/>
    <row r="45646" customFormat="1" x14ac:dyDescent="0.25"/>
    <row r="45647" customFormat="1" x14ac:dyDescent="0.25"/>
    <row r="45648" customFormat="1" x14ac:dyDescent="0.25"/>
    <row r="45649" customFormat="1" x14ac:dyDescent="0.25"/>
    <row r="45650" customFormat="1" x14ac:dyDescent="0.25"/>
    <row r="45651" customFormat="1" x14ac:dyDescent="0.25"/>
    <row r="45652" customFormat="1" x14ac:dyDescent="0.25"/>
    <row r="45653" customFormat="1" x14ac:dyDescent="0.25"/>
    <row r="45654" customFormat="1" x14ac:dyDescent="0.25"/>
    <row r="45655" customFormat="1" x14ac:dyDescent="0.25"/>
    <row r="45656" customFormat="1" x14ac:dyDescent="0.25"/>
    <row r="45657" customFormat="1" x14ac:dyDescent="0.25"/>
    <row r="45658" customFormat="1" x14ac:dyDescent="0.25"/>
    <row r="45659" customFormat="1" x14ac:dyDescent="0.25"/>
    <row r="45660" customFormat="1" x14ac:dyDescent="0.25"/>
    <row r="45661" customFormat="1" x14ac:dyDescent="0.25"/>
    <row r="45662" customFormat="1" x14ac:dyDescent="0.25"/>
    <row r="45663" customFormat="1" x14ac:dyDescent="0.25"/>
    <row r="45664" customFormat="1" x14ac:dyDescent="0.25"/>
    <row r="45665" customFormat="1" x14ac:dyDescent="0.25"/>
    <row r="45666" customFormat="1" x14ac:dyDescent="0.25"/>
    <row r="45667" customFormat="1" x14ac:dyDescent="0.25"/>
    <row r="45668" customFormat="1" x14ac:dyDescent="0.25"/>
    <row r="45669" customFormat="1" x14ac:dyDescent="0.25"/>
    <row r="45670" customFormat="1" x14ac:dyDescent="0.25"/>
    <row r="45671" customFormat="1" x14ac:dyDescent="0.25"/>
    <row r="45672" customFormat="1" x14ac:dyDescent="0.25"/>
    <row r="45673" customFormat="1" x14ac:dyDescent="0.25"/>
    <row r="45674" customFormat="1" x14ac:dyDescent="0.25"/>
    <row r="45675" customFormat="1" x14ac:dyDescent="0.25"/>
    <row r="45676" customFormat="1" x14ac:dyDescent="0.25"/>
    <row r="45677" customFormat="1" x14ac:dyDescent="0.25"/>
    <row r="45678" customFormat="1" x14ac:dyDescent="0.25"/>
    <row r="45679" customFormat="1" x14ac:dyDescent="0.25"/>
    <row r="45680" customFormat="1" x14ac:dyDescent="0.25"/>
    <row r="45681" customFormat="1" x14ac:dyDescent="0.25"/>
    <row r="45682" customFormat="1" x14ac:dyDescent="0.25"/>
    <row r="45683" customFormat="1" x14ac:dyDescent="0.25"/>
    <row r="45684" customFormat="1" x14ac:dyDescent="0.25"/>
    <row r="45685" customFormat="1" x14ac:dyDescent="0.25"/>
    <row r="45686" customFormat="1" x14ac:dyDescent="0.25"/>
    <row r="45687" customFormat="1" x14ac:dyDescent="0.25"/>
    <row r="45688" customFormat="1" x14ac:dyDescent="0.25"/>
    <row r="45689" customFormat="1" x14ac:dyDescent="0.25"/>
    <row r="45690" customFormat="1" x14ac:dyDescent="0.25"/>
    <row r="45691" customFormat="1" x14ac:dyDescent="0.25"/>
    <row r="45692" customFormat="1" x14ac:dyDescent="0.25"/>
    <row r="45693" customFormat="1" x14ac:dyDescent="0.25"/>
    <row r="45694" customFormat="1" x14ac:dyDescent="0.25"/>
    <row r="45695" customFormat="1" x14ac:dyDescent="0.25"/>
    <row r="45696" customFormat="1" x14ac:dyDescent="0.25"/>
    <row r="45697" customFormat="1" x14ac:dyDescent="0.25"/>
    <row r="45698" customFormat="1" x14ac:dyDescent="0.25"/>
    <row r="45699" customFormat="1" x14ac:dyDescent="0.25"/>
    <row r="45700" customFormat="1" x14ac:dyDescent="0.25"/>
    <row r="45701" customFormat="1" x14ac:dyDescent="0.25"/>
    <row r="45702" customFormat="1" x14ac:dyDescent="0.25"/>
    <row r="45703" customFormat="1" x14ac:dyDescent="0.25"/>
    <row r="45704" customFormat="1" x14ac:dyDescent="0.25"/>
    <row r="45705" customFormat="1" x14ac:dyDescent="0.25"/>
    <row r="45706" customFormat="1" x14ac:dyDescent="0.25"/>
    <row r="45707" customFormat="1" x14ac:dyDescent="0.25"/>
    <row r="45708" customFormat="1" x14ac:dyDescent="0.25"/>
    <row r="45709" customFormat="1" x14ac:dyDescent="0.25"/>
    <row r="45710" customFormat="1" x14ac:dyDescent="0.25"/>
    <row r="45711" customFormat="1" x14ac:dyDescent="0.25"/>
    <row r="45712" customFormat="1" x14ac:dyDescent="0.25"/>
    <row r="45713" customFormat="1" x14ac:dyDescent="0.25"/>
    <row r="45714" customFormat="1" x14ac:dyDescent="0.25"/>
    <row r="45715" customFormat="1" x14ac:dyDescent="0.25"/>
    <row r="45716" customFormat="1" x14ac:dyDescent="0.25"/>
    <row r="45717" customFormat="1" x14ac:dyDescent="0.25"/>
    <row r="45718" customFormat="1" x14ac:dyDescent="0.25"/>
    <row r="45719" customFormat="1" x14ac:dyDescent="0.25"/>
    <row r="45720" customFormat="1" x14ac:dyDescent="0.25"/>
    <row r="45721" customFormat="1" x14ac:dyDescent="0.25"/>
    <row r="45722" customFormat="1" x14ac:dyDescent="0.25"/>
    <row r="45723" customFormat="1" x14ac:dyDescent="0.25"/>
    <row r="45724" customFormat="1" x14ac:dyDescent="0.25"/>
    <row r="45725" customFormat="1" x14ac:dyDescent="0.25"/>
    <row r="45726" customFormat="1" x14ac:dyDescent="0.25"/>
    <row r="45727" customFormat="1" x14ac:dyDescent="0.25"/>
    <row r="45728" customFormat="1" x14ac:dyDescent="0.25"/>
    <row r="45729" customFormat="1" x14ac:dyDescent="0.25"/>
    <row r="45730" customFormat="1" x14ac:dyDescent="0.25"/>
    <row r="45731" customFormat="1" x14ac:dyDescent="0.25"/>
    <row r="45732" customFormat="1" x14ac:dyDescent="0.25"/>
    <row r="45733" customFormat="1" x14ac:dyDescent="0.25"/>
    <row r="45734" customFormat="1" x14ac:dyDescent="0.25"/>
    <row r="45735" customFormat="1" x14ac:dyDescent="0.25"/>
    <row r="45736" customFormat="1" x14ac:dyDescent="0.25"/>
    <row r="45737" customFormat="1" x14ac:dyDescent="0.25"/>
    <row r="45738" customFormat="1" x14ac:dyDescent="0.25"/>
    <row r="45739" customFormat="1" x14ac:dyDescent="0.25"/>
    <row r="45740" customFormat="1" x14ac:dyDescent="0.25"/>
    <row r="45741" customFormat="1" x14ac:dyDescent="0.25"/>
    <row r="45742" customFormat="1" x14ac:dyDescent="0.25"/>
    <row r="45743" customFormat="1" x14ac:dyDescent="0.25"/>
    <row r="45744" customFormat="1" x14ac:dyDescent="0.25"/>
    <row r="45745" customFormat="1" x14ac:dyDescent="0.25"/>
    <row r="45746" customFormat="1" x14ac:dyDescent="0.25"/>
    <row r="45747" customFormat="1" x14ac:dyDescent="0.25"/>
    <row r="45748" customFormat="1" x14ac:dyDescent="0.25"/>
    <row r="45749" customFormat="1" x14ac:dyDescent="0.25"/>
    <row r="45750" customFormat="1" x14ac:dyDescent="0.25"/>
    <row r="45751" customFormat="1" x14ac:dyDescent="0.25"/>
    <row r="45752" customFormat="1" x14ac:dyDescent="0.25"/>
    <row r="45753" customFormat="1" x14ac:dyDescent="0.25"/>
    <row r="45754" customFormat="1" x14ac:dyDescent="0.25"/>
    <row r="45755" customFormat="1" x14ac:dyDescent="0.25"/>
    <row r="45756" customFormat="1" x14ac:dyDescent="0.25"/>
    <row r="45757" customFormat="1" x14ac:dyDescent="0.25"/>
    <row r="45758" customFormat="1" x14ac:dyDescent="0.25"/>
    <row r="45759" customFormat="1" x14ac:dyDescent="0.25"/>
    <row r="45760" customFormat="1" x14ac:dyDescent="0.25"/>
    <row r="45761" customFormat="1" x14ac:dyDescent="0.25"/>
    <row r="45762" customFormat="1" x14ac:dyDescent="0.25"/>
    <row r="45763" customFormat="1" x14ac:dyDescent="0.25"/>
    <row r="45764" customFormat="1" x14ac:dyDescent="0.25"/>
    <row r="45765" customFormat="1" x14ac:dyDescent="0.25"/>
    <row r="45766" customFormat="1" x14ac:dyDescent="0.25"/>
    <row r="45767" customFormat="1" x14ac:dyDescent="0.25"/>
    <row r="45768" customFormat="1" x14ac:dyDescent="0.25"/>
    <row r="45769" customFormat="1" x14ac:dyDescent="0.25"/>
    <row r="45770" customFormat="1" x14ac:dyDescent="0.25"/>
    <row r="45771" customFormat="1" x14ac:dyDescent="0.25"/>
    <row r="45772" customFormat="1" x14ac:dyDescent="0.25"/>
    <row r="45773" customFormat="1" x14ac:dyDescent="0.25"/>
    <row r="45774" customFormat="1" x14ac:dyDescent="0.25"/>
    <row r="45775" customFormat="1" x14ac:dyDescent="0.25"/>
    <row r="45776" customFormat="1" x14ac:dyDescent="0.25"/>
    <row r="45777" customFormat="1" x14ac:dyDescent="0.25"/>
    <row r="45778" customFormat="1" x14ac:dyDescent="0.25"/>
    <row r="45779" customFormat="1" x14ac:dyDescent="0.25"/>
    <row r="45780" customFormat="1" x14ac:dyDescent="0.25"/>
    <row r="45781" customFormat="1" x14ac:dyDescent="0.25"/>
    <row r="45782" customFormat="1" x14ac:dyDescent="0.25"/>
    <row r="45783" customFormat="1" x14ac:dyDescent="0.25"/>
    <row r="45784" customFormat="1" x14ac:dyDescent="0.25"/>
    <row r="45785" customFormat="1" x14ac:dyDescent="0.25"/>
    <row r="45786" customFormat="1" x14ac:dyDescent="0.25"/>
    <row r="45787" customFormat="1" x14ac:dyDescent="0.25"/>
    <row r="45788" customFormat="1" x14ac:dyDescent="0.25"/>
    <row r="45789" customFormat="1" x14ac:dyDescent="0.25"/>
    <row r="45790" customFormat="1" x14ac:dyDescent="0.25"/>
    <row r="45791" customFormat="1" x14ac:dyDescent="0.25"/>
    <row r="45792" customFormat="1" x14ac:dyDescent="0.25"/>
    <row r="45793" customFormat="1" x14ac:dyDescent="0.25"/>
    <row r="45794" customFormat="1" x14ac:dyDescent="0.25"/>
    <row r="45795" customFormat="1" x14ac:dyDescent="0.25"/>
    <row r="45796" customFormat="1" x14ac:dyDescent="0.25"/>
    <row r="45797" customFormat="1" x14ac:dyDescent="0.25"/>
    <row r="45798" customFormat="1" x14ac:dyDescent="0.25"/>
    <row r="45799" customFormat="1" x14ac:dyDescent="0.25"/>
    <row r="45800" customFormat="1" x14ac:dyDescent="0.25"/>
    <row r="45801" customFormat="1" x14ac:dyDescent="0.25"/>
    <row r="45802" customFormat="1" x14ac:dyDescent="0.25"/>
    <row r="45803" customFormat="1" x14ac:dyDescent="0.25"/>
    <row r="45804" customFormat="1" x14ac:dyDescent="0.25"/>
    <row r="45805" customFormat="1" x14ac:dyDescent="0.25"/>
    <row r="45806" customFormat="1" x14ac:dyDescent="0.25"/>
    <row r="45807" customFormat="1" x14ac:dyDescent="0.25"/>
    <row r="45808" customFormat="1" x14ac:dyDescent="0.25"/>
    <row r="45809" customFormat="1" x14ac:dyDescent="0.25"/>
    <row r="45810" customFormat="1" x14ac:dyDescent="0.25"/>
    <row r="45811" customFormat="1" x14ac:dyDescent="0.25"/>
    <row r="45812" customFormat="1" x14ac:dyDescent="0.25"/>
    <row r="45813" customFormat="1" x14ac:dyDescent="0.25"/>
    <row r="45814" customFormat="1" x14ac:dyDescent="0.25"/>
    <row r="45815" customFormat="1" x14ac:dyDescent="0.25"/>
    <row r="45816" customFormat="1" x14ac:dyDescent="0.25"/>
    <row r="45817" customFormat="1" x14ac:dyDescent="0.25"/>
    <row r="45818" customFormat="1" x14ac:dyDescent="0.25"/>
    <row r="45819" customFormat="1" x14ac:dyDescent="0.25"/>
    <row r="45820" customFormat="1" x14ac:dyDescent="0.25"/>
    <row r="45821" customFormat="1" x14ac:dyDescent="0.25"/>
    <row r="45822" customFormat="1" x14ac:dyDescent="0.25"/>
    <row r="45823" customFormat="1" x14ac:dyDescent="0.25"/>
    <row r="45824" customFormat="1" x14ac:dyDescent="0.25"/>
    <row r="45825" customFormat="1" x14ac:dyDescent="0.25"/>
    <row r="45826" customFormat="1" x14ac:dyDescent="0.25"/>
    <row r="45827" customFormat="1" x14ac:dyDescent="0.25"/>
    <row r="45828" customFormat="1" x14ac:dyDescent="0.25"/>
    <row r="45829" customFormat="1" x14ac:dyDescent="0.25"/>
    <row r="45830" customFormat="1" x14ac:dyDescent="0.25"/>
    <row r="45831" customFormat="1" x14ac:dyDescent="0.25"/>
    <row r="45832" customFormat="1" x14ac:dyDescent="0.25"/>
    <row r="45833" customFormat="1" x14ac:dyDescent="0.25"/>
    <row r="45834" customFormat="1" x14ac:dyDescent="0.25"/>
    <row r="45835" customFormat="1" x14ac:dyDescent="0.25"/>
    <row r="45836" customFormat="1" x14ac:dyDescent="0.25"/>
    <row r="45837" customFormat="1" x14ac:dyDescent="0.25"/>
    <row r="45838" customFormat="1" x14ac:dyDescent="0.25"/>
    <row r="45839" customFormat="1" x14ac:dyDescent="0.25"/>
    <row r="45840" customFormat="1" x14ac:dyDescent="0.25"/>
    <row r="45841" customFormat="1" x14ac:dyDescent="0.25"/>
    <row r="45842" customFormat="1" x14ac:dyDescent="0.25"/>
    <row r="45843" customFormat="1" x14ac:dyDescent="0.25"/>
    <row r="45844" customFormat="1" x14ac:dyDescent="0.25"/>
    <row r="45845" customFormat="1" x14ac:dyDescent="0.25"/>
    <row r="45846" customFormat="1" x14ac:dyDescent="0.25"/>
    <row r="45847" customFormat="1" x14ac:dyDescent="0.25"/>
    <row r="45848" customFormat="1" x14ac:dyDescent="0.25"/>
    <row r="45849" customFormat="1" x14ac:dyDescent="0.25"/>
    <row r="45850" customFormat="1" x14ac:dyDescent="0.25"/>
    <row r="45851" customFormat="1" x14ac:dyDescent="0.25"/>
    <row r="45852" customFormat="1" x14ac:dyDescent="0.25"/>
    <row r="45853" customFormat="1" x14ac:dyDescent="0.25"/>
    <row r="45854" customFormat="1" x14ac:dyDescent="0.25"/>
    <row r="45855" customFormat="1" x14ac:dyDescent="0.25"/>
    <row r="45856" customFormat="1" x14ac:dyDescent="0.25"/>
    <row r="45857" customFormat="1" x14ac:dyDescent="0.25"/>
    <row r="45858" customFormat="1" x14ac:dyDescent="0.25"/>
    <row r="45859" customFormat="1" x14ac:dyDescent="0.25"/>
    <row r="45860" customFormat="1" x14ac:dyDescent="0.25"/>
    <row r="45861" customFormat="1" x14ac:dyDescent="0.25"/>
    <row r="45862" customFormat="1" x14ac:dyDescent="0.25"/>
    <row r="45863" customFormat="1" x14ac:dyDescent="0.25"/>
    <row r="45864" customFormat="1" x14ac:dyDescent="0.25"/>
    <row r="45865" customFormat="1" x14ac:dyDescent="0.25"/>
    <row r="45866" customFormat="1" x14ac:dyDescent="0.25"/>
    <row r="45867" customFormat="1" x14ac:dyDescent="0.25"/>
    <row r="45868" customFormat="1" x14ac:dyDescent="0.25"/>
    <row r="45869" customFormat="1" x14ac:dyDescent="0.25"/>
    <row r="45870" customFormat="1" x14ac:dyDescent="0.25"/>
    <row r="45871" customFormat="1" x14ac:dyDescent="0.25"/>
    <row r="45872" customFormat="1" x14ac:dyDescent="0.25"/>
    <row r="45873" customFormat="1" x14ac:dyDescent="0.25"/>
    <row r="45874" customFormat="1" x14ac:dyDescent="0.25"/>
    <row r="45875" customFormat="1" x14ac:dyDescent="0.25"/>
    <row r="45876" customFormat="1" x14ac:dyDescent="0.25"/>
    <row r="45877" customFormat="1" x14ac:dyDescent="0.25"/>
    <row r="45878" customFormat="1" x14ac:dyDescent="0.25"/>
    <row r="45879" customFormat="1" x14ac:dyDescent="0.25"/>
    <row r="45880" customFormat="1" x14ac:dyDescent="0.25"/>
    <row r="45881" customFormat="1" x14ac:dyDescent="0.25"/>
    <row r="45882" customFormat="1" x14ac:dyDescent="0.25"/>
    <row r="45883" customFormat="1" x14ac:dyDescent="0.25"/>
    <row r="45884" customFormat="1" x14ac:dyDescent="0.25"/>
    <row r="45885" customFormat="1" x14ac:dyDescent="0.25"/>
    <row r="45886" customFormat="1" x14ac:dyDescent="0.25"/>
    <row r="45887" customFormat="1" x14ac:dyDescent="0.25"/>
    <row r="45888" customFormat="1" x14ac:dyDescent="0.25"/>
    <row r="45889" customFormat="1" x14ac:dyDescent="0.25"/>
    <row r="45890" customFormat="1" x14ac:dyDescent="0.25"/>
    <row r="45891" customFormat="1" x14ac:dyDescent="0.25"/>
    <row r="45892" customFormat="1" x14ac:dyDescent="0.25"/>
    <row r="45893" customFormat="1" x14ac:dyDescent="0.25"/>
    <row r="45894" customFormat="1" x14ac:dyDescent="0.25"/>
    <row r="45895" customFormat="1" x14ac:dyDescent="0.25"/>
    <row r="45896" customFormat="1" x14ac:dyDescent="0.25"/>
    <row r="45897" customFormat="1" x14ac:dyDescent="0.25"/>
    <row r="45898" customFormat="1" x14ac:dyDescent="0.25"/>
    <row r="45899" customFormat="1" x14ac:dyDescent="0.25"/>
    <row r="45900" customFormat="1" x14ac:dyDescent="0.25"/>
    <row r="45901" customFormat="1" x14ac:dyDescent="0.25"/>
    <row r="45902" customFormat="1" x14ac:dyDescent="0.25"/>
    <row r="45903" customFormat="1" x14ac:dyDescent="0.25"/>
    <row r="45904" customFormat="1" x14ac:dyDescent="0.25"/>
    <row r="45905" customFormat="1" x14ac:dyDescent="0.25"/>
    <row r="45906" customFormat="1" x14ac:dyDescent="0.25"/>
    <row r="45907" customFormat="1" x14ac:dyDescent="0.25"/>
    <row r="45908" customFormat="1" x14ac:dyDescent="0.25"/>
    <row r="45909" customFormat="1" x14ac:dyDescent="0.25"/>
    <row r="45910" customFormat="1" x14ac:dyDescent="0.25"/>
    <row r="45911" customFormat="1" x14ac:dyDescent="0.25"/>
    <row r="45912" customFormat="1" x14ac:dyDescent="0.25"/>
    <row r="45913" customFormat="1" x14ac:dyDescent="0.25"/>
    <row r="45914" customFormat="1" x14ac:dyDescent="0.25"/>
    <row r="45915" customFormat="1" x14ac:dyDescent="0.25"/>
    <row r="45916" customFormat="1" x14ac:dyDescent="0.25"/>
    <row r="45917" customFormat="1" x14ac:dyDescent="0.25"/>
    <row r="45918" customFormat="1" x14ac:dyDescent="0.25"/>
    <row r="45919" customFormat="1" x14ac:dyDescent="0.25"/>
    <row r="45920" customFormat="1" x14ac:dyDescent="0.25"/>
    <row r="45921" customFormat="1" x14ac:dyDescent="0.25"/>
    <row r="45922" customFormat="1" x14ac:dyDescent="0.25"/>
    <row r="45923" customFormat="1" x14ac:dyDescent="0.25"/>
    <row r="45924" customFormat="1" x14ac:dyDescent="0.25"/>
    <row r="45925" customFormat="1" x14ac:dyDescent="0.25"/>
    <row r="45926" customFormat="1" x14ac:dyDescent="0.25"/>
    <row r="45927" customFormat="1" x14ac:dyDescent="0.25"/>
    <row r="45928" customFormat="1" x14ac:dyDescent="0.25"/>
    <row r="45929" customFormat="1" x14ac:dyDescent="0.25"/>
    <row r="45930" customFormat="1" x14ac:dyDescent="0.25"/>
    <row r="45931" customFormat="1" x14ac:dyDescent="0.25"/>
    <row r="45932" customFormat="1" x14ac:dyDescent="0.25"/>
    <row r="45933" customFormat="1" x14ac:dyDescent="0.25"/>
    <row r="45934" customFormat="1" x14ac:dyDescent="0.25"/>
    <row r="45935" customFormat="1" x14ac:dyDescent="0.25"/>
    <row r="45936" customFormat="1" x14ac:dyDescent="0.25"/>
    <row r="45937" customFormat="1" x14ac:dyDescent="0.25"/>
    <row r="45938" customFormat="1" x14ac:dyDescent="0.25"/>
    <row r="45939" customFormat="1" x14ac:dyDescent="0.25"/>
    <row r="45940" customFormat="1" x14ac:dyDescent="0.25"/>
    <row r="45941" customFormat="1" x14ac:dyDescent="0.25"/>
    <row r="45942" customFormat="1" x14ac:dyDescent="0.25"/>
    <row r="45943" customFormat="1" x14ac:dyDescent="0.25"/>
    <row r="45944" customFormat="1" x14ac:dyDescent="0.25"/>
    <row r="45945" customFormat="1" x14ac:dyDescent="0.25"/>
    <row r="45946" customFormat="1" x14ac:dyDescent="0.25"/>
    <row r="45947" customFormat="1" x14ac:dyDescent="0.25"/>
    <row r="45948" customFormat="1" x14ac:dyDescent="0.25"/>
    <row r="45949" customFormat="1" x14ac:dyDescent="0.25"/>
    <row r="45950" customFormat="1" x14ac:dyDescent="0.25"/>
    <row r="45951" customFormat="1" x14ac:dyDescent="0.25"/>
    <row r="45952" customFormat="1" x14ac:dyDescent="0.25"/>
    <row r="45953" customFormat="1" x14ac:dyDescent="0.25"/>
    <row r="45954" customFormat="1" x14ac:dyDescent="0.25"/>
    <row r="45955" customFormat="1" x14ac:dyDescent="0.25"/>
    <row r="45956" customFormat="1" x14ac:dyDescent="0.25"/>
    <row r="45957" customFormat="1" x14ac:dyDescent="0.25"/>
    <row r="45958" customFormat="1" x14ac:dyDescent="0.25"/>
    <row r="45959" customFormat="1" x14ac:dyDescent="0.25"/>
    <row r="45960" customFormat="1" x14ac:dyDescent="0.25"/>
    <row r="45961" customFormat="1" x14ac:dyDescent="0.25"/>
    <row r="45962" customFormat="1" x14ac:dyDescent="0.25"/>
    <row r="45963" customFormat="1" x14ac:dyDescent="0.25"/>
    <row r="45964" customFormat="1" x14ac:dyDescent="0.25"/>
    <row r="45965" customFormat="1" x14ac:dyDescent="0.25"/>
    <row r="45966" customFormat="1" x14ac:dyDescent="0.25"/>
    <row r="45967" customFormat="1" x14ac:dyDescent="0.25"/>
    <row r="45968" customFormat="1" x14ac:dyDescent="0.25"/>
    <row r="45969" customFormat="1" x14ac:dyDescent="0.25"/>
    <row r="45970" customFormat="1" x14ac:dyDescent="0.25"/>
    <row r="45971" customFormat="1" x14ac:dyDescent="0.25"/>
    <row r="45972" customFormat="1" x14ac:dyDescent="0.25"/>
    <row r="45973" customFormat="1" x14ac:dyDescent="0.25"/>
    <row r="45974" customFormat="1" x14ac:dyDescent="0.25"/>
    <row r="45975" customFormat="1" x14ac:dyDescent="0.25"/>
    <row r="45976" customFormat="1" x14ac:dyDescent="0.25"/>
    <row r="45977" customFormat="1" x14ac:dyDescent="0.25"/>
    <row r="45978" customFormat="1" x14ac:dyDescent="0.25"/>
    <row r="45979" customFormat="1" x14ac:dyDescent="0.25"/>
    <row r="45980" customFormat="1" x14ac:dyDescent="0.25"/>
    <row r="45981" customFormat="1" x14ac:dyDescent="0.25"/>
    <row r="45982" customFormat="1" x14ac:dyDescent="0.25"/>
    <row r="45983" customFormat="1" x14ac:dyDescent="0.25"/>
    <row r="45984" customFormat="1" x14ac:dyDescent="0.25"/>
    <row r="45985" customFormat="1" x14ac:dyDescent="0.25"/>
    <row r="45986" customFormat="1" x14ac:dyDescent="0.25"/>
    <row r="45987" customFormat="1" x14ac:dyDescent="0.25"/>
    <row r="45988" customFormat="1" x14ac:dyDescent="0.25"/>
    <row r="45989" customFormat="1" x14ac:dyDescent="0.25"/>
    <row r="45990" customFormat="1" x14ac:dyDescent="0.25"/>
    <row r="45991" customFormat="1" x14ac:dyDescent="0.25"/>
    <row r="45992" customFormat="1" x14ac:dyDescent="0.25"/>
    <row r="45993" customFormat="1" x14ac:dyDescent="0.25"/>
    <row r="45994" customFormat="1" x14ac:dyDescent="0.25"/>
    <row r="45995" customFormat="1" x14ac:dyDescent="0.25"/>
    <row r="45996" customFormat="1" x14ac:dyDescent="0.25"/>
    <row r="45997" customFormat="1" x14ac:dyDescent="0.25"/>
    <row r="45998" customFormat="1" x14ac:dyDescent="0.25"/>
    <row r="45999" customFormat="1" x14ac:dyDescent="0.25"/>
    <row r="46000" customFormat="1" x14ac:dyDescent="0.25"/>
    <row r="46001" customFormat="1" x14ac:dyDescent="0.25"/>
    <row r="46002" customFormat="1" x14ac:dyDescent="0.25"/>
    <row r="46003" customFormat="1" x14ac:dyDescent="0.25"/>
    <row r="46004" customFormat="1" x14ac:dyDescent="0.25"/>
    <row r="46005" customFormat="1" x14ac:dyDescent="0.25"/>
    <row r="46006" customFormat="1" x14ac:dyDescent="0.25"/>
    <row r="46007" customFormat="1" x14ac:dyDescent="0.25"/>
    <row r="46008" customFormat="1" x14ac:dyDescent="0.25"/>
    <row r="46009" customFormat="1" x14ac:dyDescent="0.25"/>
    <row r="46010" customFormat="1" x14ac:dyDescent="0.25"/>
    <row r="46011" customFormat="1" x14ac:dyDescent="0.25"/>
    <row r="46012" customFormat="1" x14ac:dyDescent="0.25"/>
    <row r="46013" customFormat="1" x14ac:dyDescent="0.25"/>
    <row r="46014" customFormat="1" x14ac:dyDescent="0.25"/>
    <row r="46015" customFormat="1" x14ac:dyDescent="0.25"/>
    <row r="46016" customFormat="1" x14ac:dyDescent="0.25"/>
    <row r="46017" customFormat="1" x14ac:dyDescent="0.25"/>
    <row r="46018" customFormat="1" x14ac:dyDescent="0.25"/>
    <row r="46019" customFormat="1" x14ac:dyDescent="0.25"/>
    <row r="46020" customFormat="1" x14ac:dyDescent="0.25"/>
    <row r="46021" customFormat="1" x14ac:dyDescent="0.25"/>
    <row r="46022" customFormat="1" x14ac:dyDescent="0.25"/>
    <row r="46023" customFormat="1" x14ac:dyDescent="0.25"/>
    <row r="46024" customFormat="1" x14ac:dyDescent="0.25"/>
    <row r="46025" customFormat="1" x14ac:dyDescent="0.25"/>
    <row r="46026" customFormat="1" x14ac:dyDescent="0.25"/>
    <row r="46027" customFormat="1" x14ac:dyDescent="0.25"/>
    <row r="46028" customFormat="1" x14ac:dyDescent="0.25"/>
    <row r="46029" customFormat="1" x14ac:dyDescent="0.25"/>
    <row r="46030" customFormat="1" x14ac:dyDescent="0.25"/>
    <row r="46031" customFormat="1" x14ac:dyDescent="0.25"/>
    <row r="46032" customFormat="1" x14ac:dyDescent="0.25"/>
    <row r="46033" customFormat="1" x14ac:dyDescent="0.25"/>
    <row r="46034" customFormat="1" x14ac:dyDescent="0.25"/>
    <row r="46035" customFormat="1" x14ac:dyDescent="0.25"/>
    <row r="46036" customFormat="1" x14ac:dyDescent="0.25"/>
    <row r="46037" customFormat="1" x14ac:dyDescent="0.25"/>
    <row r="46038" customFormat="1" x14ac:dyDescent="0.25"/>
    <row r="46039" customFormat="1" x14ac:dyDescent="0.25"/>
    <row r="46040" customFormat="1" x14ac:dyDescent="0.25"/>
    <row r="46041" customFormat="1" x14ac:dyDescent="0.25"/>
    <row r="46042" customFormat="1" x14ac:dyDescent="0.25"/>
    <row r="46043" customFormat="1" x14ac:dyDescent="0.25"/>
    <row r="46044" customFormat="1" x14ac:dyDescent="0.25"/>
    <row r="46045" customFormat="1" x14ac:dyDescent="0.25"/>
    <row r="46046" customFormat="1" x14ac:dyDescent="0.25"/>
    <row r="46047" customFormat="1" x14ac:dyDescent="0.25"/>
    <row r="46048" customFormat="1" x14ac:dyDescent="0.25"/>
    <row r="46049" customFormat="1" x14ac:dyDescent="0.25"/>
    <row r="46050" customFormat="1" x14ac:dyDescent="0.25"/>
    <row r="46051" customFormat="1" x14ac:dyDescent="0.25"/>
    <row r="46052" customFormat="1" x14ac:dyDescent="0.25"/>
    <row r="46053" customFormat="1" x14ac:dyDescent="0.25"/>
    <row r="46054" customFormat="1" x14ac:dyDescent="0.25"/>
    <row r="46055" customFormat="1" x14ac:dyDescent="0.25"/>
    <row r="46056" customFormat="1" x14ac:dyDescent="0.25"/>
    <row r="46057" customFormat="1" x14ac:dyDescent="0.25"/>
    <row r="46058" customFormat="1" x14ac:dyDescent="0.25"/>
    <row r="46059" customFormat="1" x14ac:dyDescent="0.25"/>
    <row r="46060" customFormat="1" x14ac:dyDescent="0.25"/>
    <row r="46061" customFormat="1" x14ac:dyDescent="0.25"/>
    <row r="46062" customFormat="1" x14ac:dyDescent="0.25"/>
    <row r="46063" customFormat="1" x14ac:dyDescent="0.25"/>
    <row r="46064" customFormat="1" x14ac:dyDescent="0.25"/>
    <row r="46065" customFormat="1" x14ac:dyDescent="0.25"/>
    <row r="46066" customFormat="1" x14ac:dyDescent="0.25"/>
    <row r="46067" customFormat="1" x14ac:dyDescent="0.25"/>
    <row r="46068" customFormat="1" x14ac:dyDescent="0.25"/>
    <row r="46069" customFormat="1" x14ac:dyDescent="0.25"/>
    <row r="46070" customFormat="1" x14ac:dyDescent="0.25"/>
    <row r="46071" customFormat="1" x14ac:dyDescent="0.25"/>
    <row r="46072" customFormat="1" x14ac:dyDescent="0.25"/>
    <row r="46073" customFormat="1" x14ac:dyDescent="0.25"/>
    <row r="46074" customFormat="1" x14ac:dyDescent="0.25"/>
    <row r="46075" customFormat="1" x14ac:dyDescent="0.25"/>
    <row r="46076" customFormat="1" x14ac:dyDescent="0.25"/>
    <row r="46077" customFormat="1" x14ac:dyDescent="0.25"/>
    <row r="46078" customFormat="1" x14ac:dyDescent="0.25"/>
    <row r="46079" customFormat="1" x14ac:dyDescent="0.25"/>
    <row r="46080" customFormat="1" x14ac:dyDescent="0.25"/>
    <row r="46081" customFormat="1" x14ac:dyDescent="0.25"/>
    <row r="46082" customFormat="1" x14ac:dyDescent="0.25"/>
    <row r="46083" customFormat="1" x14ac:dyDescent="0.25"/>
    <row r="46084" customFormat="1" x14ac:dyDescent="0.25"/>
    <row r="46085" customFormat="1" x14ac:dyDescent="0.25"/>
    <row r="46086" customFormat="1" x14ac:dyDescent="0.25"/>
    <row r="46087" customFormat="1" x14ac:dyDescent="0.25"/>
    <row r="46088" customFormat="1" x14ac:dyDescent="0.25"/>
    <row r="46089" customFormat="1" x14ac:dyDescent="0.25"/>
    <row r="46090" customFormat="1" x14ac:dyDescent="0.25"/>
    <row r="46091" customFormat="1" x14ac:dyDescent="0.25"/>
    <row r="46092" customFormat="1" x14ac:dyDescent="0.25"/>
    <row r="46093" customFormat="1" x14ac:dyDescent="0.25"/>
    <row r="46094" customFormat="1" x14ac:dyDescent="0.25"/>
    <row r="46095" customFormat="1" x14ac:dyDescent="0.25"/>
    <row r="46096" customFormat="1" x14ac:dyDescent="0.25"/>
    <row r="46097" customFormat="1" x14ac:dyDescent="0.25"/>
    <row r="46098" customFormat="1" x14ac:dyDescent="0.25"/>
    <row r="46099" customFormat="1" x14ac:dyDescent="0.25"/>
    <row r="46100" customFormat="1" x14ac:dyDescent="0.25"/>
    <row r="46101" customFormat="1" x14ac:dyDescent="0.25"/>
    <row r="46102" customFormat="1" x14ac:dyDescent="0.25"/>
    <row r="46103" customFormat="1" x14ac:dyDescent="0.25"/>
    <row r="46104" customFormat="1" x14ac:dyDescent="0.25"/>
    <row r="46105" customFormat="1" x14ac:dyDescent="0.25"/>
    <row r="46106" customFormat="1" x14ac:dyDescent="0.25"/>
    <row r="46107" customFormat="1" x14ac:dyDescent="0.25"/>
    <row r="46108" customFormat="1" x14ac:dyDescent="0.25"/>
    <row r="46109" customFormat="1" x14ac:dyDescent="0.25"/>
    <row r="46110" customFormat="1" x14ac:dyDescent="0.25"/>
    <row r="46111" customFormat="1" x14ac:dyDescent="0.25"/>
    <row r="46112" customFormat="1" x14ac:dyDescent="0.25"/>
    <row r="46113" customFormat="1" x14ac:dyDescent="0.25"/>
    <row r="46114" customFormat="1" x14ac:dyDescent="0.25"/>
    <row r="46115" customFormat="1" x14ac:dyDescent="0.25"/>
    <row r="46116" customFormat="1" x14ac:dyDescent="0.25"/>
    <row r="46117" customFormat="1" x14ac:dyDescent="0.25"/>
    <row r="46118" customFormat="1" x14ac:dyDescent="0.25"/>
    <row r="46119" customFormat="1" x14ac:dyDescent="0.25"/>
    <row r="46120" customFormat="1" x14ac:dyDescent="0.25"/>
    <row r="46121" customFormat="1" x14ac:dyDescent="0.25"/>
    <row r="46122" customFormat="1" x14ac:dyDescent="0.25"/>
    <row r="46123" customFormat="1" x14ac:dyDescent="0.25"/>
    <row r="46124" customFormat="1" x14ac:dyDescent="0.25"/>
    <row r="46125" customFormat="1" x14ac:dyDescent="0.25"/>
    <row r="46126" customFormat="1" x14ac:dyDescent="0.25"/>
    <row r="46127" customFormat="1" x14ac:dyDescent="0.25"/>
    <row r="46128" customFormat="1" x14ac:dyDescent="0.25"/>
    <row r="46129" customFormat="1" x14ac:dyDescent="0.25"/>
    <row r="46130" customFormat="1" x14ac:dyDescent="0.25"/>
    <row r="46131" customFormat="1" x14ac:dyDescent="0.25"/>
    <row r="46132" customFormat="1" x14ac:dyDescent="0.25"/>
    <row r="46133" customFormat="1" x14ac:dyDescent="0.25"/>
    <row r="46134" customFormat="1" x14ac:dyDescent="0.25"/>
    <row r="46135" customFormat="1" x14ac:dyDescent="0.25"/>
    <row r="46136" customFormat="1" x14ac:dyDescent="0.25"/>
    <row r="46137" customFormat="1" x14ac:dyDescent="0.25"/>
    <row r="46138" customFormat="1" x14ac:dyDescent="0.25"/>
    <row r="46139" customFormat="1" x14ac:dyDescent="0.25"/>
    <row r="46140" customFormat="1" x14ac:dyDescent="0.25"/>
    <row r="46141" customFormat="1" x14ac:dyDescent="0.25"/>
    <row r="46142" customFormat="1" x14ac:dyDescent="0.25"/>
    <row r="46143" customFormat="1" x14ac:dyDescent="0.25"/>
    <row r="46144" customFormat="1" x14ac:dyDescent="0.25"/>
    <row r="46145" customFormat="1" x14ac:dyDescent="0.25"/>
    <row r="46146" customFormat="1" x14ac:dyDescent="0.25"/>
    <row r="46147" customFormat="1" x14ac:dyDescent="0.25"/>
    <row r="46148" customFormat="1" x14ac:dyDescent="0.25"/>
    <row r="46149" customFormat="1" x14ac:dyDescent="0.25"/>
    <row r="46150" customFormat="1" x14ac:dyDescent="0.25"/>
    <row r="46151" customFormat="1" x14ac:dyDescent="0.25"/>
    <row r="46152" customFormat="1" x14ac:dyDescent="0.25"/>
    <row r="46153" customFormat="1" x14ac:dyDescent="0.25"/>
    <row r="46154" customFormat="1" x14ac:dyDescent="0.25"/>
    <row r="46155" customFormat="1" x14ac:dyDescent="0.25"/>
    <row r="46156" customFormat="1" x14ac:dyDescent="0.25"/>
    <row r="46157" customFormat="1" x14ac:dyDescent="0.25"/>
    <row r="46158" customFormat="1" x14ac:dyDescent="0.25"/>
    <row r="46159" customFormat="1" x14ac:dyDescent="0.25"/>
    <row r="46160" customFormat="1" x14ac:dyDescent="0.25"/>
    <row r="46161" customFormat="1" x14ac:dyDescent="0.25"/>
    <row r="46162" customFormat="1" x14ac:dyDescent="0.25"/>
    <row r="46163" customFormat="1" x14ac:dyDescent="0.25"/>
    <row r="46164" customFormat="1" x14ac:dyDescent="0.25"/>
    <row r="46165" customFormat="1" x14ac:dyDescent="0.25"/>
    <row r="46166" customFormat="1" x14ac:dyDescent="0.25"/>
    <row r="46167" customFormat="1" x14ac:dyDescent="0.25"/>
    <row r="46168" customFormat="1" x14ac:dyDescent="0.25"/>
    <row r="46169" customFormat="1" x14ac:dyDescent="0.25"/>
    <row r="46170" customFormat="1" x14ac:dyDescent="0.25"/>
    <row r="46171" customFormat="1" x14ac:dyDescent="0.25"/>
    <row r="46172" customFormat="1" x14ac:dyDescent="0.25"/>
    <row r="46173" customFormat="1" x14ac:dyDescent="0.25"/>
    <row r="46174" customFormat="1" x14ac:dyDescent="0.25"/>
    <row r="46175" customFormat="1" x14ac:dyDescent="0.25"/>
    <row r="46176" customFormat="1" x14ac:dyDescent="0.25"/>
    <row r="46177" customFormat="1" x14ac:dyDescent="0.25"/>
    <row r="46178" customFormat="1" x14ac:dyDescent="0.25"/>
    <row r="46179" customFormat="1" x14ac:dyDescent="0.25"/>
    <row r="46180" customFormat="1" x14ac:dyDescent="0.25"/>
    <row r="46181" customFormat="1" x14ac:dyDescent="0.25"/>
    <row r="46182" customFormat="1" x14ac:dyDescent="0.25"/>
    <row r="46183" customFormat="1" x14ac:dyDescent="0.25"/>
    <row r="46184" customFormat="1" x14ac:dyDescent="0.25"/>
    <row r="46185" customFormat="1" x14ac:dyDescent="0.25"/>
    <row r="46186" customFormat="1" x14ac:dyDescent="0.25"/>
    <row r="46187" customFormat="1" x14ac:dyDescent="0.25"/>
    <row r="46188" customFormat="1" x14ac:dyDescent="0.25"/>
    <row r="46189" customFormat="1" x14ac:dyDescent="0.25"/>
    <row r="46190" customFormat="1" x14ac:dyDescent="0.25"/>
    <row r="46191" customFormat="1" x14ac:dyDescent="0.25"/>
    <row r="46192" customFormat="1" x14ac:dyDescent="0.25"/>
    <row r="46193" customFormat="1" x14ac:dyDescent="0.25"/>
    <row r="46194" customFormat="1" x14ac:dyDescent="0.25"/>
    <row r="46195" customFormat="1" x14ac:dyDescent="0.25"/>
    <row r="46196" customFormat="1" x14ac:dyDescent="0.25"/>
    <row r="46197" customFormat="1" x14ac:dyDescent="0.25"/>
    <row r="46198" customFormat="1" x14ac:dyDescent="0.25"/>
    <row r="46199" customFormat="1" x14ac:dyDescent="0.25"/>
    <row r="46200" customFormat="1" x14ac:dyDescent="0.25"/>
    <row r="46201" customFormat="1" x14ac:dyDescent="0.25"/>
    <row r="46202" customFormat="1" x14ac:dyDescent="0.25"/>
    <row r="46203" customFormat="1" x14ac:dyDescent="0.25"/>
    <row r="46204" customFormat="1" x14ac:dyDescent="0.25"/>
    <row r="46205" customFormat="1" x14ac:dyDescent="0.25"/>
    <row r="46206" customFormat="1" x14ac:dyDescent="0.25"/>
    <row r="46207" customFormat="1" x14ac:dyDescent="0.25"/>
    <row r="46208" customFormat="1" x14ac:dyDescent="0.25"/>
    <row r="46209" customFormat="1" x14ac:dyDescent="0.25"/>
    <row r="46210" customFormat="1" x14ac:dyDescent="0.25"/>
    <row r="46211" customFormat="1" x14ac:dyDescent="0.25"/>
    <row r="46212" customFormat="1" x14ac:dyDescent="0.25"/>
    <row r="46213" customFormat="1" x14ac:dyDescent="0.25"/>
    <row r="46214" customFormat="1" x14ac:dyDescent="0.25"/>
    <row r="46215" customFormat="1" x14ac:dyDescent="0.25"/>
    <row r="46216" customFormat="1" x14ac:dyDescent="0.25"/>
    <row r="46217" customFormat="1" x14ac:dyDescent="0.25"/>
    <row r="46218" customFormat="1" x14ac:dyDescent="0.25"/>
    <row r="46219" customFormat="1" x14ac:dyDescent="0.25"/>
    <row r="46220" customFormat="1" x14ac:dyDescent="0.25"/>
    <row r="46221" customFormat="1" x14ac:dyDescent="0.25"/>
    <row r="46222" customFormat="1" x14ac:dyDescent="0.25"/>
    <row r="46223" customFormat="1" x14ac:dyDescent="0.25"/>
    <row r="46224" customFormat="1" x14ac:dyDescent="0.25"/>
    <row r="46225" customFormat="1" x14ac:dyDescent="0.25"/>
    <row r="46226" customFormat="1" x14ac:dyDescent="0.25"/>
    <row r="46227" customFormat="1" x14ac:dyDescent="0.25"/>
    <row r="46228" customFormat="1" x14ac:dyDescent="0.25"/>
    <row r="46229" customFormat="1" x14ac:dyDescent="0.25"/>
    <row r="46230" customFormat="1" x14ac:dyDescent="0.25"/>
    <row r="46231" customFormat="1" x14ac:dyDescent="0.25"/>
    <row r="46232" customFormat="1" x14ac:dyDescent="0.25"/>
    <row r="46233" customFormat="1" x14ac:dyDescent="0.25"/>
    <row r="46234" customFormat="1" x14ac:dyDescent="0.25"/>
    <row r="46235" customFormat="1" x14ac:dyDescent="0.25"/>
    <row r="46236" customFormat="1" x14ac:dyDescent="0.25"/>
    <row r="46237" customFormat="1" x14ac:dyDescent="0.25"/>
    <row r="46238" customFormat="1" x14ac:dyDescent="0.25"/>
    <row r="46239" customFormat="1" x14ac:dyDescent="0.25"/>
    <row r="46240" customFormat="1" x14ac:dyDescent="0.25"/>
    <row r="46241" customFormat="1" x14ac:dyDescent="0.25"/>
    <row r="46242" customFormat="1" x14ac:dyDescent="0.25"/>
    <row r="46243" customFormat="1" x14ac:dyDescent="0.25"/>
    <row r="46244" customFormat="1" x14ac:dyDescent="0.25"/>
    <row r="46245" customFormat="1" x14ac:dyDescent="0.25"/>
    <row r="46246" customFormat="1" x14ac:dyDescent="0.25"/>
    <row r="46247" customFormat="1" x14ac:dyDescent="0.25"/>
    <row r="46248" customFormat="1" x14ac:dyDescent="0.25"/>
    <row r="46249" customFormat="1" x14ac:dyDescent="0.25"/>
    <row r="46250" customFormat="1" x14ac:dyDescent="0.25"/>
    <row r="46251" customFormat="1" x14ac:dyDescent="0.25"/>
    <row r="46252" customFormat="1" x14ac:dyDescent="0.25"/>
    <row r="46253" customFormat="1" x14ac:dyDescent="0.25"/>
    <row r="46254" customFormat="1" x14ac:dyDescent="0.25"/>
    <row r="46255" customFormat="1" x14ac:dyDescent="0.25"/>
    <row r="46256" customFormat="1" x14ac:dyDescent="0.25"/>
    <row r="46257" customFormat="1" x14ac:dyDescent="0.25"/>
    <row r="46258" customFormat="1" x14ac:dyDescent="0.25"/>
    <row r="46259" customFormat="1" x14ac:dyDescent="0.25"/>
    <row r="46260" customFormat="1" x14ac:dyDescent="0.25"/>
    <row r="46261" customFormat="1" x14ac:dyDescent="0.25"/>
    <row r="46262" customFormat="1" x14ac:dyDescent="0.25"/>
    <row r="46263" customFormat="1" x14ac:dyDescent="0.25"/>
    <row r="46264" customFormat="1" x14ac:dyDescent="0.25"/>
    <row r="46265" customFormat="1" x14ac:dyDescent="0.25"/>
    <row r="46266" customFormat="1" x14ac:dyDescent="0.25"/>
    <row r="46267" customFormat="1" x14ac:dyDescent="0.25"/>
    <row r="46268" customFormat="1" x14ac:dyDescent="0.25"/>
    <row r="46269" customFormat="1" x14ac:dyDescent="0.25"/>
    <row r="46270" customFormat="1" x14ac:dyDescent="0.25"/>
    <row r="46271" customFormat="1" x14ac:dyDescent="0.25"/>
    <row r="46272" customFormat="1" x14ac:dyDescent="0.25"/>
    <row r="46273" customFormat="1" x14ac:dyDescent="0.25"/>
    <row r="46274" customFormat="1" x14ac:dyDescent="0.25"/>
    <row r="46275" customFormat="1" x14ac:dyDescent="0.25"/>
    <row r="46276" customFormat="1" x14ac:dyDescent="0.25"/>
    <row r="46277" customFormat="1" x14ac:dyDescent="0.25"/>
    <row r="46278" customFormat="1" x14ac:dyDescent="0.25"/>
    <row r="46279" customFormat="1" x14ac:dyDescent="0.25"/>
    <row r="46280" customFormat="1" x14ac:dyDescent="0.25"/>
    <row r="46281" customFormat="1" x14ac:dyDescent="0.25"/>
    <row r="46282" customFormat="1" x14ac:dyDescent="0.25"/>
    <row r="46283" customFormat="1" x14ac:dyDescent="0.25"/>
    <row r="46284" customFormat="1" x14ac:dyDescent="0.25"/>
    <row r="46285" customFormat="1" x14ac:dyDescent="0.25"/>
    <row r="46286" customFormat="1" x14ac:dyDescent="0.25"/>
    <row r="46287" customFormat="1" x14ac:dyDescent="0.25"/>
    <row r="46288" customFormat="1" x14ac:dyDescent="0.25"/>
    <row r="46289" customFormat="1" x14ac:dyDescent="0.25"/>
    <row r="46290" customFormat="1" x14ac:dyDescent="0.25"/>
    <row r="46291" customFormat="1" x14ac:dyDescent="0.25"/>
    <row r="46292" customFormat="1" x14ac:dyDescent="0.25"/>
    <row r="46293" customFormat="1" x14ac:dyDescent="0.25"/>
    <row r="46294" customFormat="1" x14ac:dyDescent="0.25"/>
    <row r="46295" customFormat="1" x14ac:dyDescent="0.25"/>
    <row r="46296" customFormat="1" x14ac:dyDescent="0.25"/>
    <row r="46297" customFormat="1" x14ac:dyDescent="0.25"/>
    <row r="46298" customFormat="1" x14ac:dyDescent="0.25"/>
    <row r="46299" customFormat="1" x14ac:dyDescent="0.25"/>
    <row r="46300" customFormat="1" x14ac:dyDescent="0.25"/>
    <row r="46301" customFormat="1" x14ac:dyDescent="0.25"/>
    <row r="46302" customFormat="1" x14ac:dyDescent="0.25"/>
    <row r="46303" customFormat="1" x14ac:dyDescent="0.25"/>
    <row r="46304" customFormat="1" x14ac:dyDescent="0.25"/>
    <row r="46305" customFormat="1" x14ac:dyDescent="0.25"/>
    <row r="46306" customFormat="1" x14ac:dyDescent="0.25"/>
    <row r="46307" customFormat="1" x14ac:dyDescent="0.25"/>
    <row r="46308" customFormat="1" x14ac:dyDescent="0.25"/>
    <row r="46309" customFormat="1" x14ac:dyDescent="0.25"/>
    <row r="46310" customFormat="1" x14ac:dyDescent="0.25"/>
    <row r="46311" customFormat="1" x14ac:dyDescent="0.25"/>
    <row r="46312" customFormat="1" x14ac:dyDescent="0.25"/>
    <row r="46313" customFormat="1" x14ac:dyDescent="0.25"/>
    <row r="46314" customFormat="1" x14ac:dyDescent="0.25"/>
    <row r="46315" customFormat="1" x14ac:dyDescent="0.25"/>
    <row r="46316" customFormat="1" x14ac:dyDescent="0.25"/>
    <row r="46317" customFormat="1" x14ac:dyDescent="0.25"/>
    <row r="46318" customFormat="1" x14ac:dyDescent="0.25"/>
    <row r="46319" customFormat="1" x14ac:dyDescent="0.25"/>
    <row r="46320" customFormat="1" x14ac:dyDescent="0.25"/>
    <row r="46321" customFormat="1" x14ac:dyDescent="0.25"/>
    <row r="46322" customFormat="1" x14ac:dyDescent="0.25"/>
    <row r="46323" customFormat="1" x14ac:dyDescent="0.25"/>
    <row r="46324" customFormat="1" x14ac:dyDescent="0.25"/>
    <row r="46325" customFormat="1" x14ac:dyDescent="0.25"/>
    <row r="46326" customFormat="1" x14ac:dyDescent="0.25"/>
    <row r="46327" customFormat="1" x14ac:dyDescent="0.25"/>
    <row r="46328" customFormat="1" x14ac:dyDescent="0.25"/>
    <row r="46329" customFormat="1" x14ac:dyDescent="0.25"/>
    <row r="46330" customFormat="1" x14ac:dyDescent="0.25"/>
    <row r="46331" customFormat="1" x14ac:dyDescent="0.25"/>
    <row r="46332" customFormat="1" x14ac:dyDescent="0.25"/>
    <row r="46333" customFormat="1" x14ac:dyDescent="0.25"/>
    <row r="46334" customFormat="1" x14ac:dyDescent="0.25"/>
    <row r="46335" customFormat="1" x14ac:dyDescent="0.25"/>
    <row r="46336" customFormat="1" x14ac:dyDescent="0.25"/>
    <row r="46337" customFormat="1" x14ac:dyDescent="0.25"/>
    <row r="46338" customFormat="1" x14ac:dyDescent="0.25"/>
    <row r="46339" customFormat="1" x14ac:dyDescent="0.25"/>
    <row r="46340" customFormat="1" x14ac:dyDescent="0.25"/>
    <row r="46341" customFormat="1" x14ac:dyDescent="0.25"/>
    <row r="46342" customFormat="1" x14ac:dyDescent="0.25"/>
    <row r="46343" customFormat="1" x14ac:dyDescent="0.25"/>
    <row r="46344" customFormat="1" x14ac:dyDescent="0.25"/>
    <row r="46345" customFormat="1" x14ac:dyDescent="0.25"/>
    <row r="46346" customFormat="1" x14ac:dyDescent="0.25"/>
    <row r="46347" customFormat="1" x14ac:dyDescent="0.25"/>
    <row r="46348" customFormat="1" x14ac:dyDescent="0.25"/>
    <row r="46349" customFormat="1" x14ac:dyDescent="0.25"/>
    <row r="46350" customFormat="1" x14ac:dyDescent="0.25"/>
    <row r="46351" customFormat="1" x14ac:dyDescent="0.25"/>
    <row r="46352" customFormat="1" x14ac:dyDescent="0.25"/>
    <row r="46353" customFormat="1" x14ac:dyDescent="0.25"/>
    <row r="46354" customFormat="1" x14ac:dyDescent="0.25"/>
    <row r="46355" customFormat="1" x14ac:dyDescent="0.25"/>
    <row r="46356" customFormat="1" x14ac:dyDescent="0.25"/>
    <row r="46357" customFormat="1" x14ac:dyDescent="0.25"/>
    <row r="46358" customFormat="1" x14ac:dyDescent="0.25"/>
    <row r="46359" customFormat="1" x14ac:dyDescent="0.25"/>
    <row r="46360" customFormat="1" x14ac:dyDescent="0.25"/>
    <row r="46361" customFormat="1" x14ac:dyDescent="0.25"/>
    <row r="46362" customFormat="1" x14ac:dyDescent="0.25"/>
    <row r="46363" customFormat="1" x14ac:dyDescent="0.25"/>
    <row r="46364" customFormat="1" x14ac:dyDescent="0.25"/>
    <row r="46365" customFormat="1" x14ac:dyDescent="0.25"/>
    <row r="46366" customFormat="1" x14ac:dyDescent="0.25"/>
    <row r="46367" customFormat="1" x14ac:dyDescent="0.25"/>
    <row r="46368" customFormat="1" x14ac:dyDescent="0.25"/>
    <row r="46369" customFormat="1" x14ac:dyDescent="0.25"/>
    <row r="46370" customFormat="1" x14ac:dyDescent="0.25"/>
    <row r="46371" customFormat="1" x14ac:dyDescent="0.25"/>
    <row r="46372" customFormat="1" x14ac:dyDescent="0.25"/>
    <row r="46373" customFormat="1" x14ac:dyDescent="0.25"/>
    <row r="46374" customFormat="1" x14ac:dyDescent="0.25"/>
    <row r="46375" customFormat="1" x14ac:dyDescent="0.25"/>
    <row r="46376" customFormat="1" x14ac:dyDescent="0.25"/>
    <row r="46377" customFormat="1" x14ac:dyDescent="0.25"/>
    <row r="46378" customFormat="1" x14ac:dyDescent="0.25"/>
    <row r="46379" customFormat="1" x14ac:dyDescent="0.25"/>
    <row r="46380" customFormat="1" x14ac:dyDescent="0.25"/>
    <row r="46381" customFormat="1" x14ac:dyDescent="0.25"/>
    <row r="46382" customFormat="1" x14ac:dyDescent="0.25"/>
    <row r="46383" customFormat="1" x14ac:dyDescent="0.25"/>
    <row r="46384" customFormat="1" x14ac:dyDescent="0.25"/>
    <row r="46385" customFormat="1" x14ac:dyDescent="0.25"/>
    <row r="46386" customFormat="1" x14ac:dyDescent="0.25"/>
    <row r="46387" customFormat="1" x14ac:dyDescent="0.25"/>
    <row r="46388" customFormat="1" x14ac:dyDescent="0.25"/>
    <row r="46389" customFormat="1" x14ac:dyDescent="0.25"/>
    <row r="46390" customFormat="1" x14ac:dyDescent="0.25"/>
    <row r="46391" customFormat="1" x14ac:dyDescent="0.25"/>
    <row r="46392" customFormat="1" x14ac:dyDescent="0.25"/>
    <row r="46393" customFormat="1" x14ac:dyDescent="0.25"/>
    <row r="46394" customFormat="1" x14ac:dyDescent="0.25"/>
    <row r="46395" customFormat="1" x14ac:dyDescent="0.25"/>
    <row r="46396" customFormat="1" x14ac:dyDescent="0.25"/>
    <row r="46397" customFormat="1" x14ac:dyDescent="0.25"/>
    <row r="46398" customFormat="1" x14ac:dyDescent="0.25"/>
    <row r="46399" customFormat="1" x14ac:dyDescent="0.25"/>
    <row r="46400" customFormat="1" x14ac:dyDescent="0.25"/>
    <row r="46401" customFormat="1" x14ac:dyDescent="0.25"/>
    <row r="46402" customFormat="1" x14ac:dyDescent="0.25"/>
    <row r="46403" customFormat="1" x14ac:dyDescent="0.25"/>
    <row r="46404" customFormat="1" x14ac:dyDescent="0.25"/>
    <row r="46405" customFormat="1" x14ac:dyDescent="0.25"/>
    <row r="46406" customFormat="1" x14ac:dyDescent="0.25"/>
    <row r="46407" customFormat="1" x14ac:dyDescent="0.25"/>
    <row r="46408" customFormat="1" x14ac:dyDescent="0.25"/>
    <row r="46409" customFormat="1" x14ac:dyDescent="0.25"/>
    <row r="46410" customFormat="1" x14ac:dyDescent="0.25"/>
    <row r="46411" customFormat="1" x14ac:dyDescent="0.25"/>
    <row r="46412" customFormat="1" x14ac:dyDescent="0.25"/>
    <row r="46413" customFormat="1" x14ac:dyDescent="0.25"/>
    <row r="46414" customFormat="1" x14ac:dyDescent="0.25"/>
    <row r="46415" customFormat="1" x14ac:dyDescent="0.25"/>
    <row r="46416" customFormat="1" x14ac:dyDescent="0.25"/>
    <row r="46417" customFormat="1" x14ac:dyDescent="0.25"/>
    <row r="46418" customFormat="1" x14ac:dyDescent="0.25"/>
    <row r="46419" customFormat="1" x14ac:dyDescent="0.25"/>
    <row r="46420" customFormat="1" x14ac:dyDescent="0.25"/>
    <row r="46421" customFormat="1" x14ac:dyDescent="0.25"/>
    <row r="46422" customFormat="1" x14ac:dyDescent="0.25"/>
    <row r="46423" customFormat="1" x14ac:dyDescent="0.25"/>
    <row r="46424" customFormat="1" x14ac:dyDescent="0.25"/>
    <row r="46425" customFormat="1" x14ac:dyDescent="0.25"/>
    <row r="46426" customFormat="1" x14ac:dyDescent="0.25"/>
    <row r="46427" customFormat="1" x14ac:dyDescent="0.25"/>
    <row r="46428" customFormat="1" x14ac:dyDescent="0.25"/>
    <row r="46429" customFormat="1" x14ac:dyDescent="0.25"/>
    <row r="46430" customFormat="1" x14ac:dyDescent="0.25"/>
    <row r="46431" customFormat="1" x14ac:dyDescent="0.25"/>
    <row r="46432" customFormat="1" x14ac:dyDescent="0.25"/>
    <row r="46433" customFormat="1" x14ac:dyDescent="0.25"/>
    <row r="46434" customFormat="1" x14ac:dyDescent="0.25"/>
    <row r="46435" customFormat="1" x14ac:dyDescent="0.25"/>
    <row r="46436" customFormat="1" x14ac:dyDescent="0.25"/>
    <row r="46437" customFormat="1" x14ac:dyDescent="0.25"/>
    <row r="46438" customFormat="1" x14ac:dyDescent="0.25"/>
    <row r="46439" customFormat="1" x14ac:dyDescent="0.25"/>
    <row r="46440" customFormat="1" x14ac:dyDescent="0.25"/>
    <row r="46441" customFormat="1" x14ac:dyDescent="0.25"/>
    <row r="46442" customFormat="1" x14ac:dyDescent="0.25"/>
    <row r="46443" customFormat="1" x14ac:dyDescent="0.25"/>
    <row r="46444" customFormat="1" x14ac:dyDescent="0.25"/>
    <row r="46445" customFormat="1" x14ac:dyDescent="0.25"/>
    <row r="46446" customFormat="1" x14ac:dyDescent="0.25"/>
    <row r="46447" customFormat="1" x14ac:dyDescent="0.25"/>
    <row r="46448" customFormat="1" x14ac:dyDescent="0.25"/>
    <row r="46449" customFormat="1" x14ac:dyDescent="0.25"/>
    <row r="46450" customFormat="1" x14ac:dyDescent="0.25"/>
    <row r="46451" customFormat="1" x14ac:dyDescent="0.25"/>
    <row r="46452" customFormat="1" x14ac:dyDescent="0.25"/>
    <row r="46453" customFormat="1" x14ac:dyDescent="0.25"/>
    <row r="46454" customFormat="1" x14ac:dyDescent="0.25"/>
    <row r="46455" customFormat="1" x14ac:dyDescent="0.25"/>
    <row r="46456" customFormat="1" x14ac:dyDescent="0.25"/>
    <row r="46457" customFormat="1" x14ac:dyDescent="0.25"/>
    <row r="46458" customFormat="1" x14ac:dyDescent="0.25"/>
    <row r="46459" customFormat="1" x14ac:dyDescent="0.25"/>
    <row r="46460" customFormat="1" x14ac:dyDescent="0.25"/>
    <row r="46461" customFormat="1" x14ac:dyDescent="0.25"/>
    <row r="46462" customFormat="1" x14ac:dyDescent="0.25"/>
    <row r="46463" customFormat="1" x14ac:dyDescent="0.25"/>
    <row r="46464" customFormat="1" x14ac:dyDescent="0.25"/>
    <row r="46465" customFormat="1" x14ac:dyDescent="0.25"/>
    <row r="46466" customFormat="1" x14ac:dyDescent="0.25"/>
    <row r="46467" customFormat="1" x14ac:dyDescent="0.25"/>
    <row r="46468" customFormat="1" x14ac:dyDescent="0.25"/>
    <row r="46469" customFormat="1" x14ac:dyDescent="0.25"/>
    <row r="46470" customFormat="1" x14ac:dyDescent="0.25"/>
    <row r="46471" customFormat="1" x14ac:dyDescent="0.25"/>
    <row r="46472" customFormat="1" x14ac:dyDescent="0.25"/>
    <row r="46473" customFormat="1" x14ac:dyDescent="0.25"/>
    <row r="46474" customFormat="1" x14ac:dyDescent="0.25"/>
    <row r="46475" customFormat="1" x14ac:dyDescent="0.25"/>
    <row r="46476" customFormat="1" x14ac:dyDescent="0.25"/>
    <row r="46477" customFormat="1" x14ac:dyDescent="0.25"/>
    <row r="46478" customFormat="1" x14ac:dyDescent="0.25"/>
    <row r="46479" customFormat="1" x14ac:dyDescent="0.25"/>
    <row r="46480" customFormat="1" x14ac:dyDescent="0.25"/>
    <row r="46481" customFormat="1" x14ac:dyDescent="0.25"/>
    <row r="46482" customFormat="1" x14ac:dyDescent="0.25"/>
    <row r="46483" customFormat="1" x14ac:dyDescent="0.25"/>
    <row r="46484" customFormat="1" x14ac:dyDescent="0.25"/>
    <row r="46485" customFormat="1" x14ac:dyDescent="0.25"/>
    <row r="46486" customFormat="1" x14ac:dyDescent="0.25"/>
    <row r="46487" customFormat="1" x14ac:dyDescent="0.25"/>
    <row r="46488" customFormat="1" x14ac:dyDescent="0.25"/>
    <row r="46489" customFormat="1" x14ac:dyDescent="0.25"/>
    <row r="46490" customFormat="1" x14ac:dyDescent="0.25"/>
    <row r="46491" customFormat="1" x14ac:dyDescent="0.25"/>
    <row r="46492" customFormat="1" x14ac:dyDescent="0.25"/>
    <row r="46493" customFormat="1" x14ac:dyDescent="0.25"/>
    <row r="46494" customFormat="1" x14ac:dyDescent="0.25"/>
    <row r="46495" customFormat="1" x14ac:dyDescent="0.25"/>
    <row r="46496" customFormat="1" x14ac:dyDescent="0.25"/>
    <row r="46497" customFormat="1" x14ac:dyDescent="0.25"/>
    <row r="46498" customFormat="1" x14ac:dyDescent="0.25"/>
    <row r="46499" customFormat="1" x14ac:dyDescent="0.25"/>
    <row r="46500" customFormat="1" x14ac:dyDescent="0.25"/>
    <row r="46501" customFormat="1" x14ac:dyDescent="0.25"/>
    <row r="46502" customFormat="1" x14ac:dyDescent="0.25"/>
    <row r="46503" customFormat="1" x14ac:dyDescent="0.25"/>
    <row r="46504" customFormat="1" x14ac:dyDescent="0.25"/>
    <row r="46505" customFormat="1" x14ac:dyDescent="0.25"/>
    <row r="46506" customFormat="1" x14ac:dyDescent="0.25"/>
    <row r="46507" customFormat="1" x14ac:dyDescent="0.25"/>
    <row r="46508" customFormat="1" x14ac:dyDescent="0.25"/>
    <row r="46509" customFormat="1" x14ac:dyDescent="0.25"/>
    <row r="46510" customFormat="1" x14ac:dyDescent="0.25"/>
    <row r="46511" customFormat="1" x14ac:dyDescent="0.25"/>
    <row r="46512" customFormat="1" x14ac:dyDescent="0.25"/>
    <row r="46513" customFormat="1" x14ac:dyDescent="0.25"/>
    <row r="46514" customFormat="1" x14ac:dyDescent="0.25"/>
    <row r="46515" customFormat="1" x14ac:dyDescent="0.25"/>
    <row r="46516" customFormat="1" x14ac:dyDescent="0.25"/>
    <row r="46517" customFormat="1" x14ac:dyDescent="0.25"/>
    <row r="46518" customFormat="1" x14ac:dyDescent="0.25"/>
    <row r="46519" customFormat="1" x14ac:dyDescent="0.25"/>
    <row r="46520" customFormat="1" x14ac:dyDescent="0.25"/>
    <row r="46521" customFormat="1" x14ac:dyDescent="0.25"/>
    <row r="46522" customFormat="1" x14ac:dyDescent="0.25"/>
    <row r="46523" customFormat="1" x14ac:dyDescent="0.25"/>
    <row r="46524" customFormat="1" x14ac:dyDescent="0.25"/>
    <row r="46525" customFormat="1" x14ac:dyDescent="0.25"/>
    <row r="46526" customFormat="1" x14ac:dyDescent="0.25"/>
    <row r="46527" customFormat="1" x14ac:dyDescent="0.25"/>
    <row r="46528" customFormat="1" x14ac:dyDescent="0.25"/>
    <row r="46529" customFormat="1" x14ac:dyDescent="0.25"/>
    <row r="46530" customFormat="1" x14ac:dyDescent="0.25"/>
    <row r="46531" customFormat="1" x14ac:dyDescent="0.25"/>
    <row r="46532" customFormat="1" x14ac:dyDescent="0.25"/>
    <row r="46533" customFormat="1" x14ac:dyDescent="0.25"/>
    <row r="46534" customFormat="1" x14ac:dyDescent="0.25"/>
    <row r="46535" customFormat="1" x14ac:dyDescent="0.25"/>
    <row r="46536" customFormat="1" x14ac:dyDescent="0.25"/>
    <row r="46537" customFormat="1" x14ac:dyDescent="0.25"/>
    <row r="46538" customFormat="1" x14ac:dyDescent="0.25"/>
    <row r="46539" customFormat="1" x14ac:dyDescent="0.25"/>
    <row r="46540" customFormat="1" x14ac:dyDescent="0.25"/>
    <row r="46541" customFormat="1" x14ac:dyDescent="0.25"/>
    <row r="46542" customFormat="1" x14ac:dyDescent="0.25"/>
    <row r="46543" customFormat="1" x14ac:dyDescent="0.25"/>
    <row r="46544" customFormat="1" x14ac:dyDescent="0.25"/>
    <row r="46545" customFormat="1" x14ac:dyDescent="0.25"/>
    <row r="46546" customFormat="1" x14ac:dyDescent="0.25"/>
    <row r="46547" customFormat="1" x14ac:dyDescent="0.25"/>
    <row r="46548" customFormat="1" x14ac:dyDescent="0.25"/>
    <row r="46549" customFormat="1" x14ac:dyDescent="0.25"/>
    <row r="46550" customFormat="1" x14ac:dyDescent="0.25"/>
    <row r="46551" customFormat="1" x14ac:dyDescent="0.25"/>
    <row r="46552" customFormat="1" x14ac:dyDescent="0.25"/>
    <row r="46553" customFormat="1" x14ac:dyDescent="0.25"/>
    <row r="46554" customFormat="1" x14ac:dyDescent="0.25"/>
    <row r="46555" customFormat="1" x14ac:dyDescent="0.25"/>
    <row r="46556" customFormat="1" x14ac:dyDescent="0.25"/>
    <row r="46557" customFormat="1" x14ac:dyDescent="0.25"/>
    <row r="46558" customFormat="1" x14ac:dyDescent="0.25"/>
    <row r="46559" customFormat="1" x14ac:dyDescent="0.25"/>
    <row r="46560" customFormat="1" x14ac:dyDescent="0.25"/>
    <row r="46561" customFormat="1" x14ac:dyDescent="0.25"/>
    <row r="46562" customFormat="1" x14ac:dyDescent="0.25"/>
    <row r="46563" customFormat="1" x14ac:dyDescent="0.25"/>
    <row r="46564" customFormat="1" x14ac:dyDescent="0.25"/>
    <row r="46565" customFormat="1" x14ac:dyDescent="0.25"/>
    <row r="46566" customFormat="1" x14ac:dyDescent="0.25"/>
    <row r="46567" customFormat="1" x14ac:dyDescent="0.25"/>
    <row r="46568" customFormat="1" x14ac:dyDescent="0.25"/>
    <row r="46569" customFormat="1" x14ac:dyDescent="0.25"/>
    <row r="46570" customFormat="1" x14ac:dyDescent="0.25"/>
    <row r="46571" customFormat="1" x14ac:dyDescent="0.25"/>
    <row r="46572" customFormat="1" x14ac:dyDescent="0.25"/>
    <row r="46573" customFormat="1" x14ac:dyDescent="0.25"/>
    <row r="46574" customFormat="1" x14ac:dyDescent="0.25"/>
    <row r="46575" customFormat="1" x14ac:dyDescent="0.25"/>
    <row r="46576" customFormat="1" x14ac:dyDescent="0.25"/>
    <row r="46577" customFormat="1" x14ac:dyDescent="0.25"/>
    <row r="46578" customFormat="1" x14ac:dyDescent="0.25"/>
    <row r="46579" customFormat="1" x14ac:dyDescent="0.25"/>
    <row r="46580" customFormat="1" x14ac:dyDescent="0.25"/>
    <row r="46581" customFormat="1" x14ac:dyDescent="0.25"/>
    <row r="46582" customFormat="1" x14ac:dyDescent="0.25"/>
    <row r="46583" customFormat="1" x14ac:dyDescent="0.25"/>
    <row r="46584" customFormat="1" x14ac:dyDescent="0.25"/>
    <row r="46585" customFormat="1" x14ac:dyDescent="0.25"/>
    <row r="46586" customFormat="1" x14ac:dyDescent="0.25"/>
    <row r="46587" customFormat="1" x14ac:dyDescent="0.25"/>
    <row r="46588" customFormat="1" x14ac:dyDescent="0.25"/>
    <row r="46589" customFormat="1" x14ac:dyDescent="0.25"/>
    <row r="46590" customFormat="1" x14ac:dyDescent="0.25"/>
    <row r="46591" customFormat="1" x14ac:dyDescent="0.25"/>
    <row r="46592" customFormat="1" x14ac:dyDescent="0.25"/>
    <row r="46593" customFormat="1" x14ac:dyDescent="0.25"/>
    <row r="46594" customFormat="1" x14ac:dyDescent="0.25"/>
    <row r="46595" customFormat="1" x14ac:dyDescent="0.25"/>
    <row r="46596" customFormat="1" x14ac:dyDescent="0.25"/>
    <row r="46597" customFormat="1" x14ac:dyDescent="0.25"/>
    <row r="46598" customFormat="1" x14ac:dyDescent="0.25"/>
    <row r="46599" customFormat="1" x14ac:dyDescent="0.25"/>
    <row r="46600" customFormat="1" x14ac:dyDescent="0.25"/>
    <row r="46601" customFormat="1" x14ac:dyDescent="0.25"/>
    <row r="46602" customFormat="1" x14ac:dyDescent="0.25"/>
    <row r="46603" customFormat="1" x14ac:dyDescent="0.25"/>
    <row r="46604" customFormat="1" x14ac:dyDescent="0.25"/>
    <row r="46605" customFormat="1" x14ac:dyDescent="0.25"/>
    <row r="46606" customFormat="1" x14ac:dyDescent="0.25"/>
    <row r="46607" customFormat="1" x14ac:dyDescent="0.25"/>
    <row r="46608" customFormat="1" x14ac:dyDescent="0.25"/>
    <row r="46609" customFormat="1" x14ac:dyDescent="0.25"/>
    <row r="46610" customFormat="1" x14ac:dyDescent="0.25"/>
    <row r="46611" customFormat="1" x14ac:dyDescent="0.25"/>
    <row r="46612" customFormat="1" x14ac:dyDescent="0.25"/>
    <row r="46613" customFormat="1" x14ac:dyDescent="0.25"/>
    <row r="46614" customFormat="1" x14ac:dyDescent="0.25"/>
    <row r="46615" customFormat="1" x14ac:dyDescent="0.25"/>
    <row r="46616" customFormat="1" x14ac:dyDescent="0.25"/>
    <row r="46617" customFormat="1" x14ac:dyDescent="0.25"/>
    <row r="46618" customFormat="1" x14ac:dyDescent="0.25"/>
    <row r="46619" customFormat="1" x14ac:dyDescent="0.25"/>
    <row r="46620" customFormat="1" x14ac:dyDescent="0.25"/>
    <row r="46621" customFormat="1" x14ac:dyDescent="0.25"/>
    <row r="46622" customFormat="1" x14ac:dyDescent="0.25"/>
    <row r="46623" customFormat="1" x14ac:dyDescent="0.25"/>
    <row r="46624" customFormat="1" x14ac:dyDescent="0.25"/>
    <row r="46625" customFormat="1" x14ac:dyDescent="0.25"/>
    <row r="46626" customFormat="1" x14ac:dyDescent="0.25"/>
    <row r="46627" customFormat="1" x14ac:dyDescent="0.25"/>
    <row r="46628" customFormat="1" x14ac:dyDescent="0.25"/>
    <row r="46629" customFormat="1" x14ac:dyDescent="0.25"/>
    <row r="46630" customFormat="1" x14ac:dyDescent="0.25"/>
    <row r="46631" customFormat="1" x14ac:dyDescent="0.25"/>
    <row r="46632" customFormat="1" x14ac:dyDescent="0.25"/>
    <row r="46633" customFormat="1" x14ac:dyDescent="0.25"/>
    <row r="46634" customFormat="1" x14ac:dyDescent="0.25"/>
    <row r="46635" customFormat="1" x14ac:dyDescent="0.25"/>
    <row r="46636" customFormat="1" x14ac:dyDescent="0.25"/>
    <row r="46637" customFormat="1" x14ac:dyDescent="0.25"/>
    <row r="46638" customFormat="1" x14ac:dyDescent="0.25"/>
    <row r="46639" customFormat="1" x14ac:dyDescent="0.25"/>
    <row r="46640" customFormat="1" x14ac:dyDescent="0.25"/>
    <row r="46641" customFormat="1" x14ac:dyDescent="0.25"/>
    <row r="46642" customFormat="1" x14ac:dyDescent="0.25"/>
    <row r="46643" customFormat="1" x14ac:dyDescent="0.25"/>
    <row r="46644" customFormat="1" x14ac:dyDescent="0.25"/>
    <row r="46645" customFormat="1" x14ac:dyDescent="0.25"/>
    <row r="46646" customFormat="1" x14ac:dyDescent="0.25"/>
    <row r="46647" customFormat="1" x14ac:dyDescent="0.25"/>
    <row r="46648" customFormat="1" x14ac:dyDescent="0.25"/>
    <row r="46649" customFormat="1" x14ac:dyDescent="0.25"/>
    <row r="46650" customFormat="1" x14ac:dyDescent="0.25"/>
    <row r="46651" customFormat="1" x14ac:dyDescent="0.25"/>
    <row r="46652" customFormat="1" x14ac:dyDescent="0.25"/>
    <row r="46653" customFormat="1" x14ac:dyDescent="0.25"/>
    <row r="46654" customFormat="1" x14ac:dyDescent="0.25"/>
    <row r="46655" customFormat="1" x14ac:dyDescent="0.25"/>
    <row r="46656" customFormat="1" x14ac:dyDescent="0.25"/>
    <row r="46657" customFormat="1" x14ac:dyDescent="0.25"/>
    <row r="46658" customFormat="1" x14ac:dyDescent="0.25"/>
    <row r="46659" customFormat="1" x14ac:dyDescent="0.25"/>
    <row r="46660" customFormat="1" x14ac:dyDescent="0.25"/>
    <row r="46661" customFormat="1" x14ac:dyDescent="0.25"/>
    <row r="46662" customFormat="1" x14ac:dyDescent="0.25"/>
    <row r="46663" customFormat="1" x14ac:dyDescent="0.25"/>
    <row r="46664" customFormat="1" x14ac:dyDescent="0.25"/>
    <row r="46665" customFormat="1" x14ac:dyDescent="0.25"/>
    <row r="46666" customFormat="1" x14ac:dyDescent="0.25"/>
    <row r="46667" customFormat="1" x14ac:dyDescent="0.25"/>
    <row r="46668" customFormat="1" x14ac:dyDescent="0.25"/>
    <row r="46669" customFormat="1" x14ac:dyDescent="0.25"/>
    <row r="46670" customFormat="1" x14ac:dyDescent="0.25"/>
    <row r="46671" customFormat="1" x14ac:dyDescent="0.25"/>
    <row r="46672" customFormat="1" x14ac:dyDescent="0.25"/>
    <row r="46673" customFormat="1" x14ac:dyDescent="0.25"/>
    <row r="46674" customFormat="1" x14ac:dyDescent="0.25"/>
    <row r="46675" customFormat="1" x14ac:dyDescent="0.25"/>
    <row r="46676" customFormat="1" x14ac:dyDescent="0.25"/>
    <row r="46677" customFormat="1" x14ac:dyDescent="0.25"/>
    <row r="46678" customFormat="1" x14ac:dyDescent="0.25"/>
    <row r="46679" customFormat="1" x14ac:dyDescent="0.25"/>
    <row r="46680" customFormat="1" x14ac:dyDescent="0.25"/>
    <row r="46681" customFormat="1" x14ac:dyDescent="0.25"/>
    <row r="46682" customFormat="1" x14ac:dyDescent="0.25"/>
    <row r="46683" customFormat="1" x14ac:dyDescent="0.25"/>
    <row r="46684" customFormat="1" x14ac:dyDescent="0.25"/>
    <row r="46685" customFormat="1" x14ac:dyDescent="0.25"/>
    <row r="46686" customFormat="1" x14ac:dyDescent="0.25"/>
    <row r="46687" customFormat="1" x14ac:dyDescent="0.25"/>
    <row r="46688" customFormat="1" x14ac:dyDescent="0.25"/>
    <row r="46689" customFormat="1" x14ac:dyDescent="0.25"/>
    <row r="46690" customFormat="1" x14ac:dyDescent="0.25"/>
    <row r="46691" customFormat="1" x14ac:dyDescent="0.25"/>
    <row r="46692" customFormat="1" x14ac:dyDescent="0.25"/>
    <row r="46693" customFormat="1" x14ac:dyDescent="0.25"/>
    <row r="46694" customFormat="1" x14ac:dyDescent="0.25"/>
    <row r="46695" customFormat="1" x14ac:dyDescent="0.25"/>
    <row r="46696" customFormat="1" x14ac:dyDescent="0.25"/>
    <row r="46697" customFormat="1" x14ac:dyDescent="0.25"/>
    <row r="46698" customFormat="1" x14ac:dyDescent="0.25"/>
    <row r="46699" customFormat="1" x14ac:dyDescent="0.25"/>
    <row r="46700" customFormat="1" x14ac:dyDescent="0.25"/>
    <row r="46701" customFormat="1" x14ac:dyDescent="0.25"/>
    <row r="46702" customFormat="1" x14ac:dyDescent="0.25"/>
    <row r="46703" customFormat="1" x14ac:dyDescent="0.25"/>
    <row r="46704" customFormat="1" x14ac:dyDescent="0.25"/>
    <row r="46705" customFormat="1" x14ac:dyDescent="0.25"/>
    <row r="46706" customFormat="1" x14ac:dyDescent="0.25"/>
    <row r="46707" customFormat="1" x14ac:dyDescent="0.25"/>
    <row r="46708" customFormat="1" x14ac:dyDescent="0.25"/>
    <row r="46709" customFormat="1" x14ac:dyDescent="0.25"/>
    <row r="46710" customFormat="1" x14ac:dyDescent="0.25"/>
    <row r="46711" customFormat="1" x14ac:dyDescent="0.25"/>
    <row r="46712" customFormat="1" x14ac:dyDescent="0.25"/>
    <row r="46713" customFormat="1" x14ac:dyDescent="0.25"/>
    <row r="46714" customFormat="1" x14ac:dyDescent="0.25"/>
    <row r="46715" customFormat="1" x14ac:dyDescent="0.25"/>
    <row r="46716" customFormat="1" x14ac:dyDescent="0.25"/>
    <row r="46717" customFormat="1" x14ac:dyDescent="0.25"/>
    <row r="46718" customFormat="1" x14ac:dyDescent="0.25"/>
    <row r="46719" customFormat="1" x14ac:dyDescent="0.25"/>
    <row r="46720" customFormat="1" x14ac:dyDescent="0.25"/>
    <row r="46721" customFormat="1" x14ac:dyDescent="0.25"/>
    <row r="46722" customFormat="1" x14ac:dyDescent="0.25"/>
    <row r="46723" customFormat="1" x14ac:dyDescent="0.25"/>
    <row r="46724" customFormat="1" x14ac:dyDescent="0.25"/>
    <row r="46725" customFormat="1" x14ac:dyDescent="0.25"/>
    <row r="46726" customFormat="1" x14ac:dyDescent="0.25"/>
    <row r="46727" customFormat="1" x14ac:dyDescent="0.25"/>
    <row r="46728" customFormat="1" x14ac:dyDescent="0.25"/>
    <row r="46729" customFormat="1" x14ac:dyDescent="0.25"/>
    <row r="46730" customFormat="1" x14ac:dyDescent="0.25"/>
    <row r="46731" customFormat="1" x14ac:dyDescent="0.25"/>
    <row r="46732" customFormat="1" x14ac:dyDescent="0.25"/>
    <row r="46733" customFormat="1" x14ac:dyDescent="0.25"/>
    <row r="46734" customFormat="1" x14ac:dyDescent="0.25"/>
    <row r="46735" customFormat="1" x14ac:dyDescent="0.25"/>
    <row r="46736" customFormat="1" x14ac:dyDescent="0.25"/>
    <row r="46737" customFormat="1" x14ac:dyDescent="0.25"/>
    <row r="46738" customFormat="1" x14ac:dyDescent="0.25"/>
    <row r="46739" customFormat="1" x14ac:dyDescent="0.25"/>
    <row r="46740" customFormat="1" x14ac:dyDescent="0.25"/>
    <row r="46741" customFormat="1" x14ac:dyDescent="0.25"/>
    <row r="46742" customFormat="1" x14ac:dyDescent="0.25"/>
    <row r="46743" customFormat="1" x14ac:dyDescent="0.25"/>
    <row r="46744" customFormat="1" x14ac:dyDescent="0.25"/>
    <row r="46745" customFormat="1" x14ac:dyDescent="0.25"/>
    <row r="46746" customFormat="1" x14ac:dyDescent="0.25"/>
    <row r="46747" customFormat="1" x14ac:dyDescent="0.25"/>
    <row r="46748" customFormat="1" x14ac:dyDescent="0.25"/>
    <row r="46749" customFormat="1" x14ac:dyDescent="0.25"/>
    <row r="46750" customFormat="1" x14ac:dyDescent="0.25"/>
    <row r="46751" customFormat="1" x14ac:dyDescent="0.25"/>
    <row r="46752" customFormat="1" x14ac:dyDescent="0.25"/>
    <row r="46753" customFormat="1" x14ac:dyDescent="0.25"/>
    <row r="46754" customFormat="1" x14ac:dyDescent="0.25"/>
    <row r="46755" customFormat="1" x14ac:dyDescent="0.25"/>
    <row r="46756" customFormat="1" x14ac:dyDescent="0.25"/>
    <row r="46757" customFormat="1" x14ac:dyDescent="0.25"/>
    <row r="46758" customFormat="1" x14ac:dyDescent="0.25"/>
    <row r="46759" customFormat="1" x14ac:dyDescent="0.25"/>
    <row r="46760" customFormat="1" x14ac:dyDescent="0.25"/>
    <row r="46761" customFormat="1" x14ac:dyDescent="0.25"/>
    <row r="46762" customFormat="1" x14ac:dyDescent="0.25"/>
    <row r="46763" customFormat="1" x14ac:dyDescent="0.25"/>
    <row r="46764" customFormat="1" x14ac:dyDescent="0.25"/>
    <row r="46765" customFormat="1" x14ac:dyDescent="0.25"/>
    <row r="46766" customFormat="1" x14ac:dyDescent="0.25"/>
    <row r="46767" customFormat="1" x14ac:dyDescent="0.25"/>
    <row r="46768" customFormat="1" x14ac:dyDescent="0.25"/>
    <row r="46769" customFormat="1" x14ac:dyDescent="0.25"/>
    <row r="46770" customFormat="1" x14ac:dyDescent="0.25"/>
    <row r="46771" customFormat="1" x14ac:dyDescent="0.25"/>
    <row r="46772" customFormat="1" x14ac:dyDescent="0.25"/>
    <row r="46773" customFormat="1" x14ac:dyDescent="0.25"/>
    <row r="46774" customFormat="1" x14ac:dyDescent="0.25"/>
    <row r="46775" customFormat="1" x14ac:dyDescent="0.25"/>
    <row r="46776" customFormat="1" x14ac:dyDescent="0.25"/>
    <row r="46777" customFormat="1" x14ac:dyDescent="0.25"/>
    <row r="46778" customFormat="1" x14ac:dyDescent="0.25"/>
    <row r="46779" customFormat="1" x14ac:dyDescent="0.25"/>
    <row r="46780" customFormat="1" x14ac:dyDescent="0.25"/>
    <row r="46781" customFormat="1" x14ac:dyDescent="0.25"/>
    <row r="46782" customFormat="1" x14ac:dyDescent="0.25"/>
    <row r="46783" customFormat="1" x14ac:dyDescent="0.25"/>
    <row r="46784" customFormat="1" x14ac:dyDescent="0.25"/>
    <row r="46785" customFormat="1" x14ac:dyDescent="0.25"/>
    <row r="46786" customFormat="1" x14ac:dyDescent="0.25"/>
    <row r="46787" customFormat="1" x14ac:dyDescent="0.25"/>
    <row r="46788" customFormat="1" x14ac:dyDescent="0.25"/>
    <row r="46789" customFormat="1" x14ac:dyDescent="0.25"/>
    <row r="46790" customFormat="1" x14ac:dyDescent="0.25"/>
    <row r="46791" customFormat="1" x14ac:dyDescent="0.25"/>
    <row r="46792" customFormat="1" x14ac:dyDescent="0.25"/>
    <row r="46793" customFormat="1" x14ac:dyDescent="0.25"/>
    <row r="46794" customFormat="1" x14ac:dyDescent="0.25"/>
    <row r="46795" customFormat="1" x14ac:dyDescent="0.25"/>
    <row r="46796" customFormat="1" x14ac:dyDescent="0.25"/>
    <row r="46797" customFormat="1" x14ac:dyDescent="0.25"/>
    <row r="46798" customFormat="1" x14ac:dyDescent="0.25"/>
    <row r="46799" customFormat="1" x14ac:dyDescent="0.25"/>
    <row r="46800" customFormat="1" x14ac:dyDescent="0.25"/>
    <row r="46801" customFormat="1" x14ac:dyDescent="0.25"/>
    <row r="46802" customFormat="1" x14ac:dyDescent="0.25"/>
    <row r="46803" customFormat="1" x14ac:dyDescent="0.25"/>
    <row r="46804" customFormat="1" x14ac:dyDescent="0.25"/>
    <row r="46805" customFormat="1" x14ac:dyDescent="0.25"/>
    <row r="46806" customFormat="1" x14ac:dyDescent="0.25"/>
    <row r="46807" customFormat="1" x14ac:dyDescent="0.25"/>
    <row r="46808" customFormat="1" x14ac:dyDescent="0.25"/>
    <row r="46809" customFormat="1" x14ac:dyDescent="0.25"/>
    <row r="46810" customFormat="1" x14ac:dyDescent="0.25"/>
    <row r="46811" customFormat="1" x14ac:dyDescent="0.25"/>
    <row r="46812" customFormat="1" x14ac:dyDescent="0.25"/>
    <row r="46813" customFormat="1" x14ac:dyDescent="0.25"/>
    <row r="46814" customFormat="1" x14ac:dyDescent="0.25"/>
    <row r="46815" customFormat="1" x14ac:dyDescent="0.25"/>
    <row r="46816" customFormat="1" x14ac:dyDescent="0.25"/>
    <row r="46817" customFormat="1" x14ac:dyDescent="0.25"/>
    <row r="46818" customFormat="1" x14ac:dyDescent="0.25"/>
    <row r="46819" customFormat="1" x14ac:dyDescent="0.25"/>
    <row r="46820" customFormat="1" x14ac:dyDescent="0.25"/>
    <row r="46821" customFormat="1" x14ac:dyDescent="0.25"/>
    <row r="46822" customFormat="1" x14ac:dyDescent="0.25"/>
    <row r="46823" customFormat="1" x14ac:dyDescent="0.25"/>
    <row r="46824" customFormat="1" x14ac:dyDescent="0.25"/>
    <row r="46825" customFormat="1" x14ac:dyDescent="0.25"/>
    <row r="46826" customFormat="1" x14ac:dyDescent="0.25"/>
    <row r="46827" customFormat="1" x14ac:dyDescent="0.25"/>
    <row r="46828" customFormat="1" x14ac:dyDescent="0.25"/>
    <row r="46829" customFormat="1" x14ac:dyDescent="0.25"/>
    <row r="46830" customFormat="1" x14ac:dyDescent="0.25"/>
    <row r="46831" customFormat="1" x14ac:dyDescent="0.25"/>
    <row r="46832" customFormat="1" x14ac:dyDescent="0.25"/>
    <row r="46833" customFormat="1" x14ac:dyDescent="0.25"/>
    <row r="46834" customFormat="1" x14ac:dyDescent="0.25"/>
    <row r="46835" customFormat="1" x14ac:dyDescent="0.25"/>
    <row r="46836" customFormat="1" x14ac:dyDescent="0.25"/>
    <row r="46837" customFormat="1" x14ac:dyDescent="0.25"/>
    <row r="46838" customFormat="1" x14ac:dyDescent="0.25"/>
    <row r="46839" customFormat="1" x14ac:dyDescent="0.25"/>
    <row r="46840" customFormat="1" x14ac:dyDescent="0.25"/>
    <row r="46841" customFormat="1" x14ac:dyDescent="0.25"/>
    <row r="46842" customFormat="1" x14ac:dyDescent="0.25"/>
    <row r="46843" customFormat="1" x14ac:dyDescent="0.25"/>
    <row r="46844" customFormat="1" x14ac:dyDescent="0.25"/>
    <row r="46845" customFormat="1" x14ac:dyDescent="0.25"/>
    <row r="46846" customFormat="1" x14ac:dyDescent="0.25"/>
    <row r="46847" customFormat="1" x14ac:dyDescent="0.25"/>
    <row r="46848" customFormat="1" x14ac:dyDescent="0.25"/>
    <row r="46849" customFormat="1" x14ac:dyDescent="0.25"/>
    <row r="46850" customFormat="1" x14ac:dyDescent="0.25"/>
    <row r="46851" customFormat="1" x14ac:dyDescent="0.25"/>
    <row r="46852" customFormat="1" x14ac:dyDescent="0.25"/>
    <row r="46853" customFormat="1" x14ac:dyDescent="0.25"/>
    <row r="46854" customFormat="1" x14ac:dyDescent="0.25"/>
    <row r="46855" customFormat="1" x14ac:dyDescent="0.25"/>
    <row r="46856" customFormat="1" x14ac:dyDescent="0.25"/>
    <row r="46857" customFormat="1" x14ac:dyDescent="0.25"/>
    <row r="46858" customFormat="1" x14ac:dyDescent="0.25"/>
    <row r="46859" customFormat="1" x14ac:dyDescent="0.25"/>
    <row r="46860" customFormat="1" x14ac:dyDescent="0.25"/>
    <row r="46861" customFormat="1" x14ac:dyDescent="0.25"/>
    <row r="46862" customFormat="1" x14ac:dyDescent="0.25"/>
    <row r="46863" customFormat="1" x14ac:dyDescent="0.25"/>
    <row r="46864" customFormat="1" x14ac:dyDescent="0.25"/>
    <row r="46865" customFormat="1" x14ac:dyDescent="0.25"/>
    <row r="46866" customFormat="1" x14ac:dyDescent="0.25"/>
    <row r="46867" customFormat="1" x14ac:dyDescent="0.25"/>
    <row r="46868" customFormat="1" x14ac:dyDescent="0.25"/>
    <row r="46869" customFormat="1" x14ac:dyDescent="0.25"/>
    <row r="46870" customFormat="1" x14ac:dyDescent="0.25"/>
    <row r="46871" customFormat="1" x14ac:dyDescent="0.25"/>
    <row r="46872" customFormat="1" x14ac:dyDescent="0.25"/>
    <row r="46873" customFormat="1" x14ac:dyDescent="0.25"/>
    <row r="46874" customFormat="1" x14ac:dyDescent="0.25"/>
    <row r="46875" customFormat="1" x14ac:dyDescent="0.25"/>
    <row r="46876" customFormat="1" x14ac:dyDescent="0.25"/>
    <row r="46877" customFormat="1" x14ac:dyDescent="0.25"/>
    <row r="46878" customFormat="1" x14ac:dyDescent="0.25"/>
    <row r="46879" customFormat="1" x14ac:dyDescent="0.25"/>
    <row r="46880" customFormat="1" x14ac:dyDescent="0.25"/>
    <row r="46881" customFormat="1" x14ac:dyDescent="0.25"/>
    <row r="46882" customFormat="1" x14ac:dyDescent="0.25"/>
    <row r="46883" customFormat="1" x14ac:dyDescent="0.25"/>
    <row r="46884" customFormat="1" x14ac:dyDescent="0.25"/>
    <row r="46885" customFormat="1" x14ac:dyDescent="0.25"/>
    <row r="46886" customFormat="1" x14ac:dyDescent="0.25"/>
    <row r="46887" customFormat="1" x14ac:dyDescent="0.25"/>
    <row r="46888" customFormat="1" x14ac:dyDescent="0.25"/>
    <row r="46889" customFormat="1" x14ac:dyDescent="0.25"/>
    <row r="46890" customFormat="1" x14ac:dyDescent="0.25"/>
    <row r="46891" customFormat="1" x14ac:dyDescent="0.25"/>
    <row r="46892" customFormat="1" x14ac:dyDescent="0.25"/>
    <row r="46893" customFormat="1" x14ac:dyDescent="0.25"/>
    <row r="46894" customFormat="1" x14ac:dyDescent="0.25"/>
    <row r="46895" customFormat="1" x14ac:dyDescent="0.25"/>
    <row r="46896" customFormat="1" x14ac:dyDescent="0.25"/>
    <row r="46897" customFormat="1" x14ac:dyDescent="0.25"/>
    <row r="46898" customFormat="1" x14ac:dyDescent="0.25"/>
    <row r="46899" customFormat="1" x14ac:dyDescent="0.25"/>
    <row r="46900" customFormat="1" x14ac:dyDescent="0.25"/>
    <row r="46901" customFormat="1" x14ac:dyDescent="0.25"/>
    <row r="46902" customFormat="1" x14ac:dyDescent="0.25"/>
    <row r="46903" customFormat="1" x14ac:dyDescent="0.25"/>
    <row r="46904" customFormat="1" x14ac:dyDescent="0.25"/>
    <row r="46905" customFormat="1" x14ac:dyDescent="0.25"/>
    <row r="46906" customFormat="1" x14ac:dyDescent="0.25"/>
    <row r="46907" customFormat="1" x14ac:dyDescent="0.25"/>
    <row r="46908" customFormat="1" x14ac:dyDescent="0.25"/>
    <row r="46909" customFormat="1" x14ac:dyDescent="0.25"/>
    <row r="46910" customFormat="1" x14ac:dyDescent="0.25"/>
    <row r="46911" customFormat="1" x14ac:dyDescent="0.25"/>
    <row r="46912" customFormat="1" x14ac:dyDescent="0.25"/>
    <row r="46913" customFormat="1" x14ac:dyDescent="0.25"/>
    <row r="46914" customFormat="1" x14ac:dyDescent="0.25"/>
    <row r="46915" customFormat="1" x14ac:dyDescent="0.25"/>
    <row r="46916" customFormat="1" x14ac:dyDescent="0.25"/>
    <row r="46917" customFormat="1" x14ac:dyDescent="0.25"/>
    <row r="46918" customFormat="1" x14ac:dyDescent="0.25"/>
    <row r="46919" customFormat="1" x14ac:dyDescent="0.25"/>
    <row r="46920" customFormat="1" x14ac:dyDescent="0.25"/>
    <row r="46921" customFormat="1" x14ac:dyDescent="0.25"/>
    <row r="46922" customFormat="1" x14ac:dyDescent="0.25"/>
    <row r="46923" customFormat="1" x14ac:dyDescent="0.25"/>
    <row r="46924" customFormat="1" x14ac:dyDescent="0.25"/>
    <row r="46925" customFormat="1" x14ac:dyDescent="0.25"/>
    <row r="46926" customFormat="1" x14ac:dyDescent="0.25"/>
    <row r="46927" customFormat="1" x14ac:dyDescent="0.25"/>
    <row r="46928" customFormat="1" x14ac:dyDescent="0.25"/>
    <row r="46929" customFormat="1" x14ac:dyDescent="0.25"/>
    <row r="46930" customFormat="1" x14ac:dyDescent="0.25"/>
    <row r="46931" customFormat="1" x14ac:dyDescent="0.25"/>
    <row r="46932" customFormat="1" x14ac:dyDescent="0.25"/>
    <row r="46933" customFormat="1" x14ac:dyDescent="0.25"/>
    <row r="46934" customFormat="1" x14ac:dyDescent="0.25"/>
    <row r="46935" customFormat="1" x14ac:dyDescent="0.25"/>
    <row r="46936" customFormat="1" x14ac:dyDescent="0.25"/>
    <row r="46937" customFormat="1" x14ac:dyDescent="0.25"/>
    <row r="46938" customFormat="1" x14ac:dyDescent="0.25"/>
    <row r="46939" customFormat="1" x14ac:dyDescent="0.25"/>
    <row r="46940" customFormat="1" x14ac:dyDescent="0.25"/>
    <row r="46941" customFormat="1" x14ac:dyDescent="0.25"/>
    <row r="46942" customFormat="1" x14ac:dyDescent="0.25"/>
    <row r="46943" customFormat="1" x14ac:dyDescent="0.25"/>
    <row r="46944" customFormat="1" x14ac:dyDescent="0.25"/>
    <row r="46945" customFormat="1" x14ac:dyDescent="0.25"/>
    <row r="46946" customFormat="1" x14ac:dyDescent="0.25"/>
    <row r="46947" customFormat="1" x14ac:dyDescent="0.25"/>
    <row r="46948" customFormat="1" x14ac:dyDescent="0.25"/>
    <row r="46949" customFormat="1" x14ac:dyDescent="0.25"/>
    <row r="46950" customFormat="1" x14ac:dyDescent="0.25"/>
    <row r="46951" customFormat="1" x14ac:dyDescent="0.25"/>
    <row r="46952" customFormat="1" x14ac:dyDescent="0.25"/>
    <row r="46953" customFormat="1" x14ac:dyDescent="0.25"/>
    <row r="46954" customFormat="1" x14ac:dyDescent="0.25"/>
    <row r="46955" customFormat="1" x14ac:dyDescent="0.25"/>
    <row r="46956" customFormat="1" x14ac:dyDescent="0.25"/>
    <row r="46957" customFormat="1" x14ac:dyDescent="0.25"/>
    <row r="46958" customFormat="1" x14ac:dyDescent="0.25"/>
    <row r="46959" customFormat="1" x14ac:dyDescent="0.25"/>
    <row r="46960" customFormat="1" x14ac:dyDescent="0.25"/>
    <row r="46961" customFormat="1" x14ac:dyDescent="0.25"/>
    <row r="46962" customFormat="1" x14ac:dyDescent="0.25"/>
    <row r="46963" customFormat="1" x14ac:dyDescent="0.25"/>
    <row r="46964" customFormat="1" x14ac:dyDescent="0.25"/>
    <row r="46965" customFormat="1" x14ac:dyDescent="0.25"/>
    <row r="46966" customFormat="1" x14ac:dyDescent="0.25"/>
    <row r="46967" customFormat="1" x14ac:dyDescent="0.25"/>
    <row r="46968" customFormat="1" x14ac:dyDescent="0.25"/>
    <row r="46969" customFormat="1" x14ac:dyDescent="0.25"/>
    <row r="46970" customFormat="1" x14ac:dyDescent="0.25"/>
    <row r="46971" customFormat="1" x14ac:dyDescent="0.25"/>
    <row r="46972" customFormat="1" x14ac:dyDescent="0.25"/>
    <row r="46973" customFormat="1" x14ac:dyDescent="0.25"/>
    <row r="46974" customFormat="1" x14ac:dyDescent="0.25"/>
    <row r="46975" customFormat="1" x14ac:dyDescent="0.25"/>
    <row r="46976" customFormat="1" x14ac:dyDescent="0.25"/>
    <row r="46977" customFormat="1" x14ac:dyDescent="0.25"/>
    <row r="46978" customFormat="1" x14ac:dyDescent="0.25"/>
    <row r="46979" customFormat="1" x14ac:dyDescent="0.25"/>
    <row r="46980" customFormat="1" x14ac:dyDescent="0.25"/>
    <row r="46981" customFormat="1" x14ac:dyDescent="0.25"/>
    <row r="46982" customFormat="1" x14ac:dyDescent="0.25"/>
    <row r="46983" customFormat="1" x14ac:dyDescent="0.25"/>
    <row r="46984" customFormat="1" x14ac:dyDescent="0.25"/>
    <row r="46985" customFormat="1" x14ac:dyDescent="0.25"/>
    <row r="46986" customFormat="1" x14ac:dyDescent="0.25"/>
    <row r="46987" customFormat="1" x14ac:dyDescent="0.25"/>
    <row r="46988" customFormat="1" x14ac:dyDescent="0.25"/>
    <row r="46989" customFormat="1" x14ac:dyDescent="0.25"/>
    <row r="46990" customFormat="1" x14ac:dyDescent="0.25"/>
    <row r="46991" customFormat="1" x14ac:dyDescent="0.25"/>
    <row r="46992" customFormat="1" x14ac:dyDescent="0.25"/>
    <row r="46993" customFormat="1" x14ac:dyDescent="0.25"/>
    <row r="46994" customFormat="1" x14ac:dyDescent="0.25"/>
    <row r="46995" customFormat="1" x14ac:dyDescent="0.25"/>
    <row r="46996" customFormat="1" x14ac:dyDescent="0.25"/>
    <row r="46997" customFormat="1" x14ac:dyDescent="0.25"/>
    <row r="46998" customFormat="1" x14ac:dyDescent="0.25"/>
    <row r="46999" customFormat="1" x14ac:dyDescent="0.25"/>
    <row r="47000" customFormat="1" x14ac:dyDescent="0.25"/>
    <row r="47001" customFormat="1" x14ac:dyDescent="0.25"/>
    <row r="47002" customFormat="1" x14ac:dyDescent="0.25"/>
    <row r="47003" customFormat="1" x14ac:dyDescent="0.25"/>
    <row r="47004" customFormat="1" x14ac:dyDescent="0.25"/>
    <row r="47005" customFormat="1" x14ac:dyDescent="0.25"/>
    <row r="47006" customFormat="1" x14ac:dyDescent="0.25"/>
    <row r="47007" customFormat="1" x14ac:dyDescent="0.25"/>
    <row r="47008" customFormat="1" x14ac:dyDescent="0.25"/>
    <row r="47009" customFormat="1" x14ac:dyDescent="0.25"/>
    <row r="47010" customFormat="1" x14ac:dyDescent="0.25"/>
    <row r="47011" customFormat="1" x14ac:dyDescent="0.25"/>
    <row r="47012" customFormat="1" x14ac:dyDescent="0.25"/>
    <row r="47013" customFormat="1" x14ac:dyDescent="0.25"/>
    <row r="47014" customFormat="1" x14ac:dyDescent="0.25"/>
    <row r="47015" customFormat="1" x14ac:dyDescent="0.25"/>
    <row r="47016" customFormat="1" x14ac:dyDescent="0.25"/>
    <row r="47017" customFormat="1" x14ac:dyDescent="0.25"/>
    <row r="47018" customFormat="1" x14ac:dyDescent="0.25"/>
    <row r="47019" customFormat="1" x14ac:dyDescent="0.25"/>
    <row r="47020" customFormat="1" x14ac:dyDescent="0.25"/>
    <row r="47021" customFormat="1" x14ac:dyDescent="0.25"/>
    <row r="47022" customFormat="1" x14ac:dyDescent="0.25"/>
    <row r="47023" customFormat="1" x14ac:dyDescent="0.25"/>
    <row r="47024" customFormat="1" x14ac:dyDescent="0.25"/>
    <row r="47025" customFormat="1" x14ac:dyDescent="0.25"/>
    <row r="47026" customFormat="1" x14ac:dyDescent="0.25"/>
    <row r="47027" customFormat="1" x14ac:dyDescent="0.25"/>
    <row r="47028" customFormat="1" x14ac:dyDescent="0.25"/>
    <row r="47029" customFormat="1" x14ac:dyDescent="0.25"/>
    <row r="47030" customFormat="1" x14ac:dyDescent="0.25"/>
    <row r="47031" customFormat="1" x14ac:dyDescent="0.25"/>
    <row r="47032" customFormat="1" x14ac:dyDescent="0.25"/>
    <row r="47033" customFormat="1" x14ac:dyDescent="0.25"/>
    <row r="47034" customFormat="1" x14ac:dyDescent="0.25"/>
    <row r="47035" customFormat="1" x14ac:dyDescent="0.25"/>
    <row r="47036" customFormat="1" x14ac:dyDescent="0.25"/>
    <row r="47037" customFormat="1" x14ac:dyDescent="0.25"/>
    <row r="47038" customFormat="1" x14ac:dyDescent="0.25"/>
    <row r="47039" customFormat="1" x14ac:dyDescent="0.25"/>
    <row r="47040" customFormat="1" x14ac:dyDescent="0.25"/>
    <row r="47041" customFormat="1" x14ac:dyDescent="0.25"/>
    <row r="47042" customFormat="1" x14ac:dyDescent="0.25"/>
    <row r="47043" customFormat="1" x14ac:dyDescent="0.25"/>
    <row r="47044" customFormat="1" x14ac:dyDescent="0.25"/>
    <row r="47045" customFormat="1" x14ac:dyDescent="0.25"/>
    <row r="47046" customFormat="1" x14ac:dyDescent="0.25"/>
    <row r="47047" customFormat="1" x14ac:dyDescent="0.25"/>
    <row r="47048" customFormat="1" x14ac:dyDescent="0.25"/>
    <row r="47049" customFormat="1" x14ac:dyDescent="0.25"/>
    <row r="47050" customFormat="1" x14ac:dyDescent="0.25"/>
    <row r="47051" customFormat="1" x14ac:dyDescent="0.25"/>
    <row r="47052" customFormat="1" x14ac:dyDescent="0.25"/>
    <row r="47053" customFormat="1" x14ac:dyDescent="0.25"/>
    <row r="47054" customFormat="1" x14ac:dyDescent="0.25"/>
    <row r="47055" customFormat="1" x14ac:dyDescent="0.25"/>
    <row r="47056" customFormat="1" x14ac:dyDescent="0.25"/>
    <row r="47057" customFormat="1" x14ac:dyDescent="0.25"/>
    <row r="47058" customFormat="1" x14ac:dyDescent="0.25"/>
    <row r="47059" customFormat="1" x14ac:dyDescent="0.25"/>
    <row r="47060" customFormat="1" x14ac:dyDescent="0.25"/>
    <row r="47061" customFormat="1" x14ac:dyDescent="0.25"/>
    <row r="47062" customFormat="1" x14ac:dyDescent="0.25"/>
    <row r="47063" customFormat="1" x14ac:dyDescent="0.25"/>
    <row r="47064" customFormat="1" x14ac:dyDescent="0.25"/>
    <row r="47065" customFormat="1" x14ac:dyDescent="0.25"/>
    <row r="47066" customFormat="1" x14ac:dyDescent="0.25"/>
    <row r="47067" customFormat="1" x14ac:dyDescent="0.25"/>
    <row r="47068" customFormat="1" x14ac:dyDescent="0.25"/>
    <row r="47069" customFormat="1" x14ac:dyDescent="0.25"/>
    <row r="47070" customFormat="1" x14ac:dyDescent="0.25"/>
    <row r="47071" customFormat="1" x14ac:dyDescent="0.25"/>
    <row r="47072" customFormat="1" x14ac:dyDescent="0.25"/>
    <row r="47073" customFormat="1" x14ac:dyDescent="0.25"/>
    <row r="47074" customFormat="1" x14ac:dyDescent="0.25"/>
    <row r="47075" customFormat="1" x14ac:dyDescent="0.25"/>
    <row r="47076" customFormat="1" x14ac:dyDescent="0.25"/>
    <row r="47077" customFormat="1" x14ac:dyDescent="0.25"/>
    <row r="47078" customFormat="1" x14ac:dyDescent="0.25"/>
    <row r="47079" customFormat="1" x14ac:dyDescent="0.25"/>
    <row r="47080" customFormat="1" x14ac:dyDescent="0.25"/>
    <row r="47081" customFormat="1" x14ac:dyDescent="0.25"/>
    <row r="47082" customFormat="1" x14ac:dyDescent="0.25"/>
    <row r="47083" customFormat="1" x14ac:dyDescent="0.25"/>
    <row r="47084" customFormat="1" x14ac:dyDescent="0.25"/>
    <row r="47085" customFormat="1" x14ac:dyDescent="0.25"/>
    <row r="47086" customFormat="1" x14ac:dyDescent="0.25"/>
    <row r="47087" customFormat="1" x14ac:dyDescent="0.25"/>
    <row r="47088" customFormat="1" x14ac:dyDescent="0.25"/>
    <row r="47089" customFormat="1" x14ac:dyDescent="0.25"/>
    <row r="47090" customFormat="1" x14ac:dyDescent="0.25"/>
    <row r="47091" customFormat="1" x14ac:dyDescent="0.25"/>
    <row r="47092" customFormat="1" x14ac:dyDescent="0.25"/>
    <row r="47093" customFormat="1" x14ac:dyDescent="0.25"/>
    <row r="47094" customFormat="1" x14ac:dyDescent="0.25"/>
    <row r="47095" customFormat="1" x14ac:dyDescent="0.25"/>
    <row r="47096" customFormat="1" x14ac:dyDescent="0.25"/>
    <row r="47097" customFormat="1" x14ac:dyDescent="0.25"/>
    <row r="47098" customFormat="1" x14ac:dyDescent="0.25"/>
    <row r="47099" customFormat="1" x14ac:dyDescent="0.25"/>
    <row r="47100" customFormat="1" x14ac:dyDescent="0.25"/>
    <row r="47101" customFormat="1" x14ac:dyDescent="0.25"/>
    <row r="47102" customFormat="1" x14ac:dyDescent="0.25"/>
    <row r="47103" customFormat="1" x14ac:dyDescent="0.25"/>
    <row r="47104" customFormat="1" x14ac:dyDescent="0.25"/>
    <row r="47105" customFormat="1" x14ac:dyDescent="0.25"/>
    <row r="47106" customFormat="1" x14ac:dyDescent="0.25"/>
    <row r="47107" customFormat="1" x14ac:dyDescent="0.25"/>
    <row r="47108" customFormat="1" x14ac:dyDescent="0.25"/>
    <row r="47109" customFormat="1" x14ac:dyDescent="0.25"/>
    <row r="47110" customFormat="1" x14ac:dyDescent="0.25"/>
    <row r="47111" customFormat="1" x14ac:dyDescent="0.25"/>
    <row r="47112" customFormat="1" x14ac:dyDescent="0.25"/>
    <row r="47113" customFormat="1" x14ac:dyDescent="0.25"/>
    <row r="47114" customFormat="1" x14ac:dyDescent="0.25"/>
    <row r="47115" customFormat="1" x14ac:dyDescent="0.25"/>
    <row r="47116" customFormat="1" x14ac:dyDescent="0.25"/>
    <row r="47117" customFormat="1" x14ac:dyDescent="0.25"/>
    <row r="47118" customFormat="1" x14ac:dyDescent="0.25"/>
    <row r="47119" customFormat="1" x14ac:dyDescent="0.25"/>
    <row r="47120" customFormat="1" x14ac:dyDescent="0.25"/>
    <row r="47121" customFormat="1" x14ac:dyDescent="0.25"/>
    <row r="47122" customFormat="1" x14ac:dyDescent="0.25"/>
    <row r="47123" customFormat="1" x14ac:dyDescent="0.25"/>
    <row r="47124" customFormat="1" x14ac:dyDescent="0.25"/>
    <row r="47125" customFormat="1" x14ac:dyDescent="0.25"/>
    <row r="47126" customFormat="1" x14ac:dyDescent="0.25"/>
    <row r="47127" customFormat="1" x14ac:dyDescent="0.25"/>
    <row r="47128" customFormat="1" x14ac:dyDescent="0.25"/>
    <row r="47129" customFormat="1" x14ac:dyDescent="0.25"/>
    <row r="47130" customFormat="1" x14ac:dyDescent="0.25"/>
    <row r="47131" customFormat="1" x14ac:dyDescent="0.25"/>
    <row r="47132" customFormat="1" x14ac:dyDescent="0.25"/>
    <row r="47133" customFormat="1" x14ac:dyDescent="0.25"/>
    <row r="47134" customFormat="1" x14ac:dyDescent="0.25"/>
    <row r="47135" customFormat="1" x14ac:dyDescent="0.25"/>
    <row r="47136" customFormat="1" x14ac:dyDescent="0.25"/>
    <row r="47137" customFormat="1" x14ac:dyDescent="0.25"/>
    <row r="47138" customFormat="1" x14ac:dyDescent="0.25"/>
    <row r="47139" customFormat="1" x14ac:dyDescent="0.25"/>
    <row r="47140" customFormat="1" x14ac:dyDescent="0.25"/>
    <row r="47141" customFormat="1" x14ac:dyDescent="0.25"/>
    <row r="47142" customFormat="1" x14ac:dyDescent="0.25"/>
    <row r="47143" customFormat="1" x14ac:dyDescent="0.25"/>
    <row r="47144" customFormat="1" x14ac:dyDescent="0.25"/>
    <row r="47145" customFormat="1" x14ac:dyDescent="0.25"/>
    <row r="47146" customFormat="1" x14ac:dyDescent="0.25"/>
    <row r="47147" customFormat="1" x14ac:dyDescent="0.25"/>
    <row r="47148" customFormat="1" x14ac:dyDescent="0.25"/>
    <row r="47149" customFormat="1" x14ac:dyDescent="0.25"/>
    <row r="47150" customFormat="1" x14ac:dyDescent="0.25"/>
    <row r="47151" customFormat="1" x14ac:dyDescent="0.25"/>
    <row r="47152" customFormat="1" x14ac:dyDescent="0.25"/>
    <row r="47153" customFormat="1" x14ac:dyDescent="0.25"/>
    <row r="47154" customFormat="1" x14ac:dyDescent="0.25"/>
    <row r="47155" customFormat="1" x14ac:dyDescent="0.25"/>
    <row r="47156" customFormat="1" x14ac:dyDescent="0.25"/>
    <row r="47157" customFormat="1" x14ac:dyDescent="0.25"/>
    <row r="47158" customFormat="1" x14ac:dyDescent="0.25"/>
    <row r="47159" customFormat="1" x14ac:dyDescent="0.25"/>
    <row r="47160" customFormat="1" x14ac:dyDescent="0.25"/>
    <row r="47161" customFormat="1" x14ac:dyDescent="0.25"/>
    <row r="47162" customFormat="1" x14ac:dyDescent="0.25"/>
    <row r="47163" customFormat="1" x14ac:dyDescent="0.25"/>
    <row r="47164" customFormat="1" x14ac:dyDescent="0.25"/>
    <row r="47165" customFormat="1" x14ac:dyDescent="0.25"/>
    <row r="47166" customFormat="1" x14ac:dyDescent="0.25"/>
    <row r="47167" customFormat="1" x14ac:dyDescent="0.25"/>
    <row r="47168" customFormat="1" x14ac:dyDescent="0.25"/>
    <row r="47169" customFormat="1" x14ac:dyDescent="0.25"/>
    <row r="47170" customFormat="1" x14ac:dyDescent="0.25"/>
    <row r="47171" customFormat="1" x14ac:dyDescent="0.25"/>
    <row r="47172" customFormat="1" x14ac:dyDescent="0.25"/>
    <row r="47173" customFormat="1" x14ac:dyDescent="0.25"/>
    <row r="47174" customFormat="1" x14ac:dyDescent="0.25"/>
    <row r="47175" customFormat="1" x14ac:dyDescent="0.25"/>
    <row r="47176" customFormat="1" x14ac:dyDescent="0.25"/>
    <row r="47177" customFormat="1" x14ac:dyDescent="0.25"/>
    <row r="47178" customFormat="1" x14ac:dyDescent="0.25"/>
    <row r="47179" customFormat="1" x14ac:dyDescent="0.25"/>
    <row r="47180" customFormat="1" x14ac:dyDescent="0.25"/>
    <row r="47181" customFormat="1" x14ac:dyDescent="0.25"/>
    <row r="47182" customFormat="1" x14ac:dyDescent="0.25"/>
    <row r="47183" customFormat="1" x14ac:dyDescent="0.25"/>
    <row r="47184" customFormat="1" x14ac:dyDescent="0.25"/>
    <row r="47185" customFormat="1" x14ac:dyDescent="0.25"/>
    <row r="47186" customFormat="1" x14ac:dyDescent="0.25"/>
    <row r="47187" customFormat="1" x14ac:dyDescent="0.25"/>
    <row r="47188" customFormat="1" x14ac:dyDescent="0.25"/>
    <row r="47189" customFormat="1" x14ac:dyDescent="0.25"/>
    <row r="47190" customFormat="1" x14ac:dyDescent="0.25"/>
    <row r="47191" customFormat="1" x14ac:dyDescent="0.25"/>
    <row r="47192" customFormat="1" x14ac:dyDescent="0.25"/>
    <row r="47193" customFormat="1" x14ac:dyDescent="0.25"/>
    <row r="47194" customFormat="1" x14ac:dyDescent="0.25"/>
    <row r="47195" customFormat="1" x14ac:dyDescent="0.25"/>
    <row r="47196" customFormat="1" x14ac:dyDescent="0.25"/>
    <row r="47197" customFormat="1" x14ac:dyDescent="0.25"/>
    <row r="47198" customFormat="1" x14ac:dyDescent="0.25"/>
    <row r="47199" customFormat="1" x14ac:dyDescent="0.25"/>
    <row r="47200" customFormat="1" x14ac:dyDescent="0.25"/>
    <row r="47201" customFormat="1" x14ac:dyDescent="0.25"/>
    <row r="47202" customFormat="1" x14ac:dyDescent="0.25"/>
    <row r="47203" customFormat="1" x14ac:dyDescent="0.25"/>
    <row r="47204" customFormat="1" x14ac:dyDescent="0.25"/>
    <row r="47205" customFormat="1" x14ac:dyDescent="0.25"/>
    <row r="47206" customFormat="1" x14ac:dyDescent="0.25"/>
    <row r="47207" customFormat="1" x14ac:dyDescent="0.25"/>
    <row r="47208" customFormat="1" x14ac:dyDescent="0.25"/>
    <row r="47209" customFormat="1" x14ac:dyDescent="0.25"/>
    <row r="47210" customFormat="1" x14ac:dyDescent="0.25"/>
    <row r="47211" customFormat="1" x14ac:dyDescent="0.25"/>
    <row r="47212" customFormat="1" x14ac:dyDescent="0.25"/>
    <row r="47213" customFormat="1" x14ac:dyDescent="0.25"/>
    <row r="47214" customFormat="1" x14ac:dyDescent="0.25"/>
    <row r="47215" customFormat="1" x14ac:dyDescent="0.25"/>
    <row r="47216" customFormat="1" x14ac:dyDescent="0.25"/>
    <row r="47217" customFormat="1" x14ac:dyDescent="0.25"/>
    <row r="47218" customFormat="1" x14ac:dyDescent="0.25"/>
    <row r="47219" customFormat="1" x14ac:dyDescent="0.25"/>
    <row r="47220" customFormat="1" x14ac:dyDescent="0.25"/>
    <row r="47221" customFormat="1" x14ac:dyDescent="0.25"/>
    <row r="47222" customFormat="1" x14ac:dyDescent="0.25"/>
    <row r="47223" customFormat="1" x14ac:dyDescent="0.25"/>
    <row r="47224" customFormat="1" x14ac:dyDescent="0.25"/>
    <row r="47225" customFormat="1" x14ac:dyDescent="0.25"/>
    <row r="47226" customFormat="1" x14ac:dyDescent="0.25"/>
    <row r="47227" customFormat="1" x14ac:dyDescent="0.25"/>
    <row r="47228" customFormat="1" x14ac:dyDescent="0.25"/>
    <row r="47229" customFormat="1" x14ac:dyDescent="0.25"/>
    <row r="47230" customFormat="1" x14ac:dyDescent="0.25"/>
    <row r="47231" customFormat="1" x14ac:dyDescent="0.25"/>
    <row r="47232" customFormat="1" x14ac:dyDescent="0.25"/>
    <row r="47233" customFormat="1" x14ac:dyDescent="0.25"/>
    <row r="47234" customFormat="1" x14ac:dyDescent="0.25"/>
    <row r="47235" customFormat="1" x14ac:dyDescent="0.25"/>
    <row r="47236" customFormat="1" x14ac:dyDescent="0.25"/>
    <row r="47237" customFormat="1" x14ac:dyDescent="0.25"/>
    <row r="47238" customFormat="1" x14ac:dyDescent="0.25"/>
    <row r="47239" customFormat="1" x14ac:dyDescent="0.25"/>
    <row r="47240" customFormat="1" x14ac:dyDescent="0.25"/>
    <row r="47241" customFormat="1" x14ac:dyDescent="0.25"/>
    <row r="47242" customFormat="1" x14ac:dyDescent="0.25"/>
    <row r="47243" customFormat="1" x14ac:dyDescent="0.25"/>
    <row r="47244" customFormat="1" x14ac:dyDescent="0.25"/>
    <row r="47245" customFormat="1" x14ac:dyDescent="0.25"/>
    <row r="47246" customFormat="1" x14ac:dyDescent="0.25"/>
    <row r="47247" customFormat="1" x14ac:dyDescent="0.25"/>
    <row r="47248" customFormat="1" x14ac:dyDescent="0.25"/>
    <row r="47249" customFormat="1" x14ac:dyDescent="0.25"/>
    <row r="47250" customFormat="1" x14ac:dyDescent="0.25"/>
    <row r="47251" customFormat="1" x14ac:dyDescent="0.25"/>
    <row r="47252" customFormat="1" x14ac:dyDescent="0.25"/>
    <row r="47253" customFormat="1" x14ac:dyDescent="0.25"/>
    <row r="47254" customFormat="1" x14ac:dyDescent="0.25"/>
    <row r="47255" customFormat="1" x14ac:dyDescent="0.25"/>
    <row r="47256" customFormat="1" x14ac:dyDescent="0.25"/>
    <row r="47257" customFormat="1" x14ac:dyDescent="0.25"/>
    <row r="47258" customFormat="1" x14ac:dyDescent="0.25"/>
    <row r="47259" customFormat="1" x14ac:dyDescent="0.25"/>
    <row r="47260" customFormat="1" x14ac:dyDescent="0.25"/>
    <row r="47261" customFormat="1" x14ac:dyDescent="0.25"/>
    <row r="47262" customFormat="1" x14ac:dyDescent="0.25"/>
    <row r="47263" customFormat="1" x14ac:dyDescent="0.25"/>
    <row r="47264" customFormat="1" x14ac:dyDescent="0.25"/>
    <row r="47265" customFormat="1" x14ac:dyDescent="0.25"/>
    <row r="47266" customFormat="1" x14ac:dyDescent="0.25"/>
    <row r="47267" customFormat="1" x14ac:dyDescent="0.25"/>
    <row r="47268" customFormat="1" x14ac:dyDescent="0.25"/>
    <row r="47269" customFormat="1" x14ac:dyDescent="0.25"/>
    <row r="47270" customFormat="1" x14ac:dyDescent="0.25"/>
    <row r="47271" customFormat="1" x14ac:dyDescent="0.25"/>
    <row r="47272" customFormat="1" x14ac:dyDescent="0.25"/>
    <row r="47273" customFormat="1" x14ac:dyDescent="0.25"/>
    <row r="47274" customFormat="1" x14ac:dyDescent="0.25"/>
    <row r="47275" customFormat="1" x14ac:dyDescent="0.25"/>
    <row r="47276" customFormat="1" x14ac:dyDescent="0.25"/>
    <row r="47277" customFormat="1" x14ac:dyDescent="0.25"/>
    <row r="47278" customFormat="1" x14ac:dyDescent="0.25"/>
    <row r="47279" customFormat="1" x14ac:dyDescent="0.25"/>
    <row r="47280" customFormat="1" x14ac:dyDescent="0.25"/>
    <row r="47281" customFormat="1" x14ac:dyDescent="0.25"/>
    <row r="47282" customFormat="1" x14ac:dyDescent="0.25"/>
    <row r="47283" customFormat="1" x14ac:dyDescent="0.25"/>
    <row r="47284" customFormat="1" x14ac:dyDescent="0.25"/>
    <row r="47285" customFormat="1" x14ac:dyDescent="0.25"/>
    <row r="47286" customFormat="1" x14ac:dyDescent="0.25"/>
    <row r="47287" customFormat="1" x14ac:dyDescent="0.25"/>
    <row r="47288" customFormat="1" x14ac:dyDescent="0.25"/>
    <row r="47289" customFormat="1" x14ac:dyDescent="0.25"/>
    <row r="47290" customFormat="1" x14ac:dyDescent="0.25"/>
    <row r="47291" customFormat="1" x14ac:dyDescent="0.25"/>
    <row r="47292" customFormat="1" x14ac:dyDescent="0.25"/>
    <row r="47293" customFormat="1" x14ac:dyDescent="0.25"/>
    <row r="47294" customFormat="1" x14ac:dyDescent="0.25"/>
    <row r="47295" customFormat="1" x14ac:dyDescent="0.25"/>
    <row r="47296" customFormat="1" x14ac:dyDescent="0.25"/>
    <row r="47297" customFormat="1" x14ac:dyDescent="0.25"/>
    <row r="47298" customFormat="1" x14ac:dyDescent="0.25"/>
    <row r="47299" customFormat="1" x14ac:dyDescent="0.25"/>
    <row r="47300" customFormat="1" x14ac:dyDescent="0.25"/>
    <row r="47301" customFormat="1" x14ac:dyDescent="0.25"/>
    <row r="47302" customFormat="1" x14ac:dyDescent="0.25"/>
    <row r="47303" customFormat="1" x14ac:dyDescent="0.25"/>
    <row r="47304" customFormat="1" x14ac:dyDescent="0.25"/>
    <row r="47305" customFormat="1" x14ac:dyDescent="0.25"/>
    <row r="47306" customFormat="1" x14ac:dyDescent="0.25"/>
    <row r="47307" customFormat="1" x14ac:dyDescent="0.25"/>
    <row r="47308" customFormat="1" x14ac:dyDescent="0.25"/>
    <row r="47309" customFormat="1" x14ac:dyDescent="0.25"/>
    <row r="47310" customFormat="1" x14ac:dyDescent="0.25"/>
    <row r="47311" customFormat="1" x14ac:dyDescent="0.25"/>
    <row r="47312" customFormat="1" x14ac:dyDescent="0.25"/>
    <row r="47313" customFormat="1" x14ac:dyDescent="0.25"/>
    <row r="47314" customFormat="1" x14ac:dyDescent="0.25"/>
    <row r="47315" customFormat="1" x14ac:dyDescent="0.25"/>
    <row r="47316" customFormat="1" x14ac:dyDescent="0.25"/>
    <row r="47317" customFormat="1" x14ac:dyDescent="0.25"/>
    <row r="47318" customFormat="1" x14ac:dyDescent="0.25"/>
    <row r="47319" customFormat="1" x14ac:dyDescent="0.25"/>
    <row r="47320" customFormat="1" x14ac:dyDescent="0.25"/>
    <row r="47321" customFormat="1" x14ac:dyDescent="0.25"/>
    <row r="47322" customFormat="1" x14ac:dyDescent="0.25"/>
    <row r="47323" customFormat="1" x14ac:dyDescent="0.25"/>
    <row r="47324" customFormat="1" x14ac:dyDescent="0.25"/>
    <row r="47325" customFormat="1" x14ac:dyDescent="0.25"/>
    <row r="47326" customFormat="1" x14ac:dyDescent="0.25"/>
    <row r="47327" customFormat="1" x14ac:dyDescent="0.25"/>
    <row r="47328" customFormat="1" x14ac:dyDescent="0.25"/>
    <row r="47329" customFormat="1" x14ac:dyDescent="0.25"/>
    <row r="47330" customFormat="1" x14ac:dyDescent="0.25"/>
    <row r="47331" customFormat="1" x14ac:dyDescent="0.25"/>
    <row r="47332" customFormat="1" x14ac:dyDescent="0.25"/>
    <row r="47333" customFormat="1" x14ac:dyDescent="0.25"/>
    <row r="47334" customFormat="1" x14ac:dyDescent="0.25"/>
    <row r="47335" customFormat="1" x14ac:dyDescent="0.25"/>
    <row r="47336" customFormat="1" x14ac:dyDescent="0.25"/>
    <row r="47337" customFormat="1" x14ac:dyDescent="0.25"/>
    <row r="47338" customFormat="1" x14ac:dyDescent="0.25"/>
    <row r="47339" customFormat="1" x14ac:dyDescent="0.25"/>
    <row r="47340" customFormat="1" x14ac:dyDescent="0.25"/>
    <row r="47341" customFormat="1" x14ac:dyDescent="0.25"/>
    <row r="47342" customFormat="1" x14ac:dyDescent="0.25"/>
    <row r="47343" customFormat="1" x14ac:dyDescent="0.25"/>
    <row r="47344" customFormat="1" x14ac:dyDescent="0.25"/>
    <row r="47345" customFormat="1" x14ac:dyDescent="0.25"/>
    <row r="47346" customFormat="1" x14ac:dyDescent="0.25"/>
    <row r="47347" customFormat="1" x14ac:dyDescent="0.25"/>
    <row r="47348" customFormat="1" x14ac:dyDescent="0.25"/>
    <row r="47349" customFormat="1" x14ac:dyDescent="0.25"/>
    <row r="47350" customFormat="1" x14ac:dyDescent="0.25"/>
    <row r="47351" customFormat="1" x14ac:dyDescent="0.25"/>
    <row r="47352" customFormat="1" x14ac:dyDescent="0.25"/>
    <row r="47353" customFormat="1" x14ac:dyDescent="0.25"/>
    <row r="47354" customFormat="1" x14ac:dyDescent="0.25"/>
    <row r="47355" customFormat="1" x14ac:dyDescent="0.25"/>
    <row r="47356" customFormat="1" x14ac:dyDescent="0.25"/>
    <row r="47357" customFormat="1" x14ac:dyDescent="0.25"/>
    <row r="47358" customFormat="1" x14ac:dyDescent="0.25"/>
    <row r="47359" customFormat="1" x14ac:dyDescent="0.25"/>
    <row r="47360" customFormat="1" x14ac:dyDescent="0.25"/>
    <row r="47361" customFormat="1" x14ac:dyDescent="0.25"/>
    <row r="47362" customFormat="1" x14ac:dyDescent="0.25"/>
    <row r="47363" customFormat="1" x14ac:dyDescent="0.25"/>
    <row r="47364" customFormat="1" x14ac:dyDescent="0.25"/>
    <row r="47365" customFormat="1" x14ac:dyDescent="0.25"/>
    <row r="47366" customFormat="1" x14ac:dyDescent="0.25"/>
    <row r="47367" customFormat="1" x14ac:dyDescent="0.25"/>
    <row r="47368" customFormat="1" x14ac:dyDescent="0.25"/>
    <row r="47369" customFormat="1" x14ac:dyDescent="0.25"/>
    <row r="47370" customFormat="1" x14ac:dyDescent="0.25"/>
    <row r="47371" customFormat="1" x14ac:dyDescent="0.25"/>
    <row r="47372" customFormat="1" x14ac:dyDescent="0.25"/>
    <row r="47373" customFormat="1" x14ac:dyDescent="0.25"/>
    <row r="47374" customFormat="1" x14ac:dyDescent="0.25"/>
    <row r="47375" customFormat="1" x14ac:dyDescent="0.25"/>
    <row r="47376" customFormat="1" x14ac:dyDescent="0.25"/>
    <row r="47377" customFormat="1" x14ac:dyDescent="0.25"/>
    <row r="47378" customFormat="1" x14ac:dyDescent="0.25"/>
    <row r="47379" customFormat="1" x14ac:dyDescent="0.25"/>
    <row r="47380" customFormat="1" x14ac:dyDescent="0.25"/>
    <row r="47381" customFormat="1" x14ac:dyDescent="0.25"/>
    <row r="47382" customFormat="1" x14ac:dyDescent="0.25"/>
    <row r="47383" customFormat="1" x14ac:dyDescent="0.25"/>
    <row r="47384" customFormat="1" x14ac:dyDescent="0.25"/>
    <row r="47385" customFormat="1" x14ac:dyDescent="0.25"/>
    <row r="47386" customFormat="1" x14ac:dyDescent="0.25"/>
    <row r="47387" customFormat="1" x14ac:dyDescent="0.25"/>
    <row r="47388" customFormat="1" x14ac:dyDescent="0.25"/>
    <row r="47389" customFormat="1" x14ac:dyDescent="0.25"/>
    <row r="47390" customFormat="1" x14ac:dyDescent="0.25"/>
    <row r="47391" customFormat="1" x14ac:dyDescent="0.25"/>
    <row r="47392" customFormat="1" x14ac:dyDescent="0.25"/>
    <row r="47393" customFormat="1" x14ac:dyDescent="0.25"/>
    <row r="47394" customFormat="1" x14ac:dyDescent="0.25"/>
    <row r="47395" customFormat="1" x14ac:dyDescent="0.25"/>
    <row r="47396" customFormat="1" x14ac:dyDescent="0.25"/>
    <row r="47397" customFormat="1" x14ac:dyDescent="0.25"/>
    <row r="47398" customFormat="1" x14ac:dyDescent="0.25"/>
    <row r="47399" customFormat="1" x14ac:dyDescent="0.25"/>
    <row r="47400" customFormat="1" x14ac:dyDescent="0.25"/>
    <row r="47401" customFormat="1" x14ac:dyDescent="0.25"/>
    <row r="47402" customFormat="1" x14ac:dyDescent="0.25"/>
    <row r="47403" customFormat="1" x14ac:dyDescent="0.25"/>
    <row r="47404" customFormat="1" x14ac:dyDescent="0.25"/>
    <row r="47405" customFormat="1" x14ac:dyDescent="0.25"/>
    <row r="47406" customFormat="1" x14ac:dyDescent="0.25"/>
    <row r="47407" customFormat="1" x14ac:dyDescent="0.25"/>
    <row r="47408" customFormat="1" x14ac:dyDescent="0.25"/>
    <row r="47409" customFormat="1" x14ac:dyDescent="0.25"/>
    <row r="47410" customFormat="1" x14ac:dyDescent="0.25"/>
    <row r="47411" customFormat="1" x14ac:dyDescent="0.25"/>
    <row r="47412" customFormat="1" x14ac:dyDescent="0.25"/>
    <row r="47413" customFormat="1" x14ac:dyDescent="0.25"/>
    <row r="47414" customFormat="1" x14ac:dyDescent="0.25"/>
    <row r="47415" customFormat="1" x14ac:dyDescent="0.25"/>
    <row r="47416" customFormat="1" x14ac:dyDescent="0.25"/>
    <row r="47417" customFormat="1" x14ac:dyDescent="0.25"/>
    <row r="47418" customFormat="1" x14ac:dyDescent="0.25"/>
    <row r="47419" customFormat="1" x14ac:dyDescent="0.25"/>
    <row r="47420" customFormat="1" x14ac:dyDescent="0.25"/>
    <row r="47421" customFormat="1" x14ac:dyDescent="0.25"/>
    <row r="47422" customFormat="1" x14ac:dyDescent="0.25"/>
    <row r="47423" customFormat="1" x14ac:dyDescent="0.25"/>
    <row r="47424" customFormat="1" x14ac:dyDescent="0.25"/>
    <row r="47425" customFormat="1" x14ac:dyDescent="0.25"/>
    <row r="47426" customFormat="1" x14ac:dyDescent="0.25"/>
    <row r="47427" customFormat="1" x14ac:dyDescent="0.25"/>
    <row r="47428" customFormat="1" x14ac:dyDescent="0.25"/>
    <row r="47429" customFormat="1" x14ac:dyDescent="0.25"/>
    <row r="47430" customFormat="1" x14ac:dyDescent="0.25"/>
    <row r="47431" customFormat="1" x14ac:dyDescent="0.25"/>
    <row r="47432" customFormat="1" x14ac:dyDescent="0.25"/>
    <row r="47433" customFormat="1" x14ac:dyDescent="0.25"/>
    <row r="47434" customFormat="1" x14ac:dyDescent="0.25"/>
    <row r="47435" customFormat="1" x14ac:dyDescent="0.25"/>
    <row r="47436" customFormat="1" x14ac:dyDescent="0.25"/>
    <row r="47437" customFormat="1" x14ac:dyDescent="0.25"/>
    <row r="47438" customFormat="1" x14ac:dyDescent="0.25"/>
    <row r="47439" customFormat="1" x14ac:dyDescent="0.25"/>
    <row r="47440" customFormat="1" x14ac:dyDescent="0.25"/>
    <row r="47441" customFormat="1" x14ac:dyDescent="0.25"/>
    <row r="47442" customFormat="1" x14ac:dyDescent="0.25"/>
    <row r="47443" customFormat="1" x14ac:dyDescent="0.25"/>
    <row r="47444" customFormat="1" x14ac:dyDescent="0.25"/>
    <row r="47445" customFormat="1" x14ac:dyDescent="0.25"/>
    <row r="47446" customFormat="1" x14ac:dyDescent="0.25"/>
    <row r="47447" customFormat="1" x14ac:dyDescent="0.25"/>
    <row r="47448" customFormat="1" x14ac:dyDescent="0.25"/>
    <row r="47449" customFormat="1" x14ac:dyDescent="0.25"/>
    <row r="47450" customFormat="1" x14ac:dyDescent="0.25"/>
    <row r="47451" customFormat="1" x14ac:dyDescent="0.25"/>
    <row r="47452" customFormat="1" x14ac:dyDescent="0.25"/>
    <row r="47453" customFormat="1" x14ac:dyDescent="0.25"/>
    <row r="47454" customFormat="1" x14ac:dyDescent="0.25"/>
    <row r="47455" customFormat="1" x14ac:dyDescent="0.25"/>
    <row r="47456" customFormat="1" x14ac:dyDescent="0.25"/>
    <row r="47457" customFormat="1" x14ac:dyDescent="0.25"/>
    <row r="47458" customFormat="1" x14ac:dyDescent="0.25"/>
    <row r="47459" customFormat="1" x14ac:dyDescent="0.25"/>
    <row r="47460" customFormat="1" x14ac:dyDescent="0.25"/>
    <row r="47461" customFormat="1" x14ac:dyDescent="0.25"/>
    <row r="47462" customFormat="1" x14ac:dyDescent="0.25"/>
    <row r="47463" customFormat="1" x14ac:dyDescent="0.25"/>
    <row r="47464" customFormat="1" x14ac:dyDescent="0.25"/>
    <row r="47465" customFormat="1" x14ac:dyDescent="0.25"/>
    <row r="47466" customFormat="1" x14ac:dyDescent="0.25"/>
    <row r="47467" customFormat="1" x14ac:dyDescent="0.25"/>
    <row r="47468" customFormat="1" x14ac:dyDescent="0.25"/>
    <row r="47469" customFormat="1" x14ac:dyDescent="0.25"/>
    <row r="47470" customFormat="1" x14ac:dyDescent="0.25"/>
    <row r="47471" customFormat="1" x14ac:dyDescent="0.25"/>
    <row r="47472" customFormat="1" x14ac:dyDescent="0.25"/>
    <row r="47473" customFormat="1" x14ac:dyDescent="0.25"/>
    <row r="47474" customFormat="1" x14ac:dyDescent="0.25"/>
    <row r="47475" customFormat="1" x14ac:dyDescent="0.25"/>
    <row r="47476" customFormat="1" x14ac:dyDescent="0.25"/>
    <row r="47477" customFormat="1" x14ac:dyDescent="0.25"/>
    <row r="47478" customFormat="1" x14ac:dyDescent="0.25"/>
    <row r="47479" customFormat="1" x14ac:dyDescent="0.25"/>
    <row r="47480" customFormat="1" x14ac:dyDescent="0.25"/>
    <row r="47481" customFormat="1" x14ac:dyDescent="0.25"/>
    <row r="47482" customFormat="1" x14ac:dyDescent="0.25"/>
    <row r="47483" customFormat="1" x14ac:dyDescent="0.25"/>
    <row r="47484" customFormat="1" x14ac:dyDescent="0.25"/>
    <row r="47485" customFormat="1" x14ac:dyDescent="0.25"/>
    <row r="47486" customFormat="1" x14ac:dyDescent="0.25"/>
    <row r="47487" customFormat="1" x14ac:dyDescent="0.25"/>
    <row r="47488" customFormat="1" x14ac:dyDescent="0.25"/>
    <row r="47489" customFormat="1" x14ac:dyDescent="0.25"/>
    <row r="47490" customFormat="1" x14ac:dyDescent="0.25"/>
    <row r="47491" customFormat="1" x14ac:dyDescent="0.25"/>
    <row r="47492" customFormat="1" x14ac:dyDescent="0.25"/>
    <row r="47493" customFormat="1" x14ac:dyDescent="0.25"/>
    <row r="47494" customFormat="1" x14ac:dyDescent="0.25"/>
    <row r="47495" customFormat="1" x14ac:dyDescent="0.25"/>
    <row r="47496" customFormat="1" x14ac:dyDescent="0.25"/>
    <row r="47497" customFormat="1" x14ac:dyDescent="0.25"/>
    <row r="47498" customFormat="1" x14ac:dyDescent="0.25"/>
    <row r="47499" customFormat="1" x14ac:dyDescent="0.25"/>
    <row r="47500" customFormat="1" x14ac:dyDescent="0.25"/>
    <row r="47501" customFormat="1" x14ac:dyDescent="0.25"/>
    <row r="47502" customFormat="1" x14ac:dyDescent="0.25"/>
    <row r="47503" customFormat="1" x14ac:dyDescent="0.25"/>
    <row r="47504" customFormat="1" x14ac:dyDescent="0.25"/>
    <row r="47505" customFormat="1" x14ac:dyDescent="0.25"/>
    <row r="47506" customFormat="1" x14ac:dyDescent="0.25"/>
    <row r="47507" customFormat="1" x14ac:dyDescent="0.25"/>
    <row r="47508" customFormat="1" x14ac:dyDescent="0.25"/>
    <row r="47509" customFormat="1" x14ac:dyDescent="0.25"/>
    <row r="47510" customFormat="1" x14ac:dyDescent="0.25"/>
    <row r="47511" customFormat="1" x14ac:dyDescent="0.25"/>
    <row r="47512" customFormat="1" x14ac:dyDescent="0.25"/>
    <row r="47513" customFormat="1" x14ac:dyDescent="0.25"/>
    <row r="47514" customFormat="1" x14ac:dyDescent="0.25"/>
    <row r="47515" customFormat="1" x14ac:dyDescent="0.25"/>
    <row r="47516" customFormat="1" x14ac:dyDescent="0.25"/>
    <row r="47517" customFormat="1" x14ac:dyDescent="0.25"/>
    <row r="47518" customFormat="1" x14ac:dyDescent="0.25"/>
    <row r="47519" customFormat="1" x14ac:dyDescent="0.25"/>
    <row r="47520" customFormat="1" x14ac:dyDescent="0.25"/>
    <row r="47521" customFormat="1" x14ac:dyDescent="0.25"/>
    <row r="47522" customFormat="1" x14ac:dyDescent="0.25"/>
    <row r="47523" customFormat="1" x14ac:dyDescent="0.25"/>
    <row r="47524" customFormat="1" x14ac:dyDescent="0.25"/>
    <row r="47525" customFormat="1" x14ac:dyDescent="0.25"/>
    <row r="47526" customFormat="1" x14ac:dyDescent="0.25"/>
    <row r="47527" customFormat="1" x14ac:dyDescent="0.25"/>
    <row r="47528" customFormat="1" x14ac:dyDescent="0.25"/>
    <row r="47529" customFormat="1" x14ac:dyDescent="0.25"/>
    <row r="47530" customFormat="1" x14ac:dyDescent="0.25"/>
    <row r="47531" customFormat="1" x14ac:dyDescent="0.25"/>
    <row r="47532" customFormat="1" x14ac:dyDescent="0.25"/>
    <row r="47533" customFormat="1" x14ac:dyDescent="0.25"/>
    <row r="47534" customFormat="1" x14ac:dyDescent="0.25"/>
    <row r="47535" customFormat="1" x14ac:dyDescent="0.25"/>
    <row r="47536" customFormat="1" x14ac:dyDescent="0.25"/>
    <row r="47537" customFormat="1" x14ac:dyDescent="0.25"/>
    <row r="47538" customFormat="1" x14ac:dyDescent="0.25"/>
    <row r="47539" customFormat="1" x14ac:dyDescent="0.25"/>
    <row r="47540" customFormat="1" x14ac:dyDescent="0.25"/>
    <row r="47541" customFormat="1" x14ac:dyDescent="0.25"/>
    <row r="47542" customFormat="1" x14ac:dyDescent="0.25"/>
    <row r="47543" customFormat="1" x14ac:dyDescent="0.25"/>
    <row r="47544" customFormat="1" x14ac:dyDescent="0.25"/>
    <row r="47545" customFormat="1" x14ac:dyDescent="0.25"/>
    <row r="47546" customFormat="1" x14ac:dyDescent="0.25"/>
    <row r="47547" customFormat="1" x14ac:dyDescent="0.25"/>
    <row r="47548" customFormat="1" x14ac:dyDescent="0.25"/>
    <row r="47549" customFormat="1" x14ac:dyDescent="0.25"/>
    <row r="47550" customFormat="1" x14ac:dyDescent="0.25"/>
    <row r="47551" customFormat="1" x14ac:dyDescent="0.25"/>
    <row r="47552" customFormat="1" x14ac:dyDescent="0.25"/>
    <row r="47553" customFormat="1" x14ac:dyDescent="0.25"/>
    <row r="47554" customFormat="1" x14ac:dyDescent="0.25"/>
    <row r="47555" customFormat="1" x14ac:dyDescent="0.25"/>
    <row r="47556" customFormat="1" x14ac:dyDescent="0.25"/>
    <row r="47557" customFormat="1" x14ac:dyDescent="0.25"/>
    <row r="47558" customFormat="1" x14ac:dyDescent="0.25"/>
    <row r="47559" customFormat="1" x14ac:dyDescent="0.25"/>
    <row r="47560" customFormat="1" x14ac:dyDescent="0.25"/>
    <row r="47561" customFormat="1" x14ac:dyDescent="0.25"/>
    <row r="47562" customFormat="1" x14ac:dyDescent="0.25"/>
    <row r="47563" customFormat="1" x14ac:dyDescent="0.25"/>
    <row r="47564" customFormat="1" x14ac:dyDescent="0.25"/>
    <row r="47565" customFormat="1" x14ac:dyDescent="0.25"/>
    <row r="47566" customFormat="1" x14ac:dyDescent="0.25"/>
    <row r="47567" customFormat="1" x14ac:dyDescent="0.25"/>
    <row r="47568" customFormat="1" x14ac:dyDescent="0.25"/>
    <row r="47569" customFormat="1" x14ac:dyDescent="0.25"/>
    <row r="47570" customFormat="1" x14ac:dyDescent="0.25"/>
    <row r="47571" customFormat="1" x14ac:dyDescent="0.25"/>
    <row r="47572" customFormat="1" x14ac:dyDescent="0.25"/>
    <row r="47573" customFormat="1" x14ac:dyDescent="0.25"/>
    <row r="47574" customFormat="1" x14ac:dyDescent="0.25"/>
    <row r="47575" customFormat="1" x14ac:dyDescent="0.25"/>
    <row r="47576" customFormat="1" x14ac:dyDescent="0.25"/>
    <row r="47577" customFormat="1" x14ac:dyDescent="0.25"/>
    <row r="47578" customFormat="1" x14ac:dyDescent="0.25"/>
    <row r="47579" customFormat="1" x14ac:dyDescent="0.25"/>
    <row r="47580" customFormat="1" x14ac:dyDescent="0.25"/>
    <row r="47581" customFormat="1" x14ac:dyDescent="0.25"/>
    <row r="47582" customFormat="1" x14ac:dyDescent="0.25"/>
    <row r="47583" customFormat="1" x14ac:dyDescent="0.25"/>
    <row r="47584" customFormat="1" x14ac:dyDescent="0.25"/>
    <row r="47585" customFormat="1" x14ac:dyDescent="0.25"/>
    <row r="47586" customFormat="1" x14ac:dyDescent="0.25"/>
    <row r="47587" customFormat="1" x14ac:dyDescent="0.25"/>
    <row r="47588" customFormat="1" x14ac:dyDescent="0.25"/>
    <row r="47589" customFormat="1" x14ac:dyDescent="0.25"/>
    <row r="47590" customFormat="1" x14ac:dyDescent="0.25"/>
    <row r="47591" customFormat="1" x14ac:dyDescent="0.25"/>
    <row r="47592" customFormat="1" x14ac:dyDescent="0.25"/>
    <row r="47593" customFormat="1" x14ac:dyDescent="0.25"/>
    <row r="47594" customFormat="1" x14ac:dyDescent="0.25"/>
    <row r="47595" customFormat="1" x14ac:dyDescent="0.25"/>
    <row r="47596" customFormat="1" x14ac:dyDescent="0.25"/>
    <row r="47597" customFormat="1" x14ac:dyDescent="0.25"/>
    <row r="47598" customFormat="1" x14ac:dyDescent="0.25"/>
    <row r="47599" customFormat="1" x14ac:dyDescent="0.25"/>
    <row r="47600" customFormat="1" x14ac:dyDescent="0.25"/>
    <row r="47601" customFormat="1" x14ac:dyDescent="0.25"/>
    <row r="47602" customFormat="1" x14ac:dyDescent="0.25"/>
    <row r="47603" customFormat="1" x14ac:dyDescent="0.25"/>
    <row r="47604" customFormat="1" x14ac:dyDescent="0.25"/>
    <row r="47605" customFormat="1" x14ac:dyDescent="0.25"/>
    <row r="47606" customFormat="1" x14ac:dyDescent="0.25"/>
    <row r="47607" customFormat="1" x14ac:dyDescent="0.25"/>
    <row r="47608" customFormat="1" x14ac:dyDescent="0.25"/>
    <row r="47609" customFormat="1" x14ac:dyDescent="0.25"/>
    <row r="47610" customFormat="1" x14ac:dyDescent="0.25"/>
    <row r="47611" customFormat="1" x14ac:dyDescent="0.25"/>
    <row r="47612" customFormat="1" x14ac:dyDescent="0.25"/>
    <row r="47613" customFormat="1" x14ac:dyDescent="0.25"/>
    <row r="47614" customFormat="1" x14ac:dyDescent="0.25"/>
    <row r="47615" customFormat="1" x14ac:dyDescent="0.25"/>
    <row r="47616" customFormat="1" x14ac:dyDescent="0.25"/>
    <row r="47617" customFormat="1" x14ac:dyDescent="0.25"/>
    <row r="47618" customFormat="1" x14ac:dyDescent="0.25"/>
    <row r="47619" customFormat="1" x14ac:dyDescent="0.25"/>
    <row r="47620" customFormat="1" x14ac:dyDescent="0.25"/>
    <row r="47621" customFormat="1" x14ac:dyDescent="0.25"/>
    <row r="47622" customFormat="1" x14ac:dyDescent="0.25"/>
    <row r="47623" customFormat="1" x14ac:dyDescent="0.25"/>
    <row r="47624" customFormat="1" x14ac:dyDescent="0.25"/>
    <row r="47625" customFormat="1" x14ac:dyDescent="0.25"/>
    <row r="47626" customFormat="1" x14ac:dyDescent="0.25"/>
    <row r="47627" customFormat="1" x14ac:dyDescent="0.25"/>
    <row r="47628" customFormat="1" x14ac:dyDescent="0.25"/>
    <row r="47629" customFormat="1" x14ac:dyDescent="0.25"/>
    <row r="47630" customFormat="1" x14ac:dyDescent="0.25"/>
    <row r="47631" customFormat="1" x14ac:dyDescent="0.25"/>
    <row r="47632" customFormat="1" x14ac:dyDescent="0.25"/>
    <row r="47633" customFormat="1" x14ac:dyDescent="0.25"/>
    <row r="47634" customFormat="1" x14ac:dyDescent="0.25"/>
    <row r="47635" customFormat="1" x14ac:dyDescent="0.25"/>
    <row r="47636" customFormat="1" x14ac:dyDescent="0.25"/>
    <row r="47637" customFormat="1" x14ac:dyDescent="0.25"/>
    <row r="47638" customFormat="1" x14ac:dyDescent="0.25"/>
    <row r="47639" customFormat="1" x14ac:dyDescent="0.25"/>
    <row r="47640" customFormat="1" x14ac:dyDescent="0.25"/>
    <row r="47641" customFormat="1" x14ac:dyDescent="0.25"/>
    <row r="47642" customFormat="1" x14ac:dyDescent="0.25"/>
    <row r="47643" customFormat="1" x14ac:dyDescent="0.25"/>
    <row r="47644" customFormat="1" x14ac:dyDescent="0.25"/>
    <row r="47645" customFormat="1" x14ac:dyDescent="0.25"/>
    <row r="47646" customFormat="1" x14ac:dyDescent="0.25"/>
    <row r="47647" customFormat="1" x14ac:dyDescent="0.25"/>
    <row r="47648" customFormat="1" x14ac:dyDescent="0.25"/>
    <row r="47649" customFormat="1" x14ac:dyDescent="0.25"/>
    <row r="47650" customFormat="1" x14ac:dyDescent="0.25"/>
    <row r="47651" customFormat="1" x14ac:dyDescent="0.25"/>
    <row r="47652" customFormat="1" x14ac:dyDescent="0.25"/>
    <row r="47653" customFormat="1" x14ac:dyDescent="0.25"/>
    <row r="47654" customFormat="1" x14ac:dyDescent="0.25"/>
    <row r="47655" customFormat="1" x14ac:dyDescent="0.25"/>
    <row r="47656" customFormat="1" x14ac:dyDescent="0.25"/>
    <row r="47657" customFormat="1" x14ac:dyDescent="0.25"/>
    <row r="47658" customFormat="1" x14ac:dyDescent="0.25"/>
    <row r="47659" customFormat="1" x14ac:dyDescent="0.25"/>
    <row r="47660" customFormat="1" x14ac:dyDescent="0.25"/>
    <row r="47661" customFormat="1" x14ac:dyDescent="0.25"/>
    <row r="47662" customFormat="1" x14ac:dyDescent="0.25"/>
    <row r="47663" customFormat="1" x14ac:dyDescent="0.25"/>
    <row r="47664" customFormat="1" x14ac:dyDescent="0.25"/>
    <row r="47665" customFormat="1" x14ac:dyDescent="0.25"/>
    <row r="47666" customFormat="1" x14ac:dyDescent="0.25"/>
    <row r="47667" customFormat="1" x14ac:dyDescent="0.25"/>
    <row r="47668" customFormat="1" x14ac:dyDescent="0.25"/>
    <row r="47669" customFormat="1" x14ac:dyDescent="0.25"/>
    <row r="47670" customFormat="1" x14ac:dyDescent="0.25"/>
    <row r="47671" customFormat="1" x14ac:dyDescent="0.25"/>
    <row r="47672" customFormat="1" x14ac:dyDescent="0.25"/>
    <row r="47673" customFormat="1" x14ac:dyDescent="0.25"/>
    <row r="47674" customFormat="1" x14ac:dyDescent="0.25"/>
    <row r="47675" customFormat="1" x14ac:dyDescent="0.25"/>
    <row r="47676" customFormat="1" x14ac:dyDescent="0.25"/>
    <row r="47677" customFormat="1" x14ac:dyDescent="0.25"/>
    <row r="47678" customFormat="1" x14ac:dyDescent="0.25"/>
    <row r="47679" customFormat="1" x14ac:dyDescent="0.25"/>
    <row r="47680" customFormat="1" x14ac:dyDescent="0.25"/>
    <row r="47681" customFormat="1" x14ac:dyDescent="0.25"/>
    <row r="47682" customFormat="1" x14ac:dyDescent="0.25"/>
    <row r="47683" customFormat="1" x14ac:dyDescent="0.25"/>
    <row r="47684" customFormat="1" x14ac:dyDescent="0.25"/>
    <row r="47685" customFormat="1" x14ac:dyDescent="0.25"/>
    <row r="47686" customFormat="1" x14ac:dyDescent="0.25"/>
    <row r="47687" customFormat="1" x14ac:dyDescent="0.25"/>
    <row r="47688" customFormat="1" x14ac:dyDescent="0.25"/>
    <row r="47689" customFormat="1" x14ac:dyDescent="0.25"/>
    <row r="47690" customFormat="1" x14ac:dyDescent="0.25"/>
    <row r="47691" customFormat="1" x14ac:dyDescent="0.25"/>
    <row r="47692" customFormat="1" x14ac:dyDescent="0.25"/>
    <row r="47693" customFormat="1" x14ac:dyDescent="0.25"/>
    <row r="47694" customFormat="1" x14ac:dyDescent="0.25"/>
    <row r="47695" customFormat="1" x14ac:dyDescent="0.25"/>
    <row r="47696" customFormat="1" x14ac:dyDescent="0.25"/>
    <row r="47697" customFormat="1" x14ac:dyDescent="0.25"/>
    <row r="47698" customFormat="1" x14ac:dyDescent="0.25"/>
    <row r="47699" customFormat="1" x14ac:dyDescent="0.25"/>
    <row r="47700" customFormat="1" x14ac:dyDescent="0.25"/>
    <row r="47701" customFormat="1" x14ac:dyDescent="0.25"/>
    <row r="47702" customFormat="1" x14ac:dyDescent="0.25"/>
    <row r="47703" customFormat="1" x14ac:dyDescent="0.25"/>
    <row r="47704" customFormat="1" x14ac:dyDescent="0.25"/>
    <row r="47705" customFormat="1" x14ac:dyDescent="0.25"/>
    <row r="47706" customFormat="1" x14ac:dyDescent="0.25"/>
    <row r="47707" customFormat="1" x14ac:dyDescent="0.25"/>
    <row r="47708" customFormat="1" x14ac:dyDescent="0.25"/>
    <row r="47709" customFormat="1" x14ac:dyDescent="0.25"/>
    <row r="47710" customFormat="1" x14ac:dyDescent="0.25"/>
    <row r="47711" customFormat="1" x14ac:dyDescent="0.25"/>
    <row r="47712" customFormat="1" x14ac:dyDescent="0.25"/>
    <row r="47713" customFormat="1" x14ac:dyDescent="0.25"/>
    <row r="47714" customFormat="1" x14ac:dyDescent="0.25"/>
    <row r="47715" customFormat="1" x14ac:dyDescent="0.25"/>
    <row r="47716" customFormat="1" x14ac:dyDescent="0.25"/>
    <row r="47717" customFormat="1" x14ac:dyDescent="0.25"/>
    <row r="47718" customFormat="1" x14ac:dyDescent="0.25"/>
    <row r="47719" customFormat="1" x14ac:dyDescent="0.25"/>
    <row r="47720" customFormat="1" x14ac:dyDescent="0.25"/>
    <row r="47721" customFormat="1" x14ac:dyDescent="0.25"/>
    <row r="47722" customFormat="1" x14ac:dyDescent="0.25"/>
    <row r="47723" customFormat="1" x14ac:dyDescent="0.25"/>
    <row r="47724" customFormat="1" x14ac:dyDescent="0.25"/>
    <row r="47725" customFormat="1" x14ac:dyDescent="0.25"/>
    <row r="47726" customFormat="1" x14ac:dyDescent="0.25"/>
    <row r="47727" customFormat="1" x14ac:dyDescent="0.25"/>
    <row r="47728" customFormat="1" x14ac:dyDescent="0.25"/>
    <row r="47729" customFormat="1" x14ac:dyDescent="0.25"/>
    <row r="47730" customFormat="1" x14ac:dyDescent="0.25"/>
    <row r="47731" customFormat="1" x14ac:dyDescent="0.25"/>
    <row r="47732" customFormat="1" x14ac:dyDescent="0.25"/>
    <row r="47733" customFormat="1" x14ac:dyDescent="0.25"/>
    <row r="47734" customFormat="1" x14ac:dyDescent="0.25"/>
    <row r="47735" customFormat="1" x14ac:dyDescent="0.25"/>
    <row r="47736" customFormat="1" x14ac:dyDescent="0.25"/>
    <row r="47737" customFormat="1" x14ac:dyDescent="0.25"/>
    <row r="47738" customFormat="1" x14ac:dyDescent="0.25"/>
    <row r="47739" customFormat="1" x14ac:dyDescent="0.25"/>
    <row r="47740" customFormat="1" x14ac:dyDescent="0.25"/>
    <row r="47741" customFormat="1" x14ac:dyDescent="0.25"/>
    <row r="47742" customFormat="1" x14ac:dyDescent="0.25"/>
    <row r="47743" customFormat="1" x14ac:dyDescent="0.25"/>
    <row r="47744" customFormat="1" x14ac:dyDescent="0.25"/>
    <row r="47745" customFormat="1" x14ac:dyDescent="0.25"/>
    <row r="47746" customFormat="1" x14ac:dyDescent="0.25"/>
    <row r="47747" customFormat="1" x14ac:dyDescent="0.25"/>
    <row r="47748" customFormat="1" x14ac:dyDescent="0.25"/>
    <row r="47749" customFormat="1" x14ac:dyDescent="0.25"/>
    <row r="47750" customFormat="1" x14ac:dyDescent="0.25"/>
    <row r="47751" customFormat="1" x14ac:dyDescent="0.25"/>
    <row r="47752" customFormat="1" x14ac:dyDescent="0.25"/>
    <row r="47753" customFormat="1" x14ac:dyDescent="0.25"/>
    <row r="47754" customFormat="1" x14ac:dyDescent="0.25"/>
    <row r="47755" customFormat="1" x14ac:dyDescent="0.25"/>
    <row r="47756" customFormat="1" x14ac:dyDescent="0.25"/>
    <row r="47757" customFormat="1" x14ac:dyDescent="0.25"/>
    <row r="47758" customFormat="1" x14ac:dyDescent="0.25"/>
    <row r="47759" customFormat="1" x14ac:dyDescent="0.25"/>
    <row r="47760" customFormat="1" x14ac:dyDescent="0.25"/>
    <row r="47761" customFormat="1" x14ac:dyDescent="0.25"/>
    <row r="47762" customFormat="1" x14ac:dyDescent="0.25"/>
    <row r="47763" customFormat="1" x14ac:dyDescent="0.25"/>
    <row r="47764" customFormat="1" x14ac:dyDescent="0.25"/>
    <row r="47765" customFormat="1" x14ac:dyDescent="0.25"/>
    <row r="47766" customFormat="1" x14ac:dyDescent="0.25"/>
    <row r="47767" customFormat="1" x14ac:dyDescent="0.25"/>
    <row r="47768" customFormat="1" x14ac:dyDescent="0.25"/>
    <row r="47769" customFormat="1" x14ac:dyDescent="0.25"/>
    <row r="47770" customFormat="1" x14ac:dyDescent="0.25"/>
    <row r="47771" customFormat="1" x14ac:dyDescent="0.25"/>
    <row r="47772" customFormat="1" x14ac:dyDescent="0.25"/>
    <row r="47773" customFormat="1" x14ac:dyDescent="0.25"/>
    <row r="47774" customFormat="1" x14ac:dyDescent="0.25"/>
    <row r="47775" customFormat="1" x14ac:dyDescent="0.25"/>
    <row r="47776" customFormat="1" x14ac:dyDescent="0.25"/>
    <row r="47777" customFormat="1" x14ac:dyDescent="0.25"/>
    <row r="47778" customFormat="1" x14ac:dyDescent="0.25"/>
    <row r="47779" customFormat="1" x14ac:dyDescent="0.25"/>
    <row r="47780" customFormat="1" x14ac:dyDescent="0.25"/>
    <row r="47781" customFormat="1" x14ac:dyDescent="0.25"/>
    <row r="47782" customFormat="1" x14ac:dyDescent="0.25"/>
    <row r="47783" customFormat="1" x14ac:dyDescent="0.25"/>
    <row r="47784" customFormat="1" x14ac:dyDescent="0.25"/>
    <row r="47785" customFormat="1" x14ac:dyDescent="0.25"/>
    <row r="47786" customFormat="1" x14ac:dyDescent="0.25"/>
    <row r="47787" customFormat="1" x14ac:dyDescent="0.25"/>
    <row r="47788" customFormat="1" x14ac:dyDescent="0.25"/>
    <row r="47789" customFormat="1" x14ac:dyDescent="0.25"/>
    <row r="47790" customFormat="1" x14ac:dyDescent="0.25"/>
    <row r="47791" customFormat="1" x14ac:dyDescent="0.25"/>
    <row r="47792" customFormat="1" x14ac:dyDescent="0.25"/>
    <row r="47793" customFormat="1" x14ac:dyDescent="0.25"/>
    <row r="47794" customFormat="1" x14ac:dyDescent="0.25"/>
    <row r="47795" customFormat="1" x14ac:dyDescent="0.25"/>
    <row r="47796" customFormat="1" x14ac:dyDescent="0.25"/>
    <row r="47797" customFormat="1" x14ac:dyDescent="0.25"/>
    <row r="47798" customFormat="1" x14ac:dyDescent="0.25"/>
    <row r="47799" customFormat="1" x14ac:dyDescent="0.25"/>
    <row r="47800" customFormat="1" x14ac:dyDescent="0.25"/>
    <row r="47801" customFormat="1" x14ac:dyDescent="0.25"/>
    <row r="47802" customFormat="1" x14ac:dyDescent="0.25"/>
    <row r="47803" customFormat="1" x14ac:dyDescent="0.25"/>
    <row r="47804" customFormat="1" x14ac:dyDescent="0.25"/>
    <row r="47805" customFormat="1" x14ac:dyDescent="0.25"/>
    <row r="47806" customFormat="1" x14ac:dyDescent="0.25"/>
    <row r="47807" customFormat="1" x14ac:dyDescent="0.25"/>
    <row r="47808" customFormat="1" x14ac:dyDescent="0.25"/>
    <row r="47809" customFormat="1" x14ac:dyDescent="0.25"/>
    <row r="47810" customFormat="1" x14ac:dyDescent="0.25"/>
    <row r="47811" customFormat="1" x14ac:dyDescent="0.25"/>
    <row r="47812" customFormat="1" x14ac:dyDescent="0.25"/>
    <row r="47813" customFormat="1" x14ac:dyDescent="0.25"/>
    <row r="47814" customFormat="1" x14ac:dyDescent="0.25"/>
    <row r="47815" customFormat="1" x14ac:dyDescent="0.25"/>
    <row r="47816" customFormat="1" x14ac:dyDescent="0.25"/>
    <row r="47817" customFormat="1" x14ac:dyDescent="0.25"/>
    <row r="47818" customFormat="1" x14ac:dyDescent="0.25"/>
    <row r="47819" customFormat="1" x14ac:dyDescent="0.25"/>
    <row r="47820" customFormat="1" x14ac:dyDescent="0.25"/>
    <row r="47821" customFormat="1" x14ac:dyDescent="0.25"/>
    <row r="47822" customFormat="1" x14ac:dyDescent="0.25"/>
    <row r="47823" customFormat="1" x14ac:dyDescent="0.25"/>
    <row r="47824" customFormat="1" x14ac:dyDescent="0.25"/>
    <row r="47825" customFormat="1" x14ac:dyDescent="0.25"/>
    <row r="47826" customFormat="1" x14ac:dyDescent="0.25"/>
    <row r="47827" customFormat="1" x14ac:dyDescent="0.25"/>
    <row r="47828" customFormat="1" x14ac:dyDescent="0.25"/>
    <row r="47829" customFormat="1" x14ac:dyDescent="0.25"/>
    <row r="47830" customFormat="1" x14ac:dyDescent="0.25"/>
    <row r="47831" customFormat="1" x14ac:dyDescent="0.25"/>
    <row r="47832" customFormat="1" x14ac:dyDescent="0.25"/>
    <row r="47833" customFormat="1" x14ac:dyDescent="0.25"/>
    <row r="47834" customFormat="1" x14ac:dyDescent="0.25"/>
    <row r="47835" customFormat="1" x14ac:dyDescent="0.25"/>
    <row r="47836" customFormat="1" x14ac:dyDescent="0.25"/>
    <row r="47837" customFormat="1" x14ac:dyDescent="0.25"/>
    <row r="47838" customFormat="1" x14ac:dyDescent="0.25"/>
    <row r="47839" customFormat="1" x14ac:dyDescent="0.25"/>
    <row r="47840" customFormat="1" x14ac:dyDescent="0.25"/>
    <row r="47841" customFormat="1" x14ac:dyDescent="0.25"/>
    <row r="47842" customFormat="1" x14ac:dyDescent="0.25"/>
    <row r="47843" customFormat="1" x14ac:dyDescent="0.25"/>
    <row r="47844" customFormat="1" x14ac:dyDescent="0.25"/>
    <row r="47845" customFormat="1" x14ac:dyDescent="0.25"/>
    <row r="47846" customFormat="1" x14ac:dyDescent="0.25"/>
    <row r="47847" customFormat="1" x14ac:dyDescent="0.25"/>
    <row r="47848" customFormat="1" x14ac:dyDescent="0.25"/>
    <row r="47849" customFormat="1" x14ac:dyDescent="0.25"/>
    <row r="47850" customFormat="1" x14ac:dyDescent="0.25"/>
    <row r="47851" customFormat="1" x14ac:dyDescent="0.25"/>
    <row r="47852" customFormat="1" x14ac:dyDescent="0.25"/>
    <row r="47853" customFormat="1" x14ac:dyDescent="0.25"/>
    <row r="47854" customFormat="1" x14ac:dyDescent="0.25"/>
    <row r="47855" customFormat="1" x14ac:dyDescent="0.25"/>
    <row r="47856" customFormat="1" x14ac:dyDescent="0.25"/>
    <row r="47857" customFormat="1" x14ac:dyDescent="0.25"/>
    <row r="47858" customFormat="1" x14ac:dyDescent="0.25"/>
    <row r="47859" customFormat="1" x14ac:dyDescent="0.25"/>
    <row r="47860" customFormat="1" x14ac:dyDescent="0.25"/>
    <row r="47861" customFormat="1" x14ac:dyDescent="0.25"/>
    <row r="47862" customFormat="1" x14ac:dyDescent="0.25"/>
    <row r="47863" customFormat="1" x14ac:dyDescent="0.25"/>
    <row r="47864" customFormat="1" x14ac:dyDescent="0.25"/>
    <row r="47865" customFormat="1" x14ac:dyDescent="0.25"/>
    <row r="47866" customFormat="1" x14ac:dyDescent="0.25"/>
    <row r="47867" customFormat="1" x14ac:dyDescent="0.25"/>
    <row r="47868" customFormat="1" x14ac:dyDescent="0.25"/>
    <row r="47869" customFormat="1" x14ac:dyDescent="0.25"/>
    <row r="47870" customFormat="1" x14ac:dyDescent="0.25"/>
    <row r="47871" customFormat="1" x14ac:dyDescent="0.25"/>
    <row r="47872" customFormat="1" x14ac:dyDescent="0.25"/>
    <row r="47873" customFormat="1" x14ac:dyDescent="0.25"/>
    <row r="47874" customFormat="1" x14ac:dyDescent="0.25"/>
    <row r="47875" customFormat="1" x14ac:dyDescent="0.25"/>
    <row r="47876" customFormat="1" x14ac:dyDescent="0.25"/>
    <row r="47877" customFormat="1" x14ac:dyDescent="0.25"/>
    <row r="47878" customFormat="1" x14ac:dyDescent="0.25"/>
    <row r="47879" customFormat="1" x14ac:dyDescent="0.25"/>
    <row r="47880" customFormat="1" x14ac:dyDescent="0.25"/>
    <row r="47881" customFormat="1" x14ac:dyDescent="0.25"/>
    <row r="47882" customFormat="1" x14ac:dyDescent="0.25"/>
    <row r="47883" customFormat="1" x14ac:dyDescent="0.25"/>
    <row r="47884" customFormat="1" x14ac:dyDescent="0.25"/>
    <row r="47885" customFormat="1" x14ac:dyDescent="0.25"/>
    <row r="47886" customFormat="1" x14ac:dyDescent="0.25"/>
    <row r="47887" customFormat="1" x14ac:dyDescent="0.25"/>
    <row r="47888" customFormat="1" x14ac:dyDescent="0.25"/>
    <row r="47889" customFormat="1" x14ac:dyDescent="0.25"/>
    <row r="47890" customFormat="1" x14ac:dyDescent="0.25"/>
    <row r="47891" customFormat="1" x14ac:dyDescent="0.25"/>
    <row r="47892" customFormat="1" x14ac:dyDescent="0.25"/>
    <row r="47893" customFormat="1" x14ac:dyDescent="0.25"/>
    <row r="47894" customFormat="1" x14ac:dyDescent="0.25"/>
    <row r="47895" customFormat="1" x14ac:dyDescent="0.25"/>
    <row r="47896" customFormat="1" x14ac:dyDescent="0.25"/>
    <row r="47897" customFormat="1" x14ac:dyDescent="0.25"/>
    <row r="47898" customFormat="1" x14ac:dyDescent="0.25"/>
    <row r="47899" customFormat="1" x14ac:dyDescent="0.25"/>
    <row r="47900" customFormat="1" x14ac:dyDescent="0.25"/>
    <row r="47901" customFormat="1" x14ac:dyDescent="0.25"/>
    <row r="47902" customFormat="1" x14ac:dyDescent="0.25"/>
    <row r="47903" customFormat="1" x14ac:dyDescent="0.25"/>
    <row r="47904" customFormat="1" x14ac:dyDescent="0.25"/>
    <row r="47905" customFormat="1" x14ac:dyDescent="0.25"/>
    <row r="47906" customFormat="1" x14ac:dyDescent="0.25"/>
    <row r="47907" customFormat="1" x14ac:dyDescent="0.25"/>
    <row r="47908" customFormat="1" x14ac:dyDescent="0.25"/>
    <row r="47909" customFormat="1" x14ac:dyDescent="0.25"/>
    <row r="47910" customFormat="1" x14ac:dyDescent="0.25"/>
    <row r="47911" customFormat="1" x14ac:dyDescent="0.25"/>
    <row r="47912" customFormat="1" x14ac:dyDescent="0.25"/>
    <row r="47913" customFormat="1" x14ac:dyDescent="0.25"/>
    <row r="47914" customFormat="1" x14ac:dyDescent="0.25"/>
    <row r="47915" customFormat="1" x14ac:dyDescent="0.25"/>
    <row r="47916" customFormat="1" x14ac:dyDescent="0.25"/>
    <row r="47917" customFormat="1" x14ac:dyDescent="0.25"/>
    <row r="47918" customFormat="1" x14ac:dyDescent="0.25"/>
    <row r="47919" customFormat="1" x14ac:dyDescent="0.25"/>
    <row r="47920" customFormat="1" x14ac:dyDescent="0.25"/>
    <row r="47921" customFormat="1" x14ac:dyDescent="0.25"/>
    <row r="47922" customFormat="1" x14ac:dyDescent="0.25"/>
    <row r="47923" customFormat="1" x14ac:dyDescent="0.25"/>
    <row r="47924" customFormat="1" x14ac:dyDescent="0.25"/>
    <row r="47925" customFormat="1" x14ac:dyDescent="0.25"/>
    <row r="47926" customFormat="1" x14ac:dyDescent="0.25"/>
    <row r="47927" customFormat="1" x14ac:dyDescent="0.25"/>
    <row r="47928" customFormat="1" x14ac:dyDescent="0.25"/>
    <row r="47929" customFormat="1" x14ac:dyDescent="0.25"/>
    <row r="47930" customFormat="1" x14ac:dyDescent="0.25"/>
    <row r="47931" customFormat="1" x14ac:dyDescent="0.25"/>
    <row r="47932" customFormat="1" x14ac:dyDescent="0.25"/>
    <row r="47933" customFormat="1" x14ac:dyDescent="0.25"/>
    <row r="47934" customFormat="1" x14ac:dyDescent="0.25"/>
    <row r="47935" customFormat="1" x14ac:dyDescent="0.25"/>
    <row r="47936" customFormat="1" x14ac:dyDescent="0.25"/>
    <row r="47937" customFormat="1" x14ac:dyDescent="0.25"/>
    <row r="47938" customFormat="1" x14ac:dyDescent="0.25"/>
    <row r="47939" customFormat="1" x14ac:dyDescent="0.25"/>
    <row r="47940" customFormat="1" x14ac:dyDescent="0.25"/>
    <row r="47941" customFormat="1" x14ac:dyDescent="0.25"/>
    <row r="47942" customFormat="1" x14ac:dyDescent="0.25"/>
    <row r="47943" customFormat="1" x14ac:dyDescent="0.25"/>
    <row r="47944" customFormat="1" x14ac:dyDescent="0.25"/>
    <row r="47945" customFormat="1" x14ac:dyDescent="0.25"/>
    <row r="47946" customFormat="1" x14ac:dyDescent="0.25"/>
    <row r="47947" customFormat="1" x14ac:dyDescent="0.25"/>
    <row r="47948" customFormat="1" x14ac:dyDescent="0.25"/>
    <row r="47949" customFormat="1" x14ac:dyDescent="0.25"/>
    <row r="47950" customFormat="1" x14ac:dyDescent="0.25"/>
    <row r="47951" customFormat="1" x14ac:dyDescent="0.25"/>
    <row r="47952" customFormat="1" x14ac:dyDescent="0.25"/>
    <row r="47953" customFormat="1" x14ac:dyDescent="0.25"/>
    <row r="47954" customFormat="1" x14ac:dyDescent="0.25"/>
    <row r="47955" customFormat="1" x14ac:dyDescent="0.25"/>
    <row r="47956" customFormat="1" x14ac:dyDescent="0.25"/>
    <row r="47957" customFormat="1" x14ac:dyDescent="0.25"/>
    <row r="47958" customFormat="1" x14ac:dyDescent="0.25"/>
    <row r="47959" customFormat="1" x14ac:dyDescent="0.25"/>
    <row r="47960" customFormat="1" x14ac:dyDescent="0.25"/>
    <row r="47961" customFormat="1" x14ac:dyDescent="0.25"/>
    <row r="47962" customFormat="1" x14ac:dyDescent="0.25"/>
    <row r="47963" customFormat="1" x14ac:dyDescent="0.25"/>
    <row r="47964" customFormat="1" x14ac:dyDescent="0.25"/>
    <row r="47965" customFormat="1" x14ac:dyDescent="0.25"/>
    <row r="47966" customFormat="1" x14ac:dyDescent="0.25"/>
    <row r="47967" customFormat="1" x14ac:dyDescent="0.25"/>
    <row r="47968" customFormat="1" x14ac:dyDescent="0.25"/>
    <row r="47969" customFormat="1" x14ac:dyDescent="0.25"/>
    <row r="47970" customFormat="1" x14ac:dyDescent="0.25"/>
    <row r="47971" customFormat="1" x14ac:dyDescent="0.25"/>
    <row r="47972" customFormat="1" x14ac:dyDescent="0.25"/>
    <row r="47973" customFormat="1" x14ac:dyDescent="0.25"/>
    <row r="47974" customFormat="1" x14ac:dyDescent="0.25"/>
    <row r="47975" customFormat="1" x14ac:dyDescent="0.25"/>
    <row r="47976" customFormat="1" x14ac:dyDescent="0.25"/>
    <row r="47977" customFormat="1" x14ac:dyDescent="0.25"/>
    <row r="47978" customFormat="1" x14ac:dyDescent="0.25"/>
    <row r="47979" customFormat="1" x14ac:dyDescent="0.25"/>
    <row r="47980" customFormat="1" x14ac:dyDescent="0.25"/>
    <row r="47981" customFormat="1" x14ac:dyDescent="0.25"/>
    <row r="47982" customFormat="1" x14ac:dyDescent="0.25"/>
    <row r="47983" customFormat="1" x14ac:dyDescent="0.25"/>
    <row r="47984" customFormat="1" x14ac:dyDescent="0.25"/>
    <row r="47985" customFormat="1" x14ac:dyDescent="0.25"/>
    <row r="47986" customFormat="1" x14ac:dyDescent="0.25"/>
    <row r="47987" customFormat="1" x14ac:dyDescent="0.25"/>
    <row r="47988" customFormat="1" x14ac:dyDescent="0.25"/>
    <row r="47989" customFormat="1" x14ac:dyDescent="0.25"/>
    <row r="47990" customFormat="1" x14ac:dyDescent="0.25"/>
    <row r="47991" customFormat="1" x14ac:dyDescent="0.25"/>
    <row r="47992" customFormat="1" x14ac:dyDescent="0.25"/>
    <row r="47993" customFormat="1" x14ac:dyDescent="0.25"/>
    <row r="47994" customFormat="1" x14ac:dyDescent="0.25"/>
    <row r="47995" customFormat="1" x14ac:dyDescent="0.25"/>
    <row r="47996" customFormat="1" x14ac:dyDescent="0.25"/>
    <row r="47997" customFormat="1" x14ac:dyDescent="0.25"/>
    <row r="47998" customFormat="1" x14ac:dyDescent="0.25"/>
    <row r="47999" customFormat="1" x14ac:dyDescent="0.25"/>
    <row r="48000" customFormat="1" x14ac:dyDescent="0.25"/>
    <row r="48001" customFormat="1" x14ac:dyDescent="0.25"/>
    <row r="48002" customFormat="1" x14ac:dyDescent="0.25"/>
    <row r="48003" customFormat="1" x14ac:dyDescent="0.25"/>
    <row r="48004" customFormat="1" x14ac:dyDescent="0.25"/>
    <row r="48005" customFormat="1" x14ac:dyDescent="0.25"/>
    <row r="48006" customFormat="1" x14ac:dyDescent="0.25"/>
    <row r="48007" customFormat="1" x14ac:dyDescent="0.25"/>
    <row r="48008" customFormat="1" x14ac:dyDescent="0.25"/>
    <row r="48009" customFormat="1" x14ac:dyDescent="0.25"/>
    <row r="48010" customFormat="1" x14ac:dyDescent="0.25"/>
    <row r="48011" customFormat="1" x14ac:dyDescent="0.25"/>
    <row r="48012" customFormat="1" x14ac:dyDescent="0.25"/>
    <row r="48013" customFormat="1" x14ac:dyDescent="0.25"/>
    <row r="48014" customFormat="1" x14ac:dyDescent="0.25"/>
    <row r="48015" customFormat="1" x14ac:dyDescent="0.25"/>
    <row r="48016" customFormat="1" x14ac:dyDescent="0.25"/>
    <row r="48017" customFormat="1" x14ac:dyDescent="0.25"/>
    <row r="48018" customFormat="1" x14ac:dyDescent="0.25"/>
    <row r="48019" customFormat="1" x14ac:dyDescent="0.25"/>
    <row r="48020" customFormat="1" x14ac:dyDescent="0.25"/>
    <row r="48021" customFormat="1" x14ac:dyDescent="0.25"/>
    <row r="48022" customFormat="1" x14ac:dyDescent="0.25"/>
    <row r="48023" customFormat="1" x14ac:dyDescent="0.25"/>
    <row r="48024" customFormat="1" x14ac:dyDescent="0.25"/>
    <row r="48025" customFormat="1" x14ac:dyDescent="0.25"/>
    <row r="48026" customFormat="1" x14ac:dyDescent="0.25"/>
    <row r="48027" customFormat="1" x14ac:dyDescent="0.25"/>
    <row r="48028" customFormat="1" x14ac:dyDescent="0.25"/>
    <row r="48029" customFormat="1" x14ac:dyDescent="0.25"/>
    <row r="48030" customFormat="1" x14ac:dyDescent="0.25"/>
    <row r="48031" customFormat="1" x14ac:dyDescent="0.25"/>
    <row r="48032" customFormat="1" x14ac:dyDescent="0.25"/>
    <row r="48033" customFormat="1" x14ac:dyDescent="0.25"/>
    <row r="48034" customFormat="1" x14ac:dyDescent="0.25"/>
    <row r="48035" customFormat="1" x14ac:dyDescent="0.25"/>
    <row r="48036" customFormat="1" x14ac:dyDescent="0.25"/>
    <row r="48037" customFormat="1" x14ac:dyDescent="0.25"/>
    <row r="48038" customFormat="1" x14ac:dyDescent="0.25"/>
    <row r="48039" customFormat="1" x14ac:dyDescent="0.25"/>
    <row r="48040" customFormat="1" x14ac:dyDescent="0.25"/>
    <row r="48041" customFormat="1" x14ac:dyDescent="0.25"/>
    <row r="48042" customFormat="1" x14ac:dyDescent="0.25"/>
    <row r="48043" customFormat="1" x14ac:dyDescent="0.25"/>
    <row r="48044" customFormat="1" x14ac:dyDescent="0.25"/>
    <row r="48045" customFormat="1" x14ac:dyDescent="0.25"/>
    <row r="48046" customFormat="1" x14ac:dyDescent="0.25"/>
    <row r="48047" customFormat="1" x14ac:dyDescent="0.25"/>
    <row r="48048" customFormat="1" x14ac:dyDescent="0.25"/>
    <row r="48049" customFormat="1" x14ac:dyDescent="0.25"/>
    <row r="48050" customFormat="1" x14ac:dyDescent="0.25"/>
    <row r="48051" customFormat="1" x14ac:dyDescent="0.25"/>
    <row r="48052" customFormat="1" x14ac:dyDescent="0.25"/>
    <row r="48053" customFormat="1" x14ac:dyDescent="0.25"/>
    <row r="48054" customFormat="1" x14ac:dyDescent="0.25"/>
    <row r="48055" customFormat="1" x14ac:dyDescent="0.25"/>
    <row r="48056" customFormat="1" x14ac:dyDescent="0.25"/>
    <row r="48057" customFormat="1" x14ac:dyDescent="0.25"/>
    <row r="48058" customFormat="1" x14ac:dyDescent="0.25"/>
    <row r="48059" customFormat="1" x14ac:dyDescent="0.25"/>
    <row r="48060" customFormat="1" x14ac:dyDescent="0.25"/>
    <row r="48061" customFormat="1" x14ac:dyDescent="0.25"/>
    <row r="48062" customFormat="1" x14ac:dyDescent="0.25"/>
    <row r="48063" customFormat="1" x14ac:dyDescent="0.25"/>
    <row r="48064" customFormat="1" x14ac:dyDescent="0.25"/>
    <row r="48065" customFormat="1" x14ac:dyDescent="0.25"/>
    <row r="48066" customFormat="1" x14ac:dyDescent="0.25"/>
    <row r="48067" customFormat="1" x14ac:dyDescent="0.25"/>
    <row r="48068" customFormat="1" x14ac:dyDescent="0.25"/>
    <row r="48069" customFormat="1" x14ac:dyDescent="0.25"/>
    <row r="48070" customFormat="1" x14ac:dyDescent="0.25"/>
    <row r="48071" customFormat="1" x14ac:dyDescent="0.25"/>
    <row r="48072" customFormat="1" x14ac:dyDescent="0.25"/>
    <row r="48073" customFormat="1" x14ac:dyDescent="0.25"/>
    <row r="48074" customFormat="1" x14ac:dyDescent="0.25"/>
    <row r="48075" customFormat="1" x14ac:dyDescent="0.25"/>
    <row r="48076" customFormat="1" x14ac:dyDescent="0.25"/>
    <row r="48077" customFormat="1" x14ac:dyDescent="0.25"/>
    <row r="48078" customFormat="1" x14ac:dyDescent="0.25"/>
    <row r="48079" customFormat="1" x14ac:dyDescent="0.25"/>
    <row r="48080" customFormat="1" x14ac:dyDescent="0.25"/>
    <row r="48081" customFormat="1" x14ac:dyDescent="0.25"/>
    <row r="48082" customFormat="1" x14ac:dyDescent="0.25"/>
    <row r="48083" customFormat="1" x14ac:dyDescent="0.25"/>
    <row r="48084" customFormat="1" x14ac:dyDescent="0.25"/>
    <row r="48085" customFormat="1" x14ac:dyDescent="0.25"/>
    <row r="48086" customFormat="1" x14ac:dyDescent="0.25"/>
    <row r="48087" customFormat="1" x14ac:dyDescent="0.25"/>
    <row r="48088" customFormat="1" x14ac:dyDescent="0.25"/>
    <row r="48089" customFormat="1" x14ac:dyDescent="0.25"/>
    <row r="48090" customFormat="1" x14ac:dyDescent="0.25"/>
    <row r="48091" customFormat="1" x14ac:dyDescent="0.25"/>
    <row r="48092" customFormat="1" x14ac:dyDescent="0.25"/>
    <row r="48093" customFormat="1" x14ac:dyDescent="0.25"/>
    <row r="48094" customFormat="1" x14ac:dyDescent="0.25"/>
    <row r="48095" customFormat="1" x14ac:dyDescent="0.25"/>
    <row r="48096" customFormat="1" x14ac:dyDescent="0.25"/>
    <row r="48097" customFormat="1" x14ac:dyDescent="0.25"/>
    <row r="48098" customFormat="1" x14ac:dyDescent="0.25"/>
    <row r="48099" customFormat="1" x14ac:dyDescent="0.25"/>
    <row r="48100" customFormat="1" x14ac:dyDescent="0.25"/>
    <row r="48101" customFormat="1" x14ac:dyDescent="0.25"/>
    <row r="48102" customFormat="1" x14ac:dyDescent="0.25"/>
    <row r="48103" customFormat="1" x14ac:dyDescent="0.25"/>
    <row r="48104" customFormat="1" x14ac:dyDescent="0.25"/>
    <row r="48105" customFormat="1" x14ac:dyDescent="0.25"/>
    <row r="48106" customFormat="1" x14ac:dyDescent="0.25"/>
    <row r="48107" customFormat="1" x14ac:dyDescent="0.25"/>
    <row r="48108" customFormat="1" x14ac:dyDescent="0.25"/>
    <row r="48109" customFormat="1" x14ac:dyDescent="0.25"/>
    <row r="48110" customFormat="1" x14ac:dyDescent="0.25"/>
    <row r="48111" customFormat="1" x14ac:dyDescent="0.25"/>
    <row r="48112" customFormat="1" x14ac:dyDescent="0.25"/>
    <row r="48113" customFormat="1" x14ac:dyDescent="0.25"/>
    <row r="48114" customFormat="1" x14ac:dyDescent="0.25"/>
    <row r="48115" customFormat="1" x14ac:dyDescent="0.25"/>
    <row r="48116" customFormat="1" x14ac:dyDescent="0.25"/>
    <row r="48117" customFormat="1" x14ac:dyDescent="0.25"/>
    <row r="48118" customFormat="1" x14ac:dyDescent="0.25"/>
    <row r="48119" customFormat="1" x14ac:dyDescent="0.25"/>
    <row r="48120" customFormat="1" x14ac:dyDescent="0.25"/>
    <row r="48121" customFormat="1" x14ac:dyDescent="0.25"/>
    <row r="48122" customFormat="1" x14ac:dyDescent="0.25"/>
    <row r="48123" customFormat="1" x14ac:dyDescent="0.25"/>
    <row r="48124" customFormat="1" x14ac:dyDescent="0.25"/>
    <row r="48125" customFormat="1" x14ac:dyDescent="0.25"/>
    <row r="48126" customFormat="1" x14ac:dyDescent="0.25"/>
    <row r="48127" customFormat="1" x14ac:dyDescent="0.25"/>
    <row r="48128" customFormat="1" x14ac:dyDescent="0.25"/>
    <row r="48129" customFormat="1" x14ac:dyDescent="0.25"/>
    <row r="48130" customFormat="1" x14ac:dyDescent="0.25"/>
    <row r="48131" customFormat="1" x14ac:dyDescent="0.25"/>
    <row r="48132" customFormat="1" x14ac:dyDescent="0.25"/>
    <row r="48133" customFormat="1" x14ac:dyDescent="0.25"/>
    <row r="48134" customFormat="1" x14ac:dyDescent="0.25"/>
    <row r="48135" customFormat="1" x14ac:dyDescent="0.25"/>
    <row r="48136" customFormat="1" x14ac:dyDescent="0.25"/>
    <row r="48137" customFormat="1" x14ac:dyDescent="0.25"/>
    <row r="48138" customFormat="1" x14ac:dyDescent="0.25"/>
    <row r="48139" customFormat="1" x14ac:dyDescent="0.25"/>
    <row r="48140" customFormat="1" x14ac:dyDescent="0.25"/>
    <row r="48141" customFormat="1" x14ac:dyDescent="0.25"/>
    <row r="48142" customFormat="1" x14ac:dyDescent="0.25"/>
    <row r="48143" customFormat="1" x14ac:dyDescent="0.25"/>
    <row r="48144" customFormat="1" x14ac:dyDescent="0.25"/>
    <row r="48145" customFormat="1" x14ac:dyDescent="0.25"/>
    <row r="48146" customFormat="1" x14ac:dyDescent="0.25"/>
    <row r="48147" customFormat="1" x14ac:dyDescent="0.25"/>
    <row r="48148" customFormat="1" x14ac:dyDescent="0.25"/>
    <row r="48149" customFormat="1" x14ac:dyDescent="0.25"/>
    <row r="48150" customFormat="1" x14ac:dyDescent="0.25"/>
    <row r="48151" customFormat="1" x14ac:dyDescent="0.25"/>
    <row r="48152" customFormat="1" x14ac:dyDescent="0.25"/>
    <row r="48153" customFormat="1" x14ac:dyDescent="0.25"/>
    <row r="48154" customFormat="1" x14ac:dyDescent="0.25"/>
    <row r="48155" customFormat="1" x14ac:dyDescent="0.25"/>
    <row r="48156" customFormat="1" x14ac:dyDescent="0.25"/>
    <row r="48157" customFormat="1" x14ac:dyDescent="0.25"/>
    <row r="48158" customFormat="1" x14ac:dyDescent="0.25"/>
    <row r="48159" customFormat="1" x14ac:dyDescent="0.25"/>
    <row r="48160" customFormat="1" x14ac:dyDescent="0.25"/>
    <row r="48161" customFormat="1" x14ac:dyDescent="0.25"/>
    <row r="48162" customFormat="1" x14ac:dyDescent="0.25"/>
    <row r="48163" customFormat="1" x14ac:dyDescent="0.25"/>
    <row r="48164" customFormat="1" x14ac:dyDescent="0.25"/>
    <row r="48165" customFormat="1" x14ac:dyDescent="0.25"/>
    <row r="48166" customFormat="1" x14ac:dyDescent="0.25"/>
    <row r="48167" customFormat="1" x14ac:dyDescent="0.25"/>
    <row r="48168" customFormat="1" x14ac:dyDescent="0.25"/>
    <row r="48169" customFormat="1" x14ac:dyDescent="0.25"/>
    <row r="48170" customFormat="1" x14ac:dyDescent="0.25"/>
    <row r="48171" customFormat="1" x14ac:dyDescent="0.25"/>
    <row r="48172" customFormat="1" x14ac:dyDescent="0.25"/>
    <row r="48173" customFormat="1" x14ac:dyDescent="0.25"/>
    <row r="48174" customFormat="1" x14ac:dyDescent="0.25"/>
    <row r="48175" customFormat="1" x14ac:dyDescent="0.25"/>
    <row r="48176" customFormat="1" x14ac:dyDescent="0.25"/>
    <row r="48177" customFormat="1" x14ac:dyDescent="0.25"/>
    <row r="48178" customFormat="1" x14ac:dyDescent="0.25"/>
    <row r="48179" customFormat="1" x14ac:dyDescent="0.25"/>
    <row r="48180" customFormat="1" x14ac:dyDescent="0.25"/>
    <row r="48181" customFormat="1" x14ac:dyDescent="0.25"/>
    <row r="48182" customFormat="1" x14ac:dyDescent="0.25"/>
    <row r="48183" customFormat="1" x14ac:dyDescent="0.25"/>
    <row r="48184" customFormat="1" x14ac:dyDescent="0.25"/>
    <row r="48185" customFormat="1" x14ac:dyDescent="0.25"/>
    <row r="48186" customFormat="1" x14ac:dyDescent="0.25"/>
    <row r="48187" customFormat="1" x14ac:dyDescent="0.25"/>
    <row r="48188" customFormat="1" x14ac:dyDescent="0.25"/>
    <row r="48189" customFormat="1" x14ac:dyDescent="0.25"/>
    <row r="48190" customFormat="1" x14ac:dyDescent="0.25"/>
    <row r="48191" customFormat="1" x14ac:dyDescent="0.25"/>
    <row r="48192" customFormat="1" x14ac:dyDescent="0.25"/>
    <row r="48193" customFormat="1" x14ac:dyDescent="0.25"/>
    <row r="48194" customFormat="1" x14ac:dyDescent="0.25"/>
    <row r="48195" customFormat="1" x14ac:dyDescent="0.25"/>
    <row r="48196" customFormat="1" x14ac:dyDescent="0.25"/>
    <row r="48197" customFormat="1" x14ac:dyDescent="0.25"/>
    <row r="48198" customFormat="1" x14ac:dyDescent="0.25"/>
    <row r="48199" customFormat="1" x14ac:dyDescent="0.25"/>
    <row r="48200" customFormat="1" x14ac:dyDescent="0.25"/>
    <row r="48201" customFormat="1" x14ac:dyDescent="0.25"/>
    <row r="48202" customFormat="1" x14ac:dyDescent="0.25"/>
    <row r="48203" customFormat="1" x14ac:dyDescent="0.25"/>
    <row r="48204" customFormat="1" x14ac:dyDescent="0.25"/>
    <row r="48205" customFormat="1" x14ac:dyDescent="0.25"/>
    <row r="48206" customFormat="1" x14ac:dyDescent="0.25"/>
    <row r="48207" customFormat="1" x14ac:dyDescent="0.25"/>
    <row r="48208" customFormat="1" x14ac:dyDescent="0.25"/>
    <row r="48209" customFormat="1" x14ac:dyDescent="0.25"/>
    <row r="48210" customFormat="1" x14ac:dyDescent="0.25"/>
    <row r="48211" customFormat="1" x14ac:dyDescent="0.25"/>
    <row r="48212" customFormat="1" x14ac:dyDescent="0.25"/>
    <row r="48213" customFormat="1" x14ac:dyDescent="0.25"/>
    <row r="48214" customFormat="1" x14ac:dyDescent="0.25"/>
    <row r="48215" customFormat="1" x14ac:dyDescent="0.25"/>
    <row r="48216" customFormat="1" x14ac:dyDescent="0.25"/>
    <row r="48217" customFormat="1" x14ac:dyDescent="0.25"/>
    <row r="48218" customFormat="1" x14ac:dyDescent="0.25"/>
    <row r="48219" customFormat="1" x14ac:dyDescent="0.25"/>
    <row r="48220" customFormat="1" x14ac:dyDescent="0.25"/>
    <row r="48221" customFormat="1" x14ac:dyDescent="0.25"/>
    <row r="48222" customFormat="1" x14ac:dyDescent="0.25"/>
    <row r="48223" customFormat="1" x14ac:dyDescent="0.25"/>
    <row r="48224" customFormat="1" x14ac:dyDescent="0.25"/>
    <row r="48225" customFormat="1" x14ac:dyDescent="0.25"/>
    <row r="48226" customFormat="1" x14ac:dyDescent="0.25"/>
    <row r="48227" customFormat="1" x14ac:dyDescent="0.25"/>
    <row r="48228" customFormat="1" x14ac:dyDescent="0.25"/>
    <row r="48229" customFormat="1" x14ac:dyDescent="0.25"/>
    <row r="48230" customFormat="1" x14ac:dyDescent="0.25"/>
    <row r="48231" customFormat="1" x14ac:dyDescent="0.25"/>
    <row r="48232" customFormat="1" x14ac:dyDescent="0.25"/>
    <row r="48233" customFormat="1" x14ac:dyDescent="0.25"/>
    <row r="48234" customFormat="1" x14ac:dyDescent="0.25"/>
    <row r="48235" customFormat="1" x14ac:dyDescent="0.25"/>
    <row r="48236" customFormat="1" x14ac:dyDescent="0.25"/>
    <row r="48237" customFormat="1" x14ac:dyDescent="0.25"/>
    <row r="48238" customFormat="1" x14ac:dyDescent="0.25"/>
    <row r="48239" customFormat="1" x14ac:dyDescent="0.25"/>
    <row r="48240" customFormat="1" x14ac:dyDescent="0.25"/>
    <row r="48241" customFormat="1" x14ac:dyDescent="0.25"/>
    <row r="48242" customFormat="1" x14ac:dyDescent="0.25"/>
    <row r="48243" customFormat="1" x14ac:dyDescent="0.25"/>
    <row r="48244" customFormat="1" x14ac:dyDescent="0.25"/>
    <row r="48245" customFormat="1" x14ac:dyDescent="0.25"/>
    <row r="48246" customFormat="1" x14ac:dyDescent="0.25"/>
    <row r="48247" customFormat="1" x14ac:dyDescent="0.25"/>
    <row r="48248" customFormat="1" x14ac:dyDescent="0.25"/>
    <row r="48249" customFormat="1" x14ac:dyDescent="0.25"/>
    <row r="48250" customFormat="1" x14ac:dyDescent="0.25"/>
    <row r="48251" customFormat="1" x14ac:dyDescent="0.25"/>
    <row r="48252" customFormat="1" x14ac:dyDescent="0.25"/>
    <row r="48253" customFormat="1" x14ac:dyDescent="0.25"/>
    <row r="48254" customFormat="1" x14ac:dyDescent="0.25"/>
    <row r="48255" customFormat="1" x14ac:dyDescent="0.25"/>
    <row r="48256" customFormat="1" x14ac:dyDescent="0.25"/>
    <row r="48257" customFormat="1" x14ac:dyDescent="0.25"/>
    <row r="48258" customFormat="1" x14ac:dyDescent="0.25"/>
    <row r="48259" customFormat="1" x14ac:dyDescent="0.25"/>
    <row r="48260" customFormat="1" x14ac:dyDescent="0.25"/>
    <row r="48261" customFormat="1" x14ac:dyDescent="0.25"/>
    <row r="48262" customFormat="1" x14ac:dyDescent="0.25"/>
    <row r="48263" customFormat="1" x14ac:dyDescent="0.25"/>
    <row r="48264" customFormat="1" x14ac:dyDescent="0.25"/>
    <row r="48265" customFormat="1" x14ac:dyDescent="0.25"/>
    <row r="48266" customFormat="1" x14ac:dyDescent="0.25"/>
    <row r="48267" customFormat="1" x14ac:dyDescent="0.25"/>
    <row r="48268" customFormat="1" x14ac:dyDescent="0.25"/>
    <row r="48269" customFormat="1" x14ac:dyDescent="0.25"/>
    <row r="48270" customFormat="1" x14ac:dyDescent="0.25"/>
    <row r="48271" customFormat="1" x14ac:dyDescent="0.25"/>
    <row r="48272" customFormat="1" x14ac:dyDescent="0.25"/>
    <row r="48273" customFormat="1" x14ac:dyDescent="0.25"/>
    <row r="48274" customFormat="1" x14ac:dyDescent="0.25"/>
    <row r="48275" customFormat="1" x14ac:dyDescent="0.25"/>
    <row r="48276" customFormat="1" x14ac:dyDescent="0.25"/>
    <row r="48277" customFormat="1" x14ac:dyDescent="0.25"/>
    <row r="48278" customFormat="1" x14ac:dyDescent="0.25"/>
    <row r="48279" customFormat="1" x14ac:dyDescent="0.25"/>
    <row r="48280" customFormat="1" x14ac:dyDescent="0.25"/>
    <row r="48281" customFormat="1" x14ac:dyDescent="0.25"/>
    <row r="48282" customFormat="1" x14ac:dyDescent="0.25"/>
    <row r="48283" customFormat="1" x14ac:dyDescent="0.25"/>
    <row r="48284" customFormat="1" x14ac:dyDescent="0.25"/>
    <row r="48285" customFormat="1" x14ac:dyDescent="0.25"/>
    <row r="48286" customFormat="1" x14ac:dyDescent="0.25"/>
    <row r="48287" customFormat="1" x14ac:dyDescent="0.25"/>
    <row r="48288" customFormat="1" x14ac:dyDescent="0.25"/>
    <row r="48289" customFormat="1" x14ac:dyDescent="0.25"/>
    <row r="48290" customFormat="1" x14ac:dyDescent="0.25"/>
    <row r="48291" customFormat="1" x14ac:dyDescent="0.25"/>
    <row r="48292" customFormat="1" x14ac:dyDescent="0.25"/>
    <row r="48293" customFormat="1" x14ac:dyDescent="0.25"/>
    <row r="48294" customFormat="1" x14ac:dyDescent="0.25"/>
    <row r="48295" customFormat="1" x14ac:dyDescent="0.25"/>
    <row r="48296" customFormat="1" x14ac:dyDescent="0.25"/>
    <row r="48297" customFormat="1" x14ac:dyDescent="0.25"/>
    <row r="48298" customFormat="1" x14ac:dyDescent="0.25"/>
    <row r="48299" customFormat="1" x14ac:dyDescent="0.25"/>
    <row r="48300" customFormat="1" x14ac:dyDescent="0.25"/>
    <row r="48301" customFormat="1" x14ac:dyDescent="0.25"/>
    <row r="48302" customFormat="1" x14ac:dyDescent="0.25"/>
    <row r="48303" customFormat="1" x14ac:dyDescent="0.25"/>
    <row r="48304" customFormat="1" x14ac:dyDescent="0.25"/>
    <row r="48305" customFormat="1" x14ac:dyDescent="0.25"/>
    <row r="48306" customFormat="1" x14ac:dyDescent="0.25"/>
    <row r="48307" customFormat="1" x14ac:dyDescent="0.25"/>
    <row r="48308" customFormat="1" x14ac:dyDescent="0.25"/>
    <row r="48309" customFormat="1" x14ac:dyDescent="0.25"/>
    <row r="48310" customFormat="1" x14ac:dyDescent="0.25"/>
    <row r="48311" customFormat="1" x14ac:dyDescent="0.25"/>
    <row r="48312" customFormat="1" x14ac:dyDescent="0.25"/>
    <row r="48313" customFormat="1" x14ac:dyDescent="0.25"/>
    <row r="48314" customFormat="1" x14ac:dyDescent="0.25"/>
    <row r="48315" customFormat="1" x14ac:dyDescent="0.25"/>
    <row r="48316" customFormat="1" x14ac:dyDescent="0.25"/>
    <row r="48317" customFormat="1" x14ac:dyDescent="0.25"/>
    <row r="48318" customFormat="1" x14ac:dyDescent="0.25"/>
    <row r="48319" customFormat="1" x14ac:dyDescent="0.25"/>
    <row r="48320" customFormat="1" x14ac:dyDescent="0.25"/>
    <row r="48321" customFormat="1" x14ac:dyDescent="0.25"/>
    <row r="48322" customFormat="1" x14ac:dyDescent="0.25"/>
    <row r="48323" customFormat="1" x14ac:dyDescent="0.25"/>
    <row r="48324" customFormat="1" x14ac:dyDescent="0.25"/>
    <row r="48325" customFormat="1" x14ac:dyDescent="0.25"/>
    <row r="48326" customFormat="1" x14ac:dyDescent="0.25"/>
    <row r="48327" customFormat="1" x14ac:dyDescent="0.25"/>
    <row r="48328" customFormat="1" x14ac:dyDescent="0.25"/>
    <row r="48329" customFormat="1" x14ac:dyDescent="0.25"/>
    <row r="48330" customFormat="1" x14ac:dyDescent="0.25"/>
    <row r="48331" customFormat="1" x14ac:dyDescent="0.25"/>
    <row r="48332" customFormat="1" x14ac:dyDescent="0.25"/>
    <row r="48333" customFormat="1" x14ac:dyDescent="0.25"/>
    <row r="48334" customFormat="1" x14ac:dyDescent="0.25"/>
    <row r="48335" customFormat="1" x14ac:dyDescent="0.25"/>
    <row r="48336" customFormat="1" x14ac:dyDescent="0.25"/>
    <row r="48337" customFormat="1" x14ac:dyDescent="0.25"/>
    <row r="48338" customFormat="1" x14ac:dyDescent="0.25"/>
    <row r="48339" customFormat="1" x14ac:dyDescent="0.25"/>
    <row r="48340" customFormat="1" x14ac:dyDescent="0.25"/>
    <row r="48341" customFormat="1" x14ac:dyDescent="0.25"/>
    <row r="48342" customFormat="1" x14ac:dyDescent="0.25"/>
    <row r="48343" customFormat="1" x14ac:dyDescent="0.25"/>
    <row r="48344" customFormat="1" x14ac:dyDescent="0.25"/>
    <row r="48345" customFormat="1" x14ac:dyDescent="0.25"/>
    <row r="48346" customFormat="1" x14ac:dyDescent="0.25"/>
    <row r="48347" customFormat="1" x14ac:dyDescent="0.25"/>
    <row r="48348" customFormat="1" x14ac:dyDescent="0.25"/>
    <row r="48349" customFormat="1" x14ac:dyDescent="0.25"/>
    <row r="48350" customFormat="1" x14ac:dyDescent="0.25"/>
    <row r="48351" customFormat="1" x14ac:dyDescent="0.25"/>
    <row r="48352" customFormat="1" x14ac:dyDescent="0.25"/>
    <row r="48353" customFormat="1" x14ac:dyDescent="0.25"/>
    <row r="48354" customFormat="1" x14ac:dyDescent="0.25"/>
    <row r="48355" customFormat="1" x14ac:dyDescent="0.25"/>
    <row r="48356" customFormat="1" x14ac:dyDescent="0.25"/>
    <row r="48357" customFormat="1" x14ac:dyDescent="0.25"/>
    <row r="48358" customFormat="1" x14ac:dyDescent="0.25"/>
    <row r="48359" customFormat="1" x14ac:dyDescent="0.25"/>
    <row r="48360" customFormat="1" x14ac:dyDescent="0.25"/>
    <row r="48361" customFormat="1" x14ac:dyDescent="0.25"/>
    <row r="48362" customFormat="1" x14ac:dyDescent="0.25"/>
    <row r="48363" customFormat="1" x14ac:dyDescent="0.25"/>
    <row r="48364" customFormat="1" x14ac:dyDescent="0.25"/>
    <row r="48365" customFormat="1" x14ac:dyDescent="0.25"/>
    <row r="48366" customFormat="1" x14ac:dyDescent="0.25"/>
    <row r="48367" customFormat="1" x14ac:dyDescent="0.25"/>
    <row r="48368" customFormat="1" x14ac:dyDescent="0.25"/>
    <row r="48369" customFormat="1" x14ac:dyDescent="0.25"/>
    <row r="48370" customFormat="1" x14ac:dyDescent="0.25"/>
    <row r="48371" customFormat="1" x14ac:dyDescent="0.25"/>
    <row r="48372" customFormat="1" x14ac:dyDescent="0.25"/>
    <row r="48373" customFormat="1" x14ac:dyDescent="0.25"/>
    <row r="48374" customFormat="1" x14ac:dyDescent="0.25"/>
    <row r="48375" customFormat="1" x14ac:dyDescent="0.25"/>
    <row r="48376" customFormat="1" x14ac:dyDescent="0.25"/>
    <row r="48377" customFormat="1" x14ac:dyDescent="0.25"/>
    <row r="48378" customFormat="1" x14ac:dyDescent="0.25"/>
    <row r="48379" customFormat="1" x14ac:dyDescent="0.25"/>
    <row r="48380" customFormat="1" x14ac:dyDescent="0.25"/>
    <row r="48381" customFormat="1" x14ac:dyDescent="0.25"/>
    <row r="48382" customFormat="1" x14ac:dyDescent="0.25"/>
    <row r="48383" customFormat="1" x14ac:dyDescent="0.25"/>
    <row r="48384" customFormat="1" x14ac:dyDescent="0.25"/>
    <row r="48385" customFormat="1" x14ac:dyDescent="0.25"/>
    <row r="48386" customFormat="1" x14ac:dyDescent="0.25"/>
    <row r="48387" customFormat="1" x14ac:dyDescent="0.25"/>
    <row r="48388" customFormat="1" x14ac:dyDescent="0.25"/>
    <row r="48389" customFormat="1" x14ac:dyDescent="0.25"/>
    <row r="48390" customFormat="1" x14ac:dyDescent="0.25"/>
    <row r="48391" customFormat="1" x14ac:dyDescent="0.25"/>
    <row r="48392" customFormat="1" x14ac:dyDescent="0.25"/>
    <row r="48393" customFormat="1" x14ac:dyDescent="0.25"/>
    <row r="48394" customFormat="1" x14ac:dyDescent="0.25"/>
    <row r="48395" customFormat="1" x14ac:dyDescent="0.25"/>
    <row r="48396" customFormat="1" x14ac:dyDescent="0.25"/>
    <row r="48397" customFormat="1" x14ac:dyDescent="0.25"/>
    <row r="48398" customFormat="1" x14ac:dyDescent="0.25"/>
    <row r="48399" customFormat="1" x14ac:dyDescent="0.25"/>
    <row r="48400" customFormat="1" x14ac:dyDescent="0.25"/>
    <row r="48401" customFormat="1" x14ac:dyDescent="0.25"/>
    <row r="48402" customFormat="1" x14ac:dyDescent="0.25"/>
    <row r="48403" customFormat="1" x14ac:dyDescent="0.25"/>
    <row r="48404" customFormat="1" x14ac:dyDescent="0.25"/>
    <row r="48405" customFormat="1" x14ac:dyDescent="0.25"/>
    <row r="48406" customFormat="1" x14ac:dyDescent="0.25"/>
    <row r="48407" customFormat="1" x14ac:dyDescent="0.25"/>
    <row r="48408" customFormat="1" x14ac:dyDescent="0.25"/>
    <row r="48409" customFormat="1" x14ac:dyDescent="0.25"/>
    <row r="48410" customFormat="1" x14ac:dyDescent="0.25"/>
    <row r="48411" customFormat="1" x14ac:dyDescent="0.25"/>
    <row r="48412" customFormat="1" x14ac:dyDescent="0.25"/>
    <row r="48413" customFormat="1" x14ac:dyDescent="0.25"/>
    <row r="48414" customFormat="1" x14ac:dyDescent="0.25"/>
    <row r="48415" customFormat="1" x14ac:dyDescent="0.25"/>
    <row r="48416" customFormat="1" x14ac:dyDescent="0.25"/>
    <row r="48417" customFormat="1" x14ac:dyDescent="0.25"/>
    <row r="48418" customFormat="1" x14ac:dyDescent="0.25"/>
    <row r="48419" customFormat="1" x14ac:dyDescent="0.25"/>
    <row r="48420" customFormat="1" x14ac:dyDescent="0.25"/>
    <row r="48421" customFormat="1" x14ac:dyDescent="0.25"/>
    <row r="48422" customFormat="1" x14ac:dyDescent="0.25"/>
    <row r="48423" customFormat="1" x14ac:dyDescent="0.25"/>
    <row r="48424" customFormat="1" x14ac:dyDescent="0.25"/>
    <row r="48425" customFormat="1" x14ac:dyDescent="0.25"/>
    <row r="48426" customFormat="1" x14ac:dyDescent="0.25"/>
    <row r="48427" customFormat="1" x14ac:dyDescent="0.25"/>
    <row r="48428" customFormat="1" x14ac:dyDescent="0.25"/>
    <row r="48429" customFormat="1" x14ac:dyDescent="0.25"/>
    <row r="48430" customFormat="1" x14ac:dyDescent="0.25"/>
    <row r="48431" customFormat="1" x14ac:dyDescent="0.25"/>
    <row r="48432" customFormat="1" x14ac:dyDescent="0.25"/>
    <row r="48433" customFormat="1" x14ac:dyDescent="0.25"/>
    <row r="48434" customFormat="1" x14ac:dyDescent="0.25"/>
    <row r="48435" customFormat="1" x14ac:dyDescent="0.25"/>
    <row r="48436" customFormat="1" x14ac:dyDescent="0.25"/>
    <row r="48437" customFormat="1" x14ac:dyDescent="0.25"/>
    <row r="48438" customFormat="1" x14ac:dyDescent="0.25"/>
    <row r="48439" customFormat="1" x14ac:dyDescent="0.25"/>
    <row r="48440" customFormat="1" x14ac:dyDescent="0.25"/>
    <row r="48441" customFormat="1" x14ac:dyDescent="0.25"/>
    <row r="48442" customFormat="1" x14ac:dyDescent="0.25"/>
    <row r="48443" customFormat="1" x14ac:dyDescent="0.25"/>
    <row r="48444" customFormat="1" x14ac:dyDescent="0.25"/>
    <row r="48445" customFormat="1" x14ac:dyDescent="0.25"/>
    <row r="48446" customFormat="1" x14ac:dyDescent="0.25"/>
    <row r="48447" customFormat="1" x14ac:dyDescent="0.25"/>
    <row r="48448" customFormat="1" x14ac:dyDescent="0.25"/>
    <row r="48449" customFormat="1" x14ac:dyDescent="0.25"/>
    <row r="48450" customFormat="1" x14ac:dyDescent="0.25"/>
    <row r="48451" customFormat="1" x14ac:dyDescent="0.25"/>
    <row r="48452" customFormat="1" x14ac:dyDescent="0.25"/>
    <row r="48453" customFormat="1" x14ac:dyDescent="0.25"/>
    <row r="48454" customFormat="1" x14ac:dyDescent="0.25"/>
    <row r="48455" customFormat="1" x14ac:dyDescent="0.25"/>
    <row r="48456" customFormat="1" x14ac:dyDescent="0.25"/>
    <row r="48457" customFormat="1" x14ac:dyDescent="0.25"/>
    <row r="48458" customFormat="1" x14ac:dyDescent="0.25"/>
    <row r="48459" customFormat="1" x14ac:dyDescent="0.25"/>
    <row r="48460" customFormat="1" x14ac:dyDescent="0.25"/>
    <row r="48461" customFormat="1" x14ac:dyDescent="0.25"/>
    <row r="48462" customFormat="1" x14ac:dyDescent="0.25"/>
    <row r="48463" customFormat="1" x14ac:dyDescent="0.25"/>
    <row r="48464" customFormat="1" x14ac:dyDescent="0.25"/>
    <row r="48465" customFormat="1" x14ac:dyDescent="0.25"/>
    <row r="48466" customFormat="1" x14ac:dyDescent="0.25"/>
    <row r="48467" customFormat="1" x14ac:dyDescent="0.25"/>
    <row r="48468" customFormat="1" x14ac:dyDescent="0.25"/>
    <row r="48469" customFormat="1" x14ac:dyDescent="0.25"/>
    <row r="48470" customFormat="1" x14ac:dyDescent="0.25"/>
    <row r="48471" customFormat="1" x14ac:dyDescent="0.25"/>
    <row r="48472" customFormat="1" x14ac:dyDescent="0.25"/>
    <row r="48473" customFormat="1" x14ac:dyDescent="0.25"/>
    <row r="48474" customFormat="1" x14ac:dyDescent="0.25"/>
    <row r="48475" customFormat="1" x14ac:dyDescent="0.25"/>
    <row r="48476" customFormat="1" x14ac:dyDescent="0.25"/>
    <row r="48477" customFormat="1" x14ac:dyDescent="0.25"/>
    <row r="48478" customFormat="1" x14ac:dyDescent="0.25"/>
    <row r="48479" customFormat="1" x14ac:dyDescent="0.25"/>
    <row r="48480" customFormat="1" x14ac:dyDescent="0.25"/>
    <row r="48481" customFormat="1" x14ac:dyDescent="0.25"/>
    <row r="48482" customFormat="1" x14ac:dyDescent="0.25"/>
    <row r="48483" customFormat="1" x14ac:dyDescent="0.25"/>
    <row r="48484" customFormat="1" x14ac:dyDescent="0.25"/>
    <row r="48485" customFormat="1" x14ac:dyDescent="0.25"/>
    <row r="48486" customFormat="1" x14ac:dyDescent="0.25"/>
    <row r="48487" customFormat="1" x14ac:dyDescent="0.25"/>
    <row r="48488" customFormat="1" x14ac:dyDescent="0.25"/>
    <row r="48489" customFormat="1" x14ac:dyDescent="0.25"/>
    <row r="48490" customFormat="1" x14ac:dyDescent="0.25"/>
    <row r="48491" customFormat="1" x14ac:dyDescent="0.25"/>
    <row r="48492" customFormat="1" x14ac:dyDescent="0.25"/>
    <row r="48493" customFormat="1" x14ac:dyDescent="0.25"/>
    <row r="48494" customFormat="1" x14ac:dyDescent="0.25"/>
    <row r="48495" customFormat="1" x14ac:dyDescent="0.25"/>
    <row r="48496" customFormat="1" x14ac:dyDescent="0.25"/>
    <row r="48497" customFormat="1" x14ac:dyDescent="0.25"/>
    <row r="48498" customFormat="1" x14ac:dyDescent="0.25"/>
    <row r="48499" customFormat="1" x14ac:dyDescent="0.25"/>
    <row r="48500" customFormat="1" x14ac:dyDescent="0.25"/>
    <row r="48501" customFormat="1" x14ac:dyDescent="0.25"/>
    <row r="48502" customFormat="1" x14ac:dyDescent="0.25"/>
    <row r="48503" customFormat="1" x14ac:dyDescent="0.25"/>
    <row r="48504" customFormat="1" x14ac:dyDescent="0.25"/>
    <row r="48505" customFormat="1" x14ac:dyDescent="0.25"/>
    <row r="48506" customFormat="1" x14ac:dyDescent="0.25"/>
    <row r="48507" customFormat="1" x14ac:dyDescent="0.25"/>
    <row r="48508" customFormat="1" x14ac:dyDescent="0.25"/>
    <row r="48509" customFormat="1" x14ac:dyDescent="0.25"/>
    <row r="48510" customFormat="1" x14ac:dyDescent="0.25"/>
    <row r="48511" customFormat="1" x14ac:dyDescent="0.25"/>
    <row r="48512" customFormat="1" x14ac:dyDescent="0.25"/>
    <row r="48513" customFormat="1" x14ac:dyDescent="0.25"/>
    <row r="48514" customFormat="1" x14ac:dyDescent="0.25"/>
    <row r="48515" customFormat="1" x14ac:dyDescent="0.25"/>
    <row r="48516" customFormat="1" x14ac:dyDescent="0.25"/>
    <row r="48517" customFormat="1" x14ac:dyDescent="0.25"/>
    <row r="48518" customFormat="1" x14ac:dyDescent="0.25"/>
    <row r="48519" customFormat="1" x14ac:dyDescent="0.25"/>
    <row r="48520" customFormat="1" x14ac:dyDescent="0.25"/>
    <row r="48521" customFormat="1" x14ac:dyDescent="0.25"/>
    <row r="48522" customFormat="1" x14ac:dyDescent="0.25"/>
    <row r="48523" customFormat="1" x14ac:dyDescent="0.25"/>
    <row r="48524" customFormat="1" x14ac:dyDescent="0.25"/>
    <row r="48525" customFormat="1" x14ac:dyDescent="0.25"/>
    <row r="48526" customFormat="1" x14ac:dyDescent="0.25"/>
    <row r="48527" customFormat="1" x14ac:dyDescent="0.25"/>
    <row r="48528" customFormat="1" x14ac:dyDescent="0.25"/>
    <row r="48529" customFormat="1" x14ac:dyDescent="0.25"/>
    <row r="48530" customFormat="1" x14ac:dyDescent="0.25"/>
    <row r="48531" customFormat="1" x14ac:dyDescent="0.25"/>
    <row r="48532" customFormat="1" x14ac:dyDescent="0.25"/>
    <row r="48533" customFormat="1" x14ac:dyDescent="0.25"/>
    <row r="48534" customFormat="1" x14ac:dyDescent="0.25"/>
    <row r="48535" customFormat="1" x14ac:dyDescent="0.25"/>
    <row r="48536" customFormat="1" x14ac:dyDescent="0.25"/>
    <row r="48537" customFormat="1" x14ac:dyDescent="0.25"/>
    <row r="48538" customFormat="1" x14ac:dyDescent="0.25"/>
    <row r="48539" customFormat="1" x14ac:dyDescent="0.25"/>
    <row r="48540" customFormat="1" x14ac:dyDescent="0.25"/>
    <row r="48541" customFormat="1" x14ac:dyDescent="0.25"/>
    <row r="48542" customFormat="1" x14ac:dyDescent="0.25"/>
    <row r="48543" customFormat="1" x14ac:dyDescent="0.25"/>
    <row r="48544" customFormat="1" x14ac:dyDescent="0.25"/>
    <row r="48545" customFormat="1" x14ac:dyDescent="0.25"/>
    <row r="48546" customFormat="1" x14ac:dyDescent="0.25"/>
    <row r="48547" customFormat="1" x14ac:dyDescent="0.25"/>
    <row r="48548" customFormat="1" x14ac:dyDescent="0.25"/>
    <row r="48549" customFormat="1" x14ac:dyDescent="0.25"/>
    <row r="48550" customFormat="1" x14ac:dyDescent="0.25"/>
    <row r="48551" customFormat="1" x14ac:dyDescent="0.25"/>
    <row r="48552" customFormat="1" x14ac:dyDescent="0.25"/>
    <row r="48553" customFormat="1" x14ac:dyDescent="0.25"/>
    <row r="48554" customFormat="1" x14ac:dyDescent="0.25"/>
    <row r="48555" customFormat="1" x14ac:dyDescent="0.25"/>
    <row r="48556" customFormat="1" x14ac:dyDescent="0.25"/>
    <row r="48557" customFormat="1" x14ac:dyDescent="0.25"/>
    <row r="48558" customFormat="1" x14ac:dyDescent="0.25"/>
    <row r="48559" customFormat="1" x14ac:dyDescent="0.25"/>
    <row r="48560" customFormat="1" x14ac:dyDescent="0.25"/>
    <row r="48561" customFormat="1" x14ac:dyDescent="0.25"/>
    <row r="48562" customFormat="1" x14ac:dyDescent="0.25"/>
    <row r="48563" customFormat="1" x14ac:dyDescent="0.25"/>
    <row r="48564" customFormat="1" x14ac:dyDescent="0.25"/>
    <row r="48565" customFormat="1" x14ac:dyDescent="0.25"/>
    <row r="48566" customFormat="1" x14ac:dyDescent="0.25"/>
    <row r="48567" customFormat="1" x14ac:dyDescent="0.25"/>
    <row r="48568" customFormat="1" x14ac:dyDescent="0.25"/>
    <row r="48569" customFormat="1" x14ac:dyDescent="0.25"/>
    <row r="48570" customFormat="1" x14ac:dyDescent="0.25"/>
    <row r="48571" customFormat="1" x14ac:dyDescent="0.25"/>
    <row r="48572" customFormat="1" x14ac:dyDescent="0.25"/>
    <row r="48573" customFormat="1" x14ac:dyDescent="0.25"/>
    <row r="48574" customFormat="1" x14ac:dyDescent="0.25"/>
    <row r="48575" customFormat="1" x14ac:dyDescent="0.25"/>
    <row r="48576" customFormat="1" x14ac:dyDescent="0.25"/>
    <row r="48577" customFormat="1" x14ac:dyDescent="0.25"/>
    <row r="48578" customFormat="1" x14ac:dyDescent="0.25"/>
    <row r="48579" customFormat="1" x14ac:dyDescent="0.25"/>
    <row r="48580" customFormat="1" x14ac:dyDescent="0.25"/>
    <row r="48581" customFormat="1" x14ac:dyDescent="0.25"/>
    <row r="48582" customFormat="1" x14ac:dyDescent="0.25"/>
    <row r="48583" customFormat="1" x14ac:dyDescent="0.25"/>
    <row r="48584" customFormat="1" x14ac:dyDescent="0.25"/>
    <row r="48585" customFormat="1" x14ac:dyDescent="0.25"/>
    <row r="48586" customFormat="1" x14ac:dyDescent="0.25"/>
    <row r="48587" customFormat="1" x14ac:dyDescent="0.25"/>
    <row r="48588" customFormat="1" x14ac:dyDescent="0.25"/>
    <row r="48589" customFormat="1" x14ac:dyDescent="0.25"/>
    <row r="48590" customFormat="1" x14ac:dyDescent="0.25"/>
    <row r="48591" customFormat="1" x14ac:dyDescent="0.25"/>
    <row r="48592" customFormat="1" x14ac:dyDescent="0.25"/>
    <row r="48593" customFormat="1" x14ac:dyDescent="0.25"/>
    <row r="48594" customFormat="1" x14ac:dyDescent="0.25"/>
    <row r="48595" customFormat="1" x14ac:dyDescent="0.25"/>
    <row r="48596" customFormat="1" x14ac:dyDescent="0.25"/>
    <row r="48597" customFormat="1" x14ac:dyDescent="0.25"/>
    <row r="48598" customFormat="1" x14ac:dyDescent="0.25"/>
    <row r="48599" customFormat="1" x14ac:dyDescent="0.25"/>
    <row r="48600" customFormat="1" x14ac:dyDescent="0.25"/>
    <row r="48601" customFormat="1" x14ac:dyDescent="0.25"/>
    <row r="48602" customFormat="1" x14ac:dyDescent="0.25"/>
    <row r="48603" customFormat="1" x14ac:dyDescent="0.25"/>
    <row r="48604" customFormat="1" x14ac:dyDescent="0.25"/>
    <row r="48605" customFormat="1" x14ac:dyDescent="0.25"/>
    <row r="48606" customFormat="1" x14ac:dyDescent="0.25"/>
    <row r="48607" customFormat="1" x14ac:dyDescent="0.25"/>
    <row r="48608" customFormat="1" x14ac:dyDescent="0.25"/>
    <row r="48609" customFormat="1" x14ac:dyDescent="0.25"/>
    <row r="48610" customFormat="1" x14ac:dyDescent="0.25"/>
    <row r="48611" customFormat="1" x14ac:dyDescent="0.25"/>
    <row r="48612" customFormat="1" x14ac:dyDescent="0.25"/>
    <row r="48613" customFormat="1" x14ac:dyDescent="0.25"/>
    <row r="48614" customFormat="1" x14ac:dyDescent="0.25"/>
    <row r="48615" customFormat="1" x14ac:dyDescent="0.25"/>
    <row r="48616" customFormat="1" x14ac:dyDescent="0.25"/>
    <row r="48617" customFormat="1" x14ac:dyDescent="0.25"/>
    <row r="48618" customFormat="1" x14ac:dyDescent="0.25"/>
    <row r="48619" customFormat="1" x14ac:dyDescent="0.25"/>
    <row r="48620" customFormat="1" x14ac:dyDescent="0.25"/>
    <row r="48621" customFormat="1" x14ac:dyDescent="0.25"/>
    <row r="48622" customFormat="1" x14ac:dyDescent="0.25"/>
    <row r="48623" customFormat="1" x14ac:dyDescent="0.25"/>
    <row r="48624" customFormat="1" x14ac:dyDescent="0.25"/>
    <row r="48625" customFormat="1" x14ac:dyDescent="0.25"/>
    <row r="48626" customFormat="1" x14ac:dyDescent="0.25"/>
    <row r="48627" customFormat="1" x14ac:dyDescent="0.25"/>
    <row r="48628" customFormat="1" x14ac:dyDescent="0.25"/>
    <row r="48629" customFormat="1" x14ac:dyDescent="0.25"/>
    <row r="48630" customFormat="1" x14ac:dyDescent="0.25"/>
    <row r="48631" customFormat="1" x14ac:dyDescent="0.25"/>
    <row r="48632" customFormat="1" x14ac:dyDescent="0.25"/>
    <row r="48633" customFormat="1" x14ac:dyDescent="0.25"/>
    <row r="48634" customFormat="1" x14ac:dyDescent="0.25"/>
    <row r="48635" customFormat="1" x14ac:dyDescent="0.25"/>
    <row r="48636" customFormat="1" x14ac:dyDescent="0.25"/>
    <row r="48637" customFormat="1" x14ac:dyDescent="0.25"/>
    <row r="48638" customFormat="1" x14ac:dyDescent="0.25"/>
    <row r="48639" customFormat="1" x14ac:dyDescent="0.25"/>
    <row r="48640" customFormat="1" x14ac:dyDescent="0.25"/>
    <row r="48641" customFormat="1" x14ac:dyDescent="0.25"/>
    <row r="48642" customFormat="1" x14ac:dyDescent="0.25"/>
    <row r="48643" customFormat="1" x14ac:dyDescent="0.25"/>
    <row r="48644" customFormat="1" x14ac:dyDescent="0.25"/>
    <row r="48645" customFormat="1" x14ac:dyDescent="0.25"/>
    <row r="48646" customFormat="1" x14ac:dyDescent="0.25"/>
    <row r="48647" customFormat="1" x14ac:dyDescent="0.25"/>
    <row r="48648" customFormat="1" x14ac:dyDescent="0.25"/>
    <row r="48649" customFormat="1" x14ac:dyDescent="0.25"/>
    <row r="48650" customFormat="1" x14ac:dyDescent="0.25"/>
    <row r="48651" customFormat="1" x14ac:dyDescent="0.25"/>
    <row r="48652" customFormat="1" x14ac:dyDescent="0.25"/>
    <row r="48653" customFormat="1" x14ac:dyDescent="0.25"/>
    <row r="48654" customFormat="1" x14ac:dyDescent="0.25"/>
    <row r="48655" customFormat="1" x14ac:dyDescent="0.25"/>
    <row r="48656" customFormat="1" x14ac:dyDescent="0.25"/>
    <row r="48657" customFormat="1" x14ac:dyDescent="0.25"/>
    <row r="48658" customFormat="1" x14ac:dyDescent="0.25"/>
    <row r="48659" customFormat="1" x14ac:dyDescent="0.25"/>
    <row r="48660" customFormat="1" x14ac:dyDescent="0.25"/>
    <row r="48661" customFormat="1" x14ac:dyDescent="0.25"/>
    <row r="48662" customFormat="1" x14ac:dyDescent="0.25"/>
    <row r="48663" customFormat="1" x14ac:dyDescent="0.25"/>
    <row r="48664" customFormat="1" x14ac:dyDescent="0.25"/>
    <row r="48665" customFormat="1" x14ac:dyDescent="0.25"/>
    <row r="48666" customFormat="1" x14ac:dyDescent="0.25"/>
    <row r="48667" customFormat="1" x14ac:dyDescent="0.25"/>
    <row r="48668" customFormat="1" x14ac:dyDescent="0.25"/>
    <row r="48669" customFormat="1" x14ac:dyDescent="0.25"/>
    <row r="48670" customFormat="1" x14ac:dyDescent="0.25"/>
    <row r="48671" customFormat="1" x14ac:dyDescent="0.25"/>
    <row r="48672" customFormat="1" x14ac:dyDescent="0.25"/>
    <row r="48673" customFormat="1" x14ac:dyDescent="0.25"/>
    <row r="48674" customFormat="1" x14ac:dyDescent="0.25"/>
    <row r="48675" customFormat="1" x14ac:dyDescent="0.25"/>
    <row r="48676" customFormat="1" x14ac:dyDescent="0.25"/>
    <row r="48677" customFormat="1" x14ac:dyDescent="0.25"/>
    <row r="48678" customFormat="1" x14ac:dyDescent="0.25"/>
    <row r="48679" customFormat="1" x14ac:dyDescent="0.25"/>
    <row r="48680" customFormat="1" x14ac:dyDescent="0.25"/>
    <row r="48681" customFormat="1" x14ac:dyDescent="0.25"/>
    <row r="48682" customFormat="1" x14ac:dyDescent="0.25"/>
    <row r="48683" customFormat="1" x14ac:dyDescent="0.25"/>
    <row r="48684" customFormat="1" x14ac:dyDescent="0.25"/>
    <row r="48685" customFormat="1" x14ac:dyDescent="0.25"/>
    <row r="48686" customFormat="1" x14ac:dyDescent="0.25"/>
    <row r="48687" customFormat="1" x14ac:dyDescent="0.25"/>
    <row r="48688" customFormat="1" x14ac:dyDescent="0.25"/>
    <row r="48689" customFormat="1" x14ac:dyDescent="0.25"/>
    <row r="48690" customFormat="1" x14ac:dyDescent="0.25"/>
    <row r="48691" customFormat="1" x14ac:dyDescent="0.25"/>
    <row r="48692" customFormat="1" x14ac:dyDescent="0.25"/>
    <row r="48693" customFormat="1" x14ac:dyDescent="0.25"/>
    <row r="48694" customFormat="1" x14ac:dyDescent="0.25"/>
    <row r="48695" customFormat="1" x14ac:dyDescent="0.25"/>
    <row r="48696" customFormat="1" x14ac:dyDescent="0.25"/>
    <row r="48697" customFormat="1" x14ac:dyDescent="0.25"/>
    <row r="48698" customFormat="1" x14ac:dyDescent="0.25"/>
    <row r="48699" customFormat="1" x14ac:dyDescent="0.25"/>
    <row r="48700" customFormat="1" x14ac:dyDescent="0.25"/>
    <row r="48701" customFormat="1" x14ac:dyDescent="0.25"/>
    <row r="48702" customFormat="1" x14ac:dyDescent="0.25"/>
    <row r="48703" customFormat="1" x14ac:dyDescent="0.25"/>
    <row r="48704" customFormat="1" x14ac:dyDescent="0.25"/>
    <row r="48705" customFormat="1" x14ac:dyDescent="0.25"/>
    <row r="48706" customFormat="1" x14ac:dyDescent="0.25"/>
    <row r="48707" customFormat="1" x14ac:dyDescent="0.25"/>
    <row r="48708" customFormat="1" x14ac:dyDescent="0.25"/>
    <row r="48709" customFormat="1" x14ac:dyDescent="0.25"/>
    <row r="48710" customFormat="1" x14ac:dyDescent="0.25"/>
    <row r="48711" customFormat="1" x14ac:dyDescent="0.25"/>
    <row r="48712" customFormat="1" x14ac:dyDescent="0.25"/>
    <row r="48713" customFormat="1" x14ac:dyDescent="0.25"/>
    <row r="48714" customFormat="1" x14ac:dyDescent="0.25"/>
    <row r="48715" customFormat="1" x14ac:dyDescent="0.25"/>
    <row r="48716" customFormat="1" x14ac:dyDescent="0.25"/>
    <row r="48717" customFormat="1" x14ac:dyDescent="0.25"/>
    <row r="48718" customFormat="1" x14ac:dyDescent="0.25"/>
    <row r="48719" customFormat="1" x14ac:dyDescent="0.25"/>
    <row r="48720" customFormat="1" x14ac:dyDescent="0.25"/>
    <row r="48721" customFormat="1" x14ac:dyDescent="0.25"/>
    <row r="48722" customFormat="1" x14ac:dyDescent="0.25"/>
    <row r="48723" customFormat="1" x14ac:dyDescent="0.25"/>
    <row r="48724" customFormat="1" x14ac:dyDescent="0.25"/>
    <row r="48725" customFormat="1" x14ac:dyDescent="0.25"/>
    <row r="48726" customFormat="1" x14ac:dyDescent="0.25"/>
    <row r="48727" customFormat="1" x14ac:dyDescent="0.25"/>
    <row r="48728" customFormat="1" x14ac:dyDescent="0.25"/>
    <row r="48729" customFormat="1" x14ac:dyDescent="0.25"/>
    <row r="48730" customFormat="1" x14ac:dyDescent="0.25"/>
    <row r="48731" customFormat="1" x14ac:dyDescent="0.25"/>
    <row r="48732" customFormat="1" x14ac:dyDescent="0.25"/>
    <row r="48733" customFormat="1" x14ac:dyDescent="0.25"/>
    <row r="48734" customFormat="1" x14ac:dyDescent="0.25"/>
    <row r="48735" customFormat="1" x14ac:dyDescent="0.25"/>
    <row r="48736" customFormat="1" x14ac:dyDescent="0.25"/>
    <row r="48737" customFormat="1" x14ac:dyDescent="0.25"/>
    <row r="48738" customFormat="1" x14ac:dyDescent="0.25"/>
    <row r="48739" customFormat="1" x14ac:dyDescent="0.25"/>
    <row r="48740" customFormat="1" x14ac:dyDescent="0.25"/>
    <row r="48741" customFormat="1" x14ac:dyDescent="0.25"/>
    <row r="48742" customFormat="1" x14ac:dyDescent="0.25"/>
    <row r="48743" customFormat="1" x14ac:dyDescent="0.25"/>
    <row r="48744" customFormat="1" x14ac:dyDescent="0.25"/>
    <row r="48745" customFormat="1" x14ac:dyDescent="0.25"/>
    <row r="48746" customFormat="1" x14ac:dyDescent="0.25"/>
    <row r="48747" customFormat="1" x14ac:dyDescent="0.25"/>
    <row r="48748" customFormat="1" x14ac:dyDescent="0.25"/>
    <row r="48749" customFormat="1" x14ac:dyDescent="0.25"/>
    <row r="48750" customFormat="1" x14ac:dyDescent="0.25"/>
    <row r="48751" customFormat="1" x14ac:dyDescent="0.25"/>
    <row r="48752" customFormat="1" x14ac:dyDescent="0.25"/>
    <row r="48753" customFormat="1" x14ac:dyDescent="0.25"/>
    <row r="48754" customFormat="1" x14ac:dyDescent="0.25"/>
    <row r="48755" customFormat="1" x14ac:dyDescent="0.25"/>
    <row r="48756" customFormat="1" x14ac:dyDescent="0.25"/>
    <row r="48757" customFormat="1" x14ac:dyDescent="0.25"/>
    <row r="48758" customFormat="1" x14ac:dyDescent="0.25"/>
    <row r="48759" customFormat="1" x14ac:dyDescent="0.25"/>
    <row r="48760" customFormat="1" x14ac:dyDescent="0.25"/>
    <row r="48761" customFormat="1" x14ac:dyDescent="0.25"/>
    <row r="48762" customFormat="1" x14ac:dyDescent="0.25"/>
    <row r="48763" customFormat="1" x14ac:dyDescent="0.25"/>
    <row r="48764" customFormat="1" x14ac:dyDescent="0.25"/>
    <row r="48765" customFormat="1" x14ac:dyDescent="0.25"/>
    <row r="48766" customFormat="1" x14ac:dyDescent="0.25"/>
    <row r="48767" customFormat="1" x14ac:dyDescent="0.25"/>
    <row r="48768" customFormat="1" x14ac:dyDescent="0.25"/>
    <row r="48769" customFormat="1" x14ac:dyDescent="0.25"/>
    <row r="48770" customFormat="1" x14ac:dyDescent="0.25"/>
    <row r="48771" customFormat="1" x14ac:dyDescent="0.25"/>
    <row r="48772" customFormat="1" x14ac:dyDescent="0.25"/>
    <row r="48773" customFormat="1" x14ac:dyDescent="0.25"/>
    <row r="48774" customFormat="1" x14ac:dyDescent="0.25"/>
    <row r="48775" customFormat="1" x14ac:dyDescent="0.25"/>
    <row r="48776" customFormat="1" x14ac:dyDescent="0.25"/>
    <row r="48777" customFormat="1" x14ac:dyDescent="0.25"/>
    <row r="48778" customFormat="1" x14ac:dyDescent="0.25"/>
    <row r="48779" customFormat="1" x14ac:dyDescent="0.25"/>
    <row r="48780" customFormat="1" x14ac:dyDescent="0.25"/>
    <row r="48781" customFormat="1" x14ac:dyDescent="0.25"/>
    <row r="48782" customFormat="1" x14ac:dyDescent="0.25"/>
    <row r="48783" customFormat="1" x14ac:dyDescent="0.25"/>
    <row r="48784" customFormat="1" x14ac:dyDescent="0.25"/>
    <row r="48785" customFormat="1" x14ac:dyDescent="0.25"/>
    <row r="48786" customFormat="1" x14ac:dyDescent="0.25"/>
    <row r="48787" customFormat="1" x14ac:dyDescent="0.25"/>
    <row r="48788" customFormat="1" x14ac:dyDescent="0.25"/>
    <row r="48789" customFormat="1" x14ac:dyDescent="0.25"/>
    <row r="48790" customFormat="1" x14ac:dyDescent="0.25"/>
    <row r="48791" customFormat="1" x14ac:dyDescent="0.25"/>
    <row r="48792" customFormat="1" x14ac:dyDescent="0.25"/>
    <row r="48793" customFormat="1" x14ac:dyDescent="0.25"/>
    <row r="48794" customFormat="1" x14ac:dyDescent="0.25"/>
    <row r="48795" customFormat="1" x14ac:dyDescent="0.25"/>
    <row r="48796" customFormat="1" x14ac:dyDescent="0.25"/>
    <row r="48797" customFormat="1" x14ac:dyDescent="0.25"/>
    <row r="48798" customFormat="1" x14ac:dyDescent="0.25"/>
    <row r="48799" customFormat="1" x14ac:dyDescent="0.25"/>
    <row r="48800" customFormat="1" x14ac:dyDescent="0.25"/>
    <row r="48801" customFormat="1" x14ac:dyDescent="0.25"/>
    <row r="48802" customFormat="1" x14ac:dyDescent="0.25"/>
    <row r="48803" customFormat="1" x14ac:dyDescent="0.25"/>
    <row r="48804" customFormat="1" x14ac:dyDescent="0.25"/>
    <row r="48805" customFormat="1" x14ac:dyDescent="0.25"/>
    <row r="48806" customFormat="1" x14ac:dyDescent="0.25"/>
    <row r="48807" customFormat="1" x14ac:dyDescent="0.25"/>
    <row r="48808" customFormat="1" x14ac:dyDescent="0.25"/>
    <row r="48809" customFormat="1" x14ac:dyDescent="0.25"/>
    <row r="48810" customFormat="1" x14ac:dyDescent="0.25"/>
    <row r="48811" customFormat="1" x14ac:dyDescent="0.25"/>
    <row r="48812" customFormat="1" x14ac:dyDescent="0.25"/>
    <row r="48813" customFormat="1" x14ac:dyDescent="0.25"/>
    <row r="48814" customFormat="1" x14ac:dyDescent="0.25"/>
    <row r="48815" customFormat="1" x14ac:dyDescent="0.25"/>
    <row r="48816" customFormat="1" x14ac:dyDescent="0.25"/>
    <row r="48817" customFormat="1" x14ac:dyDescent="0.25"/>
    <row r="48818" customFormat="1" x14ac:dyDescent="0.25"/>
    <row r="48819" customFormat="1" x14ac:dyDescent="0.25"/>
    <row r="48820" customFormat="1" x14ac:dyDescent="0.25"/>
    <row r="48821" customFormat="1" x14ac:dyDescent="0.25"/>
    <row r="48822" customFormat="1" x14ac:dyDescent="0.25"/>
    <row r="48823" customFormat="1" x14ac:dyDescent="0.25"/>
    <row r="48824" customFormat="1" x14ac:dyDescent="0.25"/>
    <row r="48825" customFormat="1" x14ac:dyDescent="0.25"/>
    <row r="48826" customFormat="1" x14ac:dyDescent="0.25"/>
    <row r="48827" customFormat="1" x14ac:dyDescent="0.25"/>
    <row r="48828" customFormat="1" x14ac:dyDescent="0.25"/>
    <row r="48829" customFormat="1" x14ac:dyDescent="0.25"/>
    <row r="48830" customFormat="1" x14ac:dyDescent="0.25"/>
    <row r="48831" customFormat="1" x14ac:dyDescent="0.25"/>
    <row r="48832" customFormat="1" x14ac:dyDescent="0.25"/>
    <row r="48833" customFormat="1" x14ac:dyDescent="0.25"/>
    <row r="48834" customFormat="1" x14ac:dyDescent="0.25"/>
    <row r="48835" customFormat="1" x14ac:dyDescent="0.25"/>
    <row r="48836" customFormat="1" x14ac:dyDescent="0.25"/>
    <row r="48837" customFormat="1" x14ac:dyDescent="0.25"/>
    <row r="48838" customFormat="1" x14ac:dyDescent="0.25"/>
    <row r="48839" customFormat="1" x14ac:dyDescent="0.25"/>
    <row r="48840" customFormat="1" x14ac:dyDescent="0.25"/>
    <row r="48841" customFormat="1" x14ac:dyDescent="0.25"/>
    <row r="48842" customFormat="1" x14ac:dyDescent="0.25"/>
    <row r="48843" customFormat="1" x14ac:dyDescent="0.25"/>
    <row r="48844" customFormat="1" x14ac:dyDescent="0.25"/>
    <row r="48845" customFormat="1" x14ac:dyDescent="0.25"/>
    <row r="48846" customFormat="1" x14ac:dyDescent="0.25"/>
    <row r="48847" customFormat="1" x14ac:dyDescent="0.25"/>
    <row r="48848" customFormat="1" x14ac:dyDescent="0.25"/>
    <row r="48849" customFormat="1" x14ac:dyDescent="0.25"/>
    <row r="48850" customFormat="1" x14ac:dyDescent="0.25"/>
    <row r="48851" customFormat="1" x14ac:dyDescent="0.25"/>
    <row r="48852" customFormat="1" x14ac:dyDescent="0.25"/>
    <row r="48853" customFormat="1" x14ac:dyDescent="0.25"/>
    <row r="48854" customFormat="1" x14ac:dyDescent="0.25"/>
    <row r="48855" customFormat="1" x14ac:dyDescent="0.25"/>
    <row r="48856" customFormat="1" x14ac:dyDescent="0.25"/>
    <row r="48857" customFormat="1" x14ac:dyDescent="0.25"/>
    <row r="48858" customFormat="1" x14ac:dyDescent="0.25"/>
    <row r="48859" customFormat="1" x14ac:dyDescent="0.25"/>
    <row r="48860" customFormat="1" x14ac:dyDescent="0.25"/>
    <row r="48861" customFormat="1" x14ac:dyDescent="0.25"/>
    <row r="48862" customFormat="1" x14ac:dyDescent="0.25"/>
    <row r="48863" customFormat="1" x14ac:dyDescent="0.25"/>
    <row r="48864" customFormat="1" x14ac:dyDescent="0.25"/>
    <row r="48865" customFormat="1" x14ac:dyDescent="0.25"/>
    <row r="48866" customFormat="1" x14ac:dyDescent="0.25"/>
    <row r="48867" customFormat="1" x14ac:dyDescent="0.25"/>
    <row r="48868" customFormat="1" x14ac:dyDescent="0.25"/>
    <row r="48869" customFormat="1" x14ac:dyDescent="0.25"/>
    <row r="48870" customFormat="1" x14ac:dyDescent="0.25"/>
    <row r="48871" customFormat="1" x14ac:dyDescent="0.25"/>
    <row r="48872" customFormat="1" x14ac:dyDescent="0.25"/>
    <row r="48873" customFormat="1" x14ac:dyDescent="0.25"/>
    <row r="48874" customFormat="1" x14ac:dyDescent="0.25"/>
    <row r="48875" customFormat="1" x14ac:dyDescent="0.25"/>
    <row r="48876" customFormat="1" x14ac:dyDescent="0.25"/>
    <row r="48877" customFormat="1" x14ac:dyDescent="0.25"/>
    <row r="48878" customFormat="1" x14ac:dyDescent="0.25"/>
    <row r="48879" customFormat="1" x14ac:dyDescent="0.25"/>
    <row r="48880" customFormat="1" x14ac:dyDescent="0.25"/>
    <row r="48881" customFormat="1" x14ac:dyDescent="0.25"/>
    <row r="48882" customFormat="1" x14ac:dyDescent="0.25"/>
    <row r="48883" customFormat="1" x14ac:dyDescent="0.25"/>
    <row r="48884" customFormat="1" x14ac:dyDescent="0.25"/>
    <row r="48885" customFormat="1" x14ac:dyDescent="0.25"/>
    <row r="48886" customFormat="1" x14ac:dyDescent="0.25"/>
    <row r="48887" customFormat="1" x14ac:dyDescent="0.25"/>
    <row r="48888" customFormat="1" x14ac:dyDescent="0.25"/>
    <row r="48889" customFormat="1" x14ac:dyDescent="0.25"/>
    <row r="48890" customFormat="1" x14ac:dyDescent="0.25"/>
    <row r="48891" customFormat="1" x14ac:dyDescent="0.25"/>
    <row r="48892" customFormat="1" x14ac:dyDescent="0.25"/>
    <row r="48893" customFormat="1" x14ac:dyDescent="0.25"/>
    <row r="48894" customFormat="1" x14ac:dyDescent="0.25"/>
    <row r="48895" customFormat="1" x14ac:dyDescent="0.25"/>
    <row r="48896" customFormat="1" x14ac:dyDescent="0.25"/>
    <row r="48897" customFormat="1" x14ac:dyDescent="0.25"/>
    <row r="48898" customFormat="1" x14ac:dyDescent="0.25"/>
    <row r="48899" customFormat="1" x14ac:dyDescent="0.25"/>
    <row r="48900" customFormat="1" x14ac:dyDescent="0.25"/>
    <row r="48901" customFormat="1" x14ac:dyDescent="0.25"/>
    <row r="48902" customFormat="1" x14ac:dyDescent="0.25"/>
    <row r="48903" customFormat="1" x14ac:dyDescent="0.25"/>
    <row r="48904" customFormat="1" x14ac:dyDescent="0.25"/>
    <row r="48905" customFormat="1" x14ac:dyDescent="0.25"/>
    <row r="48906" customFormat="1" x14ac:dyDescent="0.25"/>
    <row r="48907" customFormat="1" x14ac:dyDescent="0.25"/>
    <row r="48908" customFormat="1" x14ac:dyDescent="0.25"/>
    <row r="48909" customFormat="1" x14ac:dyDescent="0.25"/>
    <row r="48910" customFormat="1" x14ac:dyDescent="0.25"/>
    <row r="48911" customFormat="1" x14ac:dyDescent="0.25"/>
    <row r="48912" customFormat="1" x14ac:dyDescent="0.25"/>
    <row r="48913" customFormat="1" x14ac:dyDescent="0.25"/>
    <row r="48914" customFormat="1" x14ac:dyDescent="0.25"/>
    <row r="48915" customFormat="1" x14ac:dyDescent="0.25"/>
    <row r="48916" customFormat="1" x14ac:dyDescent="0.25"/>
    <row r="48917" customFormat="1" x14ac:dyDescent="0.25"/>
    <row r="48918" customFormat="1" x14ac:dyDescent="0.25"/>
    <row r="48919" customFormat="1" x14ac:dyDescent="0.25"/>
    <row r="48920" customFormat="1" x14ac:dyDescent="0.25"/>
    <row r="48921" customFormat="1" x14ac:dyDescent="0.25"/>
    <row r="48922" customFormat="1" x14ac:dyDescent="0.25"/>
    <row r="48923" customFormat="1" x14ac:dyDescent="0.25"/>
    <row r="48924" customFormat="1" x14ac:dyDescent="0.25"/>
    <row r="48925" customFormat="1" x14ac:dyDescent="0.25"/>
    <row r="48926" customFormat="1" x14ac:dyDescent="0.25"/>
    <row r="48927" customFormat="1" x14ac:dyDescent="0.25"/>
    <row r="48928" customFormat="1" x14ac:dyDescent="0.25"/>
    <row r="48929" customFormat="1" x14ac:dyDescent="0.25"/>
    <row r="48930" customFormat="1" x14ac:dyDescent="0.25"/>
    <row r="48931" customFormat="1" x14ac:dyDescent="0.25"/>
    <row r="48932" customFormat="1" x14ac:dyDescent="0.25"/>
    <row r="48933" customFormat="1" x14ac:dyDescent="0.25"/>
    <row r="48934" customFormat="1" x14ac:dyDescent="0.25"/>
    <row r="48935" customFormat="1" x14ac:dyDescent="0.25"/>
    <row r="48936" customFormat="1" x14ac:dyDescent="0.25"/>
    <row r="48937" customFormat="1" x14ac:dyDescent="0.25"/>
    <row r="48938" customFormat="1" x14ac:dyDescent="0.25"/>
    <row r="48939" customFormat="1" x14ac:dyDescent="0.25"/>
    <row r="48940" customFormat="1" x14ac:dyDescent="0.25"/>
    <row r="48941" customFormat="1" x14ac:dyDescent="0.25"/>
    <row r="48942" customFormat="1" x14ac:dyDescent="0.25"/>
    <row r="48943" customFormat="1" x14ac:dyDescent="0.25"/>
    <row r="48944" customFormat="1" x14ac:dyDescent="0.25"/>
    <row r="48945" customFormat="1" x14ac:dyDescent="0.25"/>
    <row r="48946" customFormat="1" x14ac:dyDescent="0.25"/>
    <row r="48947" customFormat="1" x14ac:dyDescent="0.25"/>
    <row r="48948" customFormat="1" x14ac:dyDescent="0.25"/>
    <row r="48949" customFormat="1" x14ac:dyDescent="0.25"/>
    <row r="48950" customFormat="1" x14ac:dyDescent="0.25"/>
    <row r="48951" customFormat="1" x14ac:dyDescent="0.25"/>
    <row r="48952" customFormat="1" x14ac:dyDescent="0.25"/>
    <row r="48953" customFormat="1" x14ac:dyDescent="0.25"/>
    <row r="48954" customFormat="1" x14ac:dyDescent="0.25"/>
    <row r="48955" customFormat="1" x14ac:dyDescent="0.25"/>
    <row r="48956" customFormat="1" x14ac:dyDescent="0.25"/>
    <row r="48957" customFormat="1" x14ac:dyDescent="0.25"/>
    <row r="48958" customFormat="1" x14ac:dyDescent="0.25"/>
    <row r="48959" customFormat="1" x14ac:dyDescent="0.25"/>
    <row r="48960" customFormat="1" x14ac:dyDescent="0.25"/>
    <row r="48961" customFormat="1" x14ac:dyDescent="0.25"/>
    <row r="48962" customFormat="1" x14ac:dyDescent="0.25"/>
    <row r="48963" customFormat="1" x14ac:dyDescent="0.25"/>
    <row r="48964" customFormat="1" x14ac:dyDescent="0.25"/>
    <row r="48965" customFormat="1" x14ac:dyDescent="0.25"/>
    <row r="48966" customFormat="1" x14ac:dyDescent="0.25"/>
    <row r="48967" customFormat="1" x14ac:dyDescent="0.25"/>
    <row r="48968" customFormat="1" x14ac:dyDescent="0.25"/>
    <row r="48969" customFormat="1" x14ac:dyDescent="0.25"/>
    <row r="48970" customFormat="1" x14ac:dyDescent="0.25"/>
    <row r="48971" customFormat="1" x14ac:dyDescent="0.25"/>
    <row r="48972" customFormat="1" x14ac:dyDescent="0.25"/>
    <row r="48973" customFormat="1" x14ac:dyDescent="0.25"/>
    <row r="48974" customFormat="1" x14ac:dyDescent="0.25"/>
    <row r="48975" customFormat="1" x14ac:dyDescent="0.25"/>
    <row r="48976" customFormat="1" x14ac:dyDescent="0.25"/>
    <row r="48977" customFormat="1" x14ac:dyDescent="0.25"/>
    <row r="48978" customFormat="1" x14ac:dyDescent="0.25"/>
    <row r="48979" customFormat="1" x14ac:dyDescent="0.25"/>
    <row r="48980" customFormat="1" x14ac:dyDescent="0.25"/>
    <row r="48981" customFormat="1" x14ac:dyDescent="0.25"/>
    <row r="48982" customFormat="1" x14ac:dyDescent="0.25"/>
    <row r="48983" customFormat="1" x14ac:dyDescent="0.25"/>
    <row r="48984" customFormat="1" x14ac:dyDescent="0.25"/>
    <row r="48985" customFormat="1" x14ac:dyDescent="0.25"/>
    <row r="48986" customFormat="1" x14ac:dyDescent="0.25"/>
    <row r="48987" customFormat="1" x14ac:dyDescent="0.25"/>
    <row r="48988" customFormat="1" x14ac:dyDescent="0.25"/>
    <row r="48989" customFormat="1" x14ac:dyDescent="0.25"/>
    <row r="48990" customFormat="1" x14ac:dyDescent="0.25"/>
    <row r="48991" customFormat="1" x14ac:dyDescent="0.25"/>
    <row r="48992" customFormat="1" x14ac:dyDescent="0.25"/>
    <row r="48993" customFormat="1" x14ac:dyDescent="0.25"/>
    <row r="48994" customFormat="1" x14ac:dyDescent="0.25"/>
    <row r="48995" customFormat="1" x14ac:dyDescent="0.25"/>
    <row r="48996" customFormat="1" x14ac:dyDescent="0.25"/>
    <row r="48997" customFormat="1" x14ac:dyDescent="0.25"/>
    <row r="48998" customFormat="1" x14ac:dyDescent="0.25"/>
    <row r="48999" customFormat="1" x14ac:dyDescent="0.25"/>
    <row r="49000" customFormat="1" x14ac:dyDescent="0.25"/>
    <row r="49001" customFormat="1" x14ac:dyDescent="0.25"/>
    <row r="49002" customFormat="1" x14ac:dyDescent="0.25"/>
    <row r="49003" customFormat="1" x14ac:dyDescent="0.25"/>
    <row r="49004" customFormat="1" x14ac:dyDescent="0.25"/>
    <row r="49005" customFormat="1" x14ac:dyDescent="0.25"/>
    <row r="49006" customFormat="1" x14ac:dyDescent="0.25"/>
    <row r="49007" customFormat="1" x14ac:dyDescent="0.25"/>
    <row r="49008" customFormat="1" x14ac:dyDescent="0.25"/>
    <row r="49009" customFormat="1" x14ac:dyDescent="0.25"/>
    <row r="49010" customFormat="1" x14ac:dyDescent="0.25"/>
    <row r="49011" customFormat="1" x14ac:dyDescent="0.25"/>
    <row r="49012" customFormat="1" x14ac:dyDescent="0.25"/>
    <row r="49013" customFormat="1" x14ac:dyDescent="0.25"/>
    <row r="49014" customFormat="1" x14ac:dyDescent="0.25"/>
    <row r="49015" customFormat="1" x14ac:dyDescent="0.25"/>
    <row r="49016" customFormat="1" x14ac:dyDescent="0.25"/>
    <row r="49017" customFormat="1" x14ac:dyDescent="0.25"/>
    <row r="49018" customFormat="1" x14ac:dyDescent="0.25"/>
    <row r="49019" customFormat="1" x14ac:dyDescent="0.25"/>
    <row r="49020" customFormat="1" x14ac:dyDescent="0.25"/>
    <row r="49021" customFormat="1" x14ac:dyDescent="0.25"/>
    <row r="49022" customFormat="1" x14ac:dyDescent="0.25"/>
    <row r="49023" customFormat="1" x14ac:dyDescent="0.25"/>
    <row r="49024" customFormat="1" x14ac:dyDescent="0.25"/>
    <row r="49025" customFormat="1" x14ac:dyDescent="0.25"/>
    <row r="49026" customFormat="1" x14ac:dyDescent="0.25"/>
    <row r="49027" customFormat="1" x14ac:dyDescent="0.25"/>
    <row r="49028" customFormat="1" x14ac:dyDescent="0.25"/>
    <row r="49029" customFormat="1" x14ac:dyDescent="0.25"/>
    <row r="49030" customFormat="1" x14ac:dyDescent="0.25"/>
    <row r="49031" customFormat="1" x14ac:dyDescent="0.25"/>
    <row r="49032" customFormat="1" x14ac:dyDescent="0.25"/>
    <row r="49033" customFormat="1" x14ac:dyDescent="0.25"/>
    <row r="49034" customFormat="1" x14ac:dyDescent="0.25"/>
    <row r="49035" customFormat="1" x14ac:dyDescent="0.25"/>
    <row r="49036" customFormat="1" x14ac:dyDescent="0.25"/>
    <row r="49037" customFormat="1" x14ac:dyDescent="0.25"/>
    <row r="49038" customFormat="1" x14ac:dyDescent="0.25"/>
    <row r="49039" customFormat="1" x14ac:dyDescent="0.25"/>
    <row r="49040" customFormat="1" x14ac:dyDescent="0.25"/>
    <row r="49041" customFormat="1" x14ac:dyDescent="0.25"/>
    <row r="49042" customFormat="1" x14ac:dyDescent="0.25"/>
    <row r="49043" customFormat="1" x14ac:dyDescent="0.25"/>
    <row r="49044" customFormat="1" x14ac:dyDescent="0.25"/>
    <row r="49045" customFormat="1" x14ac:dyDescent="0.25"/>
    <row r="49046" customFormat="1" x14ac:dyDescent="0.25"/>
    <row r="49047" customFormat="1" x14ac:dyDescent="0.25"/>
    <row r="49048" customFormat="1" x14ac:dyDescent="0.25"/>
    <row r="49049" customFormat="1" x14ac:dyDescent="0.25"/>
    <row r="49050" customFormat="1" x14ac:dyDescent="0.25"/>
    <row r="49051" customFormat="1" x14ac:dyDescent="0.25"/>
    <row r="49052" customFormat="1" x14ac:dyDescent="0.25"/>
    <row r="49053" customFormat="1" x14ac:dyDescent="0.25"/>
    <row r="49054" customFormat="1" x14ac:dyDescent="0.25"/>
    <row r="49055" customFormat="1" x14ac:dyDescent="0.25"/>
    <row r="49056" customFormat="1" x14ac:dyDescent="0.25"/>
    <row r="49057" customFormat="1" x14ac:dyDescent="0.25"/>
    <row r="49058" customFormat="1" x14ac:dyDescent="0.25"/>
    <row r="49059" customFormat="1" x14ac:dyDescent="0.25"/>
    <row r="49060" customFormat="1" x14ac:dyDescent="0.25"/>
    <row r="49061" customFormat="1" x14ac:dyDescent="0.25"/>
    <row r="49062" customFormat="1" x14ac:dyDescent="0.25"/>
    <row r="49063" customFormat="1" x14ac:dyDescent="0.25"/>
    <row r="49064" customFormat="1" x14ac:dyDescent="0.25"/>
    <row r="49065" customFormat="1" x14ac:dyDescent="0.25"/>
    <row r="49066" customFormat="1" x14ac:dyDescent="0.25"/>
    <row r="49067" customFormat="1" x14ac:dyDescent="0.25"/>
    <row r="49068" customFormat="1" x14ac:dyDescent="0.25"/>
    <row r="49069" customFormat="1" x14ac:dyDescent="0.25"/>
    <row r="49070" customFormat="1" x14ac:dyDescent="0.25"/>
    <row r="49071" customFormat="1" x14ac:dyDescent="0.25"/>
    <row r="49072" customFormat="1" x14ac:dyDescent="0.25"/>
    <row r="49073" customFormat="1" x14ac:dyDescent="0.25"/>
    <row r="49074" customFormat="1" x14ac:dyDescent="0.25"/>
    <row r="49075" customFormat="1" x14ac:dyDescent="0.25"/>
    <row r="49076" customFormat="1" x14ac:dyDescent="0.25"/>
    <row r="49077" customFormat="1" x14ac:dyDescent="0.25"/>
    <row r="49078" customFormat="1" x14ac:dyDescent="0.25"/>
    <row r="49079" customFormat="1" x14ac:dyDescent="0.25"/>
    <row r="49080" customFormat="1" x14ac:dyDescent="0.25"/>
    <row r="49081" customFormat="1" x14ac:dyDescent="0.25"/>
    <row r="49082" customFormat="1" x14ac:dyDescent="0.25"/>
    <row r="49083" customFormat="1" x14ac:dyDescent="0.25"/>
    <row r="49084" customFormat="1" x14ac:dyDescent="0.25"/>
    <row r="49085" customFormat="1" x14ac:dyDescent="0.25"/>
    <row r="49086" customFormat="1" x14ac:dyDescent="0.25"/>
    <row r="49087" customFormat="1" x14ac:dyDescent="0.25"/>
    <row r="49088" customFormat="1" x14ac:dyDescent="0.25"/>
    <row r="49089" customFormat="1" x14ac:dyDescent="0.25"/>
    <row r="49090" customFormat="1" x14ac:dyDescent="0.25"/>
    <row r="49091" customFormat="1" x14ac:dyDescent="0.25"/>
    <row r="49092" customFormat="1" x14ac:dyDescent="0.25"/>
    <row r="49093" customFormat="1" x14ac:dyDescent="0.25"/>
    <row r="49094" customFormat="1" x14ac:dyDescent="0.25"/>
    <row r="49095" customFormat="1" x14ac:dyDescent="0.25"/>
    <row r="49096" customFormat="1" x14ac:dyDescent="0.25"/>
    <row r="49097" customFormat="1" x14ac:dyDescent="0.25"/>
    <row r="49098" customFormat="1" x14ac:dyDescent="0.25"/>
    <row r="49099" customFormat="1" x14ac:dyDescent="0.25"/>
    <row r="49100" customFormat="1" x14ac:dyDescent="0.25"/>
    <row r="49101" customFormat="1" x14ac:dyDescent="0.25"/>
    <row r="49102" customFormat="1" x14ac:dyDescent="0.25"/>
    <row r="49103" customFormat="1" x14ac:dyDescent="0.25"/>
    <row r="49104" customFormat="1" x14ac:dyDescent="0.25"/>
    <row r="49105" customFormat="1" x14ac:dyDescent="0.25"/>
    <row r="49106" customFormat="1" x14ac:dyDescent="0.25"/>
    <row r="49107" customFormat="1" x14ac:dyDescent="0.25"/>
    <row r="49108" customFormat="1" x14ac:dyDescent="0.25"/>
    <row r="49109" customFormat="1" x14ac:dyDescent="0.25"/>
    <row r="49110" customFormat="1" x14ac:dyDescent="0.25"/>
    <row r="49111" customFormat="1" x14ac:dyDescent="0.25"/>
    <row r="49112" customFormat="1" x14ac:dyDescent="0.25"/>
    <row r="49113" customFormat="1" x14ac:dyDescent="0.25"/>
    <row r="49114" customFormat="1" x14ac:dyDescent="0.25"/>
    <row r="49115" customFormat="1" x14ac:dyDescent="0.25"/>
    <row r="49116" customFormat="1" x14ac:dyDescent="0.25"/>
    <row r="49117" customFormat="1" x14ac:dyDescent="0.25"/>
    <row r="49118" customFormat="1" x14ac:dyDescent="0.25"/>
    <row r="49119" customFormat="1" x14ac:dyDescent="0.25"/>
    <row r="49120" customFormat="1" x14ac:dyDescent="0.25"/>
    <row r="49121" customFormat="1" x14ac:dyDescent="0.25"/>
    <row r="49122" customFormat="1" x14ac:dyDescent="0.25"/>
    <row r="49123" customFormat="1" x14ac:dyDescent="0.25"/>
    <row r="49124" customFormat="1" x14ac:dyDescent="0.25"/>
    <row r="49125" customFormat="1" x14ac:dyDescent="0.25"/>
    <row r="49126" customFormat="1" x14ac:dyDescent="0.25"/>
    <row r="49127" customFormat="1" x14ac:dyDescent="0.25"/>
    <row r="49128" customFormat="1" x14ac:dyDescent="0.25"/>
    <row r="49129" customFormat="1" x14ac:dyDescent="0.25"/>
    <row r="49130" customFormat="1" x14ac:dyDescent="0.25"/>
    <row r="49131" customFormat="1" x14ac:dyDescent="0.25"/>
    <row r="49132" customFormat="1" x14ac:dyDescent="0.25"/>
    <row r="49133" customFormat="1" x14ac:dyDescent="0.25"/>
    <row r="49134" customFormat="1" x14ac:dyDescent="0.25"/>
    <row r="49135" customFormat="1" x14ac:dyDescent="0.25"/>
    <row r="49136" customFormat="1" x14ac:dyDescent="0.25"/>
    <row r="49137" customFormat="1" x14ac:dyDescent="0.25"/>
    <row r="49138" customFormat="1" x14ac:dyDescent="0.25"/>
    <row r="49139" customFormat="1" x14ac:dyDescent="0.25"/>
    <row r="49140" customFormat="1" x14ac:dyDescent="0.25"/>
    <row r="49141" customFormat="1" x14ac:dyDescent="0.25"/>
    <row r="49142" customFormat="1" x14ac:dyDescent="0.25"/>
    <row r="49143" customFormat="1" x14ac:dyDescent="0.25"/>
    <row r="49144" customFormat="1" x14ac:dyDescent="0.25"/>
    <row r="49145" customFormat="1" x14ac:dyDescent="0.25"/>
    <row r="49146" customFormat="1" x14ac:dyDescent="0.25"/>
    <row r="49147" customFormat="1" x14ac:dyDescent="0.25"/>
    <row r="49148" customFormat="1" x14ac:dyDescent="0.25"/>
    <row r="49149" customFormat="1" x14ac:dyDescent="0.25"/>
    <row r="49150" customFormat="1" x14ac:dyDescent="0.25"/>
    <row r="49151" customFormat="1" x14ac:dyDescent="0.25"/>
    <row r="49152" customFormat="1" x14ac:dyDescent="0.25"/>
    <row r="49153" customFormat="1" x14ac:dyDescent="0.25"/>
    <row r="49154" customFormat="1" x14ac:dyDescent="0.25"/>
    <row r="49155" customFormat="1" x14ac:dyDescent="0.25"/>
    <row r="49156" customFormat="1" x14ac:dyDescent="0.25"/>
    <row r="49157" customFormat="1" x14ac:dyDescent="0.25"/>
    <row r="49158" customFormat="1" x14ac:dyDescent="0.25"/>
    <row r="49159" customFormat="1" x14ac:dyDescent="0.25"/>
    <row r="49160" customFormat="1" x14ac:dyDescent="0.25"/>
    <row r="49161" customFormat="1" x14ac:dyDescent="0.25"/>
    <row r="49162" customFormat="1" x14ac:dyDescent="0.25"/>
    <row r="49163" customFormat="1" x14ac:dyDescent="0.25"/>
    <row r="49164" customFormat="1" x14ac:dyDescent="0.25"/>
    <row r="49165" customFormat="1" x14ac:dyDescent="0.25"/>
    <row r="49166" customFormat="1" x14ac:dyDescent="0.25"/>
    <row r="49167" customFormat="1" x14ac:dyDescent="0.25"/>
    <row r="49168" customFormat="1" x14ac:dyDescent="0.25"/>
    <row r="49169" customFormat="1" x14ac:dyDescent="0.25"/>
    <row r="49170" customFormat="1" x14ac:dyDescent="0.25"/>
    <row r="49171" customFormat="1" x14ac:dyDescent="0.25"/>
    <row r="49172" customFormat="1" x14ac:dyDescent="0.25"/>
    <row r="49173" customFormat="1" x14ac:dyDescent="0.25"/>
    <row r="49174" customFormat="1" x14ac:dyDescent="0.25"/>
    <row r="49175" customFormat="1" x14ac:dyDescent="0.25"/>
    <row r="49176" customFormat="1" x14ac:dyDescent="0.25"/>
    <row r="49177" customFormat="1" x14ac:dyDescent="0.25"/>
    <row r="49178" customFormat="1" x14ac:dyDescent="0.25"/>
    <row r="49179" customFormat="1" x14ac:dyDescent="0.25"/>
    <row r="49180" customFormat="1" x14ac:dyDescent="0.25"/>
    <row r="49181" customFormat="1" x14ac:dyDescent="0.25"/>
    <row r="49182" customFormat="1" x14ac:dyDescent="0.25"/>
    <row r="49183" customFormat="1" x14ac:dyDescent="0.25"/>
    <row r="49184" customFormat="1" x14ac:dyDescent="0.25"/>
    <row r="49185" customFormat="1" x14ac:dyDescent="0.25"/>
    <row r="49186" customFormat="1" x14ac:dyDescent="0.25"/>
    <row r="49187" customFormat="1" x14ac:dyDescent="0.25"/>
    <row r="49188" customFormat="1" x14ac:dyDescent="0.25"/>
    <row r="49189" customFormat="1" x14ac:dyDescent="0.25"/>
    <row r="49190" customFormat="1" x14ac:dyDescent="0.25"/>
    <row r="49191" customFormat="1" x14ac:dyDescent="0.25"/>
    <row r="49192" customFormat="1" x14ac:dyDescent="0.25"/>
    <row r="49193" customFormat="1" x14ac:dyDescent="0.25"/>
    <row r="49194" customFormat="1" x14ac:dyDescent="0.25"/>
    <row r="49195" customFormat="1" x14ac:dyDescent="0.25"/>
    <row r="49196" customFormat="1" x14ac:dyDescent="0.25"/>
    <row r="49197" customFormat="1" x14ac:dyDescent="0.25"/>
    <row r="49198" customFormat="1" x14ac:dyDescent="0.25"/>
    <row r="49199" customFormat="1" x14ac:dyDescent="0.25"/>
    <row r="49200" customFormat="1" x14ac:dyDescent="0.25"/>
    <row r="49201" customFormat="1" x14ac:dyDescent="0.25"/>
    <row r="49202" customFormat="1" x14ac:dyDescent="0.25"/>
    <row r="49203" customFormat="1" x14ac:dyDescent="0.25"/>
    <row r="49204" customFormat="1" x14ac:dyDescent="0.25"/>
    <row r="49205" customFormat="1" x14ac:dyDescent="0.25"/>
    <row r="49206" customFormat="1" x14ac:dyDescent="0.25"/>
    <row r="49207" customFormat="1" x14ac:dyDescent="0.25"/>
    <row r="49208" customFormat="1" x14ac:dyDescent="0.25"/>
    <row r="49209" customFormat="1" x14ac:dyDescent="0.25"/>
    <row r="49210" customFormat="1" x14ac:dyDescent="0.25"/>
    <row r="49211" customFormat="1" x14ac:dyDescent="0.25"/>
    <row r="49212" customFormat="1" x14ac:dyDescent="0.25"/>
    <row r="49213" customFormat="1" x14ac:dyDescent="0.25"/>
    <row r="49214" customFormat="1" x14ac:dyDescent="0.25"/>
    <row r="49215" customFormat="1" x14ac:dyDescent="0.25"/>
    <row r="49216" customFormat="1" x14ac:dyDescent="0.25"/>
    <row r="49217" customFormat="1" x14ac:dyDescent="0.25"/>
    <row r="49218" customFormat="1" x14ac:dyDescent="0.25"/>
    <row r="49219" customFormat="1" x14ac:dyDescent="0.25"/>
    <row r="49220" customFormat="1" x14ac:dyDescent="0.25"/>
    <row r="49221" customFormat="1" x14ac:dyDescent="0.25"/>
    <row r="49222" customFormat="1" x14ac:dyDescent="0.25"/>
    <row r="49223" customFormat="1" x14ac:dyDescent="0.25"/>
    <row r="49224" customFormat="1" x14ac:dyDescent="0.25"/>
    <row r="49225" customFormat="1" x14ac:dyDescent="0.25"/>
    <row r="49226" customFormat="1" x14ac:dyDescent="0.25"/>
    <row r="49227" customFormat="1" x14ac:dyDescent="0.25"/>
    <row r="49228" customFormat="1" x14ac:dyDescent="0.25"/>
    <row r="49229" customFormat="1" x14ac:dyDescent="0.25"/>
    <row r="49230" customFormat="1" x14ac:dyDescent="0.25"/>
    <row r="49231" customFormat="1" x14ac:dyDescent="0.25"/>
    <row r="49232" customFormat="1" x14ac:dyDescent="0.25"/>
    <row r="49233" customFormat="1" x14ac:dyDescent="0.25"/>
    <row r="49234" customFormat="1" x14ac:dyDescent="0.25"/>
    <row r="49235" customFormat="1" x14ac:dyDescent="0.25"/>
    <row r="49236" customFormat="1" x14ac:dyDescent="0.25"/>
    <row r="49237" customFormat="1" x14ac:dyDescent="0.25"/>
    <row r="49238" customFormat="1" x14ac:dyDescent="0.25"/>
    <row r="49239" customFormat="1" x14ac:dyDescent="0.25"/>
    <row r="49240" customFormat="1" x14ac:dyDescent="0.25"/>
    <row r="49241" customFormat="1" x14ac:dyDescent="0.25"/>
    <row r="49242" customFormat="1" x14ac:dyDescent="0.25"/>
    <row r="49243" customFormat="1" x14ac:dyDescent="0.25"/>
    <row r="49244" customFormat="1" x14ac:dyDescent="0.25"/>
    <row r="49245" customFormat="1" x14ac:dyDescent="0.25"/>
    <row r="49246" customFormat="1" x14ac:dyDescent="0.25"/>
    <row r="49247" customFormat="1" x14ac:dyDescent="0.25"/>
    <row r="49248" customFormat="1" x14ac:dyDescent="0.25"/>
    <row r="49249" customFormat="1" x14ac:dyDescent="0.25"/>
    <row r="49250" customFormat="1" x14ac:dyDescent="0.25"/>
    <row r="49251" customFormat="1" x14ac:dyDescent="0.25"/>
    <row r="49252" customFormat="1" x14ac:dyDescent="0.25"/>
    <row r="49253" customFormat="1" x14ac:dyDescent="0.25"/>
    <row r="49254" customFormat="1" x14ac:dyDescent="0.25"/>
    <row r="49255" customFormat="1" x14ac:dyDescent="0.25"/>
    <row r="49256" customFormat="1" x14ac:dyDescent="0.25"/>
    <row r="49257" customFormat="1" x14ac:dyDescent="0.25"/>
    <row r="49258" customFormat="1" x14ac:dyDescent="0.25"/>
    <row r="49259" customFormat="1" x14ac:dyDescent="0.25"/>
    <row r="49260" customFormat="1" x14ac:dyDescent="0.25"/>
    <row r="49261" customFormat="1" x14ac:dyDescent="0.25"/>
    <row r="49262" customFormat="1" x14ac:dyDescent="0.25"/>
    <row r="49263" customFormat="1" x14ac:dyDescent="0.25"/>
    <row r="49264" customFormat="1" x14ac:dyDescent="0.25"/>
    <row r="49265" customFormat="1" x14ac:dyDescent="0.25"/>
    <row r="49266" customFormat="1" x14ac:dyDescent="0.25"/>
    <row r="49267" customFormat="1" x14ac:dyDescent="0.25"/>
    <row r="49268" customFormat="1" x14ac:dyDescent="0.25"/>
    <row r="49269" customFormat="1" x14ac:dyDescent="0.25"/>
    <row r="49270" customFormat="1" x14ac:dyDescent="0.25"/>
    <row r="49271" customFormat="1" x14ac:dyDescent="0.25"/>
    <row r="49272" customFormat="1" x14ac:dyDescent="0.25"/>
    <row r="49273" customFormat="1" x14ac:dyDescent="0.25"/>
    <row r="49274" customFormat="1" x14ac:dyDescent="0.25"/>
    <row r="49275" customFormat="1" x14ac:dyDescent="0.25"/>
    <row r="49276" customFormat="1" x14ac:dyDescent="0.25"/>
    <row r="49277" customFormat="1" x14ac:dyDescent="0.25"/>
    <row r="49278" customFormat="1" x14ac:dyDescent="0.25"/>
    <row r="49279" customFormat="1" x14ac:dyDescent="0.25"/>
    <row r="49280" customFormat="1" x14ac:dyDescent="0.25"/>
    <row r="49281" customFormat="1" x14ac:dyDescent="0.25"/>
    <row r="49282" customFormat="1" x14ac:dyDescent="0.25"/>
    <row r="49283" customFormat="1" x14ac:dyDescent="0.25"/>
    <row r="49284" customFormat="1" x14ac:dyDescent="0.25"/>
    <row r="49285" customFormat="1" x14ac:dyDescent="0.25"/>
    <row r="49286" customFormat="1" x14ac:dyDescent="0.25"/>
    <row r="49287" customFormat="1" x14ac:dyDescent="0.25"/>
    <row r="49288" customFormat="1" x14ac:dyDescent="0.25"/>
    <row r="49289" customFormat="1" x14ac:dyDescent="0.25"/>
    <row r="49290" customFormat="1" x14ac:dyDescent="0.25"/>
    <row r="49291" customFormat="1" x14ac:dyDescent="0.25"/>
    <row r="49292" customFormat="1" x14ac:dyDescent="0.25"/>
    <row r="49293" customFormat="1" x14ac:dyDescent="0.25"/>
    <row r="49294" customFormat="1" x14ac:dyDescent="0.25"/>
    <row r="49295" customFormat="1" x14ac:dyDescent="0.25"/>
    <row r="49296" customFormat="1" x14ac:dyDescent="0.25"/>
    <row r="49297" customFormat="1" x14ac:dyDescent="0.25"/>
    <row r="49298" customFormat="1" x14ac:dyDescent="0.25"/>
    <row r="49299" customFormat="1" x14ac:dyDescent="0.25"/>
    <row r="49300" customFormat="1" x14ac:dyDescent="0.25"/>
    <row r="49301" customFormat="1" x14ac:dyDescent="0.25"/>
    <row r="49302" customFormat="1" x14ac:dyDescent="0.25"/>
    <row r="49303" customFormat="1" x14ac:dyDescent="0.25"/>
    <row r="49304" customFormat="1" x14ac:dyDescent="0.25"/>
    <row r="49305" customFormat="1" x14ac:dyDescent="0.25"/>
    <row r="49306" customFormat="1" x14ac:dyDescent="0.25"/>
    <row r="49307" customFormat="1" x14ac:dyDescent="0.25"/>
    <row r="49308" customFormat="1" x14ac:dyDescent="0.25"/>
    <row r="49309" customFormat="1" x14ac:dyDescent="0.25"/>
    <row r="49310" customFormat="1" x14ac:dyDescent="0.25"/>
    <row r="49311" customFormat="1" x14ac:dyDescent="0.25"/>
    <row r="49312" customFormat="1" x14ac:dyDescent="0.25"/>
    <row r="49313" customFormat="1" x14ac:dyDescent="0.25"/>
    <row r="49314" customFormat="1" x14ac:dyDescent="0.25"/>
    <row r="49315" customFormat="1" x14ac:dyDescent="0.25"/>
    <row r="49316" customFormat="1" x14ac:dyDescent="0.25"/>
    <row r="49317" customFormat="1" x14ac:dyDescent="0.25"/>
    <row r="49318" customFormat="1" x14ac:dyDescent="0.25"/>
    <row r="49319" customFormat="1" x14ac:dyDescent="0.25"/>
    <row r="49320" customFormat="1" x14ac:dyDescent="0.25"/>
    <row r="49321" customFormat="1" x14ac:dyDescent="0.25"/>
    <row r="49322" customFormat="1" x14ac:dyDescent="0.25"/>
    <row r="49323" customFormat="1" x14ac:dyDescent="0.25"/>
    <row r="49324" customFormat="1" x14ac:dyDescent="0.25"/>
    <row r="49325" customFormat="1" x14ac:dyDescent="0.25"/>
    <row r="49326" customFormat="1" x14ac:dyDescent="0.25"/>
    <row r="49327" customFormat="1" x14ac:dyDescent="0.25"/>
    <row r="49328" customFormat="1" x14ac:dyDescent="0.25"/>
    <row r="49329" customFormat="1" x14ac:dyDescent="0.25"/>
    <row r="49330" customFormat="1" x14ac:dyDescent="0.25"/>
    <row r="49331" customFormat="1" x14ac:dyDescent="0.25"/>
    <row r="49332" customFormat="1" x14ac:dyDescent="0.25"/>
    <row r="49333" customFormat="1" x14ac:dyDescent="0.25"/>
    <row r="49334" customFormat="1" x14ac:dyDescent="0.25"/>
    <row r="49335" customFormat="1" x14ac:dyDescent="0.25"/>
    <row r="49336" customFormat="1" x14ac:dyDescent="0.25"/>
    <row r="49337" customFormat="1" x14ac:dyDescent="0.25"/>
    <row r="49338" customFormat="1" x14ac:dyDescent="0.25"/>
    <row r="49339" customFormat="1" x14ac:dyDescent="0.25"/>
    <row r="49340" customFormat="1" x14ac:dyDescent="0.25"/>
    <row r="49341" customFormat="1" x14ac:dyDescent="0.25"/>
    <row r="49342" customFormat="1" x14ac:dyDescent="0.25"/>
    <row r="49343" customFormat="1" x14ac:dyDescent="0.25"/>
    <row r="49344" customFormat="1" x14ac:dyDescent="0.25"/>
    <row r="49345" customFormat="1" x14ac:dyDescent="0.25"/>
    <row r="49346" customFormat="1" x14ac:dyDescent="0.25"/>
    <row r="49347" customFormat="1" x14ac:dyDescent="0.25"/>
    <row r="49348" customFormat="1" x14ac:dyDescent="0.25"/>
    <row r="49349" customFormat="1" x14ac:dyDescent="0.25"/>
    <row r="49350" customFormat="1" x14ac:dyDescent="0.25"/>
    <row r="49351" customFormat="1" x14ac:dyDescent="0.25"/>
    <row r="49352" customFormat="1" x14ac:dyDescent="0.25"/>
    <row r="49353" customFormat="1" x14ac:dyDescent="0.25"/>
    <row r="49354" customFormat="1" x14ac:dyDescent="0.25"/>
    <row r="49355" customFormat="1" x14ac:dyDescent="0.25"/>
    <row r="49356" customFormat="1" x14ac:dyDescent="0.25"/>
    <row r="49357" customFormat="1" x14ac:dyDescent="0.25"/>
    <row r="49358" customFormat="1" x14ac:dyDescent="0.25"/>
    <row r="49359" customFormat="1" x14ac:dyDescent="0.25"/>
    <row r="49360" customFormat="1" x14ac:dyDescent="0.25"/>
    <row r="49361" customFormat="1" x14ac:dyDescent="0.25"/>
    <row r="49362" customFormat="1" x14ac:dyDescent="0.25"/>
    <row r="49363" customFormat="1" x14ac:dyDescent="0.25"/>
    <row r="49364" customFormat="1" x14ac:dyDescent="0.25"/>
    <row r="49365" customFormat="1" x14ac:dyDescent="0.25"/>
    <row r="49366" customFormat="1" x14ac:dyDescent="0.25"/>
    <row r="49367" customFormat="1" x14ac:dyDescent="0.25"/>
    <row r="49368" customFormat="1" x14ac:dyDescent="0.25"/>
    <row r="49369" customFormat="1" x14ac:dyDescent="0.25"/>
    <row r="49370" customFormat="1" x14ac:dyDescent="0.25"/>
    <row r="49371" customFormat="1" x14ac:dyDescent="0.25"/>
    <row r="49372" customFormat="1" x14ac:dyDescent="0.25"/>
    <row r="49373" customFormat="1" x14ac:dyDescent="0.25"/>
    <row r="49374" customFormat="1" x14ac:dyDescent="0.25"/>
    <row r="49375" customFormat="1" x14ac:dyDescent="0.25"/>
    <row r="49376" customFormat="1" x14ac:dyDescent="0.25"/>
    <row r="49377" customFormat="1" x14ac:dyDescent="0.25"/>
    <row r="49378" customFormat="1" x14ac:dyDescent="0.25"/>
    <row r="49379" customFormat="1" x14ac:dyDescent="0.25"/>
    <row r="49380" customFormat="1" x14ac:dyDescent="0.25"/>
    <row r="49381" customFormat="1" x14ac:dyDescent="0.25"/>
    <row r="49382" customFormat="1" x14ac:dyDescent="0.25"/>
    <row r="49383" customFormat="1" x14ac:dyDescent="0.25"/>
    <row r="49384" customFormat="1" x14ac:dyDescent="0.25"/>
    <row r="49385" customFormat="1" x14ac:dyDescent="0.25"/>
    <row r="49386" customFormat="1" x14ac:dyDescent="0.25"/>
    <row r="49387" customFormat="1" x14ac:dyDescent="0.25"/>
    <row r="49388" customFormat="1" x14ac:dyDescent="0.25"/>
    <row r="49389" customFormat="1" x14ac:dyDescent="0.25"/>
    <row r="49390" customFormat="1" x14ac:dyDescent="0.25"/>
    <row r="49391" customFormat="1" x14ac:dyDescent="0.25"/>
    <row r="49392" customFormat="1" x14ac:dyDescent="0.25"/>
    <row r="49393" customFormat="1" x14ac:dyDescent="0.25"/>
    <row r="49394" customFormat="1" x14ac:dyDescent="0.25"/>
    <row r="49395" customFormat="1" x14ac:dyDescent="0.25"/>
    <row r="49396" customFormat="1" x14ac:dyDescent="0.25"/>
    <row r="49397" customFormat="1" x14ac:dyDescent="0.25"/>
    <row r="49398" customFormat="1" x14ac:dyDescent="0.25"/>
    <row r="49399" customFormat="1" x14ac:dyDescent="0.25"/>
    <row r="49400" customFormat="1" x14ac:dyDescent="0.25"/>
    <row r="49401" customFormat="1" x14ac:dyDescent="0.25"/>
    <row r="49402" customFormat="1" x14ac:dyDescent="0.25"/>
    <row r="49403" customFormat="1" x14ac:dyDescent="0.25"/>
    <row r="49404" customFormat="1" x14ac:dyDescent="0.25"/>
    <row r="49405" customFormat="1" x14ac:dyDescent="0.25"/>
    <row r="49406" customFormat="1" x14ac:dyDescent="0.25"/>
    <row r="49407" customFormat="1" x14ac:dyDescent="0.25"/>
    <row r="49408" customFormat="1" x14ac:dyDescent="0.25"/>
    <row r="49409" customFormat="1" x14ac:dyDescent="0.25"/>
    <row r="49410" customFormat="1" x14ac:dyDescent="0.25"/>
    <row r="49411" customFormat="1" x14ac:dyDescent="0.25"/>
    <row r="49412" customFormat="1" x14ac:dyDescent="0.25"/>
    <row r="49413" customFormat="1" x14ac:dyDescent="0.25"/>
    <row r="49414" customFormat="1" x14ac:dyDescent="0.25"/>
    <row r="49415" customFormat="1" x14ac:dyDescent="0.25"/>
    <row r="49416" customFormat="1" x14ac:dyDescent="0.25"/>
    <row r="49417" customFormat="1" x14ac:dyDescent="0.25"/>
    <row r="49418" customFormat="1" x14ac:dyDescent="0.25"/>
    <row r="49419" customFormat="1" x14ac:dyDescent="0.25"/>
    <row r="49420" customFormat="1" x14ac:dyDescent="0.25"/>
    <row r="49421" customFormat="1" x14ac:dyDescent="0.25"/>
    <row r="49422" customFormat="1" x14ac:dyDescent="0.25"/>
    <row r="49423" customFormat="1" x14ac:dyDescent="0.25"/>
    <row r="49424" customFormat="1" x14ac:dyDescent="0.25"/>
    <row r="49425" customFormat="1" x14ac:dyDescent="0.25"/>
    <row r="49426" customFormat="1" x14ac:dyDescent="0.25"/>
    <row r="49427" customFormat="1" x14ac:dyDescent="0.25"/>
    <row r="49428" customFormat="1" x14ac:dyDescent="0.25"/>
    <row r="49429" customFormat="1" x14ac:dyDescent="0.25"/>
    <row r="49430" customFormat="1" x14ac:dyDescent="0.25"/>
    <row r="49431" customFormat="1" x14ac:dyDescent="0.25"/>
    <row r="49432" customFormat="1" x14ac:dyDescent="0.25"/>
    <row r="49433" customFormat="1" x14ac:dyDescent="0.25"/>
    <row r="49434" customFormat="1" x14ac:dyDescent="0.25"/>
    <row r="49435" customFormat="1" x14ac:dyDescent="0.25"/>
    <row r="49436" customFormat="1" x14ac:dyDescent="0.25"/>
    <row r="49437" customFormat="1" x14ac:dyDescent="0.25"/>
    <row r="49438" customFormat="1" x14ac:dyDescent="0.25"/>
    <row r="49439" customFormat="1" x14ac:dyDescent="0.25"/>
    <row r="49440" customFormat="1" x14ac:dyDescent="0.25"/>
    <row r="49441" customFormat="1" x14ac:dyDescent="0.25"/>
    <row r="49442" customFormat="1" x14ac:dyDescent="0.25"/>
    <row r="49443" customFormat="1" x14ac:dyDescent="0.25"/>
    <row r="49444" customFormat="1" x14ac:dyDescent="0.25"/>
    <row r="49445" customFormat="1" x14ac:dyDescent="0.25"/>
    <row r="49446" customFormat="1" x14ac:dyDescent="0.25"/>
    <row r="49447" customFormat="1" x14ac:dyDescent="0.25"/>
    <row r="49448" customFormat="1" x14ac:dyDescent="0.25"/>
    <row r="49449" customFormat="1" x14ac:dyDescent="0.25"/>
    <row r="49450" customFormat="1" x14ac:dyDescent="0.25"/>
    <row r="49451" customFormat="1" x14ac:dyDescent="0.25"/>
    <row r="49452" customFormat="1" x14ac:dyDescent="0.25"/>
    <row r="49453" customFormat="1" x14ac:dyDescent="0.25"/>
    <row r="49454" customFormat="1" x14ac:dyDescent="0.25"/>
    <row r="49455" customFormat="1" x14ac:dyDescent="0.25"/>
    <row r="49456" customFormat="1" x14ac:dyDescent="0.25"/>
    <row r="49457" customFormat="1" x14ac:dyDescent="0.25"/>
    <row r="49458" customFormat="1" x14ac:dyDescent="0.25"/>
    <row r="49459" customFormat="1" x14ac:dyDescent="0.25"/>
    <row r="49460" customFormat="1" x14ac:dyDescent="0.25"/>
    <row r="49461" customFormat="1" x14ac:dyDescent="0.25"/>
    <row r="49462" customFormat="1" x14ac:dyDescent="0.25"/>
    <row r="49463" customFormat="1" x14ac:dyDescent="0.25"/>
    <row r="49464" customFormat="1" x14ac:dyDescent="0.25"/>
    <row r="49465" customFormat="1" x14ac:dyDescent="0.25"/>
    <row r="49466" customFormat="1" x14ac:dyDescent="0.25"/>
    <row r="49467" customFormat="1" x14ac:dyDescent="0.25"/>
    <row r="49468" customFormat="1" x14ac:dyDescent="0.25"/>
    <row r="49469" customFormat="1" x14ac:dyDescent="0.25"/>
    <row r="49470" customFormat="1" x14ac:dyDescent="0.25"/>
    <row r="49471" customFormat="1" x14ac:dyDescent="0.25"/>
    <row r="49472" customFormat="1" x14ac:dyDescent="0.25"/>
    <row r="49473" customFormat="1" x14ac:dyDescent="0.25"/>
    <row r="49474" customFormat="1" x14ac:dyDescent="0.25"/>
    <row r="49475" customFormat="1" x14ac:dyDescent="0.25"/>
    <row r="49476" customFormat="1" x14ac:dyDescent="0.25"/>
    <row r="49477" customFormat="1" x14ac:dyDescent="0.25"/>
    <row r="49478" customFormat="1" x14ac:dyDescent="0.25"/>
    <row r="49479" customFormat="1" x14ac:dyDescent="0.25"/>
    <row r="49480" customFormat="1" x14ac:dyDescent="0.25"/>
    <row r="49481" customFormat="1" x14ac:dyDescent="0.25"/>
    <row r="49482" customFormat="1" x14ac:dyDescent="0.25"/>
    <row r="49483" customFormat="1" x14ac:dyDescent="0.25"/>
    <row r="49484" customFormat="1" x14ac:dyDescent="0.25"/>
    <row r="49485" customFormat="1" x14ac:dyDescent="0.25"/>
    <row r="49486" customFormat="1" x14ac:dyDescent="0.25"/>
    <row r="49487" customFormat="1" x14ac:dyDescent="0.25"/>
    <row r="49488" customFormat="1" x14ac:dyDescent="0.25"/>
    <row r="49489" customFormat="1" x14ac:dyDescent="0.25"/>
    <row r="49490" customFormat="1" x14ac:dyDescent="0.25"/>
    <row r="49491" customFormat="1" x14ac:dyDescent="0.25"/>
    <row r="49492" customFormat="1" x14ac:dyDescent="0.25"/>
    <row r="49493" customFormat="1" x14ac:dyDescent="0.25"/>
    <row r="49494" customFormat="1" x14ac:dyDescent="0.25"/>
    <row r="49495" customFormat="1" x14ac:dyDescent="0.25"/>
    <row r="49496" customFormat="1" x14ac:dyDescent="0.25"/>
    <row r="49497" customFormat="1" x14ac:dyDescent="0.25"/>
    <row r="49498" customFormat="1" x14ac:dyDescent="0.25"/>
    <row r="49499" customFormat="1" x14ac:dyDescent="0.25"/>
    <row r="49500" customFormat="1" x14ac:dyDescent="0.25"/>
    <row r="49501" customFormat="1" x14ac:dyDescent="0.25"/>
    <row r="49502" customFormat="1" x14ac:dyDescent="0.25"/>
    <row r="49503" customFormat="1" x14ac:dyDescent="0.25"/>
    <row r="49504" customFormat="1" x14ac:dyDescent="0.25"/>
    <row r="49505" customFormat="1" x14ac:dyDescent="0.25"/>
    <row r="49506" customFormat="1" x14ac:dyDescent="0.25"/>
    <row r="49507" customFormat="1" x14ac:dyDescent="0.25"/>
    <row r="49508" customFormat="1" x14ac:dyDescent="0.25"/>
    <row r="49509" customFormat="1" x14ac:dyDescent="0.25"/>
    <row r="49510" customFormat="1" x14ac:dyDescent="0.25"/>
    <row r="49511" customFormat="1" x14ac:dyDescent="0.25"/>
    <row r="49512" customFormat="1" x14ac:dyDescent="0.25"/>
    <row r="49513" customFormat="1" x14ac:dyDescent="0.25"/>
    <row r="49514" customFormat="1" x14ac:dyDescent="0.25"/>
    <row r="49515" customFormat="1" x14ac:dyDescent="0.25"/>
    <row r="49516" customFormat="1" x14ac:dyDescent="0.25"/>
    <row r="49517" customFormat="1" x14ac:dyDescent="0.25"/>
    <row r="49518" customFormat="1" x14ac:dyDescent="0.25"/>
    <row r="49519" customFormat="1" x14ac:dyDescent="0.25"/>
    <row r="49520" customFormat="1" x14ac:dyDescent="0.25"/>
    <row r="49521" customFormat="1" x14ac:dyDescent="0.25"/>
    <row r="49522" customFormat="1" x14ac:dyDescent="0.25"/>
    <row r="49523" customFormat="1" x14ac:dyDescent="0.25"/>
    <row r="49524" customFormat="1" x14ac:dyDescent="0.25"/>
    <row r="49525" customFormat="1" x14ac:dyDescent="0.25"/>
    <row r="49526" customFormat="1" x14ac:dyDescent="0.25"/>
    <row r="49527" customFormat="1" x14ac:dyDescent="0.25"/>
    <row r="49528" customFormat="1" x14ac:dyDescent="0.25"/>
    <row r="49529" customFormat="1" x14ac:dyDescent="0.25"/>
    <row r="49530" customFormat="1" x14ac:dyDescent="0.25"/>
    <row r="49531" customFormat="1" x14ac:dyDescent="0.25"/>
    <row r="49532" customFormat="1" x14ac:dyDescent="0.25"/>
    <row r="49533" customFormat="1" x14ac:dyDescent="0.25"/>
    <row r="49534" customFormat="1" x14ac:dyDescent="0.25"/>
    <row r="49535" customFormat="1" x14ac:dyDescent="0.25"/>
    <row r="49536" customFormat="1" x14ac:dyDescent="0.25"/>
    <row r="49537" customFormat="1" x14ac:dyDescent="0.25"/>
    <row r="49538" customFormat="1" x14ac:dyDescent="0.25"/>
    <row r="49539" customFormat="1" x14ac:dyDescent="0.25"/>
    <row r="49540" customFormat="1" x14ac:dyDescent="0.25"/>
    <row r="49541" customFormat="1" x14ac:dyDescent="0.25"/>
    <row r="49542" customFormat="1" x14ac:dyDescent="0.25"/>
    <row r="49543" customFormat="1" x14ac:dyDescent="0.25"/>
    <row r="49544" customFormat="1" x14ac:dyDescent="0.25"/>
    <row r="49545" customFormat="1" x14ac:dyDescent="0.25"/>
    <row r="49546" customFormat="1" x14ac:dyDescent="0.25"/>
    <row r="49547" customFormat="1" x14ac:dyDescent="0.25"/>
    <row r="49548" customFormat="1" x14ac:dyDescent="0.25"/>
    <row r="49549" customFormat="1" x14ac:dyDescent="0.25"/>
    <row r="49550" customFormat="1" x14ac:dyDescent="0.25"/>
    <row r="49551" customFormat="1" x14ac:dyDescent="0.25"/>
    <row r="49552" customFormat="1" x14ac:dyDescent="0.25"/>
    <row r="49553" customFormat="1" x14ac:dyDescent="0.25"/>
    <row r="49554" customFormat="1" x14ac:dyDescent="0.25"/>
    <row r="49555" customFormat="1" x14ac:dyDescent="0.25"/>
    <row r="49556" customFormat="1" x14ac:dyDescent="0.25"/>
    <row r="49557" customFormat="1" x14ac:dyDescent="0.25"/>
    <row r="49558" customFormat="1" x14ac:dyDescent="0.25"/>
    <row r="49559" customFormat="1" x14ac:dyDescent="0.25"/>
    <row r="49560" customFormat="1" x14ac:dyDescent="0.25"/>
    <row r="49561" customFormat="1" x14ac:dyDescent="0.25"/>
    <row r="49562" customFormat="1" x14ac:dyDescent="0.25"/>
    <row r="49563" customFormat="1" x14ac:dyDescent="0.25"/>
    <row r="49564" customFormat="1" x14ac:dyDescent="0.25"/>
    <row r="49565" customFormat="1" x14ac:dyDescent="0.25"/>
    <row r="49566" customFormat="1" x14ac:dyDescent="0.25"/>
    <row r="49567" customFormat="1" x14ac:dyDescent="0.25"/>
    <row r="49568" customFormat="1" x14ac:dyDescent="0.25"/>
    <row r="49569" customFormat="1" x14ac:dyDescent="0.25"/>
    <row r="49570" customFormat="1" x14ac:dyDescent="0.25"/>
    <row r="49571" customFormat="1" x14ac:dyDescent="0.25"/>
    <row r="49572" customFormat="1" x14ac:dyDescent="0.25"/>
    <row r="49573" customFormat="1" x14ac:dyDescent="0.25"/>
    <row r="49574" customFormat="1" x14ac:dyDescent="0.25"/>
    <row r="49575" customFormat="1" x14ac:dyDescent="0.25"/>
    <row r="49576" customFormat="1" x14ac:dyDescent="0.25"/>
    <row r="49577" customFormat="1" x14ac:dyDescent="0.25"/>
    <row r="49578" customFormat="1" x14ac:dyDescent="0.25"/>
    <row r="49579" customFormat="1" x14ac:dyDescent="0.25"/>
    <row r="49580" customFormat="1" x14ac:dyDescent="0.25"/>
    <row r="49581" customFormat="1" x14ac:dyDescent="0.25"/>
    <row r="49582" customFormat="1" x14ac:dyDescent="0.25"/>
    <row r="49583" customFormat="1" x14ac:dyDescent="0.25"/>
    <row r="49584" customFormat="1" x14ac:dyDescent="0.25"/>
    <row r="49585" customFormat="1" x14ac:dyDescent="0.25"/>
    <row r="49586" customFormat="1" x14ac:dyDescent="0.25"/>
    <row r="49587" customFormat="1" x14ac:dyDescent="0.25"/>
    <row r="49588" customFormat="1" x14ac:dyDescent="0.25"/>
    <row r="49589" customFormat="1" x14ac:dyDescent="0.25"/>
    <row r="49590" customFormat="1" x14ac:dyDescent="0.25"/>
    <row r="49591" customFormat="1" x14ac:dyDescent="0.25"/>
    <row r="49592" customFormat="1" x14ac:dyDescent="0.25"/>
    <row r="49593" customFormat="1" x14ac:dyDescent="0.25"/>
    <row r="49594" customFormat="1" x14ac:dyDescent="0.25"/>
    <row r="49595" customFormat="1" x14ac:dyDescent="0.25"/>
    <row r="49596" customFormat="1" x14ac:dyDescent="0.25"/>
    <row r="49597" customFormat="1" x14ac:dyDescent="0.25"/>
    <row r="49598" customFormat="1" x14ac:dyDescent="0.25"/>
    <row r="49599" customFormat="1" x14ac:dyDescent="0.25"/>
    <row r="49600" customFormat="1" x14ac:dyDescent="0.25"/>
    <row r="49601" customFormat="1" x14ac:dyDescent="0.25"/>
    <row r="49602" customFormat="1" x14ac:dyDescent="0.25"/>
    <row r="49603" customFormat="1" x14ac:dyDescent="0.25"/>
    <row r="49604" customFormat="1" x14ac:dyDescent="0.25"/>
    <row r="49605" customFormat="1" x14ac:dyDescent="0.25"/>
    <row r="49606" customFormat="1" x14ac:dyDescent="0.25"/>
    <row r="49607" customFormat="1" x14ac:dyDescent="0.25"/>
    <row r="49608" customFormat="1" x14ac:dyDescent="0.25"/>
    <row r="49609" customFormat="1" x14ac:dyDescent="0.25"/>
    <row r="49610" customFormat="1" x14ac:dyDescent="0.25"/>
    <row r="49611" customFormat="1" x14ac:dyDescent="0.25"/>
    <row r="49612" customFormat="1" x14ac:dyDescent="0.25"/>
    <row r="49613" customFormat="1" x14ac:dyDescent="0.25"/>
    <row r="49614" customFormat="1" x14ac:dyDescent="0.25"/>
    <row r="49615" customFormat="1" x14ac:dyDescent="0.25"/>
    <row r="49616" customFormat="1" x14ac:dyDescent="0.25"/>
    <row r="49617" customFormat="1" x14ac:dyDescent="0.25"/>
    <row r="49618" customFormat="1" x14ac:dyDescent="0.25"/>
    <row r="49619" customFormat="1" x14ac:dyDescent="0.25"/>
    <row r="49620" customFormat="1" x14ac:dyDescent="0.25"/>
    <row r="49621" customFormat="1" x14ac:dyDescent="0.25"/>
    <row r="49622" customFormat="1" x14ac:dyDescent="0.25"/>
    <row r="49623" customFormat="1" x14ac:dyDescent="0.25"/>
    <row r="49624" customFormat="1" x14ac:dyDescent="0.25"/>
    <row r="49625" customFormat="1" x14ac:dyDescent="0.25"/>
    <row r="49626" customFormat="1" x14ac:dyDescent="0.25"/>
    <row r="49627" customFormat="1" x14ac:dyDescent="0.25"/>
    <row r="49628" customFormat="1" x14ac:dyDescent="0.25"/>
    <row r="49629" customFormat="1" x14ac:dyDescent="0.25"/>
    <row r="49630" customFormat="1" x14ac:dyDescent="0.25"/>
    <row r="49631" customFormat="1" x14ac:dyDescent="0.25"/>
    <row r="49632" customFormat="1" x14ac:dyDescent="0.25"/>
    <row r="49633" customFormat="1" x14ac:dyDescent="0.25"/>
    <row r="49634" customFormat="1" x14ac:dyDescent="0.25"/>
    <row r="49635" customFormat="1" x14ac:dyDescent="0.25"/>
    <row r="49636" customFormat="1" x14ac:dyDescent="0.25"/>
    <row r="49637" customFormat="1" x14ac:dyDescent="0.25"/>
    <row r="49638" customFormat="1" x14ac:dyDescent="0.25"/>
    <row r="49639" customFormat="1" x14ac:dyDescent="0.25"/>
    <row r="49640" customFormat="1" x14ac:dyDescent="0.25"/>
    <row r="49641" customFormat="1" x14ac:dyDescent="0.25"/>
    <row r="49642" customFormat="1" x14ac:dyDescent="0.25"/>
    <row r="49643" customFormat="1" x14ac:dyDescent="0.25"/>
    <row r="49644" customFormat="1" x14ac:dyDescent="0.25"/>
    <row r="49645" customFormat="1" x14ac:dyDescent="0.25"/>
    <row r="49646" customFormat="1" x14ac:dyDescent="0.25"/>
    <row r="49647" customFormat="1" x14ac:dyDescent="0.25"/>
    <row r="49648" customFormat="1" x14ac:dyDescent="0.25"/>
    <row r="49649" customFormat="1" x14ac:dyDescent="0.25"/>
    <row r="49650" customFormat="1" x14ac:dyDescent="0.25"/>
    <row r="49651" customFormat="1" x14ac:dyDescent="0.25"/>
    <row r="49652" customFormat="1" x14ac:dyDescent="0.25"/>
    <row r="49653" customFormat="1" x14ac:dyDescent="0.25"/>
    <row r="49654" customFormat="1" x14ac:dyDescent="0.25"/>
    <row r="49655" customFormat="1" x14ac:dyDescent="0.25"/>
    <row r="49656" customFormat="1" x14ac:dyDescent="0.25"/>
    <row r="49657" customFormat="1" x14ac:dyDescent="0.25"/>
    <row r="49658" customFormat="1" x14ac:dyDescent="0.25"/>
    <row r="49659" customFormat="1" x14ac:dyDescent="0.25"/>
    <row r="49660" customFormat="1" x14ac:dyDescent="0.25"/>
    <row r="49661" customFormat="1" x14ac:dyDescent="0.25"/>
    <row r="49662" customFormat="1" x14ac:dyDescent="0.25"/>
    <row r="49663" customFormat="1" x14ac:dyDescent="0.25"/>
    <row r="49664" customFormat="1" x14ac:dyDescent="0.25"/>
    <row r="49665" customFormat="1" x14ac:dyDescent="0.25"/>
    <row r="49666" customFormat="1" x14ac:dyDescent="0.25"/>
    <row r="49667" customFormat="1" x14ac:dyDescent="0.25"/>
    <row r="49668" customFormat="1" x14ac:dyDescent="0.25"/>
    <row r="49669" customFormat="1" x14ac:dyDescent="0.25"/>
    <row r="49670" customFormat="1" x14ac:dyDescent="0.25"/>
    <row r="49671" customFormat="1" x14ac:dyDescent="0.25"/>
    <row r="49672" customFormat="1" x14ac:dyDescent="0.25"/>
    <row r="49673" customFormat="1" x14ac:dyDescent="0.25"/>
    <row r="49674" customFormat="1" x14ac:dyDescent="0.25"/>
    <row r="49675" customFormat="1" x14ac:dyDescent="0.25"/>
    <row r="49676" customFormat="1" x14ac:dyDescent="0.25"/>
    <row r="49677" customFormat="1" x14ac:dyDescent="0.25"/>
    <row r="49678" customFormat="1" x14ac:dyDescent="0.25"/>
    <row r="49679" customFormat="1" x14ac:dyDescent="0.25"/>
    <row r="49680" customFormat="1" x14ac:dyDescent="0.25"/>
    <row r="49681" customFormat="1" x14ac:dyDescent="0.25"/>
    <row r="49682" customFormat="1" x14ac:dyDescent="0.25"/>
    <row r="49683" customFormat="1" x14ac:dyDescent="0.25"/>
    <row r="49684" customFormat="1" x14ac:dyDescent="0.25"/>
    <row r="49685" customFormat="1" x14ac:dyDescent="0.25"/>
    <row r="49686" customFormat="1" x14ac:dyDescent="0.25"/>
    <row r="49687" customFormat="1" x14ac:dyDescent="0.25"/>
    <row r="49688" customFormat="1" x14ac:dyDescent="0.25"/>
    <row r="49689" customFormat="1" x14ac:dyDescent="0.25"/>
    <row r="49690" customFormat="1" x14ac:dyDescent="0.25"/>
    <row r="49691" customFormat="1" x14ac:dyDescent="0.25"/>
    <row r="49692" customFormat="1" x14ac:dyDescent="0.25"/>
    <row r="49693" customFormat="1" x14ac:dyDescent="0.25"/>
    <row r="49694" customFormat="1" x14ac:dyDescent="0.25"/>
    <row r="49695" customFormat="1" x14ac:dyDescent="0.25"/>
    <row r="49696" customFormat="1" x14ac:dyDescent="0.25"/>
    <row r="49697" customFormat="1" x14ac:dyDescent="0.25"/>
    <row r="49698" customFormat="1" x14ac:dyDescent="0.25"/>
    <row r="49699" customFormat="1" x14ac:dyDescent="0.25"/>
    <row r="49700" customFormat="1" x14ac:dyDescent="0.25"/>
    <row r="49701" customFormat="1" x14ac:dyDescent="0.25"/>
    <row r="49702" customFormat="1" x14ac:dyDescent="0.25"/>
    <row r="49703" customFormat="1" x14ac:dyDescent="0.25"/>
    <row r="49704" customFormat="1" x14ac:dyDescent="0.25"/>
    <row r="49705" customFormat="1" x14ac:dyDescent="0.25"/>
    <row r="49706" customFormat="1" x14ac:dyDescent="0.25"/>
    <row r="49707" customFormat="1" x14ac:dyDescent="0.25"/>
    <row r="49708" customFormat="1" x14ac:dyDescent="0.25"/>
    <row r="49709" customFormat="1" x14ac:dyDescent="0.25"/>
    <row r="49710" customFormat="1" x14ac:dyDescent="0.25"/>
    <row r="49711" customFormat="1" x14ac:dyDescent="0.25"/>
    <row r="49712" customFormat="1" x14ac:dyDescent="0.25"/>
    <row r="49713" customFormat="1" x14ac:dyDescent="0.25"/>
    <row r="49714" customFormat="1" x14ac:dyDescent="0.25"/>
    <row r="49715" customFormat="1" x14ac:dyDescent="0.25"/>
    <row r="49716" customFormat="1" x14ac:dyDescent="0.25"/>
    <row r="49717" customFormat="1" x14ac:dyDescent="0.25"/>
    <row r="49718" customFormat="1" x14ac:dyDescent="0.25"/>
    <row r="49719" customFormat="1" x14ac:dyDescent="0.25"/>
    <row r="49720" customFormat="1" x14ac:dyDescent="0.25"/>
    <row r="49721" customFormat="1" x14ac:dyDescent="0.25"/>
    <row r="49722" customFormat="1" x14ac:dyDescent="0.25"/>
    <row r="49723" customFormat="1" x14ac:dyDescent="0.25"/>
    <row r="49724" customFormat="1" x14ac:dyDescent="0.25"/>
    <row r="49725" customFormat="1" x14ac:dyDescent="0.25"/>
    <row r="49726" customFormat="1" x14ac:dyDescent="0.25"/>
    <row r="49727" customFormat="1" x14ac:dyDescent="0.25"/>
    <row r="49728" customFormat="1" x14ac:dyDescent="0.25"/>
    <row r="49729" customFormat="1" x14ac:dyDescent="0.25"/>
    <row r="49730" customFormat="1" x14ac:dyDescent="0.25"/>
    <row r="49731" customFormat="1" x14ac:dyDescent="0.25"/>
    <row r="49732" customFormat="1" x14ac:dyDescent="0.25"/>
    <row r="49733" customFormat="1" x14ac:dyDescent="0.25"/>
    <row r="49734" customFormat="1" x14ac:dyDescent="0.25"/>
    <row r="49735" customFormat="1" x14ac:dyDescent="0.25"/>
    <row r="49736" customFormat="1" x14ac:dyDescent="0.25"/>
    <row r="49737" customFormat="1" x14ac:dyDescent="0.25"/>
    <row r="49738" customFormat="1" x14ac:dyDescent="0.25"/>
    <row r="49739" customFormat="1" x14ac:dyDescent="0.25"/>
    <row r="49740" customFormat="1" x14ac:dyDescent="0.25"/>
    <row r="49741" customFormat="1" x14ac:dyDescent="0.25"/>
    <row r="49742" customFormat="1" x14ac:dyDescent="0.25"/>
    <row r="49743" customFormat="1" x14ac:dyDescent="0.25"/>
    <row r="49744" customFormat="1" x14ac:dyDescent="0.25"/>
    <row r="49745" customFormat="1" x14ac:dyDescent="0.25"/>
    <row r="49746" customFormat="1" x14ac:dyDescent="0.25"/>
    <row r="49747" customFormat="1" x14ac:dyDescent="0.25"/>
    <row r="49748" customFormat="1" x14ac:dyDescent="0.25"/>
    <row r="49749" customFormat="1" x14ac:dyDescent="0.25"/>
    <row r="49750" customFormat="1" x14ac:dyDescent="0.25"/>
    <row r="49751" customFormat="1" x14ac:dyDescent="0.25"/>
    <row r="49752" customFormat="1" x14ac:dyDescent="0.25"/>
    <row r="49753" customFormat="1" x14ac:dyDescent="0.25"/>
    <row r="49754" customFormat="1" x14ac:dyDescent="0.25"/>
    <row r="49755" customFormat="1" x14ac:dyDescent="0.25"/>
    <row r="49756" customFormat="1" x14ac:dyDescent="0.25"/>
    <row r="49757" customFormat="1" x14ac:dyDescent="0.25"/>
    <row r="49758" customFormat="1" x14ac:dyDescent="0.25"/>
    <row r="49759" customFormat="1" x14ac:dyDescent="0.25"/>
    <row r="49760" customFormat="1" x14ac:dyDescent="0.25"/>
    <row r="49761" customFormat="1" x14ac:dyDescent="0.25"/>
    <row r="49762" customFormat="1" x14ac:dyDescent="0.25"/>
    <row r="49763" customFormat="1" x14ac:dyDescent="0.25"/>
    <row r="49764" customFormat="1" x14ac:dyDescent="0.25"/>
    <row r="49765" customFormat="1" x14ac:dyDescent="0.25"/>
    <row r="49766" customFormat="1" x14ac:dyDescent="0.25"/>
    <row r="49767" customFormat="1" x14ac:dyDescent="0.25"/>
    <row r="49768" customFormat="1" x14ac:dyDescent="0.25"/>
    <row r="49769" customFormat="1" x14ac:dyDescent="0.25"/>
    <row r="49770" customFormat="1" x14ac:dyDescent="0.25"/>
    <row r="49771" customFormat="1" x14ac:dyDescent="0.25"/>
    <row r="49772" customFormat="1" x14ac:dyDescent="0.25"/>
    <row r="49773" customFormat="1" x14ac:dyDescent="0.25"/>
    <row r="49774" customFormat="1" x14ac:dyDescent="0.25"/>
    <row r="49775" customFormat="1" x14ac:dyDescent="0.25"/>
    <row r="49776" customFormat="1" x14ac:dyDescent="0.25"/>
    <row r="49777" customFormat="1" x14ac:dyDescent="0.25"/>
    <row r="49778" customFormat="1" x14ac:dyDescent="0.25"/>
    <row r="49779" customFormat="1" x14ac:dyDescent="0.25"/>
    <row r="49780" customFormat="1" x14ac:dyDescent="0.25"/>
    <row r="49781" customFormat="1" x14ac:dyDescent="0.25"/>
    <row r="49782" customFormat="1" x14ac:dyDescent="0.25"/>
    <row r="49783" customFormat="1" x14ac:dyDescent="0.25"/>
    <row r="49784" customFormat="1" x14ac:dyDescent="0.25"/>
    <row r="49785" customFormat="1" x14ac:dyDescent="0.25"/>
    <row r="49786" customFormat="1" x14ac:dyDescent="0.25"/>
    <row r="49787" customFormat="1" x14ac:dyDescent="0.25"/>
    <row r="49788" customFormat="1" x14ac:dyDescent="0.25"/>
    <row r="49789" customFormat="1" x14ac:dyDescent="0.25"/>
    <row r="49790" customFormat="1" x14ac:dyDescent="0.25"/>
    <row r="49791" customFormat="1" x14ac:dyDescent="0.25"/>
    <row r="49792" customFormat="1" x14ac:dyDescent="0.25"/>
    <row r="49793" customFormat="1" x14ac:dyDescent="0.25"/>
    <row r="49794" customFormat="1" x14ac:dyDescent="0.25"/>
    <row r="49795" customFormat="1" x14ac:dyDescent="0.25"/>
    <row r="49796" customFormat="1" x14ac:dyDescent="0.25"/>
    <row r="49797" customFormat="1" x14ac:dyDescent="0.25"/>
    <row r="49798" customFormat="1" x14ac:dyDescent="0.25"/>
    <row r="49799" customFormat="1" x14ac:dyDescent="0.25"/>
    <row r="49800" customFormat="1" x14ac:dyDescent="0.25"/>
    <row r="49801" customFormat="1" x14ac:dyDescent="0.25"/>
    <row r="49802" customFormat="1" x14ac:dyDescent="0.25"/>
    <row r="49803" customFormat="1" x14ac:dyDescent="0.25"/>
    <row r="49804" customFormat="1" x14ac:dyDescent="0.25"/>
    <row r="49805" customFormat="1" x14ac:dyDescent="0.25"/>
    <row r="49806" customFormat="1" x14ac:dyDescent="0.25"/>
    <row r="49807" customFormat="1" x14ac:dyDescent="0.25"/>
    <row r="49808" customFormat="1" x14ac:dyDescent="0.25"/>
    <row r="49809" customFormat="1" x14ac:dyDescent="0.25"/>
    <row r="49810" customFormat="1" x14ac:dyDescent="0.25"/>
    <row r="49811" customFormat="1" x14ac:dyDescent="0.25"/>
    <row r="49812" customFormat="1" x14ac:dyDescent="0.25"/>
    <row r="49813" customFormat="1" x14ac:dyDescent="0.25"/>
    <row r="49814" customFormat="1" x14ac:dyDescent="0.25"/>
    <row r="49815" customFormat="1" x14ac:dyDescent="0.25"/>
    <row r="49816" customFormat="1" x14ac:dyDescent="0.25"/>
    <row r="49817" customFormat="1" x14ac:dyDescent="0.25"/>
    <row r="49818" customFormat="1" x14ac:dyDescent="0.25"/>
    <row r="49819" customFormat="1" x14ac:dyDescent="0.25"/>
    <row r="49820" customFormat="1" x14ac:dyDescent="0.25"/>
    <row r="49821" customFormat="1" x14ac:dyDescent="0.25"/>
    <row r="49822" customFormat="1" x14ac:dyDescent="0.25"/>
    <row r="49823" customFormat="1" x14ac:dyDescent="0.25"/>
    <row r="49824" customFormat="1" x14ac:dyDescent="0.25"/>
    <row r="49825" customFormat="1" x14ac:dyDescent="0.25"/>
    <row r="49826" customFormat="1" x14ac:dyDescent="0.25"/>
    <row r="49827" customFormat="1" x14ac:dyDescent="0.25"/>
    <row r="49828" customFormat="1" x14ac:dyDescent="0.25"/>
    <row r="49829" customFormat="1" x14ac:dyDescent="0.25"/>
    <row r="49830" customFormat="1" x14ac:dyDescent="0.25"/>
    <row r="49831" customFormat="1" x14ac:dyDescent="0.25"/>
    <row r="49832" customFormat="1" x14ac:dyDescent="0.25"/>
    <row r="49833" customFormat="1" x14ac:dyDescent="0.25"/>
    <row r="49834" customFormat="1" x14ac:dyDescent="0.25"/>
    <row r="49835" customFormat="1" x14ac:dyDescent="0.25"/>
    <row r="49836" customFormat="1" x14ac:dyDescent="0.25"/>
    <row r="49837" customFormat="1" x14ac:dyDescent="0.25"/>
    <row r="49838" customFormat="1" x14ac:dyDescent="0.25"/>
    <row r="49839" customFormat="1" x14ac:dyDescent="0.25"/>
    <row r="49840" customFormat="1" x14ac:dyDescent="0.25"/>
    <row r="49841" customFormat="1" x14ac:dyDescent="0.25"/>
    <row r="49842" customFormat="1" x14ac:dyDescent="0.25"/>
    <row r="49843" customFormat="1" x14ac:dyDescent="0.25"/>
    <row r="49844" customFormat="1" x14ac:dyDescent="0.25"/>
    <row r="49845" customFormat="1" x14ac:dyDescent="0.25"/>
    <row r="49846" customFormat="1" x14ac:dyDescent="0.25"/>
    <row r="49847" customFormat="1" x14ac:dyDescent="0.25"/>
    <row r="49848" customFormat="1" x14ac:dyDescent="0.25"/>
    <row r="49849" customFormat="1" x14ac:dyDescent="0.25"/>
    <row r="49850" customFormat="1" x14ac:dyDescent="0.25"/>
    <row r="49851" customFormat="1" x14ac:dyDescent="0.25"/>
    <row r="49852" customFormat="1" x14ac:dyDescent="0.25"/>
    <row r="49853" customFormat="1" x14ac:dyDescent="0.25"/>
    <row r="49854" customFormat="1" x14ac:dyDescent="0.25"/>
    <row r="49855" customFormat="1" x14ac:dyDescent="0.25"/>
    <row r="49856" customFormat="1" x14ac:dyDescent="0.25"/>
    <row r="49857" customFormat="1" x14ac:dyDescent="0.25"/>
    <row r="49858" customFormat="1" x14ac:dyDescent="0.25"/>
    <row r="49859" customFormat="1" x14ac:dyDescent="0.25"/>
    <row r="49860" customFormat="1" x14ac:dyDescent="0.25"/>
    <row r="49861" customFormat="1" x14ac:dyDescent="0.25"/>
    <row r="49862" customFormat="1" x14ac:dyDescent="0.25"/>
    <row r="49863" customFormat="1" x14ac:dyDescent="0.25"/>
    <row r="49864" customFormat="1" x14ac:dyDescent="0.25"/>
    <row r="49865" customFormat="1" x14ac:dyDescent="0.25"/>
    <row r="49866" customFormat="1" x14ac:dyDescent="0.25"/>
    <row r="49867" customFormat="1" x14ac:dyDescent="0.25"/>
    <row r="49868" customFormat="1" x14ac:dyDescent="0.25"/>
    <row r="49869" customFormat="1" x14ac:dyDescent="0.25"/>
    <row r="49870" customFormat="1" x14ac:dyDescent="0.25"/>
    <row r="49871" customFormat="1" x14ac:dyDescent="0.25"/>
    <row r="49872" customFormat="1" x14ac:dyDescent="0.25"/>
    <row r="49873" customFormat="1" x14ac:dyDescent="0.25"/>
    <row r="49874" customFormat="1" x14ac:dyDescent="0.25"/>
    <row r="49875" customFormat="1" x14ac:dyDescent="0.25"/>
    <row r="49876" customFormat="1" x14ac:dyDescent="0.25"/>
    <row r="49877" customFormat="1" x14ac:dyDescent="0.25"/>
    <row r="49878" customFormat="1" x14ac:dyDescent="0.25"/>
    <row r="49879" customFormat="1" x14ac:dyDescent="0.25"/>
    <row r="49880" customFormat="1" x14ac:dyDescent="0.25"/>
    <row r="49881" customFormat="1" x14ac:dyDescent="0.25"/>
    <row r="49882" customFormat="1" x14ac:dyDescent="0.25"/>
    <row r="49883" customFormat="1" x14ac:dyDescent="0.25"/>
    <row r="49884" customFormat="1" x14ac:dyDescent="0.25"/>
    <row r="49885" customFormat="1" x14ac:dyDescent="0.25"/>
    <row r="49886" customFormat="1" x14ac:dyDescent="0.25"/>
    <row r="49887" customFormat="1" x14ac:dyDescent="0.25"/>
    <row r="49888" customFormat="1" x14ac:dyDescent="0.25"/>
    <row r="49889" customFormat="1" x14ac:dyDescent="0.25"/>
    <row r="49890" customFormat="1" x14ac:dyDescent="0.25"/>
    <row r="49891" customFormat="1" x14ac:dyDescent="0.25"/>
    <row r="49892" customFormat="1" x14ac:dyDescent="0.25"/>
    <row r="49893" customFormat="1" x14ac:dyDescent="0.25"/>
    <row r="49894" customFormat="1" x14ac:dyDescent="0.25"/>
    <row r="49895" customFormat="1" x14ac:dyDescent="0.25"/>
    <row r="49896" customFormat="1" x14ac:dyDescent="0.25"/>
    <row r="49897" customFormat="1" x14ac:dyDescent="0.25"/>
    <row r="49898" customFormat="1" x14ac:dyDescent="0.25"/>
    <row r="49899" customFormat="1" x14ac:dyDescent="0.25"/>
    <row r="49900" customFormat="1" x14ac:dyDescent="0.25"/>
    <row r="49901" customFormat="1" x14ac:dyDescent="0.25"/>
    <row r="49902" customFormat="1" x14ac:dyDescent="0.25"/>
    <row r="49903" customFormat="1" x14ac:dyDescent="0.25"/>
    <row r="49904" customFormat="1" x14ac:dyDescent="0.25"/>
    <row r="49905" customFormat="1" x14ac:dyDescent="0.25"/>
    <row r="49906" customFormat="1" x14ac:dyDescent="0.25"/>
    <row r="49907" customFormat="1" x14ac:dyDescent="0.25"/>
    <row r="49908" customFormat="1" x14ac:dyDescent="0.25"/>
    <row r="49909" customFormat="1" x14ac:dyDescent="0.25"/>
    <row r="49910" customFormat="1" x14ac:dyDescent="0.25"/>
    <row r="49911" customFormat="1" x14ac:dyDescent="0.25"/>
    <row r="49912" customFormat="1" x14ac:dyDescent="0.25"/>
    <row r="49913" customFormat="1" x14ac:dyDescent="0.25"/>
    <row r="49914" customFormat="1" x14ac:dyDescent="0.25"/>
    <row r="49915" customFormat="1" x14ac:dyDescent="0.25"/>
    <row r="49916" customFormat="1" x14ac:dyDescent="0.25"/>
    <row r="49917" customFormat="1" x14ac:dyDescent="0.25"/>
    <row r="49918" customFormat="1" x14ac:dyDescent="0.25"/>
    <row r="49919" customFormat="1" x14ac:dyDescent="0.25"/>
    <row r="49920" customFormat="1" x14ac:dyDescent="0.25"/>
    <row r="49921" customFormat="1" x14ac:dyDescent="0.25"/>
    <row r="49922" customFormat="1" x14ac:dyDescent="0.25"/>
    <row r="49923" customFormat="1" x14ac:dyDescent="0.25"/>
    <row r="49924" customFormat="1" x14ac:dyDescent="0.25"/>
    <row r="49925" customFormat="1" x14ac:dyDescent="0.25"/>
    <row r="49926" customFormat="1" x14ac:dyDescent="0.25"/>
    <row r="49927" customFormat="1" x14ac:dyDescent="0.25"/>
    <row r="49928" customFormat="1" x14ac:dyDescent="0.25"/>
    <row r="49929" customFormat="1" x14ac:dyDescent="0.25"/>
    <row r="49930" customFormat="1" x14ac:dyDescent="0.25"/>
    <row r="49931" customFormat="1" x14ac:dyDescent="0.25"/>
    <row r="49932" customFormat="1" x14ac:dyDescent="0.25"/>
    <row r="49933" customFormat="1" x14ac:dyDescent="0.25"/>
    <row r="49934" customFormat="1" x14ac:dyDescent="0.25"/>
    <row r="49935" customFormat="1" x14ac:dyDescent="0.25"/>
    <row r="49936" customFormat="1" x14ac:dyDescent="0.25"/>
    <row r="49937" customFormat="1" x14ac:dyDescent="0.25"/>
    <row r="49938" customFormat="1" x14ac:dyDescent="0.25"/>
    <row r="49939" customFormat="1" x14ac:dyDescent="0.25"/>
    <row r="49940" customFormat="1" x14ac:dyDescent="0.25"/>
    <row r="49941" customFormat="1" x14ac:dyDescent="0.25"/>
    <row r="49942" customFormat="1" x14ac:dyDescent="0.25"/>
    <row r="49943" customFormat="1" x14ac:dyDescent="0.25"/>
    <row r="49944" customFormat="1" x14ac:dyDescent="0.25"/>
    <row r="49945" customFormat="1" x14ac:dyDescent="0.25"/>
    <row r="49946" customFormat="1" x14ac:dyDescent="0.25"/>
    <row r="49947" customFormat="1" x14ac:dyDescent="0.25"/>
    <row r="49948" customFormat="1" x14ac:dyDescent="0.25"/>
    <row r="49949" customFormat="1" x14ac:dyDescent="0.25"/>
    <row r="49950" customFormat="1" x14ac:dyDescent="0.25"/>
    <row r="49951" customFormat="1" x14ac:dyDescent="0.25"/>
    <row r="49952" customFormat="1" x14ac:dyDescent="0.25"/>
    <row r="49953" customFormat="1" x14ac:dyDescent="0.25"/>
    <row r="49954" customFormat="1" x14ac:dyDescent="0.25"/>
    <row r="49955" customFormat="1" x14ac:dyDescent="0.25"/>
    <row r="49956" customFormat="1" x14ac:dyDescent="0.25"/>
    <row r="49957" customFormat="1" x14ac:dyDescent="0.25"/>
    <row r="49958" customFormat="1" x14ac:dyDescent="0.25"/>
    <row r="49959" customFormat="1" x14ac:dyDescent="0.25"/>
    <row r="49960" customFormat="1" x14ac:dyDescent="0.25"/>
    <row r="49961" customFormat="1" x14ac:dyDescent="0.25"/>
    <row r="49962" customFormat="1" x14ac:dyDescent="0.25"/>
    <row r="49963" customFormat="1" x14ac:dyDescent="0.25"/>
    <row r="49964" customFormat="1" x14ac:dyDescent="0.25"/>
    <row r="49965" customFormat="1" x14ac:dyDescent="0.25"/>
    <row r="49966" customFormat="1" x14ac:dyDescent="0.25"/>
    <row r="49967" customFormat="1" x14ac:dyDescent="0.25"/>
    <row r="49968" customFormat="1" x14ac:dyDescent="0.25"/>
    <row r="49969" customFormat="1" x14ac:dyDescent="0.25"/>
    <row r="49970" customFormat="1" x14ac:dyDescent="0.25"/>
    <row r="49971" customFormat="1" x14ac:dyDescent="0.25"/>
    <row r="49972" customFormat="1" x14ac:dyDescent="0.25"/>
    <row r="49973" customFormat="1" x14ac:dyDescent="0.25"/>
    <row r="49974" customFormat="1" x14ac:dyDescent="0.25"/>
    <row r="49975" customFormat="1" x14ac:dyDescent="0.25"/>
    <row r="49976" customFormat="1" x14ac:dyDescent="0.25"/>
    <row r="49977" customFormat="1" x14ac:dyDescent="0.25"/>
    <row r="49978" customFormat="1" x14ac:dyDescent="0.25"/>
    <row r="49979" customFormat="1" x14ac:dyDescent="0.25"/>
    <row r="49980" customFormat="1" x14ac:dyDescent="0.25"/>
    <row r="49981" customFormat="1" x14ac:dyDescent="0.25"/>
    <row r="49982" customFormat="1" x14ac:dyDescent="0.25"/>
    <row r="49983" customFormat="1" x14ac:dyDescent="0.25"/>
    <row r="49984" customFormat="1" x14ac:dyDescent="0.25"/>
    <row r="49985" customFormat="1" x14ac:dyDescent="0.25"/>
    <row r="49986" customFormat="1" x14ac:dyDescent="0.25"/>
    <row r="49987" customFormat="1" x14ac:dyDescent="0.25"/>
    <row r="49988" customFormat="1" x14ac:dyDescent="0.25"/>
    <row r="49989" customFormat="1" x14ac:dyDescent="0.25"/>
    <row r="49990" customFormat="1" x14ac:dyDescent="0.25"/>
    <row r="49991" customFormat="1" x14ac:dyDescent="0.25"/>
    <row r="49992" customFormat="1" x14ac:dyDescent="0.25"/>
    <row r="49993" customFormat="1" x14ac:dyDescent="0.25"/>
    <row r="49994" customFormat="1" x14ac:dyDescent="0.25"/>
    <row r="49995" customFormat="1" x14ac:dyDescent="0.25"/>
    <row r="49996" customFormat="1" x14ac:dyDescent="0.25"/>
    <row r="49997" customFormat="1" x14ac:dyDescent="0.25"/>
    <row r="49998" customFormat="1" x14ac:dyDescent="0.25"/>
    <row r="49999" customFormat="1" x14ac:dyDescent="0.25"/>
    <row r="50000" customFormat="1" x14ac:dyDescent="0.25"/>
    <row r="50001" customFormat="1" x14ac:dyDescent="0.25"/>
    <row r="50002" customFormat="1" x14ac:dyDescent="0.25"/>
    <row r="50003" customFormat="1" x14ac:dyDescent="0.25"/>
    <row r="50004" customFormat="1" x14ac:dyDescent="0.25"/>
    <row r="50005" customFormat="1" x14ac:dyDescent="0.25"/>
    <row r="50006" customFormat="1" x14ac:dyDescent="0.25"/>
    <row r="50007" customFormat="1" x14ac:dyDescent="0.25"/>
    <row r="50008" customFormat="1" x14ac:dyDescent="0.25"/>
    <row r="50009" customFormat="1" x14ac:dyDescent="0.25"/>
    <row r="50010" customFormat="1" x14ac:dyDescent="0.25"/>
    <row r="50011" customFormat="1" x14ac:dyDescent="0.25"/>
    <row r="50012" customFormat="1" x14ac:dyDescent="0.25"/>
    <row r="50013" customFormat="1" x14ac:dyDescent="0.25"/>
    <row r="50014" customFormat="1" x14ac:dyDescent="0.25"/>
    <row r="50015" customFormat="1" x14ac:dyDescent="0.25"/>
    <row r="50016" customFormat="1" x14ac:dyDescent="0.25"/>
    <row r="50017" customFormat="1" x14ac:dyDescent="0.25"/>
    <row r="50018" customFormat="1" x14ac:dyDescent="0.25"/>
    <row r="50019" customFormat="1" x14ac:dyDescent="0.25"/>
    <row r="50020" customFormat="1" x14ac:dyDescent="0.25"/>
    <row r="50021" customFormat="1" x14ac:dyDescent="0.25"/>
    <row r="50022" customFormat="1" x14ac:dyDescent="0.25"/>
    <row r="50023" customFormat="1" x14ac:dyDescent="0.25"/>
    <row r="50024" customFormat="1" x14ac:dyDescent="0.25"/>
    <row r="50025" customFormat="1" x14ac:dyDescent="0.25"/>
    <row r="50026" customFormat="1" x14ac:dyDescent="0.25"/>
    <row r="50027" customFormat="1" x14ac:dyDescent="0.25"/>
    <row r="50028" customFormat="1" x14ac:dyDescent="0.25"/>
    <row r="50029" customFormat="1" x14ac:dyDescent="0.25"/>
    <row r="50030" customFormat="1" x14ac:dyDescent="0.25"/>
    <row r="50031" customFormat="1" x14ac:dyDescent="0.25"/>
    <row r="50032" customFormat="1" x14ac:dyDescent="0.25"/>
    <row r="50033" customFormat="1" x14ac:dyDescent="0.25"/>
    <row r="50034" customFormat="1" x14ac:dyDescent="0.25"/>
    <row r="50035" customFormat="1" x14ac:dyDescent="0.25"/>
    <row r="50036" customFormat="1" x14ac:dyDescent="0.25"/>
    <row r="50037" customFormat="1" x14ac:dyDescent="0.25"/>
    <row r="50038" customFormat="1" x14ac:dyDescent="0.25"/>
    <row r="50039" customFormat="1" x14ac:dyDescent="0.25"/>
    <row r="50040" customFormat="1" x14ac:dyDescent="0.25"/>
    <row r="50041" customFormat="1" x14ac:dyDescent="0.25"/>
    <row r="50042" customFormat="1" x14ac:dyDescent="0.25"/>
    <row r="50043" customFormat="1" x14ac:dyDescent="0.25"/>
    <row r="50044" customFormat="1" x14ac:dyDescent="0.25"/>
    <row r="50045" customFormat="1" x14ac:dyDescent="0.25"/>
    <row r="50046" customFormat="1" x14ac:dyDescent="0.25"/>
    <row r="50047" customFormat="1" x14ac:dyDescent="0.25"/>
    <row r="50048" customFormat="1" x14ac:dyDescent="0.25"/>
    <row r="50049" customFormat="1" x14ac:dyDescent="0.25"/>
    <row r="50050" customFormat="1" x14ac:dyDescent="0.25"/>
    <row r="50051" customFormat="1" x14ac:dyDescent="0.25"/>
    <row r="50052" customFormat="1" x14ac:dyDescent="0.25"/>
    <row r="50053" customFormat="1" x14ac:dyDescent="0.25"/>
    <row r="50054" customFormat="1" x14ac:dyDescent="0.25"/>
    <row r="50055" customFormat="1" x14ac:dyDescent="0.25"/>
    <row r="50056" customFormat="1" x14ac:dyDescent="0.25"/>
    <row r="50057" customFormat="1" x14ac:dyDescent="0.25"/>
    <row r="50058" customFormat="1" x14ac:dyDescent="0.25"/>
    <row r="50059" customFormat="1" x14ac:dyDescent="0.25"/>
    <row r="50060" customFormat="1" x14ac:dyDescent="0.25"/>
    <row r="50061" customFormat="1" x14ac:dyDescent="0.25"/>
    <row r="50062" customFormat="1" x14ac:dyDescent="0.25"/>
    <row r="50063" customFormat="1" x14ac:dyDescent="0.25"/>
    <row r="50064" customFormat="1" x14ac:dyDescent="0.25"/>
    <row r="50065" customFormat="1" x14ac:dyDescent="0.25"/>
    <row r="50066" customFormat="1" x14ac:dyDescent="0.25"/>
    <row r="50067" customFormat="1" x14ac:dyDescent="0.25"/>
    <row r="50068" customFormat="1" x14ac:dyDescent="0.25"/>
    <row r="50069" customFormat="1" x14ac:dyDescent="0.25"/>
    <row r="50070" customFormat="1" x14ac:dyDescent="0.25"/>
    <row r="50071" customFormat="1" x14ac:dyDescent="0.25"/>
    <row r="50072" customFormat="1" x14ac:dyDescent="0.25"/>
    <row r="50073" customFormat="1" x14ac:dyDescent="0.25"/>
    <row r="50074" customFormat="1" x14ac:dyDescent="0.25"/>
    <row r="50075" customFormat="1" x14ac:dyDescent="0.25"/>
    <row r="50076" customFormat="1" x14ac:dyDescent="0.25"/>
    <row r="50077" customFormat="1" x14ac:dyDescent="0.25"/>
    <row r="50078" customFormat="1" x14ac:dyDescent="0.25"/>
    <row r="50079" customFormat="1" x14ac:dyDescent="0.25"/>
    <row r="50080" customFormat="1" x14ac:dyDescent="0.25"/>
    <row r="50081" customFormat="1" x14ac:dyDescent="0.25"/>
    <row r="50082" customFormat="1" x14ac:dyDescent="0.25"/>
    <row r="50083" customFormat="1" x14ac:dyDescent="0.25"/>
    <row r="50084" customFormat="1" x14ac:dyDescent="0.25"/>
    <row r="50085" customFormat="1" x14ac:dyDescent="0.25"/>
    <row r="50086" customFormat="1" x14ac:dyDescent="0.25"/>
    <row r="50087" customFormat="1" x14ac:dyDescent="0.25"/>
    <row r="50088" customFormat="1" x14ac:dyDescent="0.25"/>
    <row r="50089" customFormat="1" x14ac:dyDescent="0.25"/>
    <row r="50090" customFormat="1" x14ac:dyDescent="0.25"/>
    <row r="50091" customFormat="1" x14ac:dyDescent="0.25"/>
    <row r="50092" customFormat="1" x14ac:dyDescent="0.25"/>
    <row r="50093" customFormat="1" x14ac:dyDescent="0.25"/>
    <row r="50094" customFormat="1" x14ac:dyDescent="0.25"/>
    <row r="50095" customFormat="1" x14ac:dyDescent="0.25"/>
    <row r="50096" customFormat="1" x14ac:dyDescent="0.25"/>
    <row r="50097" customFormat="1" x14ac:dyDescent="0.25"/>
    <row r="50098" customFormat="1" x14ac:dyDescent="0.25"/>
    <row r="50099" customFormat="1" x14ac:dyDescent="0.25"/>
    <row r="50100" customFormat="1" x14ac:dyDescent="0.25"/>
    <row r="50101" customFormat="1" x14ac:dyDescent="0.25"/>
    <row r="50102" customFormat="1" x14ac:dyDescent="0.25"/>
    <row r="50103" customFormat="1" x14ac:dyDescent="0.25"/>
    <row r="50104" customFormat="1" x14ac:dyDescent="0.25"/>
    <row r="50105" customFormat="1" x14ac:dyDescent="0.25"/>
    <row r="50106" customFormat="1" x14ac:dyDescent="0.25"/>
    <row r="50107" customFormat="1" x14ac:dyDescent="0.25"/>
    <row r="50108" customFormat="1" x14ac:dyDescent="0.25"/>
    <row r="50109" customFormat="1" x14ac:dyDescent="0.25"/>
    <row r="50110" customFormat="1" x14ac:dyDescent="0.25"/>
    <row r="50111" customFormat="1" x14ac:dyDescent="0.25"/>
    <row r="50112" customFormat="1" x14ac:dyDescent="0.25"/>
    <row r="50113" customFormat="1" x14ac:dyDescent="0.25"/>
    <row r="50114" customFormat="1" x14ac:dyDescent="0.25"/>
    <row r="50115" customFormat="1" x14ac:dyDescent="0.25"/>
    <row r="50116" customFormat="1" x14ac:dyDescent="0.25"/>
    <row r="50117" customFormat="1" x14ac:dyDescent="0.25"/>
    <row r="50118" customFormat="1" x14ac:dyDescent="0.25"/>
    <row r="50119" customFormat="1" x14ac:dyDescent="0.25"/>
    <row r="50120" customFormat="1" x14ac:dyDescent="0.25"/>
    <row r="50121" customFormat="1" x14ac:dyDescent="0.25"/>
    <row r="50122" customFormat="1" x14ac:dyDescent="0.25"/>
    <row r="50123" customFormat="1" x14ac:dyDescent="0.25"/>
    <row r="50124" customFormat="1" x14ac:dyDescent="0.25"/>
    <row r="50125" customFormat="1" x14ac:dyDescent="0.25"/>
    <row r="50126" customFormat="1" x14ac:dyDescent="0.25"/>
    <row r="50127" customFormat="1" x14ac:dyDescent="0.25"/>
    <row r="50128" customFormat="1" x14ac:dyDescent="0.25"/>
    <row r="50129" customFormat="1" x14ac:dyDescent="0.25"/>
    <row r="50130" customFormat="1" x14ac:dyDescent="0.25"/>
    <row r="50131" customFormat="1" x14ac:dyDescent="0.25"/>
    <row r="50132" customFormat="1" x14ac:dyDescent="0.25"/>
    <row r="50133" customFormat="1" x14ac:dyDescent="0.25"/>
    <row r="50134" customFormat="1" x14ac:dyDescent="0.25"/>
    <row r="50135" customFormat="1" x14ac:dyDescent="0.25"/>
    <row r="50136" customFormat="1" x14ac:dyDescent="0.25"/>
    <row r="50137" customFormat="1" x14ac:dyDescent="0.25"/>
    <row r="50138" customFormat="1" x14ac:dyDescent="0.25"/>
    <row r="50139" customFormat="1" x14ac:dyDescent="0.25"/>
    <row r="50140" customFormat="1" x14ac:dyDescent="0.25"/>
    <row r="50141" customFormat="1" x14ac:dyDescent="0.25"/>
    <row r="50142" customFormat="1" x14ac:dyDescent="0.25"/>
    <row r="50143" customFormat="1" x14ac:dyDescent="0.25"/>
    <row r="50144" customFormat="1" x14ac:dyDescent="0.25"/>
    <row r="50145" customFormat="1" x14ac:dyDescent="0.25"/>
    <row r="50146" customFormat="1" x14ac:dyDescent="0.25"/>
    <row r="50147" customFormat="1" x14ac:dyDescent="0.25"/>
    <row r="50148" customFormat="1" x14ac:dyDescent="0.25"/>
    <row r="50149" customFormat="1" x14ac:dyDescent="0.25"/>
    <row r="50150" customFormat="1" x14ac:dyDescent="0.25"/>
    <row r="50151" customFormat="1" x14ac:dyDescent="0.25"/>
    <row r="50152" customFormat="1" x14ac:dyDescent="0.25"/>
    <row r="50153" customFormat="1" x14ac:dyDescent="0.25"/>
    <row r="50154" customFormat="1" x14ac:dyDescent="0.25"/>
    <row r="50155" customFormat="1" x14ac:dyDescent="0.25"/>
    <row r="50156" customFormat="1" x14ac:dyDescent="0.25"/>
    <row r="50157" customFormat="1" x14ac:dyDescent="0.25"/>
    <row r="50158" customFormat="1" x14ac:dyDescent="0.25"/>
    <row r="50159" customFormat="1" x14ac:dyDescent="0.25"/>
    <row r="50160" customFormat="1" x14ac:dyDescent="0.25"/>
    <row r="50161" customFormat="1" x14ac:dyDescent="0.25"/>
    <row r="50162" customFormat="1" x14ac:dyDescent="0.25"/>
    <row r="50163" customFormat="1" x14ac:dyDescent="0.25"/>
    <row r="50164" customFormat="1" x14ac:dyDescent="0.25"/>
    <row r="50165" customFormat="1" x14ac:dyDescent="0.25"/>
    <row r="50166" customFormat="1" x14ac:dyDescent="0.25"/>
    <row r="50167" customFormat="1" x14ac:dyDescent="0.25"/>
    <row r="50168" customFormat="1" x14ac:dyDescent="0.25"/>
    <row r="50169" customFormat="1" x14ac:dyDescent="0.25"/>
    <row r="50170" customFormat="1" x14ac:dyDescent="0.25"/>
    <row r="50171" customFormat="1" x14ac:dyDescent="0.25"/>
    <row r="50172" customFormat="1" x14ac:dyDescent="0.25"/>
    <row r="50173" customFormat="1" x14ac:dyDescent="0.25"/>
    <row r="50174" customFormat="1" x14ac:dyDescent="0.25"/>
    <row r="50175" customFormat="1" x14ac:dyDescent="0.25"/>
    <row r="50176" customFormat="1" x14ac:dyDescent="0.25"/>
    <row r="50177" customFormat="1" x14ac:dyDescent="0.25"/>
    <row r="50178" customFormat="1" x14ac:dyDescent="0.25"/>
    <row r="50179" customFormat="1" x14ac:dyDescent="0.25"/>
    <row r="50180" customFormat="1" x14ac:dyDescent="0.25"/>
    <row r="50181" customFormat="1" x14ac:dyDescent="0.25"/>
    <row r="50182" customFormat="1" x14ac:dyDescent="0.25"/>
    <row r="50183" customFormat="1" x14ac:dyDescent="0.25"/>
    <row r="50184" customFormat="1" x14ac:dyDescent="0.25"/>
    <row r="50185" customFormat="1" x14ac:dyDescent="0.25"/>
    <row r="50186" customFormat="1" x14ac:dyDescent="0.25"/>
    <row r="50187" customFormat="1" x14ac:dyDescent="0.25"/>
    <row r="50188" customFormat="1" x14ac:dyDescent="0.25"/>
    <row r="50189" customFormat="1" x14ac:dyDescent="0.25"/>
    <row r="50190" customFormat="1" x14ac:dyDescent="0.25"/>
    <row r="50191" customFormat="1" x14ac:dyDescent="0.25"/>
    <row r="50192" customFormat="1" x14ac:dyDescent="0.25"/>
    <row r="50193" customFormat="1" x14ac:dyDescent="0.25"/>
    <row r="50194" customFormat="1" x14ac:dyDescent="0.25"/>
    <row r="50195" customFormat="1" x14ac:dyDescent="0.25"/>
    <row r="50196" customFormat="1" x14ac:dyDescent="0.25"/>
    <row r="50197" customFormat="1" x14ac:dyDescent="0.25"/>
    <row r="50198" customFormat="1" x14ac:dyDescent="0.25"/>
    <row r="50199" customFormat="1" x14ac:dyDescent="0.25"/>
    <row r="50200" customFormat="1" x14ac:dyDescent="0.25"/>
    <row r="50201" customFormat="1" x14ac:dyDescent="0.25"/>
    <row r="50202" customFormat="1" x14ac:dyDescent="0.25"/>
    <row r="50203" customFormat="1" x14ac:dyDescent="0.25"/>
    <row r="50204" customFormat="1" x14ac:dyDescent="0.25"/>
    <row r="50205" customFormat="1" x14ac:dyDescent="0.25"/>
    <row r="50206" customFormat="1" x14ac:dyDescent="0.25"/>
    <row r="50207" customFormat="1" x14ac:dyDescent="0.25"/>
    <row r="50208" customFormat="1" x14ac:dyDescent="0.25"/>
    <row r="50209" customFormat="1" x14ac:dyDescent="0.25"/>
    <row r="50210" customFormat="1" x14ac:dyDescent="0.25"/>
    <row r="50211" customFormat="1" x14ac:dyDescent="0.25"/>
    <row r="50212" customFormat="1" x14ac:dyDescent="0.25"/>
    <row r="50213" customFormat="1" x14ac:dyDescent="0.25"/>
    <row r="50214" customFormat="1" x14ac:dyDescent="0.25"/>
    <row r="50215" customFormat="1" x14ac:dyDescent="0.25"/>
    <row r="50216" customFormat="1" x14ac:dyDescent="0.25"/>
    <row r="50217" customFormat="1" x14ac:dyDescent="0.25"/>
    <row r="50218" customFormat="1" x14ac:dyDescent="0.25"/>
    <row r="50219" customFormat="1" x14ac:dyDescent="0.25"/>
    <row r="50220" customFormat="1" x14ac:dyDescent="0.25"/>
    <row r="50221" customFormat="1" x14ac:dyDescent="0.25"/>
    <row r="50222" customFormat="1" x14ac:dyDescent="0.25"/>
    <row r="50223" customFormat="1" x14ac:dyDescent="0.25"/>
    <row r="50224" customFormat="1" x14ac:dyDescent="0.25"/>
    <row r="50225" customFormat="1" x14ac:dyDescent="0.25"/>
    <row r="50226" customFormat="1" x14ac:dyDescent="0.25"/>
    <row r="50227" customFormat="1" x14ac:dyDescent="0.25"/>
    <row r="50228" customFormat="1" x14ac:dyDescent="0.25"/>
    <row r="50229" customFormat="1" x14ac:dyDescent="0.25"/>
    <row r="50230" customFormat="1" x14ac:dyDescent="0.25"/>
    <row r="50231" customFormat="1" x14ac:dyDescent="0.25"/>
    <row r="50232" customFormat="1" x14ac:dyDescent="0.25"/>
    <row r="50233" customFormat="1" x14ac:dyDescent="0.25"/>
    <row r="50234" customFormat="1" x14ac:dyDescent="0.25"/>
    <row r="50235" customFormat="1" x14ac:dyDescent="0.25"/>
    <row r="50236" customFormat="1" x14ac:dyDescent="0.25"/>
    <row r="50237" customFormat="1" x14ac:dyDescent="0.25"/>
    <row r="50238" customFormat="1" x14ac:dyDescent="0.25"/>
    <row r="50239" customFormat="1" x14ac:dyDescent="0.25"/>
    <row r="50240" customFormat="1" x14ac:dyDescent="0.25"/>
    <row r="50241" customFormat="1" x14ac:dyDescent="0.25"/>
    <row r="50242" customFormat="1" x14ac:dyDescent="0.25"/>
    <row r="50243" customFormat="1" x14ac:dyDescent="0.25"/>
    <row r="50244" customFormat="1" x14ac:dyDescent="0.25"/>
    <row r="50245" customFormat="1" x14ac:dyDescent="0.25"/>
    <row r="50246" customFormat="1" x14ac:dyDescent="0.25"/>
    <row r="50247" customFormat="1" x14ac:dyDescent="0.25"/>
    <row r="50248" customFormat="1" x14ac:dyDescent="0.25"/>
    <row r="50249" customFormat="1" x14ac:dyDescent="0.25"/>
    <row r="50250" customFormat="1" x14ac:dyDescent="0.25"/>
    <row r="50251" customFormat="1" x14ac:dyDescent="0.25"/>
    <row r="50252" customFormat="1" x14ac:dyDescent="0.25"/>
    <row r="50253" customFormat="1" x14ac:dyDescent="0.25"/>
    <row r="50254" customFormat="1" x14ac:dyDescent="0.25"/>
    <row r="50255" customFormat="1" x14ac:dyDescent="0.25"/>
    <row r="50256" customFormat="1" x14ac:dyDescent="0.25"/>
    <row r="50257" customFormat="1" x14ac:dyDescent="0.25"/>
    <row r="50258" customFormat="1" x14ac:dyDescent="0.25"/>
    <row r="50259" customFormat="1" x14ac:dyDescent="0.25"/>
    <row r="50260" customFormat="1" x14ac:dyDescent="0.25"/>
    <row r="50261" customFormat="1" x14ac:dyDescent="0.25"/>
    <row r="50262" customFormat="1" x14ac:dyDescent="0.25"/>
    <row r="50263" customFormat="1" x14ac:dyDescent="0.25"/>
    <row r="50264" customFormat="1" x14ac:dyDescent="0.25"/>
    <row r="50265" customFormat="1" x14ac:dyDescent="0.25"/>
    <row r="50266" customFormat="1" x14ac:dyDescent="0.25"/>
    <row r="50267" customFormat="1" x14ac:dyDescent="0.25"/>
    <row r="50268" customFormat="1" x14ac:dyDescent="0.25"/>
    <row r="50269" customFormat="1" x14ac:dyDescent="0.25"/>
    <row r="50270" customFormat="1" x14ac:dyDescent="0.25"/>
    <row r="50271" customFormat="1" x14ac:dyDescent="0.25"/>
    <row r="50272" customFormat="1" x14ac:dyDescent="0.25"/>
    <row r="50273" customFormat="1" x14ac:dyDescent="0.25"/>
    <row r="50274" customFormat="1" x14ac:dyDescent="0.25"/>
    <row r="50275" customFormat="1" x14ac:dyDescent="0.25"/>
    <row r="50276" customFormat="1" x14ac:dyDescent="0.25"/>
    <row r="50277" customFormat="1" x14ac:dyDescent="0.25"/>
    <row r="50278" customFormat="1" x14ac:dyDescent="0.25"/>
    <row r="50279" customFormat="1" x14ac:dyDescent="0.25"/>
    <row r="50280" customFormat="1" x14ac:dyDescent="0.25"/>
    <row r="50281" customFormat="1" x14ac:dyDescent="0.25"/>
    <row r="50282" customFormat="1" x14ac:dyDescent="0.25"/>
    <row r="50283" customFormat="1" x14ac:dyDescent="0.25"/>
    <row r="50284" customFormat="1" x14ac:dyDescent="0.25"/>
    <row r="50285" customFormat="1" x14ac:dyDescent="0.25"/>
    <row r="50286" customFormat="1" x14ac:dyDescent="0.25"/>
    <row r="50287" customFormat="1" x14ac:dyDescent="0.25"/>
    <row r="50288" customFormat="1" x14ac:dyDescent="0.25"/>
    <row r="50289" customFormat="1" x14ac:dyDescent="0.25"/>
    <row r="50290" customFormat="1" x14ac:dyDescent="0.25"/>
    <row r="50291" customFormat="1" x14ac:dyDescent="0.25"/>
    <row r="50292" customFormat="1" x14ac:dyDescent="0.25"/>
    <row r="50293" customFormat="1" x14ac:dyDescent="0.25"/>
    <row r="50294" customFormat="1" x14ac:dyDescent="0.25"/>
    <row r="50295" customFormat="1" x14ac:dyDescent="0.25"/>
    <row r="50296" customFormat="1" x14ac:dyDescent="0.25"/>
    <row r="50297" customFormat="1" x14ac:dyDescent="0.25"/>
    <row r="50298" customFormat="1" x14ac:dyDescent="0.25"/>
    <row r="50299" customFormat="1" x14ac:dyDescent="0.25"/>
    <row r="50300" customFormat="1" x14ac:dyDescent="0.25"/>
    <row r="50301" customFormat="1" x14ac:dyDescent="0.25"/>
    <row r="50302" customFormat="1" x14ac:dyDescent="0.25"/>
    <row r="50303" customFormat="1" x14ac:dyDescent="0.25"/>
    <row r="50304" customFormat="1" x14ac:dyDescent="0.25"/>
    <row r="50305" customFormat="1" x14ac:dyDescent="0.25"/>
    <row r="50306" customFormat="1" x14ac:dyDescent="0.25"/>
    <row r="50307" customFormat="1" x14ac:dyDescent="0.25"/>
    <row r="50308" customFormat="1" x14ac:dyDescent="0.25"/>
    <row r="50309" customFormat="1" x14ac:dyDescent="0.25"/>
    <row r="50310" customFormat="1" x14ac:dyDescent="0.25"/>
    <row r="50311" customFormat="1" x14ac:dyDescent="0.25"/>
    <row r="50312" customFormat="1" x14ac:dyDescent="0.25"/>
    <row r="50313" customFormat="1" x14ac:dyDescent="0.25"/>
    <row r="50314" customFormat="1" x14ac:dyDescent="0.25"/>
    <row r="50315" customFormat="1" x14ac:dyDescent="0.25"/>
    <row r="50316" customFormat="1" x14ac:dyDescent="0.25"/>
    <row r="50317" customFormat="1" x14ac:dyDescent="0.25"/>
    <row r="50318" customFormat="1" x14ac:dyDescent="0.25"/>
    <row r="50319" customFormat="1" x14ac:dyDescent="0.25"/>
    <row r="50320" customFormat="1" x14ac:dyDescent="0.25"/>
    <row r="50321" customFormat="1" x14ac:dyDescent="0.25"/>
    <row r="50322" customFormat="1" x14ac:dyDescent="0.25"/>
    <row r="50323" customFormat="1" x14ac:dyDescent="0.25"/>
    <row r="50324" customFormat="1" x14ac:dyDescent="0.25"/>
    <row r="50325" customFormat="1" x14ac:dyDescent="0.25"/>
    <row r="50326" customFormat="1" x14ac:dyDescent="0.25"/>
    <row r="50327" customFormat="1" x14ac:dyDescent="0.25"/>
    <row r="50328" customFormat="1" x14ac:dyDescent="0.25"/>
    <row r="50329" customFormat="1" x14ac:dyDescent="0.25"/>
    <row r="50330" customFormat="1" x14ac:dyDescent="0.25"/>
    <row r="50331" customFormat="1" x14ac:dyDescent="0.25"/>
    <row r="50332" customFormat="1" x14ac:dyDescent="0.25"/>
    <row r="50333" customFormat="1" x14ac:dyDescent="0.25"/>
    <row r="50334" customFormat="1" x14ac:dyDescent="0.25"/>
    <row r="50335" customFormat="1" x14ac:dyDescent="0.25"/>
    <row r="50336" customFormat="1" x14ac:dyDescent="0.25"/>
    <row r="50337" customFormat="1" x14ac:dyDescent="0.25"/>
    <row r="50338" customFormat="1" x14ac:dyDescent="0.25"/>
    <row r="50339" customFormat="1" x14ac:dyDescent="0.25"/>
    <row r="50340" customFormat="1" x14ac:dyDescent="0.25"/>
    <row r="50341" customFormat="1" x14ac:dyDescent="0.25"/>
    <row r="50342" customFormat="1" x14ac:dyDescent="0.25"/>
    <row r="50343" customFormat="1" x14ac:dyDescent="0.25"/>
    <row r="50344" customFormat="1" x14ac:dyDescent="0.25"/>
    <row r="50345" customFormat="1" x14ac:dyDescent="0.25"/>
    <row r="50346" customFormat="1" x14ac:dyDescent="0.25"/>
    <row r="50347" customFormat="1" x14ac:dyDescent="0.25"/>
    <row r="50348" customFormat="1" x14ac:dyDescent="0.25"/>
    <row r="50349" customFormat="1" x14ac:dyDescent="0.25"/>
    <row r="50350" customFormat="1" x14ac:dyDescent="0.25"/>
    <row r="50351" customFormat="1" x14ac:dyDescent="0.25"/>
    <row r="50352" customFormat="1" x14ac:dyDescent="0.25"/>
    <row r="50353" customFormat="1" x14ac:dyDescent="0.25"/>
    <row r="50354" customFormat="1" x14ac:dyDescent="0.25"/>
    <row r="50355" customFormat="1" x14ac:dyDescent="0.25"/>
    <row r="50356" customFormat="1" x14ac:dyDescent="0.25"/>
    <row r="50357" customFormat="1" x14ac:dyDescent="0.25"/>
    <row r="50358" customFormat="1" x14ac:dyDescent="0.25"/>
    <row r="50359" customFormat="1" x14ac:dyDescent="0.25"/>
    <row r="50360" customFormat="1" x14ac:dyDescent="0.25"/>
    <row r="50361" customFormat="1" x14ac:dyDescent="0.25"/>
    <row r="50362" customFormat="1" x14ac:dyDescent="0.25"/>
    <row r="50363" customFormat="1" x14ac:dyDescent="0.25"/>
    <row r="50364" customFormat="1" x14ac:dyDescent="0.25"/>
    <row r="50365" customFormat="1" x14ac:dyDescent="0.25"/>
    <row r="50366" customFormat="1" x14ac:dyDescent="0.25"/>
    <row r="50367" customFormat="1" x14ac:dyDescent="0.25"/>
    <row r="50368" customFormat="1" x14ac:dyDescent="0.25"/>
    <row r="50369" customFormat="1" x14ac:dyDescent="0.25"/>
    <row r="50370" customFormat="1" x14ac:dyDescent="0.25"/>
    <row r="50371" customFormat="1" x14ac:dyDescent="0.25"/>
    <row r="50372" customFormat="1" x14ac:dyDescent="0.25"/>
    <row r="50373" customFormat="1" x14ac:dyDescent="0.25"/>
    <row r="50374" customFormat="1" x14ac:dyDescent="0.25"/>
    <row r="50375" customFormat="1" x14ac:dyDescent="0.25"/>
    <row r="50376" customFormat="1" x14ac:dyDescent="0.25"/>
    <row r="50377" customFormat="1" x14ac:dyDescent="0.25"/>
    <row r="50378" customFormat="1" x14ac:dyDescent="0.25"/>
    <row r="50379" customFormat="1" x14ac:dyDescent="0.25"/>
    <row r="50380" customFormat="1" x14ac:dyDescent="0.25"/>
    <row r="50381" customFormat="1" x14ac:dyDescent="0.25"/>
    <row r="50382" customFormat="1" x14ac:dyDescent="0.25"/>
    <row r="50383" customFormat="1" x14ac:dyDescent="0.25"/>
    <row r="50384" customFormat="1" x14ac:dyDescent="0.25"/>
    <row r="50385" customFormat="1" x14ac:dyDescent="0.25"/>
    <row r="50386" customFormat="1" x14ac:dyDescent="0.25"/>
    <row r="50387" customFormat="1" x14ac:dyDescent="0.25"/>
    <row r="50388" customFormat="1" x14ac:dyDescent="0.25"/>
    <row r="50389" customFormat="1" x14ac:dyDescent="0.25"/>
    <row r="50390" customFormat="1" x14ac:dyDescent="0.25"/>
    <row r="50391" customFormat="1" x14ac:dyDescent="0.25"/>
    <row r="50392" customFormat="1" x14ac:dyDescent="0.25"/>
    <row r="50393" customFormat="1" x14ac:dyDescent="0.25"/>
    <row r="50394" customFormat="1" x14ac:dyDescent="0.25"/>
    <row r="50395" customFormat="1" x14ac:dyDescent="0.25"/>
    <row r="50396" customFormat="1" x14ac:dyDescent="0.25"/>
    <row r="50397" customFormat="1" x14ac:dyDescent="0.25"/>
    <row r="50398" customFormat="1" x14ac:dyDescent="0.25"/>
    <row r="50399" customFormat="1" x14ac:dyDescent="0.25"/>
    <row r="50400" customFormat="1" x14ac:dyDescent="0.25"/>
    <row r="50401" customFormat="1" x14ac:dyDescent="0.25"/>
    <row r="50402" customFormat="1" x14ac:dyDescent="0.25"/>
    <row r="50403" customFormat="1" x14ac:dyDescent="0.25"/>
    <row r="50404" customFormat="1" x14ac:dyDescent="0.25"/>
    <row r="50405" customFormat="1" x14ac:dyDescent="0.25"/>
    <row r="50406" customFormat="1" x14ac:dyDescent="0.25"/>
    <row r="50407" customFormat="1" x14ac:dyDescent="0.25"/>
    <row r="50408" customFormat="1" x14ac:dyDescent="0.25"/>
    <row r="50409" customFormat="1" x14ac:dyDescent="0.25"/>
    <row r="50410" customFormat="1" x14ac:dyDescent="0.25"/>
    <row r="50411" customFormat="1" x14ac:dyDescent="0.25"/>
    <row r="50412" customFormat="1" x14ac:dyDescent="0.25"/>
    <row r="50413" customFormat="1" x14ac:dyDescent="0.25"/>
    <row r="50414" customFormat="1" x14ac:dyDescent="0.25"/>
    <row r="50415" customFormat="1" x14ac:dyDescent="0.25"/>
    <row r="50416" customFormat="1" x14ac:dyDescent="0.25"/>
    <row r="50417" customFormat="1" x14ac:dyDescent="0.25"/>
    <row r="50418" customFormat="1" x14ac:dyDescent="0.25"/>
    <row r="50419" customFormat="1" x14ac:dyDescent="0.25"/>
    <row r="50420" customFormat="1" x14ac:dyDescent="0.25"/>
    <row r="50421" customFormat="1" x14ac:dyDescent="0.25"/>
    <row r="50422" customFormat="1" x14ac:dyDescent="0.25"/>
    <row r="50423" customFormat="1" x14ac:dyDescent="0.25"/>
    <row r="50424" customFormat="1" x14ac:dyDescent="0.25"/>
    <row r="50425" customFormat="1" x14ac:dyDescent="0.25"/>
    <row r="50426" customFormat="1" x14ac:dyDescent="0.25"/>
    <row r="50427" customFormat="1" x14ac:dyDescent="0.25"/>
    <row r="50428" customFormat="1" x14ac:dyDescent="0.25"/>
    <row r="50429" customFormat="1" x14ac:dyDescent="0.25"/>
    <row r="50430" customFormat="1" x14ac:dyDescent="0.25"/>
    <row r="50431" customFormat="1" x14ac:dyDescent="0.25"/>
    <row r="50432" customFormat="1" x14ac:dyDescent="0.25"/>
    <row r="50433" customFormat="1" x14ac:dyDescent="0.25"/>
    <row r="50434" customFormat="1" x14ac:dyDescent="0.25"/>
    <row r="50435" customFormat="1" x14ac:dyDescent="0.25"/>
    <row r="50436" customFormat="1" x14ac:dyDescent="0.25"/>
    <row r="50437" customFormat="1" x14ac:dyDescent="0.25"/>
    <row r="50438" customFormat="1" x14ac:dyDescent="0.25"/>
    <row r="50439" customFormat="1" x14ac:dyDescent="0.25"/>
    <row r="50440" customFormat="1" x14ac:dyDescent="0.25"/>
    <row r="50441" customFormat="1" x14ac:dyDescent="0.25"/>
    <row r="50442" customFormat="1" x14ac:dyDescent="0.25"/>
    <row r="50443" customFormat="1" x14ac:dyDescent="0.25"/>
    <row r="50444" customFormat="1" x14ac:dyDescent="0.25"/>
    <row r="50445" customFormat="1" x14ac:dyDescent="0.25"/>
    <row r="50446" customFormat="1" x14ac:dyDescent="0.25"/>
    <row r="50447" customFormat="1" x14ac:dyDescent="0.25"/>
    <row r="50448" customFormat="1" x14ac:dyDescent="0.25"/>
    <row r="50449" customFormat="1" x14ac:dyDescent="0.25"/>
    <row r="50450" customFormat="1" x14ac:dyDescent="0.25"/>
    <row r="50451" customFormat="1" x14ac:dyDescent="0.25"/>
    <row r="50452" customFormat="1" x14ac:dyDescent="0.25"/>
    <row r="50453" customFormat="1" x14ac:dyDescent="0.25"/>
    <row r="50454" customFormat="1" x14ac:dyDescent="0.25"/>
    <row r="50455" customFormat="1" x14ac:dyDescent="0.25"/>
    <row r="50456" customFormat="1" x14ac:dyDescent="0.25"/>
    <row r="50457" customFormat="1" x14ac:dyDescent="0.25"/>
    <row r="50458" customFormat="1" x14ac:dyDescent="0.25"/>
    <row r="50459" customFormat="1" x14ac:dyDescent="0.25"/>
    <row r="50460" customFormat="1" x14ac:dyDescent="0.25"/>
    <row r="50461" customFormat="1" x14ac:dyDescent="0.25"/>
    <row r="50462" customFormat="1" x14ac:dyDescent="0.25"/>
    <row r="50463" customFormat="1" x14ac:dyDescent="0.25"/>
    <row r="50464" customFormat="1" x14ac:dyDescent="0.25"/>
    <row r="50465" customFormat="1" x14ac:dyDescent="0.25"/>
    <row r="50466" customFormat="1" x14ac:dyDescent="0.25"/>
    <row r="50467" customFormat="1" x14ac:dyDescent="0.25"/>
    <row r="50468" customFormat="1" x14ac:dyDescent="0.25"/>
    <row r="50469" customFormat="1" x14ac:dyDescent="0.25"/>
    <row r="50470" customFormat="1" x14ac:dyDescent="0.25"/>
    <row r="50471" customFormat="1" x14ac:dyDescent="0.25"/>
    <row r="50472" customFormat="1" x14ac:dyDescent="0.25"/>
    <row r="50473" customFormat="1" x14ac:dyDescent="0.25"/>
    <row r="50474" customFormat="1" x14ac:dyDescent="0.25"/>
    <row r="50475" customFormat="1" x14ac:dyDescent="0.25"/>
    <row r="50476" customFormat="1" x14ac:dyDescent="0.25"/>
    <row r="50477" customFormat="1" x14ac:dyDescent="0.25"/>
    <row r="50478" customFormat="1" x14ac:dyDescent="0.25"/>
    <row r="50479" customFormat="1" x14ac:dyDescent="0.25"/>
    <row r="50480" customFormat="1" x14ac:dyDescent="0.25"/>
    <row r="50481" customFormat="1" x14ac:dyDescent="0.25"/>
    <row r="50482" customFormat="1" x14ac:dyDescent="0.25"/>
    <row r="50483" customFormat="1" x14ac:dyDescent="0.25"/>
    <row r="50484" customFormat="1" x14ac:dyDescent="0.25"/>
    <row r="50485" customFormat="1" x14ac:dyDescent="0.25"/>
    <row r="50486" customFormat="1" x14ac:dyDescent="0.25"/>
    <row r="50487" customFormat="1" x14ac:dyDescent="0.25"/>
    <row r="50488" customFormat="1" x14ac:dyDescent="0.25"/>
    <row r="50489" customFormat="1" x14ac:dyDescent="0.25"/>
    <row r="50490" customFormat="1" x14ac:dyDescent="0.25"/>
    <row r="50491" customFormat="1" x14ac:dyDescent="0.25"/>
    <row r="50492" customFormat="1" x14ac:dyDescent="0.25"/>
    <row r="50493" customFormat="1" x14ac:dyDescent="0.25"/>
    <row r="50494" customFormat="1" x14ac:dyDescent="0.25"/>
    <row r="50495" customFormat="1" x14ac:dyDescent="0.25"/>
    <row r="50496" customFormat="1" x14ac:dyDescent="0.25"/>
    <row r="50497" customFormat="1" x14ac:dyDescent="0.25"/>
    <row r="50498" customFormat="1" x14ac:dyDescent="0.25"/>
    <row r="50499" customFormat="1" x14ac:dyDescent="0.25"/>
    <row r="50500" customFormat="1" x14ac:dyDescent="0.25"/>
    <row r="50501" customFormat="1" x14ac:dyDescent="0.25"/>
    <row r="50502" customFormat="1" x14ac:dyDescent="0.25"/>
    <row r="50503" customFormat="1" x14ac:dyDescent="0.25"/>
    <row r="50504" customFormat="1" x14ac:dyDescent="0.25"/>
    <row r="50505" customFormat="1" x14ac:dyDescent="0.25"/>
    <row r="50506" customFormat="1" x14ac:dyDescent="0.25"/>
    <row r="50507" customFormat="1" x14ac:dyDescent="0.25"/>
    <row r="50508" customFormat="1" x14ac:dyDescent="0.25"/>
    <row r="50509" customFormat="1" x14ac:dyDescent="0.25"/>
    <row r="50510" customFormat="1" x14ac:dyDescent="0.25"/>
    <row r="50511" customFormat="1" x14ac:dyDescent="0.25"/>
    <row r="50512" customFormat="1" x14ac:dyDescent="0.25"/>
    <row r="50513" customFormat="1" x14ac:dyDescent="0.25"/>
    <row r="50514" customFormat="1" x14ac:dyDescent="0.25"/>
    <row r="50515" customFormat="1" x14ac:dyDescent="0.25"/>
    <row r="50516" customFormat="1" x14ac:dyDescent="0.25"/>
    <row r="50517" customFormat="1" x14ac:dyDescent="0.25"/>
    <row r="50518" customFormat="1" x14ac:dyDescent="0.25"/>
    <row r="50519" customFormat="1" x14ac:dyDescent="0.25"/>
    <row r="50520" customFormat="1" x14ac:dyDescent="0.25"/>
    <row r="50521" customFormat="1" x14ac:dyDescent="0.25"/>
    <row r="50522" customFormat="1" x14ac:dyDescent="0.25"/>
    <row r="50523" customFormat="1" x14ac:dyDescent="0.25"/>
    <row r="50524" customFormat="1" x14ac:dyDescent="0.25"/>
    <row r="50525" customFormat="1" x14ac:dyDescent="0.25"/>
    <row r="50526" customFormat="1" x14ac:dyDescent="0.25"/>
    <row r="50527" customFormat="1" x14ac:dyDescent="0.25"/>
    <row r="50528" customFormat="1" x14ac:dyDescent="0.25"/>
    <row r="50529" customFormat="1" x14ac:dyDescent="0.25"/>
    <row r="50530" customFormat="1" x14ac:dyDescent="0.25"/>
    <row r="50531" customFormat="1" x14ac:dyDescent="0.25"/>
    <row r="50532" customFormat="1" x14ac:dyDescent="0.25"/>
    <row r="50533" customFormat="1" x14ac:dyDescent="0.25"/>
    <row r="50534" customFormat="1" x14ac:dyDescent="0.25"/>
    <row r="50535" customFormat="1" x14ac:dyDescent="0.25"/>
    <row r="50536" customFormat="1" x14ac:dyDescent="0.25"/>
    <row r="50537" customFormat="1" x14ac:dyDescent="0.25"/>
    <row r="50538" customFormat="1" x14ac:dyDescent="0.25"/>
    <row r="50539" customFormat="1" x14ac:dyDescent="0.25"/>
    <row r="50540" customFormat="1" x14ac:dyDescent="0.25"/>
    <row r="50541" customFormat="1" x14ac:dyDescent="0.25"/>
    <row r="50542" customFormat="1" x14ac:dyDescent="0.25"/>
    <row r="50543" customFormat="1" x14ac:dyDescent="0.25"/>
    <row r="50544" customFormat="1" x14ac:dyDescent="0.25"/>
    <row r="50545" customFormat="1" x14ac:dyDescent="0.25"/>
    <row r="50546" customFormat="1" x14ac:dyDescent="0.25"/>
    <row r="50547" customFormat="1" x14ac:dyDescent="0.25"/>
    <row r="50548" customFormat="1" x14ac:dyDescent="0.25"/>
    <row r="50549" customFormat="1" x14ac:dyDescent="0.25"/>
    <row r="50550" customFormat="1" x14ac:dyDescent="0.25"/>
    <row r="50551" customFormat="1" x14ac:dyDescent="0.25"/>
    <row r="50552" customFormat="1" x14ac:dyDescent="0.25"/>
    <row r="50553" customFormat="1" x14ac:dyDescent="0.25"/>
    <row r="50554" customFormat="1" x14ac:dyDescent="0.25"/>
    <row r="50555" customFormat="1" x14ac:dyDescent="0.25"/>
    <row r="50556" customFormat="1" x14ac:dyDescent="0.25"/>
    <row r="50557" customFormat="1" x14ac:dyDescent="0.25"/>
    <row r="50558" customFormat="1" x14ac:dyDescent="0.25"/>
    <row r="50559" customFormat="1" x14ac:dyDescent="0.25"/>
    <row r="50560" customFormat="1" x14ac:dyDescent="0.25"/>
    <row r="50561" customFormat="1" x14ac:dyDescent="0.25"/>
    <row r="50562" customFormat="1" x14ac:dyDescent="0.25"/>
    <row r="50563" customFormat="1" x14ac:dyDescent="0.25"/>
    <row r="50564" customFormat="1" x14ac:dyDescent="0.25"/>
    <row r="50565" customFormat="1" x14ac:dyDescent="0.25"/>
    <row r="50566" customFormat="1" x14ac:dyDescent="0.25"/>
    <row r="50567" customFormat="1" x14ac:dyDescent="0.25"/>
    <row r="50568" customFormat="1" x14ac:dyDescent="0.25"/>
    <row r="50569" customFormat="1" x14ac:dyDescent="0.25"/>
    <row r="50570" customFormat="1" x14ac:dyDescent="0.25"/>
    <row r="50571" customFormat="1" x14ac:dyDescent="0.25"/>
    <row r="50572" customFormat="1" x14ac:dyDescent="0.25"/>
    <row r="50573" customFormat="1" x14ac:dyDescent="0.25"/>
    <row r="50574" customFormat="1" x14ac:dyDescent="0.25"/>
    <row r="50575" customFormat="1" x14ac:dyDescent="0.25"/>
    <row r="50576" customFormat="1" x14ac:dyDescent="0.25"/>
    <row r="50577" customFormat="1" x14ac:dyDescent="0.25"/>
    <row r="50578" customFormat="1" x14ac:dyDescent="0.25"/>
    <row r="50579" customFormat="1" x14ac:dyDescent="0.25"/>
    <row r="50580" customFormat="1" x14ac:dyDescent="0.25"/>
    <row r="50581" customFormat="1" x14ac:dyDescent="0.25"/>
    <row r="50582" customFormat="1" x14ac:dyDescent="0.25"/>
    <row r="50583" customFormat="1" x14ac:dyDescent="0.25"/>
    <row r="50584" customFormat="1" x14ac:dyDescent="0.25"/>
    <row r="50585" customFormat="1" x14ac:dyDescent="0.25"/>
    <row r="50586" customFormat="1" x14ac:dyDescent="0.25"/>
    <row r="50587" customFormat="1" x14ac:dyDescent="0.25"/>
    <row r="50588" customFormat="1" x14ac:dyDescent="0.25"/>
    <row r="50589" customFormat="1" x14ac:dyDescent="0.25"/>
    <row r="50590" customFormat="1" x14ac:dyDescent="0.25"/>
    <row r="50591" customFormat="1" x14ac:dyDescent="0.25"/>
    <row r="50592" customFormat="1" x14ac:dyDescent="0.25"/>
    <row r="50593" customFormat="1" x14ac:dyDescent="0.25"/>
    <row r="50594" customFormat="1" x14ac:dyDescent="0.25"/>
    <row r="50595" customFormat="1" x14ac:dyDescent="0.25"/>
    <row r="50596" customFormat="1" x14ac:dyDescent="0.25"/>
    <row r="50597" customFormat="1" x14ac:dyDescent="0.25"/>
    <row r="50598" customFormat="1" x14ac:dyDescent="0.25"/>
    <row r="50599" customFormat="1" x14ac:dyDescent="0.25"/>
    <row r="50600" customFormat="1" x14ac:dyDescent="0.25"/>
    <row r="50601" customFormat="1" x14ac:dyDescent="0.25"/>
    <row r="50602" customFormat="1" x14ac:dyDescent="0.25"/>
    <row r="50603" customFormat="1" x14ac:dyDescent="0.25"/>
    <row r="50604" customFormat="1" x14ac:dyDescent="0.25"/>
    <row r="50605" customFormat="1" x14ac:dyDescent="0.25"/>
    <row r="50606" customFormat="1" x14ac:dyDescent="0.25"/>
    <row r="50607" customFormat="1" x14ac:dyDescent="0.25"/>
    <row r="50608" customFormat="1" x14ac:dyDescent="0.25"/>
    <row r="50609" customFormat="1" x14ac:dyDescent="0.25"/>
    <row r="50610" customFormat="1" x14ac:dyDescent="0.25"/>
    <row r="50611" customFormat="1" x14ac:dyDescent="0.25"/>
    <row r="50612" customFormat="1" x14ac:dyDescent="0.25"/>
    <row r="50613" customFormat="1" x14ac:dyDescent="0.25"/>
    <row r="50614" customFormat="1" x14ac:dyDescent="0.25"/>
    <row r="50615" customFormat="1" x14ac:dyDescent="0.25"/>
    <row r="50616" customFormat="1" x14ac:dyDescent="0.25"/>
    <row r="50617" customFormat="1" x14ac:dyDescent="0.25"/>
    <row r="50618" customFormat="1" x14ac:dyDescent="0.25"/>
    <row r="50619" customFormat="1" x14ac:dyDescent="0.25"/>
    <row r="50620" customFormat="1" x14ac:dyDescent="0.25"/>
    <row r="50621" customFormat="1" x14ac:dyDescent="0.25"/>
    <row r="50622" customFormat="1" x14ac:dyDescent="0.25"/>
    <row r="50623" customFormat="1" x14ac:dyDescent="0.25"/>
    <row r="50624" customFormat="1" x14ac:dyDescent="0.25"/>
    <row r="50625" customFormat="1" x14ac:dyDescent="0.25"/>
    <row r="50626" customFormat="1" x14ac:dyDescent="0.25"/>
    <row r="50627" customFormat="1" x14ac:dyDescent="0.25"/>
    <row r="50628" customFormat="1" x14ac:dyDescent="0.25"/>
    <row r="50629" customFormat="1" x14ac:dyDescent="0.25"/>
    <row r="50630" customFormat="1" x14ac:dyDescent="0.25"/>
    <row r="50631" customFormat="1" x14ac:dyDescent="0.25"/>
    <row r="50632" customFormat="1" x14ac:dyDescent="0.25"/>
    <row r="50633" customFormat="1" x14ac:dyDescent="0.25"/>
    <row r="50634" customFormat="1" x14ac:dyDescent="0.25"/>
    <row r="50635" customFormat="1" x14ac:dyDescent="0.25"/>
    <row r="50636" customFormat="1" x14ac:dyDescent="0.25"/>
    <row r="50637" customFormat="1" x14ac:dyDescent="0.25"/>
    <row r="50638" customFormat="1" x14ac:dyDescent="0.25"/>
    <row r="50639" customFormat="1" x14ac:dyDescent="0.25"/>
    <row r="50640" customFormat="1" x14ac:dyDescent="0.25"/>
    <row r="50641" customFormat="1" x14ac:dyDescent="0.25"/>
    <row r="50642" customFormat="1" x14ac:dyDescent="0.25"/>
    <row r="50643" customFormat="1" x14ac:dyDescent="0.25"/>
    <row r="50644" customFormat="1" x14ac:dyDescent="0.25"/>
    <row r="50645" customFormat="1" x14ac:dyDescent="0.25"/>
    <row r="50646" customFormat="1" x14ac:dyDescent="0.25"/>
    <row r="50647" customFormat="1" x14ac:dyDescent="0.25"/>
    <row r="50648" customFormat="1" x14ac:dyDescent="0.25"/>
    <row r="50649" customFormat="1" x14ac:dyDescent="0.25"/>
    <row r="50650" customFormat="1" x14ac:dyDescent="0.25"/>
    <row r="50651" customFormat="1" x14ac:dyDescent="0.25"/>
    <row r="50652" customFormat="1" x14ac:dyDescent="0.25"/>
    <row r="50653" customFormat="1" x14ac:dyDescent="0.25"/>
    <row r="50654" customFormat="1" x14ac:dyDescent="0.25"/>
    <row r="50655" customFormat="1" x14ac:dyDescent="0.25"/>
    <row r="50656" customFormat="1" x14ac:dyDescent="0.25"/>
    <row r="50657" customFormat="1" x14ac:dyDescent="0.25"/>
    <row r="50658" customFormat="1" x14ac:dyDescent="0.25"/>
    <row r="50659" customFormat="1" x14ac:dyDescent="0.25"/>
    <row r="50660" customFormat="1" x14ac:dyDescent="0.25"/>
    <row r="50661" customFormat="1" x14ac:dyDescent="0.25"/>
    <row r="50662" customFormat="1" x14ac:dyDescent="0.25"/>
    <row r="50663" customFormat="1" x14ac:dyDescent="0.25"/>
    <row r="50664" customFormat="1" x14ac:dyDescent="0.25"/>
    <row r="50665" customFormat="1" x14ac:dyDescent="0.25"/>
    <row r="50666" customFormat="1" x14ac:dyDescent="0.25"/>
    <row r="50667" customFormat="1" x14ac:dyDescent="0.25"/>
    <row r="50668" customFormat="1" x14ac:dyDescent="0.25"/>
    <row r="50669" customFormat="1" x14ac:dyDescent="0.25"/>
    <row r="50670" customFormat="1" x14ac:dyDescent="0.25"/>
    <row r="50671" customFormat="1" x14ac:dyDescent="0.25"/>
    <row r="50672" customFormat="1" x14ac:dyDescent="0.25"/>
    <row r="50673" customFormat="1" x14ac:dyDescent="0.25"/>
    <row r="50674" customFormat="1" x14ac:dyDescent="0.25"/>
    <row r="50675" customFormat="1" x14ac:dyDescent="0.25"/>
    <row r="50676" customFormat="1" x14ac:dyDescent="0.25"/>
    <row r="50677" customFormat="1" x14ac:dyDescent="0.25"/>
    <row r="50678" customFormat="1" x14ac:dyDescent="0.25"/>
    <row r="50679" customFormat="1" x14ac:dyDescent="0.25"/>
    <row r="50680" customFormat="1" x14ac:dyDescent="0.25"/>
    <row r="50681" customFormat="1" x14ac:dyDescent="0.25"/>
    <row r="50682" customFormat="1" x14ac:dyDescent="0.25"/>
    <row r="50683" customFormat="1" x14ac:dyDescent="0.25"/>
    <row r="50684" customFormat="1" x14ac:dyDescent="0.25"/>
    <row r="50685" customFormat="1" x14ac:dyDescent="0.25"/>
    <row r="50686" customFormat="1" x14ac:dyDescent="0.25"/>
    <row r="50687" customFormat="1" x14ac:dyDescent="0.25"/>
    <row r="50688" customFormat="1" x14ac:dyDescent="0.25"/>
    <row r="50689" customFormat="1" x14ac:dyDescent="0.25"/>
    <row r="50690" customFormat="1" x14ac:dyDescent="0.25"/>
    <row r="50691" customFormat="1" x14ac:dyDescent="0.25"/>
    <row r="50692" customFormat="1" x14ac:dyDescent="0.25"/>
    <row r="50693" customFormat="1" x14ac:dyDescent="0.25"/>
    <row r="50694" customFormat="1" x14ac:dyDescent="0.25"/>
    <row r="50695" customFormat="1" x14ac:dyDescent="0.25"/>
    <row r="50696" customFormat="1" x14ac:dyDescent="0.25"/>
    <row r="50697" customFormat="1" x14ac:dyDescent="0.25"/>
    <row r="50698" customFormat="1" x14ac:dyDescent="0.25"/>
    <row r="50699" customFormat="1" x14ac:dyDescent="0.25"/>
    <row r="50700" customFormat="1" x14ac:dyDescent="0.25"/>
    <row r="50701" customFormat="1" x14ac:dyDescent="0.25"/>
    <row r="50702" customFormat="1" x14ac:dyDescent="0.25"/>
    <row r="50703" customFormat="1" x14ac:dyDescent="0.25"/>
    <row r="50704" customFormat="1" x14ac:dyDescent="0.25"/>
    <row r="50705" customFormat="1" x14ac:dyDescent="0.25"/>
    <row r="50706" customFormat="1" x14ac:dyDescent="0.25"/>
    <row r="50707" customFormat="1" x14ac:dyDescent="0.25"/>
    <row r="50708" customFormat="1" x14ac:dyDescent="0.25"/>
    <row r="50709" customFormat="1" x14ac:dyDescent="0.25"/>
    <row r="50710" customFormat="1" x14ac:dyDescent="0.25"/>
    <row r="50711" customFormat="1" x14ac:dyDescent="0.25"/>
    <row r="50712" customFormat="1" x14ac:dyDescent="0.25"/>
    <row r="50713" customFormat="1" x14ac:dyDescent="0.25"/>
    <row r="50714" customFormat="1" x14ac:dyDescent="0.25"/>
    <row r="50715" customFormat="1" x14ac:dyDescent="0.25"/>
    <row r="50716" customFormat="1" x14ac:dyDescent="0.25"/>
    <row r="50717" customFormat="1" x14ac:dyDescent="0.25"/>
    <row r="50718" customFormat="1" x14ac:dyDescent="0.25"/>
    <row r="50719" customFormat="1" x14ac:dyDescent="0.25"/>
    <row r="50720" customFormat="1" x14ac:dyDescent="0.25"/>
    <row r="50721" customFormat="1" x14ac:dyDescent="0.25"/>
    <row r="50722" customFormat="1" x14ac:dyDescent="0.25"/>
    <row r="50723" customFormat="1" x14ac:dyDescent="0.25"/>
    <row r="50724" customFormat="1" x14ac:dyDescent="0.25"/>
    <row r="50725" customFormat="1" x14ac:dyDescent="0.25"/>
    <row r="50726" customFormat="1" x14ac:dyDescent="0.25"/>
    <row r="50727" customFormat="1" x14ac:dyDescent="0.25"/>
    <row r="50728" customFormat="1" x14ac:dyDescent="0.25"/>
    <row r="50729" customFormat="1" x14ac:dyDescent="0.25"/>
    <row r="50730" customFormat="1" x14ac:dyDescent="0.25"/>
    <row r="50731" customFormat="1" x14ac:dyDescent="0.25"/>
    <row r="50732" customFormat="1" x14ac:dyDescent="0.25"/>
    <row r="50733" customFormat="1" x14ac:dyDescent="0.25"/>
    <row r="50734" customFormat="1" x14ac:dyDescent="0.25"/>
    <row r="50735" customFormat="1" x14ac:dyDescent="0.25"/>
    <row r="50736" customFormat="1" x14ac:dyDescent="0.25"/>
    <row r="50737" customFormat="1" x14ac:dyDescent="0.25"/>
    <row r="50738" customFormat="1" x14ac:dyDescent="0.25"/>
    <row r="50739" customFormat="1" x14ac:dyDescent="0.25"/>
    <row r="50740" customFormat="1" x14ac:dyDescent="0.25"/>
    <row r="50741" customFormat="1" x14ac:dyDescent="0.25"/>
    <row r="50742" customFormat="1" x14ac:dyDescent="0.25"/>
    <row r="50743" customFormat="1" x14ac:dyDescent="0.25"/>
    <row r="50744" customFormat="1" x14ac:dyDescent="0.25"/>
    <row r="50745" customFormat="1" x14ac:dyDescent="0.25"/>
    <row r="50746" customFormat="1" x14ac:dyDescent="0.25"/>
    <row r="50747" customFormat="1" x14ac:dyDescent="0.25"/>
    <row r="50748" customFormat="1" x14ac:dyDescent="0.25"/>
    <row r="50749" customFormat="1" x14ac:dyDescent="0.25"/>
    <row r="50750" customFormat="1" x14ac:dyDescent="0.25"/>
    <row r="50751" customFormat="1" x14ac:dyDescent="0.25"/>
    <row r="50752" customFormat="1" x14ac:dyDescent="0.25"/>
    <row r="50753" customFormat="1" x14ac:dyDescent="0.25"/>
    <row r="50754" customFormat="1" x14ac:dyDescent="0.25"/>
    <row r="50755" customFormat="1" x14ac:dyDescent="0.25"/>
    <row r="50756" customFormat="1" x14ac:dyDescent="0.25"/>
    <row r="50757" customFormat="1" x14ac:dyDescent="0.25"/>
    <row r="50758" customFormat="1" x14ac:dyDescent="0.25"/>
    <row r="50759" customFormat="1" x14ac:dyDescent="0.25"/>
    <row r="50760" customFormat="1" x14ac:dyDescent="0.25"/>
    <row r="50761" customFormat="1" x14ac:dyDescent="0.25"/>
    <row r="50762" customFormat="1" x14ac:dyDescent="0.25"/>
    <row r="50763" customFormat="1" x14ac:dyDescent="0.25"/>
    <row r="50764" customFormat="1" x14ac:dyDescent="0.25"/>
    <row r="50765" customFormat="1" x14ac:dyDescent="0.25"/>
    <row r="50766" customFormat="1" x14ac:dyDescent="0.25"/>
    <row r="50767" customFormat="1" x14ac:dyDescent="0.25"/>
    <row r="50768" customFormat="1" x14ac:dyDescent="0.25"/>
    <row r="50769" customFormat="1" x14ac:dyDescent="0.25"/>
    <row r="50770" customFormat="1" x14ac:dyDescent="0.25"/>
    <row r="50771" customFormat="1" x14ac:dyDescent="0.25"/>
    <row r="50772" customFormat="1" x14ac:dyDescent="0.25"/>
    <row r="50773" customFormat="1" x14ac:dyDescent="0.25"/>
    <row r="50774" customFormat="1" x14ac:dyDescent="0.25"/>
    <row r="50775" customFormat="1" x14ac:dyDescent="0.25"/>
    <row r="50776" customFormat="1" x14ac:dyDescent="0.25"/>
    <row r="50777" customFormat="1" x14ac:dyDescent="0.25"/>
    <row r="50778" customFormat="1" x14ac:dyDescent="0.25"/>
    <row r="50779" customFormat="1" x14ac:dyDescent="0.25"/>
    <row r="50780" customFormat="1" x14ac:dyDescent="0.25"/>
    <row r="50781" customFormat="1" x14ac:dyDescent="0.25"/>
    <row r="50782" customFormat="1" x14ac:dyDescent="0.25"/>
    <row r="50783" customFormat="1" x14ac:dyDescent="0.25"/>
    <row r="50784" customFormat="1" x14ac:dyDescent="0.25"/>
    <row r="50785" customFormat="1" x14ac:dyDescent="0.25"/>
    <row r="50786" customFormat="1" x14ac:dyDescent="0.25"/>
    <row r="50787" customFormat="1" x14ac:dyDescent="0.25"/>
    <row r="50788" customFormat="1" x14ac:dyDescent="0.25"/>
    <row r="50789" customFormat="1" x14ac:dyDescent="0.25"/>
    <row r="50790" customFormat="1" x14ac:dyDescent="0.25"/>
    <row r="50791" customFormat="1" x14ac:dyDescent="0.25"/>
    <row r="50792" customFormat="1" x14ac:dyDescent="0.25"/>
    <row r="50793" customFormat="1" x14ac:dyDescent="0.25"/>
    <row r="50794" customFormat="1" x14ac:dyDescent="0.25"/>
    <row r="50795" customFormat="1" x14ac:dyDescent="0.25"/>
    <row r="50796" customFormat="1" x14ac:dyDescent="0.25"/>
    <row r="50797" customFormat="1" x14ac:dyDescent="0.25"/>
    <row r="50798" customFormat="1" x14ac:dyDescent="0.25"/>
    <row r="50799" customFormat="1" x14ac:dyDescent="0.25"/>
    <row r="50800" customFormat="1" x14ac:dyDescent="0.25"/>
    <row r="50801" customFormat="1" x14ac:dyDescent="0.25"/>
    <row r="50802" customFormat="1" x14ac:dyDescent="0.25"/>
    <row r="50803" customFormat="1" x14ac:dyDescent="0.25"/>
    <row r="50804" customFormat="1" x14ac:dyDescent="0.25"/>
    <row r="50805" customFormat="1" x14ac:dyDescent="0.25"/>
    <row r="50806" customFormat="1" x14ac:dyDescent="0.25"/>
    <row r="50807" customFormat="1" x14ac:dyDescent="0.25"/>
    <row r="50808" customFormat="1" x14ac:dyDescent="0.25"/>
    <row r="50809" customFormat="1" x14ac:dyDescent="0.25"/>
    <row r="50810" customFormat="1" x14ac:dyDescent="0.25"/>
    <row r="50811" customFormat="1" x14ac:dyDescent="0.25"/>
    <row r="50812" customFormat="1" x14ac:dyDescent="0.25"/>
    <row r="50813" customFormat="1" x14ac:dyDescent="0.25"/>
    <row r="50814" customFormat="1" x14ac:dyDescent="0.25"/>
    <row r="50815" customFormat="1" x14ac:dyDescent="0.25"/>
    <row r="50816" customFormat="1" x14ac:dyDescent="0.25"/>
    <row r="50817" customFormat="1" x14ac:dyDescent="0.25"/>
    <row r="50818" customFormat="1" x14ac:dyDescent="0.25"/>
    <row r="50819" customFormat="1" x14ac:dyDescent="0.25"/>
    <row r="50820" customFormat="1" x14ac:dyDescent="0.25"/>
    <row r="50821" customFormat="1" x14ac:dyDescent="0.25"/>
    <row r="50822" customFormat="1" x14ac:dyDescent="0.25"/>
    <row r="50823" customFormat="1" x14ac:dyDescent="0.25"/>
    <row r="50824" customFormat="1" x14ac:dyDescent="0.25"/>
    <row r="50825" customFormat="1" x14ac:dyDescent="0.25"/>
    <row r="50826" customFormat="1" x14ac:dyDescent="0.25"/>
    <row r="50827" customFormat="1" x14ac:dyDescent="0.25"/>
    <row r="50828" customFormat="1" x14ac:dyDescent="0.25"/>
    <row r="50829" customFormat="1" x14ac:dyDescent="0.25"/>
    <row r="50830" customFormat="1" x14ac:dyDescent="0.25"/>
    <row r="50831" customFormat="1" x14ac:dyDescent="0.25"/>
    <row r="50832" customFormat="1" x14ac:dyDescent="0.25"/>
    <row r="50833" customFormat="1" x14ac:dyDescent="0.25"/>
    <row r="50834" customFormat="1" x14ac:dyDescent="0.25"/>
    <row r="50835" customFormat="1" x14ac:dyDescent="0.25"/>
    <row r="50836" customFormat="1" x14ac:dyDescent="0.25"/>
    <row r="50837" customFormat="1" x14ac:dyDescent="0.25"/>
    <row r="50838" customFormat="1" x14ac:dyDescent="0.25"/>
    <row r="50839" customFormat="1" x14ac:dyDescent="0.25"/>
    <row r="50840" customFormat="1" x14ac:dyDescent="0.25"/>
    <row r="50841" customFormat="1" x14ac:dyDescent="0.25"/>
    <row r="50842" customFormat="1" x14ac:dyDescent="0.25"/>
    <row r="50843" customFormat="1" x14ac:dyDescent="0.25"/>
    <row r="50844" customFormat="1" x14ac:dyDescent="0.25"/>
    <row r="50845" customFormat="1" x14ac:dyDescent="0.25"/>
    <row r="50846" customFormat="1" x14ac:dyDescent="0.25"/>
    <row r="50847" customFormat="1" x14ac:dyDescent="0.25"/>
    <row r="50848" customFormat="1" x14ac:dyDescent="0.25"/>
    <row r="50849" customFormat="1" x14ac:dyDescent="0.25"/>
    <row r="50850" customFormat="1" x14ac:dyDescent="0.25"/>
    <row r="50851" customFormat="1" x14ac:dyDescent="0.25"/>
    <row r="50852" customFormat="1" x14ac:dyDescent="0.25"/>
    <row r="50853" customFormat="1" x14ac:dyDescent="0.25"/>
    <row r="50854" customFormat="1" x14ac:dyDescent="0.25"/>
    <row r="50855" customFormat="1" x14ac:dyDescent="0.25"/>
    <row r="50856" customFormat="1" x14ac:dyDescent="0.25"/>
    <row r="50857" customFormat="1" x14ac:dyDescent="0.25"/>
    <row r="50858" customFormat="1" x14ac:dyDescent="0.25"/>
    <row r="50859" customFormat="1" x14ac:dyDescent="0.25"/>
    <row r="50860" customFormat="1" x14ac:dyDescent="0.25"/>
    <row r="50861" customFormat="1" x14ac:dyDescent="0.25"/>
    <row r="50862" customFormat="1" x14ac:dyDescent="0.25"/>
    <row r="50863" customFormat="1" x14ac:dyDescent="0.25"/>
    <row r="50864" customFormat="1" x14ac:dyDescent="0.25"/>
    <row r="50865" customFormat="1" x14ac:dyDescent="0.25"/>
    <row r="50866" customFormat="1" x14ac:dyDescent="0.25"/>
    <row r="50867" customFormat="1" x14ac:dyDescent="0.25"/>
    <row r="50868" customFormat="1" x14ac:dyDescent="0.25"/>
    <row r="50869" customFormat="1" x14ac:dyDescent="0.25"/>
    <row r="50870" customFormat="1" x14ac:dyDescent="0.25"/>
    <row r="50871" customFormat="1" x14ac:dyDescent="0.25"/>
    <row r="50872" customFormat="1" x14ac:dyDescent="0.25"/>
    <row r="50873" customFormat="1" x14ac:dyDescent="0.25"/>
    <row r="50874" customFormat="1" x14ac:dyDescent="0.25"/>
    <row r="50875" customFormat="1" x14ac:dyDescent="0.25"/>
    <row r="50876" customFormat="1" x14ac:dyDescent="0.25"/>
    <row r="50877" customFormat="1" x14ac:dyDescent="0.25"/>
    <row r="50878" customFormat="1" x14ac:dyDescent="0.25"/>
    <row r="50879" customFormat="1" x14ac:dyDescent="0.25"/>
    <row r="50880" customFormat="1" x14ac:dyDescent="0.25"/>
    <row r="50881" customFormat="1" x14ac:dyDescent="0.25"/>
    <row r="50882" customFormat="1" x14ac:dyDescent="0.25"/>
    <row r="50883" customFormat="1" x14ac:dyDescent="0.25"/>
    <row r="50884" customFormat="1" x14ac:dyDescent="0.25"/>
    <row r="50885" customFormat="1" x14ac:dyDescent="0.25"/>
    <row r="50886" customFormat="1" x14ac:dyDescent="0.25"/>
    <row r="50887" customFormat="1" x14ac:dyDescent="0.25"/>
    <row r="50888" customFormat="1" x14ac:dyDescent="0.25"/>
    <row r="50889" customFormat="1" x14ac:dyDescent="0.25"/>
    <row r="50890" customFormat="1" x14ac:dyDescent="0.25"/>
    <row r="50891" customFormat="1" x14ac:dyDescent="0.25"/>
    <row r="50892" customFormat="1" x14ac:dyDescent="0.25"/>
    <row r="50893" customFormat="1" x14ac:dyDescent="0.25"/>
    <row r="50894" customFormat="1" x14ac:dyDescent="0.25"/>
    <row r="50895" customFormat="1" x14ac:dyDescent="0.25"/>
    <row r="50896" customFormat="1" x14ac:dyDescent="0.25"/>
    <row r="50897" customFormat="1" x14ac:dyDescent="0.25"/>
    <row r="50898" customFormat="1" x14ac:dyDescent="0.25"/>
    <row r="50899" customFormat="1" x14ac:dyDescent="0.25"/>
    <row r="50900" customFormat="1" x14ac:dyDescent="0.25"/>
    <row r="50901" customFormat="1" x14ac:dyDescent="0.25"/>
    <row r="50902" customFormat="1" x14ac:dyDescent="0.25"/>
    <row r="50903" customFormat="1" x14ac:dyDescent="0.25"/>
    <row r="50904" customFormat="1" x14ac:dyDescent="0.25"/>
    <row r="50905" customFormat="1" x14ac:dyDescent="0.25"/>
    <row r="50906" customFormat="1" x14ac:dyDescent="0.25"/>
    <row r="50907" customFormat="1" x14ac:dyDescent="0.25"/>
    <row r="50908" customFormat="1" x14ac:dyDescent="0.25"/>
    <row r="50909" customFormat="1" x14ac:dyDescent="0.25"/>
    <row r="50910" customFormat="1" x14ac:dyDescent="0.25"/>
    <row r="50911" customFormat="1" x14ac:dyDescent="0.25"/>
    <row r="50912" customFormat="1" x14ac:dyDescent="0.25"/>
    <row r="50913" customFormat="1" x14ac:dyDescent="0.25"/>
    <row r="50914" customFormat="1" x14ac:dyDescent="0.25"/>
    <row r="50915" customFormat="1" x14ac:dyDescent="0.25"/>
    <row r="50916" customFormat="1" x14ac:dyDescent="0.25"/>
    <row r="50917" customFormat="1" x14ac:dyDescent="0.25"/>
    <row r="50918" customFormat="1" x14ac:dyDescent="0.25"/>
    <row r="50919" customFormat="1" x14ac:dyDescent="0.25"/>
    <row r="50920" customFormat="1" x14ac:dyDescent="0.25"/>
    <row r="50921" customFormat="1" x14ac:dyDescent="0.25"/>
    <row r="50922" customFormat="1" x14ac:dyDescent="0.25"/>
    <row r="50923" customFormat="1" x14ac:dyDescent="0.25"/>
    <row r="50924" customFormat="1" x14ac:dyDescent="0.25"/>
    <row r="50925" customFormat="1" x14ac:dyDescent="0.25"/>
    <row r="50926" customFormat="1" x14ac:dyDescent="0.25"/>
    <row r="50927" customFormat="1" x14ac:dyDescent="0.25"/>
    <row r="50928" customFormat="1" x14ac:dyDescent="0.25"/>
    <row r="50929" customFormat="1" x14ac:dyDescent="0.25"/>
    <row r="50930" customFormat="1" x14ac:dyDescent="0.25"/>
    <row r="50931" customFormat="1" x14ac:dyDescent="0.25"/>
    <row r="50932" customFormat="1" x14ac:dyDescent="0.25"/>
    <row r="50933" customFormat="1" x14ac:dyDescent="0.25"/>
    <row r="50934" customFormat="1" x14ac:dyDescent="0.25"/>
    <row r="50935" customFormat="1" x14ac:dyDescent="0.25"/>
    <row r="50936" customFormat="1" x14ac:dyDescent="0.25"/>
    <row r="50937" customFormat="1" x14ac:dyDescent="0.25"/>
    <row r="50938" customFormat="1" x14ac:dyDescent="0.25"/>
    <row r="50939" customFormat="1" x14ac:dyDescent="0.25"/>
    <row r="50940" customFormat="1" x14ac:dyDescent="0.25"/>
    <row r="50941" customFormat="1" x14ac:dyDescent="0.25"/>
    <row r="50942" customFormat="1" x14ac:dyDescent="0.25"/>
    <row r="50943" customFormat="1" x14ac:dyDescent="0.25"/>
    <row r="50944" customFormat="1" x14ac:dyDescent="0.25"/>
    <row r="50945" customFormat="1" x14ac:dyDescent="0.25"/>
    <row r="50946" customFormat="1" x14ac:dyDescent="0.25"/>
    <row r="50947" customFormat="1" x14ac:dyDescent="0.25"/>
    <row r="50948" customFormat="1" x14ac:dyDescent="0.25"/>
    <row r="50949" customFormat="1" x14ac:dyDescent="0.25"/>
    <row r="50950" customFormat="1" x14ac:dyDescent="0.25"/>
    <row r="50951" customFormat="1" x14ac:dyDescent="0.25"/>
    <row r="50952" customFormat="1" x14ac:dyDescent="0.25"/>
    <row r="50953" customFormat="1" x14ac:dyDescent="0.25"/>
    <row r="50954" customFormat="1" x14ac:dyDescent="0.25"/>
    <row r="50955" customFormat="1" x14ac:dyDescent="0.25"/>
    <row r="50956" customFormat="1" x14ac:dyDescent="0.25"/>
    <row r="50957" customFormat="1" x14ac:dyDescent="0.25"/>
    <row r="50958" customFormat="1" x14ac:dyDescent="0.25"/>
    <row r="50959" customFormat="1" x14ac:dyDescent="0.25"/>
    <row r="50960" customFormat="1" x14ac:dyDescent="0.25"/>
    <row r="50961" customFormat="1" x14ac:dyDescent="0.25"/>
    <row r="50962" customFormat="1" x14ac:dyDescent="0.25"/>
    <row r="50963" customFormat="1" x14ac:dyDescent="0.25"/>
    <row r="50964" customFormat="1" x14ac:dyDescent="0.25"/>
    <row r="50965" customFormat="1" x14ac:dyDescent="0.25"/>
    <row r="50966" customFormat="1" x14ac:dyDescent="0.25"/>
    <row r="50967" customFormat="1" x14ac:dyDescent="0.25"/>
    <row r="50968" customFormat="1" x14ac:dyDescent="0.25"/>
    <row r="50969" customFormat="1" x14ac:dyDescent="0.25"/>
    <row r="50970" customFormat="1" x14ac:dyDescent="0.25"/>
    <row r="50971" customFormat="1" x14ac:dyDescent="0.25"/>
    <row r="50972" customFormat="1" x14ac:dyDescent="0.25"/>
    <row r="50973" customFormat="1" x14ac:dyDescent="0.25"/>
    <row r="50974" customFormat="1" x14ac:dyDescent="0.25"/>
    <row r="50975" customFormat="1" x14ac:dyDescent="0.25"/>
    <row r="50976" customFormat="1" x14ac:dyDescent="0.25"/>
    <row r="50977" customFormat="1" x14ac:dyDescent="0.25"/>
    <row r="50978" customFormat="1" x14ac:dyDescent="0.25"/>
    <row r="50979" customFormat="1" x14ac:dyDescent="0.25"/>
    <row r="50980" customFormat="1" x14ac:dyDescent="0.25"/>
    <row r="50981" customFormat="1" x14ac:dyDescent="0.25"/>
    <row r="50982" customFormat="1" x14ac:dyDescent="0.25"/>
    <row r="50983" customFormat="1" x14ac:dyDescent="0.25"/>
    <row r="50984" customFormat="1" x14ac:dyDescent="0.25"/>
    <row r="50985" customFormat="1" x14ac:dyDescent="0.25"/>
    <row r="50986" customFormat="1" x14ac:dyDescent="0.25"/>
    <row r="50987" customFormat="1" x14ac:dyDescent="0.25"/>
    <row r="50988" customFormat="1" x14ac:dyDescent="0.25"/>
    <row r="50989" customFormat="1" x14ac:dyDescent="0.25"/>
    <row r="50990" customFormat="1" x14ac:dyDescent="0.25"/>
    <row r="50991" customFormat="1" x14ac:dyDescent="0.25"/>
    <row r="50992" customFormat="1" x14ac:dyDescent="0.25"/>
    <row r="50993" customFormat="1" x14ac:dyDescent="0.25"/>
    <row r="50994" customFormat="1" x14ac:dyDescent="0.25"/>
    <row r="50995" customFormat="1" x14ac:dyDescent="0.25"/>
    <row r="50996" customFormat="1" x14ac:dyDescent="0.25"/>
    <row r="50997" customFormat="1" x14ac:dyDescent="0.25"/>
    <row r="50998" customFormat="1" x14ac:dyDescent="0.25"/>
    <row r="50999" customFormat="1" x14ac:dyDescent="0.25"/>
    <row r="51000" customFormat="1" x14ac:dyDescent="0.25"/>
    <row r="51001" customFormat="1" x14ac:dyDescent="0.25"/>
    <row r="51002" customFormat="1" x14ac:dyDescent="0.25"/>
    <row r="51003" customFormat="1" x14ac:dyDescent="0.25"/>
    <row r="51004" customFormat="1" x14ac:dyDescent="0.25"/>
    <row r="51005" customFormat="1" x14ac:dyDescent="0.25"/>
    <row r="51006" customFormat="1" x14ac:dyDescent="0.25"/>
    <row r="51007" customFormat="1" x14ac:dyDescent="0.25"/>
    <row r="51008" customFormat="1" x14ac:dyDescent="0.25"/>
    <row r="51009" customFormat="1" x14ac:dyDescent="0.25"/>
    <row r="51010" customFormat="1" x14ac:dyDescent="0.25"/>
    <row r="51011" customFormat="1" x14ac:dyDescent="0.25"/>
    <row r="51012" customFormat="1" x14ac:dyDescent="0.25"/>
    <row r="51013" customFormat="1" x14ac:dyDescent="0.25"/>
    <row r="51014" customFormat="1" x14ac:dyDescent="0.25"/>
    <row r="51015" customFormat="1" x14ac:dyDescent="0.25"/>
    <row r="51016" customFormat="1" x14ac:dyDescent="0.25"/>
    <row r="51017" customFormat="1" x14ac:dyDescent="0.25"/>
    <row r="51018" customFormat="1" x14ac:dyDescent="0.25"/>
    <row r="51019" customFormat="1" x14ac:dyDescent="0.25"/>
    <row r="51020" customFormat="1" x14ac:dyDescent="0.25"/>
    <row r="51021" customFormat="1" x14ac:dyDescent="0.25"/>
    <row r="51022" customFormat="1" x14ac:dyDescent="0.25"/>
    <row r="51023" customFormat="1" x14ac:dyDescent="0.25"/>
    <row r="51024" customFormat="1" x14ac:dyDescent="0.25"/>
    <row r="51025" customFormat="1" x14ac:dyDescent="0.25"/>
    <row r="51026" customFormat="1" x14ac:dyDescent="0.25"/>
    <row r="51027" customFormat="1" x14ac:dyDescent="0.25"/>
    <row r="51028" customFormat="1" x14ac:dyDescent="0.25"/>
    <row r="51029" customFormat="1" x14ac:dyDescent="0.25"/>
    <row r="51030" customFormat="1" x14ac:dyDescent="0.25"/>
    <row r="51031" customFormat="1" x14ac:dyDescent="0.25"/>
    <row r="51032" customFormat="1" x14ac:dyDescent="0.25"/>
    <row r="51033" customFormat="1" x14ac:dyDescent="0.25"/>
    <row r="51034" customFormat="1" x14ac:dyDescent="0.25"/>
    <row r="51035" customFormat="1" x14ac:dyDescent="0.25"/>
    <row r="51036" customFormat="1" x14ac:dyDescent="0.25"/>
    <row r="51037" customFormat="1" x14ac:dyDescent="0.25"/>
    <row r="51038" customFormat="1" x14ac:dyDescent="0.25"/>
    <row r="51039" customFormat="1" x14ac:dyDescent="0.25"/>
    <row r="51040" customFormat="1" x14ac:dyDescent="0.25"/>
    <row r="51041" customFormat="1" x14ac:dyDescent="0.25"/>
    <row r="51042" customFormat="1" x14ac:dyDescent="0.25"/>
    <row r="51043" customFormat="1" x14ac:dyDescent="0.25"/>
    <row r="51044" customFormat="1" x14ac:dyDescent="0.25"/>
    <row r="51045" customFormat="1" x14ac:dyDescent="0.25"/>
    <row r="51046" customFormat="1" x14ac:dyDescent="0.25"/>
    <row r="51047" customFormat="1" x14ac:dyDescent="0.25"/>
    <row r="51048" customFormat="1" x14ac:dyDescent="0.25"/>
    <row r="51049" customFormat="1" x14ac:dyDescent="0.25"/>
    <row r="51050" customFormat="1" x14ac:dyDescent="0.25"/>
    <row r="51051" customFormat="1" x14ac:dyDescent="0.25"/>
    <row r="51052" customFormat="1" x14ac:dyDescent="0.25"/>
    <row r="51053" customFormat="1" x14ac:dyDescent="0.25"/>
    <row r="51054" customFormat="1" x14ac:dyDescent="0.25"/>
    <row r="51055" customFormat="1" x14ac:dyDescent="0.25"/>
    <row r="51056" customFormat="1" x14ac:dyDescent="0.25"/>
    <row r="51057" customFormat="1" x14ac:dyDescent="0.25"/>
    <row r="51058" customFormat="1" x14ac:dyDescent="0.25"/>
    <row r="51059" customFormat="1" x14ac:dyDescent="0.25"/>
    <row r="51060" customFormat="1" x14ac:dyDescent="0.25"/>
    <row r="51061" customFormat="1" x14ac:dyDescent="0.25"/>
    <row r="51062" customFormat="1" x14ac:dyDescent="0.25"/>
    <row r="51063" customFormat="1" x14ac:dyDescent="0.25"/>
    <row r="51064" customFormat="1" x14ac:dyDescent="0.25"/>
    <row r="51065" customFormat="1" x14ac:dyDescent="0.25"/>
    <row r="51066" customFormat="1" x14ac:dyDescent="0.25"/>
    <row r="51067" customFormat="1" x14ac:dyDescent="0.25"/>
    <row r="51068" customFormat="1" x14ac:dyDescent="0.25"/>
    <row r="51069" customFormat="1" x14ac:dyDescent="0.25"/>
    <row r="51070" customFormat="1" x14ac:dyDescent="0.25"/>
    <row r="51071" customFormat="1" x14ac:dyDescent="0.25"/>
    <row r="51072" customFormat="1" x14ac:dyDescent="0.25"/>
    <row r="51073" customFormat="1" x14ac:dyDescent="0.25"/>
    <row r="51074" customFormat="1" x14ac:dyDescent="0.25"/>
    <row r="51075" customFormat="1" x14ac:dyDescent="0.25"/>
    <row r="51076" customFormat="1" x14ac:dyDescent="0.25"/>
    <row r="51077" customFormat="1" x14ac:dyDescent="0.25"/>
    <row r="51078" customFormat="1" x14ac:dyDescent="0.25"/>
    <row r="51079" customFormat="1" x14ac:dyDescent="0.25"/>
    <row r="51080" customFormat="1" x14ac:dyDescent="0.25"/>
    <row r="51081" customFormat="1" x14ac:dyDescent="0.25"/>
    <row r="51082" customFormat="1" x14ac:dyDescent="0.25"/>
    <row r="51083" customFormat="1" x14ac:dyDescent="0.25"/>
    <row r="51084" customFormat="1" x14ac:dyDescent="0.25"/>
    <row r="51085" customFormat="1" x14ac:dyDescent="0.25"/>
    <row r="51086" customFormat="1" x14ac:dyDescent="0.25"/>
    <row r="51087" customFormat="1" x14ac:dyDescent="0.25"/>
    <row r="51088" customFormat="1" x14ac:dyDescent="0.25"/>
    <row r="51089" customFormat="1" x14ac:dyDescent="0.25"/>
    <row r="51090" customFormat="1" x14ac:dyDescent="0.25"/>
    <row r="51091" customFormat="1" x14ac:dyDescent="0.25"/>
    <row r="51092" customFormat="1" x14ac:dyDescent="0.25"/>
    <row r="51093" customFormat="1" x14ac:dyDescent="0.25"/>
    <row r="51094" customFormat="1" x14ac:dyDescent="0.25"/>
    <row r="51095" customFormat="1" x14ac:dyDescent="0.25"/>
    <row r="51096" customFormat="1" x14ac:dyDescent="0.25"/>
    <row r="51097" customFormat="1" x14ac:dyDescent="0.25"/>
    <row r="51098" customFormat="1" x14ac:dyDescent="0.25"/>
    <row r="51099" customFormat="1" x14ac:dyDescent="0.25"/>
    <row r="51100" customFormat="1" x14ac:dyDescent="0.25"/>
    <row r="51101" customFormat="1" x14ac:dyDescent="0.25"/>
    <row r="51102" customFormat="1" x14ac:dyDescent="0.25"/>
    <row r="51103" customFormat="1" x14ac:dyDescent="0.25"/>
    <row r="51104" customFormat="1" x14ac:dyDescent="0.25"/>
    <row r="51105" customFormat="1" x14ac:dyDescent="0.25"/>
    <row r="51106" customFormat="1" x14ac:dyDescent="0.25"/>
    <row r="51107" customFormat="1" x14ac:dyDescent="0.25"/>
    <row r="51108" customFormat="1" x14ac:dyDescent="0.25"/>
    <row r="51109" customFormat="1" x14ac:dyDescent="0.25"/>
    <row r="51110" customFormat="1" x14ac:dyDescent="0.25"/>
    <row r="51111" customFormat="1" x14ac:dyDescent="0.25"/>
    <row r="51112" customFormat="1" x14ac:dyDescent="0.25"/>
    <row r="51113" customFormat="1" x14ac:dyDescent="0.25"/>
    <row r="51114" customFormat="1" x14ac:dyDescent="0.25"/>
    <row r="51115" customFormat="1" x14ac:dyDescent="0.25"/>
    <row r="51116" customFormat="1" x14ac:dyDescent="0.25"/>
    <row r="51117" customFormat="1" x14ac:dyDescent="0.25"/>
    <row r="51118" customFormat="1" x14ac:dyDescent="0.25"/>
    <row r="51119" customFormat="1" x14ac:dyDescent="0.25"/>
    <row r="51120" customFormat="1" x14ac:dyDescent="0.25"/>
    <row r="51121" customFormat="1" x14ac:dyDescent="0.25"/>
    <row r="51122" customFormat="1" x14ac:dyDescent="0.25"/>
    <row r="51123" customFormat="1" x14ac:dyDescent="0.25"/>
    <row r="51124" customFormat="1" x14ac:dyDescent="0.25"/>
    <row r="51125" customFormat="1" x14ac:dyDescent="0.25"/>
    <row r="51126" customFormat="1" x14ac:dyDescent="0.25"/>
    <row r="51127" customFormat="1" x14ac:dyDescent="0.25"/>
    <row r="51128" customFormat="1" x14ac:dyDescent="0.25"/>
    <row r="51129" customFormat="1" x14ac:dyDescent="0.25"/>
    <row r="51130" customFormat="1" x14ac:dyDescent="0.25"/>
    <row r="51131" customFormat="1" x14ac:dyDescent="0.25"/>
    <row r="51132" customFormat="1" x14ac:dyDescent="0.25"/>
    <row r="51133" customFormat="1" x14ac:dyDescent="0.25"/>
    <row r="51134" customFormat="1" x14ac:dyDescent="0.25"/>
    <row r="51135" customFormat="1" x14ac:dyDescent="0.25"/>
    <row r="51136" customFormat="1" x14ac:dyDescent="0.25"/>
    <row r="51137" customFormat="1" x14ac:dyDescent="0.25"/>
    <row r="51138" customFormat="1" x14ac:dyDescent="0.25"/>
    <row r="51139" customFormat="1" x14ac:dyDescent="0.25"/>
    <row r="51140" customFormat="1" x14ac:dyDescent="0.25"/>
    <row r="51141" customFormat="1" x14ac:dyDescent="0.25"/>
    <row r="51142" customFormat="1" x14ac:dyDescent="0.25"/>
    <row r="51143" customFormat="1" x14ac:dyDescent="0.25"/>
    <row r="51144" customFormat="1" x14ac:dyDescent="0.25"/>
    <row r="51145" customFormat="1" x14ac:dyDescent="0.25"/>
    <row r="51146" customFormat="1" x14ac:dyDescent="0.25"/>
    <row r="51147" customFormat="1" x14ac:dyDescent="0.25"/>
    <row r="51148" customFormat="1" x14ac:dyDescent="0.25"/>
    <row r="51149" customFormat="1" x14ac:dyDescent="0.25"/>
    <row r="51150" customFormat="1" x14ac:dyDescent="0.25"/>
    <row r="51151" customFormat="1" x14ac:dyDescent="0.25"/>
    <row r="51152" customFormat="1" x14ac:dyDescent="0.25"/>
    <row r="51153" customFormat="1" x14ac:dyDescent="0.25"/>
    <row r="51154" customFormat="1" x14ac:dyDescent="0.25"/>
    <row r="51155" customFormat="1" x14ac:dyDescent="0.25"/>
    <row r="51156" customFormat="1" x14ac:dyDescent="0.25"/>
    <row r="51157" customFormat="1" x14ac:dyDescent="0.25"/>
    <row r="51158" customFormat="1" x14ac:dyDescent="0.25"/>
    <row r="51159" customFormat="1" x14ac:dyDescent="0.25"/>
    <row r="51160" customFormat="1" x14ac:dyDescent="0.25"/>
    <row r="51161" customFormat="1" x14ac:dyDescent="0.25"/>
    <row r="51162" customFormat="1" x14ac:dyDescent="0.25"/>
    <row r="51163" customFormat="1" x14ac:dyDescent="0.25"/>
    <row r="51164" customFormat="1" x14ac:dyDescent="0.25"/>
    <row r="51165" customFormat="1" x14ac:dyDescent="0.25"/>
    <row r="51166" customFormat="1" x14ac:dyDescent="0.25"/>
    <row r="51167" customFormat="1" x14ac:dyDescent="0.25"/>
    <row r="51168" customFormat="1" x14ac:dyDescent="0.25"/>
    <row r="51169" customFormat="1" x14ac:dyDescent="0.25"/>
    <row r="51170" customFormat="1" x14ac:dyDescent="0.25"/>
    <row r="51171" customFormat="1" x14ac:dyDescent="0.25"/>
    <row r="51172" customFormat="1" x14ac:dyDescent="0.25"/>
    <row r="51173" customFormat="1" x14ac:dyDescent="0.25"/>
    <row r="51174" customFormat="1" x14ac:dyDescent="0.25"/>
    <row r="51175" customFormat="1" x14ac:dyDescent="0.25"/>
    <row r="51176" customFormat="1" x14ac:dyDescent="0.25"/>
    <row r="51177" customFormat="1" x14ac:dyDescent="0.25"/>
    <row r="51178" customFormat="1" x14ac:dyDescent="0.25"/>
    <row r="51179" customFormat="1" x14ac:dyDescent="0.25"/>
    <row r="51180" customFormat="1" x14ac:dyDescent="0.25"/>
    <row r="51181" customFormat="1" x14ac:dyDescent="0.25"/>
    <row r="51182" customFormat="1" x14ac:dyDescent="0.25"/>
    <row r="51183" customFormat="1" x14ac:dyDescent="0.25"/>
    <row r="51184" customFormat="1" x14ac:dyDescent="0.25"/>
    <row r="51185" customFormat="1" x14ac:dyDescent="0.25"/>
    <row r="51186" customFormat="1" x14ac:dyDescent="0.25"/>
    <row r="51187" customFormat="1" x14ac:dyDescent="0.25"/>
    <row r="51188" customFormat="1" x14ac:dyDescent="0.25"/>
    <row r="51189" customFormat="1" x14ac:dyDescent="0.25"/>
    <row r="51190" customFormat="1" x14ac:dyDescent="0.25"/>
    <row r="51191" customFormat="1" x14ac:dyDescent="0.25"/>
    <row r="51192" customFormat="1" x14ac:dyDescent="0.25"/>
    <row r="51193" customFormat="1" x14ac:dyDescent="0.25"/>
    <row r="51194" customFormat="1" x14ac:dyDescent="0.25"/>
    <row r="51195" customFormat="1" x14ac:dyDescent="0.25"/>
    <row r="51196" customFormat="1" x14ac:dyDescent="0.25"/>
    <row r="51197" customFormat="1" x14ac:dyDescent="0.25"/>
    <row r="51198" customFormat="1" x14ac:dyDescent="0.25"/>
    <row r="51199" customFormat="1" x14ac:dyDescent="0.25"/>
    <row r="51200" customFormat="1" x14ac:dyDescent="0.25"/>
    <row r="51201" customFormat="1" x14ac:dyDescent="0.25"/>
    <row r="51202" customFormat="1" x14ac:dyDescent="0.25"/>
    <row r="51203" customFormat="1" x14ac:dyDescent="0.25"/>
    <row r="51204" customFormat="1" x14ac:dyDescent="0.25"/>
    <row r="51205" customFormat="1" x14ac:dyDescent="0.25"/>
    <row r="51206" customFormat="1" x14ac:dyDescent="0.25"/>
    <row r="51207" customFormat="1" x14ac:dyDescent="0.25"/>
    <row r="51208" customFormat="1" x14ac:dyDescent="0.25"/>
    <row r="51209" customFormat="1" x14ac:dyDescent="0.25"/>
    <row r="51210" customFormat="1" x14ac:dyDescent="0.25"/>
    <row r="51211" customFormat="1" x14ac:dyDescent="0.25"/>
    <row r="51212" customFormat="1" x14ac:dyDescent="0.25"/>
    <row r="51213" customFormat="1" x14ac:dyDescent="0.25"/>
    <row r="51214" customFormat="1" x14ac:dyDescent="0.25"/>
    <row r="51215" customFormat="1" x14ac:dyDescent="0.25"/>
    <row r="51216" customFormat="1" x14ac:dyDescent="0.25"/>
    <row r="51217" customFormat="1" x14ac:dyDescent="0.25"/>
    <row r="51218" customFormat="1" x14ac:dyDescent="0.25"/>
    <row r="51219" customFormat="1" x14ac:dyDescent="0.25"/>
    <row r="51220" customFormat="1" x14ac:dyDescent="0.25"/>
    <row r="51221" customFormat="1" x14ac:dyDescent="0.25"/>
    <row r="51222" customFormat="1" x14ac:dyDescent="0.25"/>
    <row r="51223" customFormat="1" x14ac:dyDescent="0.25"/>
    <row r="51224" customFormat="1" x14ac:dyDescent="0.25"/>
    <row r="51225" customFormat="1" x14ac:dyDescent="0.25"/>
    <row r="51226" customFormat="1" x14ac:dyDescent="0.25"/>
    <row r="51227" customFormat="1" x14ac:dyDescent="0.25"/>
    <row r="51228" customFormat="1" x14ac:dyDescent="0.25"/>
    <row r="51229" customFormat="1" x14ac:dyDescent="0.25"/>
    <row r="51230" customFormat="1" x14ac:dyDescent="0.25"/>
    <row r="51231" customFormat="1" x14ac:dyDescent="0.25"/>
    <row r="51232" customFormat="1" x14ac:dyDescent="0.25"/>
    <row r="51233" customFormat="1" x14ac:dyDescent="0.25"/>
    <row r="51234" customFormat="1" x14ac:dyDescent="0.25"/>
    <row r="51235" customFormat="1" x14ac:dyDescent="0.25"/>
    <row r="51236" customFormat="1" x14ac:dyDescent="0.25"/>
    <row r="51237" customFormat="1" x14ac:dyDescent="0.25"/>
    <row r="51238" customFormat="1" x14ac:dyDescent="0.25"/>
    <row r="51239" customFormat="1" x14ac:dyDescent="0.25"/>
    <row r="51240" customFormat="1" x14ac:dyDescent="0.25"/>
    <row r="51241" customFormat="1" x14ac:dyDescent="0.25"/>
    <row r="51242" customFormat="1" x14ac:dyDescent="0.25"/>
    <row r="51243" customFormat="1" x14ac:dyDescent="0.25"/>
    <row r="51244" customFormat="1" x14ac:dyDescent="0.25"/>
    <row r="51245" customFormat="1" x14ac:dyDescent="0.25"/>
    <row r="51246" customFormat="1" x14ac:dyDescent="0.25"/>
    <row r="51247" customFormat="1" x14ac:dyDescent="0.25"/>
    <row r="51248" customFormat="1" x14ac:dyDescent="0.25"/>
    <row r="51249" customFormat="1" x14ac:dyDescent="0.25"/>
    <row r="51250" customFormat="1" x14ac:dyDescent="0.25"/>
    <row r="51251" customFormat="1" x14ac:dyDescent="0.25"/>
    <row r="51252" customFormat="1" x14ac:dyDescent="0.25"/>
    <row r="51253" customFormat="1" x14ac:dyDescent="0.25"/>
    <row r="51254" customFormat="1" x14ac:dyDescent="0.25"/>
    <row r="51255" customFormat="1" x14ac:dyDescent="0.25"/>
    <row r="51256" customFormat="1" x14ac:dyDescent="0.25"/>
    <row r="51257" customFormat="1" x14ac:dyDescent="0.25"/>
    <row r="51258" customFormat="1" x14ac:dyDescent="0.25"/>
    <row r="51259" customFormat="1" x14ac:dyDescent="0.25"/>
    <row r="51260" customFormat="1" x14ac:dyDescent="0.25"/>
    <row r="51261" customFormat="1" x14ac:dyDescent="0.25"/>
    <row r="51262" customFormat="1" x14ac:dyDescent="0.25"/>
    <row r="51263" customFormat="1" x14ac:dyDescent="0.25"/>
    <row r="51264" customFormat="1" x14ac:dyDescent="0.25"/>
    <row r="51265" customFormat="1" x14ac:dyDescent="0.25"/>
    <row r="51266" customFormat="1" x14ac:dyDescent="0.25"/>
    <row r="51267" customFormat="1" x14ac:dyDescent="0.25"/>
    <row r="51268" customFormat="1" x14ac:dyDescent="0.25"/>
    <row r="51269" customFormat="1" x14ac:dyDescent="0.25"/>
    <row r="51270" customFormat="1" x14ac:dyDescent="0.25"/>
    <row r="51271" customFormat="1" x14ac:dyDescent="0.25"/>
    <row r="51272" customFormat="1" x14ac:dyDescent="0.25"/>
    <row r="51273" customFormat="1" x14ac:dyDescent="0.25"/>
    <row r="51274" customFormat="1" x14ac:dyDescent="0.25"/>
    <row r="51275" customFormat="1" x14ac:dyDescent="0.25"/>
    <row r="51276" customFormat="1" x14ac:dyDescent="0.25"/>
    <row r="51277" customFormat="1" x14ac:dyDescent="0.25"/>
    <row r="51278" customFormat="1" x14ac:dyDescent="0.25"/>
    <row r="51279" customFormat="1" x14ac:dyDescent="0.25"/>
    <row r="51280" customFormat="1" x14ac:dyDescent="0.25"/>
    <row r="51281" customFormat="1" x14ac:dyDescent="0.25"/>
    <row r="51282" customFormat="1" x14ac:dyDescent="0.25"/>
    <row r="51283" customFormat="1" x14ac:dyDescent="0.25"/>
    <row r="51284" customFormat="1" x14ac:dyDescent="0.25"/>
    <row r="51285" customFormat="1" x14ac:dyDescent="0.25"/>
    <row r="51286" customFormat="1" x14ac:dyDescent="0.25"/>
    <row r="51287" customFormat="1" x14ac:dyDescent="0.25"/>
    <row r="51288" customFormat="1" x14ac:dyDescent="0.25"/>
    <row r="51289" customFormat="1" x14ac:dyDescent="0.25"/>
    <row r="51290" customFormat="1" x14ac:dyDescent="0.25"/>
    <row r="51291" customFormat="1" x14ac:dyDescent="0.25"/>
    <row r="51292" customFormat="1" x14ac:dyDescent="0.25"/>
    <row r="51293" customFormat="1" x14ac:dyDescent="0.25"/>
    <row r="51294" customFormat="1" x14ac:dyDescent="0.25"/>
    <row r="51295" customFormat="1" x14ac:dyDescent="0.25"/>
    <row r="51296" customFormat="1" x14ac:dyDescent="0.25"/>
    <row r="51297" customFormat="1" x14ac:dyDescent="0.25"/>
    <row r="51298" customFormat="1" x14ac:dyDescent="0.25"/>
    <row r="51299" customFormat="1" x14ac:dyDescent="0.25"/>
    <row r="51300" customFormat="1" x14ac:dyDescent="0.25"/>
    <row r="51301" customFormat="1" x14ac:dyDescent="0.25"/>
    <row r="51302" customFormat="1" x14ac:dyDescent="0.25"/>
    <row r="51303" customFormat="1" x14ac:dyDescent="0.25"/>
    <row r="51304" customFormat="1" x14ac:dyDescent="0.25"/>
    <row r="51305" customFormat="1" x14ac:dyDescent="0.25"/>
    <row r="51306" customFormat="1" x14ac:dyDescent="0.25"/>
    <row r="51307" customFormat="1" x14ac:dyDescent="0.25"/>
    <row r="51308" customFormat="1" x14ac:dyDescent="0.25"/>
    <row r="51309" customFormat="1" x14ac:dyDescent="0.25"/>
    <row r="51310" customFormat="1" x14ac:dyDescent="0.25"/>
    <row r="51311" customFormat="1" x14ac:dyDescent="0.25"/>
    <row r="51312" customFormat="1" x14ac:dyDescent="0.25"/>
    <row r="51313" customFormat="1" x14ac:dyDescent="0.25"/>
    <row r="51314" customFormat="1" x14ac:dyDescent="0.25"/>
    <row r="51315" customFormat="1" x14ac:dyDescent="0.25"/>
    <row r="51316" customFormat="1" x14ac:dyDescent="0.25"/>
    <row r="51317" customFormat="1" x14ac:dyDescent="0.25"/>
    <row r="51318" customFormat="1" x14ac:dyDescent="0.25"/>
    <row r="51319" customFormat="1" x14ac:dyDescent="0.25"/>
    <row r="51320" customFormat="1" x14ac:dyDescent="0.25"/>
    <row r="51321" customFormat="1" x14ac:dyDescent="0.25"/>
    <row r="51322" customFormat="1" x14ac:dyDescent="0.25"/>
    <row r="51323" customFormat="1" x14ac:dyDescent="0.25"/>
    <row r="51324" customFormat="1" x14ac:dyDescent="0.25"/>
    <row r="51325" customFormat="1" x14ac:dyDescent="0.25"/>
    <row r="51326" customFormat="1" x14ac:dyDescent="0.25"/>
    <row r="51327" customFormat="1" x14ac:dyDescent="0.25"/>
    <row r="51328" customFormat="1" x14ac:dyDescent="0.25"/>
    <row r="51329" customFormat="1" x14ac:dyDescent="0.25"/>
    <row r="51330" customFormat="1" x14ac:dyDescent="0.25"/>
    <row r="51331" customFormat="1" x14ac:dyDescent="0.25"/>
    <row r="51332" customFormat="1" x14ac:dyDescent="0.25"/>
    <row r="51333" customFormat="1" x14ac:dyDescent="0.25"/>
    <row r="51334" customFormat="1" x14ac:dyDescent="0.25"/>
    <row r="51335" customFormat="1" x14ac:dyDescent="0.25"/>
    <row r="51336" customFormat="1" x14ac:dyDescent="0.25"/>
    <row r="51337" customFormat="1" x14ac:dyDescent="0.25"/>
    <row r="51338" customFormat="1" x14ac:dyDescent="0.25"/>
    <row r="51339" customFormat="1" x14ac:dyDescent="0.25"/>
    <row r="51340" customFormat="1" x14ac:dyDescent="0.25"/>
    <row r="51341" customFormat="1" x14ac:dyDescent="0.25"/>
    <row r="51342" customFormat="1" x14ac:dyDescent="0.25"/>
    <row r="51343" customFormat="1" x14ac:dyDescent="0.25"/>
    <row r="51344" customFormat="1" x14ac:dyDescent="0.25"/>
    <row r="51345" customFormat="1" x14ac:dyDescent="0.25"/>
    <row r="51346" customFormat="1" x14ac:dyDescent="0.25"/>
    <row r="51347" customFormat="1" x14ac:dyDescent="0.25"/>
    <row r="51348" customFormat="1" x14ac:dyDescent="0.25"/>
    <row r="51349" customFormat="1" x14ac:dyDescent="0.25"/>
    <row r="51350" customFormat="1" x14ac:dyDescent="0.25"/>
    <row r="51351" customFormat="1" x14ac:dyDescent="0.25"/>
    <row r="51352" customFormat="1" x14ac:dyDescent="0.25"/>
    <row r="51353" customFormat="1" x14ac:dyDescent="0.25"/>
    <row r="51354" customFormat="1" x14ac:dyDescent="0.25"/>
    <row r="51355" customFormat="1" x14ac:dyDescent="0.25"/>
    <row r="51356" customFormat="1" x14ac:dyDescent="0.25"/>
    <row r="51357" customFormat="1" x14ac:dyDescent="0.25"/>
    <row r="51358" customFormat="1" x14ac:dyDescent="0.25"/>
    <row r="51359" customFormat="1" x14ac:dyDescent="0.25"/>
    <row r="51360" customFormat="1" x14ac:dyDescent="0.25"/>
    <row r="51361" customFormat="1" x14ac:dyDescent="0.25"/>
    <row r="51362" customFormat="1" x14ac:dyDescent="0.25"/>
    <row r="51363" customFormat="1" x14ac:dyDescent="0.25"/>
    <row r="51364" customFormat="1" x14ac:dyDescent="0.25"/>
    <row r="51365" customFormat="1" x14ac:dyDescent="0.25"/>
    <row r="51366" customFormat="1" x14ac:dyDescent="0.25"/>
    <row r="51367" customFormat="1" x14ac:dyDescent="0.25"/>
    <row r="51368" customFormat="1" x14ac:dyDescent="0.25"/>
    <row r="51369" customFormat="1" x14ac:dyDescent="0.25"/>
    <row r="51370" customFormat="1" x14ac:dyDescent="0.25"/>
    <row r="51371" customFormat="1" x14ac:dyDescent="0.25"/>
    <row r="51372" customFormat="1" x14ac:dyDescent="0.25"/>
    <row r="51373" customFormat="1" x14ac:dyDescent="0.25"/>
    <row r="51374" customFormat="1" x14ac:dyDescent="0.25"/>
    <row r="51375" customFormat="1" x14ac:dyDescent="0.25"/>
    <row r="51376" customFormat="1" x14ac:dyDescent="0.25"/>
    <row r="51377" customFormat="1" x14ac:dyDescent="0.25"/>
    <row r="51378" customFormat="1" x14ac:dyDescent="0.25"/>
    <row r="51379" customFormat="1" x14ac:dyDescent="0.25"/>
    <row r="51380" customFormat="1" x14ac:dyDescent="0.25"/>
    <row r="51381" customFormat="1" x14ac:dyDescent="0.25"/>
    <row r="51382" customFormat="1" x14ac:dyDescent="0.25"/>
    <row r="51383" customFormat="1" x14ac:dyDescent="0.25"/>
    <row r="51384" customFormat="1" x14ac:dyDescent="0.25"/>
    <row r="51385" customFormat="1" x14ac:dyDescent="0.25"/>
    <row r="51386" customFormat="1" x14ac:dyDescent="0.25"/>
    <row r="51387" customFormat="1" x14ac:dyDescent="0.25"/>
    <row r="51388" customFormat="1" x14ac:dyDescent="0.25"/>
    <row r="51389" customFormat="1" x14ac:dyDescent="0.25"/>
    <row r="51390" customFormat="1" x14ac:dyDescent="0.25"/>
    <row r="51391" customFormat="1" x14ac:dyDescent="0.25"/>
    <row r="51392" customFormat="1" x14ac:dyDescent="0.25"/>
    <row r="51393" customFormat="1" x14ac:dyDescent="0.25"/>
    <row r="51394" customFormat="1" x14ac:dyDescent="0.25"/>
    <row r="51395" customFormat="1" x14ac:dyDescent="0.25"/>
    <row r="51396" customFormat="1" x14ac:dyDescent="0.25"/>
    <row r="51397" customFormat="1" x14ac:dyDescent="0.25"/>
    <row r="51398" customFormat="1" x14ac:dyDescent="0.25"/>
    <row r="51399" customFormat="1" x14ac:dyDescent="0.25"/>
    <row r="51400" customFormat="1" x14ac:dyDescent="0.25"/>
    <row r="51401" customFormat="1" x14ac:dyDescent="0.25"/>
    <row r="51402" customFormat="1" x14ac:dyDescent="0.25"/>
    <row r="51403" customFormat="1" x14ac:dyDescent="0.25"/>
    <row r="51404" customFormat="1" x14ac:dyDescent="0.25"/>
    <row r="51405" customFormat="1" x14ac:dyDescent="0.25"/>
    <row r="51406" customFormat="1" x14ac:dyDescent="0.25"/>
    <row r="51407" customFormat="1" x14ac:dyDescent="0.25"/>
    <row r="51408" customFormat="1" x14ac:dyDescent="0.25"/>
    <row r="51409" customFormat="1" x14ac:dyDescent="0.25"/>
    <row r="51410" customFormat="1" x14ac:dyDescent="0.25"/>
    <row r="51411" customFormat="1" x14ac:dyDescent="0.25"/>
    <row r="51412" customFormat="1" x14ac:dyDescent="0.25"/>
    <row r="51413" customFormat="1" x14ac:dyDescent="0.25"/>
    <row r="51414" customFormat="1" x14ac:dyDescent="0.25"/>
    <row r="51415" customFormat="1" x14ac:dyDescent="0.25"/>
    <row r="51416" customFormat="1" x14ac:dyDescent="0.25"/>
    <row r="51417" customFormat="1" x14ac:dyDescent="0.25"/>
    <row r="51418" customFormat="1" x14ac:dyDescent="0.25"/>
    <row r="51419" customFormat="1" x14ac:dyDescent="0.25"/>
    <row r="51420" customFormat="1" x14ac:dyDescent="0.25"/>
    <row r="51421" customFormat="1" x14ac:dyDescent="0.25"/>
    <row r="51422" customFormat="1" x14ac:dyDescent="0.25"/>
    <row r="51423" customFormat="1" x14ac:dyDescent="0.25"/>
    <row r="51424" customFormat="1" x14ac:dyDescent="0.25"/>
    <row r="51425" customFormat="1" x14ac:dyDescent="0.25"/>
    <row r="51426" customFormat="1" x14ac:dyDescent="0.25"/>
    <row r="51427" customFormat="1" x14ac:dyDescent="0.25"/>
    <row r="51428" customFormat="1" x14ac:dyDescent="0.25"/>
    <row r="51429" customFormat="1" x14ac:dyDescent="0.25"/>
    <row r="51430" customFormat="1" x14ac:dyDescent="0.25"/>
    <row r="51431" customFormat="1" x14ac:dyDescent="0.25"/>
    <row r="51432" customFormat="1" x14ac:dyDescent="0.25"/>
    <row r="51433" customFormat="1" x14ac:dyDescent="0.25"/>
    <row r="51434" customFormat="1" x14ac:dyDescent="0.25"/>
    <row r="51435" customFormat="1" x14ac:dyDescent="0.25"/>
    <row r="51436" customFormat="1" x14ac:dyDescent="0.25"/>
    <row r="51437" customFormat="1" x14ac:dyDescent="0.25"/>
    <row r="51438" customFormat="1" x14ac:dyDescent="0.25"/>
    <row r="51439" customFormat="1" x14ac:dyDescent="0.25"/>
    <row r="51440" customFormat="1" x14ac:dyDescent="0.25"/>
    <row r="51441" customFormat="1" x14ac:dyDescent="0.25"/>
    <row r="51442" customFormat="1" x14ac:dyDescent="0.25"/>
    <row r="51443" customFormat="1" x14ac:dyDescent="0.25"/>
    <row r="51444" customFormat="1" x14ac:dyDescent="0.25"/>
    <row r="51445" customFormat="1" x14ac:dyDescent="0.25"/>
    <row r="51446" customFormat="1" x14ac:dyDescent="0.25"/>
    <row r="51447" customFormat="1" x14ac:dyDescent="0.25"/>
    <row r="51448" customFormat="1" x14ac:dyDescent="0.25"/>
    <row r="51449" customFormat="1" x14ac:dyDescent="0.25"/>
    <row r="51450" customFormat="1" x14ac:dyDescent="0.25"/>
    <row r="51451" customFormat="1" x14ac:dyDescent="0.25"/>
    <row r="51452" customFormat="1" x14ac:dyDescent="0.25"/>
    <row r="51453" customFormat="1" x14ac:dyDescent="0.25"/>
    <row r="51454" customFormat="1" x14ac:dyDescent="0.25"/>
    <row r="51455" customFormat="1" x14ac:dyDescent="0.25"/>
    <row r="51456" customFormat="1" x14ac:dyDescent="0.25"/>
    <row r="51457" customFormat="1" x14ac:dyDescent="0.25"/>
    <row r="51458" customFormat="1" x14ac:dyDescent="0.25"/>
    <row r="51459" customFormat="1" x14ac:dyDescent="0.25"/>
    <row r="51460" customFormat="1" x14ac:dyDescent="0.25"/>
    <row r="51461" customFormat="1" x14ac:dyDescent="0.25"/>
    <row r="51462" customFormat="1" x14ac:dyDescent="0.25"/>
    <row r="51463" customFormat="1" x14ac:dyDescent="0.25"/>
    <row r="51464" customFormat="1" x14ac:dyDescent="0.25"/>
    <row r="51465" customFormat="1" x14ac:dyDescent="0.25"/>
    <row r="51466" customFormat="1" x14ac:dyDescent="0.25"/>
    <row r="51467" customFormat="1" x14ac:dyDescent="0.25"/>
    <row r="51468" customFormat="1" x14ac:dyDescent="0.25"/>
    <row r="51469" customFormat="1" x14ac:dyDescent="0.25"/>
    <row r="51470" customFormat="1" x14ac:dyDescent="0.25"/>
    <row r="51471" customFormat="1" x14ac:dyDescent="0.25"/>
    <row r="51472" customFormat="1" x14ac:dyDescent="0.25"/>
    <row r="51473" customFormat="1" x14ac:dyDescent="0.25"/>
    <row r="51474" customFormat="1" x14ac:dyDescent="0.25"/>
    <row r="51475" customFormat="1" x14ac:dyDescent="0.25"/>
    <row r="51476" customFormat="1" x14ac:dyDescent="0.25"/>
    <row r="51477" customFormat="1" x14ac:dyDescent="0.25"/>
    <row r="51478" customFormat="1" x14ac:dyDescent="0.25"/>
    <row r="51479" customFormat="1" x14ac:dyDescent="0.25"/>
    <row r="51480" customFormat="1" x14ac:dyDescent="0.25"/>
    <row r="51481" customFormat="1" x14ac:dyDescent="0.25"/>
    <row r="51482" customFormat="1" x14ac:dyDescent="0.25"/>
    <row r="51483" customFormat="1" x14ac:dyDescent="0.25"/>
    <row r="51484" customFormat="1" x14ac:dyDescent="0.25"/>
    <row r="51485" customFormat="1" x14ac:dyDescent="0.25"/>
    <row r="51486" customFormat="1" x14ac:dyDescent="0.25"/>
    <row r="51487" customFormat="1" x14ac:dyDescent="0.25"/>
    <row r="51488" customFormat="1" x14ac:dyDescent="0.25"/>
    <row r="51489" customFormat="1" x14ac:dyDescent="0.25"/>
    <row r="51490" customFormat="1" x14ac:dyDescent="0.25"/>
    <row r="51491" customFormat="1" x14ac:dyDescent="0.25"/>
    <row r="51492" customFormat="1" x14ac:dyDescent="0.25"/>
    <row r="51493" customFormat="1" x14ac:dyDescent="0.25"/>
    <row r="51494" customFormat="1" x14ac:dyDescent="0.25"/>
    <row r="51495" customFormat="1" x14ac:dyDescent="0.25"/>
    <row r="51496" customFormat="1" x14ac:dyDescent="0.25"/>
    <row r="51497" customFormat="1" x14ac:dyDescent="0.25"/>
    <row r="51498" customFormat="1" x14ac:dyDescent="0.25"/>
    <row r="51499" customFormat="1" x14ac:dyDescent="0.25"/>
    <row r="51500" customFormat="1" x14ac:dyDescent="0.25"/>
    <row r="51501" customFormat="1" x14ac:dyDescent="0.25"/>
    <row r="51502" customFormat="1" x14ac:dyDescent="0.25"/>
    <row r="51503" customFormat="1" x14ac:dyDescent="0.25"/>
    <row r="51504" customFormat="1" x14ac:dyDescent="0.25"/>
    <row r="51505" customFormat="1" x14ac:dyDescent="0.25"/>
    <row r="51506" customFormat="1" x14ac:dyDescent="0.25"/>
    <row r="51507" customFormat="1" x14ac:dyDescent="0.25"/>
    <row r="51508" customFormat="1" x14ac:dyDescent="0.25"/>
    <row r="51509" customFormat="1" x14ac:dyDescent="0.25"/>
    <row r="51510" customFormat="1" x14ac:dyDescent="0.25"/>
    <row r="51511" customFormat="1" x14ac:dyDescent="0.25"/>
    <row r="51512" customFormat="1" x14ac:dyDescent="0.25"/>
    <row r="51513" customFormat="1" x14ac:dyDescent="0.25"/>
    <row r="51514" customFormat="1" x14ac:dyDescent="0.25"/>
    <row r="51515" customFormat="1" x14ac:dyDescent="0.25"/>
    <row r="51516" customFormat="1" x14ac:dyDescent="0.25"/>
    <row r="51517" customFormat="1" x14ac:dyDescent="0.25"/>
    <row r="51518" customFormat="1" x14ac:dyDescent="0.25"/>
    <row r="51519" customFormat="1" x14ac:dyDescent="0.25"/>
    <row r="51520" customFormat="1" x14ac:dyDescent="0.25"/>
    <row r="51521" customFormat="1" x14ac:dyDescent="0.25"/>
    <row r="51522" customFormat="1" x14ac:dyDescent="0.25"/>
    <row r="51523" customFormat="1" x14ac:dyDescent="0.25"/>
    <row r="51524" customFormat="1" x14ac:dyDescent="0.25"/>
    <row r="51525" customFormat="1" x14ac:dyDescent="0.25"/>
    <row r="51526" customFormat="1" x14ac:dyDescent="0.25"/>
    <row r="51527" customFormat="1" x14ac:dyDescent="0.25"/>
    <row r="51528" customFormat="1" x14ac:dyDescent="0.25"/>
    <row r="51529" customFormat="1" x14ac:dyDescent="0.25"/>
    <row r="51530" customFormat="1" x14ac:dyDescent="0.25"/>
    <row r="51531" customFormat="1" x14ac:dyDescent="0.25"/>
    <row r="51532" customFormat="1" x14ac:dyDescent="0.25"/>
    <row r="51533" customFormat="1" x14ac:dyDescent="0.25"/>
    <row r="51534" customFormat="1" x14ac:dyDescent="0.25"/>
    <row r="51535" customFormat="1" x14ac:dyDescent="0.25"/>
    <row r="51536" customFormat="1" x14ac:dyDescent="0.25"/>
    <row r="51537" customFormat="1" x14ac:dyDescent="0.25"/>
    <row r="51538" customFormat="1" x14ac:dyDescent="0.25"/>
    <row r="51539" customFormat="1" x14ac:dyDescent="0.25"/>
    <row r="51540" customFormat="1" x14ac:dyDescent="0.25"/>
    <row r="51541" customFormat="1" x14ac:dyDescent="0.25"/>
    <row r="51542" customFormat="1" x14ac:dyDescent="0.25"/>
    <row r="51543" customFormat="1" x14ac:dyDescent="0.25"/>
    <row r="51544" customFormat="1" x14ac:dyDescent="0.25"/>
    <row r="51545" customFormat="1" x14ac:dyDescent="0.25"/>
    <row r="51546" customFormat="1" x14ac:dyDescent="0.25"/>
    <row r="51547" customFormat="1" x14ac:dyDescent="0.25"/>
    <row r="51548" customFormat="1" x14ac:dyDescent="0.25"/>
    <row r="51549" customFormat="1" x14ac:dyDescent="0.25"/>
    <row r="51550" customFormat="1" x14ac:dyDescent="0.25"/>
    <row r="51551" customFormat="1" x14ac:dyDescent="0.25"/>
    <row r="51552" customFormat="1" x14ac:dyDescent="0.25"/>
    <row r="51553" customFormat="1" x14ac:dyDescent="0.25"/>
    <row r="51554" customFormat="1" x14ac:dyDescent="0.25"/>
    <row r="51555" customFormat="1" x14ac:dyDescent="0.25"/>
    <row r="51556" customFormat="1" x14ac:dyDescent="0.25"/>
    <row r="51557" customFormat="1" x14ac:dyDescent="0.25"/>
    <row r="51558" customFormat="1" x14ac:dyDescent="0.25"/>
    <row r="51559" customFormat="1" x14ac:dyDescent="0.25"/>
    <row r="51560" customFormat="1" x14ac:dyDescent="0.25"/>
    <row r="51561" customFormat="1" x14ac:dyDescent="0.25"/>
    <row r="51562" customFormat="1" x14ac:dyDescent="0.25"/>
    <row r="51563" customFormat="1" x14ac:dyDescent="0.25"/>
    <row r="51564" customFormat="1" x14ac:dyDescent="0.25"/>
    <row r="51565" customFormat="1" x14ac:dyDescent="0.25"/>
    <row r="51566" customFormat="1" x14ac:dyDescent="0.25"/>
    <row r="51567" customFormat="1" x14ac:dyDescent="0.25"/>
    <row r="51568" customFormat="1" x14ac:dyDescent="0.25"/>
    <row r="51569" customFormat="1" x14ac:dyDescent="0.25"/>
    <row r="51570" customFormat="1" x14ac:dyDescent="0.25"/>
    <row r="51571" customFormat="1" x14ac:dyDescent="0.25"/>
    <row r="51572" customFormat="1" x14ac:dyDescent="0.25"/>
    <row r="51573" customFormat="1" x14ac:dyDescent="0.25"/>
    <row r="51574" customFormat="1" x14ac:dyDescent="0.25"/>
    <row r="51575" customFormat="1" x14ac:dyDescent="0.25"/>
    <row r="51576" customFormat="1" x14ac:dyDescent="0.25"/>
    <row r="51577" customFormat="1" x14ac:dyDescent="0.25"/>
    <row r="51578" customFormat="1" x14ac:dyDescent="0.25"/>
    <row r="51579" customFormat="1" x14ac:dyDescent="0.25"/>
    <row r="51580" customFormat="1" x14ac:dyDescent="0.25"/>
    <row r="51581" customFormat="1" x14ac:dyDescent="0.25"/>
    <row r="51582" customFormat="1" x14ac:dyDescent="0.25"/>
    <row r="51583" customFormat="1" x14ac:dyDescent="0.25"/>
    <row r="51584" customFormat="1" x14ac:dyDescent="0.25"/>
    <row r="51585" customFormat="1" x14ac:dyDescent="0.25"/>
    <row r="51586" customFormat="1" x14ac:dyDescent="0.25"/>
    <row r="51587" customFormat="1" x14ac:dyDescent="0.25"/>
    <row r="51588" customFormat="1" x14ac:dyDescent="0.25"/>
    <row r="51589" customFormat="1" x14ac:dyDescent="0.25"/>
    <row r="51590" customFormat="1" x14ac:dyDescent="0.25"/>
    <row r="51591" customFormat="1" x14ac:dyDescent="0.25"/>
    <row r="51592" customFormat="1" x14ac:dyDescent="0.25"/>
    <row r="51593" customFormat="1" x14ac:dyDescent="0.25"/>
    <row r="51594" customFormat="1" x14ac:dyDescent="0.25"/>
    <row r="51595" customFormat="1" x14ac:dyDescent="0.25"/>
    <row r="51596" customFormat="1" x14ac:dyDescent="0.25"/>
    <row r="51597" customFormat="1" x14ac:dyDescent="0.25"/>
    <row r="51598" customFormat="1" x14ac:dyDescent="0.25"/>
    <row r="51599" customFormat="1" x14ac:dyDescent="0.25"/>
    <row r="51600" customFormat="1" x14ac:dyDescent="0.25"/>
    <row r="51601" customFormat="1" x14ac:dyDescent="0.25"/>
    <row r="51602" customFormat="1" x14ac:dyDescent="0.25"/>
    <row r="51603" customFormat="1" x14ac:dyDescent="0.25"/>
    <row r="51604" customFormat="1" x14ac:dyDescent="0.25"/>
    <row r="51605" customFormat="1" x14ac:dyDescent="0.25"/>
    <row r="51606" customFormat="1" x14ac:dyDescent="0.25"/>
    <row r="51607" customFormat="1" x14ac:dyDescent="0.25"/>
    <row r="51608" customFormat="1" x14ac:dyDescent="0.25"/>
    <row r="51609" customFormat="1" x14ac:dyDescent="0.25"/>
    <row r="51610" customFormat="1" x14ac:dyDescent="0.25"/>
    <row r="51611" customFormat="1" x14ac:dyDescent="0.25"/>
    <row r="51612" customFormat="1" x14ac:dyDescent="0.25"/>
    <row r="51613" customFormat="1" x14ac:dyDescent="0.25"/>
    <row r="51614" customFormat="1" x14ac:dyDescent="0.25"/>
    <row r="51615" customFormat="1" x14ac:dyDescent="0.25"/>
    <row r="51616" customFormat="1" x14ac:dyDescent="0.25"/>
    <row r="51617" customFormat="1" x14ac:dyDescent="0.25"/>
    <row r="51618" customFormat="1" x14ac:dyDescent="0.25"/>
    <row r="51619" customFormat="1" x14ac:dyDescent="0.25"/>
    <row r="51620" customFormat="1" x14ac:dyDescent="0.25"/>
    <row r="51621" customFormat="1" x14ac:dyDescent="0.25"/>
    <row r="51622" customFormat="1" x14ac:dyDescent="0.25"/>
    <row r="51623" customFormat="1" x14ac:dyDescent="0.25"/>
    <row r="51624" customFormat="1" x14ac:dyDescent="0.25"/>
    <row r="51625" customFormat="1" x14ac:dyDescent="0.25"/>
    <row r="51626" customFormat="1" x14ac:dyDescent="0.25"/>
    <row r="51627" customFormat="1" x14ac:dyDescent="0.25"/>
    <row r="51628" customFormat="1" x14ac:dyDescent="0.25"/>
    <row r="51629" customFormat="1" x14ac:dyDescent="0.25"/>
    <row r="51630" customFormat="1" x14ac:dyDescent="0.25"/>
    <row r="51631" customFormat="1" x14ac:dyDescent="0.25"/>
    <row r="51632" customFormat="1" x14ac:dyDescent="0.25"/>
    <row r="51633" customFormat="1" x14ac:dyDescent="0.25"/>
    <row r="51634" customFormat="1" x14ac:dyDescent="0.25"/>
    <row r="51635" customFormat="1" x14ac:dyDescent="0.25"/>
    <row r="51636" customFormat="1" x14ac:dyDescent="0.25"/>
    <row r="51637" customFormat="1" x14ac:dyDescent="0.25"/>
    <row r="51638" customFormat="1" x14ac:dyDescent="0.25"/>
    <row r="51639" customFormat="1" x14ac:dyDescent="0.25"/>
    <row r="51640" customFormat="1" x14ac:dyDescent="0.25"/>
    <row r="51641" customFormat="1" x14ac:dyDescent="0.25"/>
    <row r="51642" customFormat="1" x14ac:dyDescent="0.25"/>
    <row r="51643" customFormat="1" x14ac:dyDescent="0.25"/>
    <row r="51644" customFormat="1" x14ac:dyDescent="0.25"/>
    <row r="51645" customFormat="1" x14ac:dyDescent="0.25"/>
    <row r="51646" customFormat="1" x14ac:dyDescent="0.25"/>
    <row r="51647" customFormat="1" x14ac:dyDescent="0.25"/>
    <row r="51648" customFormat="1" x14ac:dyDescent="0.25"/>
    <row r="51649" customFormat="1" x14ac:dyDescent="0.25"/>
    <row r="51650" customFormat="1" x14ac:dyDescent="0.25"/>
    <row r="51651" customFormat="1" x14ac:dyDescent="0.25"/>
    <row r="51652" customFormat="1" x14ac:dyDescent="0.25"/>
    <row r="51653" customFormat="1" x14ac:dyDescent="0.25"/>
    <row r="51654" customFormat="1" x14ac:dyDescent="0.25"/>
    <row r="51655" customFormat="1" x14ac:dyDescent="0.25"/>
    <row r="51656" customFormat="1" x14ac:dyDescent="0.25"/>
    <row r="51657" customFormat="1" x14ac:dyDescent="0.25"/>
    <row r="51658" customFormat="1" x14ac:dyDescent="0.25"/>
    <row r="51659" customFormat="1" x14ac:dyDescent="0.25"/>
    <row r="51660" customFormat="1" x14ac:dyDescent="0.25"/>
    <row r="51661" customFormat="1" x14ac:dyDescent="0.25"/>
    <row r="51662" customFormat="1" x14ac:dyDescent="0.25"/>
    <row r="51663" customFormat="1" x14ac:dyDescent="0.25"/>
    <row r="51664" customFormat="1" x14ac:dyDescent="0.25"/>
    <row r="51665" customFormat="1" x14ac:dyDescent="0.25"/>
    <row r="51666" customFormat="1" x14ac:dyDescent="0.25"/>
    <row r="51667" customFormat="1" x14ac:dyDescent="0.25"/>
    <row r="51668" customFormat="1" x14ac:dyDescent="0.25"/>
    <row r="51669" customFormat="1" x14ac:dyDescent="0.25"/>
    <row r="51670" customFormat="1" x14ac:dyDescent="0.25"/>
    <row r="51671" customFormat="1" x14ac:dyDescent="0.25"/>
    <row r="51672" customFormat="1" x14ac:dyDescent="0.25"/>
    <row r="51673" customFormat="1" x14ac:dyDescent="0.25"/>
    <row r="51674" customFormat="1" x14ac:dyDescent="0.25"/>
    <row r="51675" customFormat="1" x14ac:dyDescent="0.25"/>
    <row r="51676" customFormat="1" x14ac:dyDescent="0.25"/>
    <row r="51677" customFormat="1" x14ac:dyDescent="0.25"/>
    <row r="51678" customFormat="1" x14ac:dyDescent="0.25"/>
    <row r="51679" customFormat="1" x14ac:dyDescent="0.25"/>
    <row r="51680" customFormat="1" x14ac:dyDescent="0.25"/>
    <row r="51681" customFormat="1" x14ac:dyDescent="0.25"/>
    <row r="51682" customFormat="1" x14ac:dyDescent="0.25"/>
    <row r="51683" customFormat="1" x14ac:dyDescent="0.25"/>
    <row r="51684" customFormat="1" x14ac:dyDescent="0.25"/>
    <row r="51685" customFormat="1" x14ac:dyDescent="0.25"/>
    <row r="51686" customFormat="1" x14ac:dyDescent="0.25"/>
    <row r="51687" customFormat="1" x14ac:dyDescent="0.25"/>
    <row r="51688" customFormat="1" x14ac:dyDescent="0.25"/>
    <row r="51689" customFormat="1" x14ac:dyDescent="0.25"/>
    <row r="51690" customFormat="1" x14ac:dyDescent="0.25"/>
    <row r="51691" customFormat="1" x14ac:dyDescent="0.25"/>
    <row r="51692" customFormat="1" x14ac:dyDescent="0.25"/>
    <row r="51693" customFormat="1" x14ac:dyDescent="0.25"/>
    <row r="51694" customFormat="1" x14ac:dyDescent="0.25"/>
    <row r="51695" customFormat="1" x14ac:dyDescent="0.25"/>
    <row r="51696" customFormat="1" x14ac:dyDescent="0.25"/>
    <row r="51697" customFormat="1" x14ac:dyDescent="0.25"/>
    <row r="51698" customFormat="1" x14ac:dyDescent="0.25"/>
    <row r="51699" customFormat="1" x14ac:dyDescent="0.25"/>
    <row r="51700" customFormat="1" x14ac:dyDescent="0.25"/>
    <row r="51701" customFormat="1" x14ac:dyDescent="0.25"/>
    <row r="51702" customFormat="1" x14ac:dyDescent="0.25"/>
    <row r="51703" customFormat="1" x14ac:dyDescent="0.25"/>
    <row r="51704" customFormat="1" x14ac:dyDescent="0.25"/>
    <row r="51705" customFormat="1" x14ac:dyDescent="0.25"/>
    <row r="51706" customFormat="1" x14ac:dyDescent="0.25"/>
    <row r="51707" customFormat="1" x14ac:dyDescent="0.25"/>
    <row r="51708" customFormat="1" x14ac:dyDescent="0.25"/>
    <row r="51709" customFormat="1" x14ac:dyDescent="0.25"/>
    <row r="51710" customFormat="1" x14ac:dyDescent="0.25"/>
    <row r="51711" customFormat="1" x14ac:dyDescent="0.25"/>
    <row r="51712" customFormat="1" x14ac:dyDescent="0.25"/>
    <row r="51713" customFormat="1" x14ac:dyDescent="0.25"/>
    <row r="51714" customFormat="1" x14ac:dyDescent="0.25"/>
    <row r="51715" customFormat="1" x14ac:dyDescent="0.25"/>
    <row r="51716" customFormat="1" x14ac:dyDescent="0.25"/>
    <row r="51717" customFormat="1" x14ac:dyDescent="0.25"/>
    <row r="51718" customFormat="1" x14ac:dyDescent="0.25"/>
    <row r="51719" customFormat="1" x14ac:dyDescent="0.25"/>
    <row r="51720" customFormat="1" x14ac:dyDescent="0.25"/>
    <row r="51721" customFormat="1" x14ac:dyDescent="0.25"/>
    <row r="51722" customFormat="1" x14ac:dyDescent="0.25"/>
    <row r="51723" customFormat="1" x14ac:dyDescent="0.25"/>
    <row r="51724" customFormat="1" x14ac:dyDescent="0.25"/>
    <row r="51725" customFormat="1" x14ac:dyDescent="0.25"/>
    <row r="51726" customFormat="1" x14ac:dyDescent="0.25"/>
    <row r="51727" customFormat="1" x14ac:dyDescent="0.25"/>
    <row r="51728" customFormat="1" x14ac:dyDescent="0.25"/>
    <row r="51729" customFormat="1" x14ac:dyDescent="0.25"/>
    <row r="51730" customFormat="1" x14ac:dyDescent="0.25"/>
    <row r="51731" customFormat="1" x14ac:dyDescent="0.25"/>
    <row r="51732" customFormat="1" x14ac:dyDescent="0.25"/>
    <row r="51733" customFormat="1" x14ac:dyDescent="0.25"/>
    <row r="51734" customFormat="1" x14ac:dyDescent="0.25"/>
    <row r="51735" customFormat="1" x14ac:dyDescent="0.25"/>
    <row r="51736" customFormat="1" x14ac:dyDescent="0.25"/>
    <row r="51737" customFormat="1" x14ac:dyDescent="0.25"/>
    <row r="51738" customFormat="1" x14ac:dyDescent="0.25"/>
    <row r="51739" customFormat="1" x14ac:dyDescent="0.25"/>
    <row r="51740" customFormat="1" x14ac:dyDescent="0.25"/>
    <row r="51741" customFormat="1" x14ac:dyDescent="0.25"/>
    <row r="51742" customFormat="1" x14ac:dyDescent="0.25"/>
    <row r="51743" customFormat="1" x14ac:dyDescent="0.25"/>
    <row r="51744" customFormat="1" x14ac:dyDescent="0.25"/>
    <row r="51745" customFormat="1" x14ac:dyDescent="0.25"/>
    <row r="51746" customFormat="1" x14ac:dyDescent="0.25"/>
    <row r="51747" customFormat="1" x14ac:dyDescent="0.25"/>
    <row r="51748" customFormat="1" x14ac:dyDescent="0.25"/>
    <row r="51749" customFormat="1" x14ac:dyDescent="0.25"/>
    <row r="51750" customFormat="1" x14ac:dyDescent="0.25"/>
    <row r="51751" customFormat="1" x14ac:dyDescent="0.25"/>
    <row r="51752" customFormat="1" x14ac:dyDescent="0.25"/>
    <row r="51753" customFormat="1" x14ac:dyDescent="0.25"/>
    <row r="51754" customFormat="1" x14ac:dyDescent="0.25"/>
    <row r="51755" customFormat="1" x14ac:dyDescent="0.25"/>
    <row r="51756" customFormat="1" x14ac:dyDescent="0.25"/>
    <row r="51757" customFormat="1" x14ac:dyDescent="0.25"/>
    <row r="51758" customFormat="1" x14ac:dyDescent="0.25"/>
    <row r="51759" customFormat="1" x14ac:dyDescent="0.25"/>
    <row r="51760" customFormat="1" x14ac:dyDescent="0.25"/>
    <row r="51761" customFormat="1" x14ac:dyDescent="0.25"/>
    <row r="51762" customFormat="1" x14ac:dyDescent="0.25"/>
    <row r="51763" customFormat="1" x14ac:dyDescent="0.25"/>
    <row r="51764" customFormat="1" x14ac:dyDescent="0.25"/>
    <row r="51765" customFormat="1" x14ac:dyDescent="0.25"/>
    <row r="51766" customFormat="1" x14ac:dyDescent="0.25"/>
    <row r="51767" customFormat="1" x14ac:dyDescent="0.25"/>
    <row r="51768" customFormat="1" x14ac:dyDescent="0.25"/>
    <row r="51769" customFormat="1" x14ac:dyDescent="0.25"/>
    <row r="51770" customFormat="1" x14ac:dyDescent="0.25"/>
    <row r="51771" customFormat="1" x14ac:dyDescent="0.25"/>
    <row r="51772" customFormat="1" x14ac:dyDescent="0.25"/>
    <row r="51773" customFormat="1" x14ac:dyDescent="0.25"/>
    <row r="51774" customFormat="1" x14ac:dyDescent="0.25"/>
    <row r="51775" customFormat="1" x14ac:dyDescent="0.25"/>
    <row r="51776" customFormat="1" x14ac:dyDescent="0.25"/>
    <row r="51777" customFormat="1" x14ac:dyDescent="0.25"/>
    <row r="51778" customFormat="1" x14ac:dyDescent="0.25"/>
    <row r="51779" customFormat="1" x14ac:dyDescent="0.25"/>
    <row r="51780" customFormat="1" x14ac:dyDescent="0.25"/>
    <row r="51781" customFormat="1" x14ac:dyDescent="0.25"/>
    <row r="51782" customFormat="1" x14ac:dyDescent="0.25"/>
    <row r="51783" customFormat="1" x14ac:dyDescent="0.25"/>
    <row r="51784" customFormat="1" x14ac:dyDescent="0.25"/>
    <row r="51785" customFormat="1" x14ac:dyDescent="0.25"/>
    <row r="51786" customFormat="1" x14ac:dyDescent="0.25"/>
    <row r="51787" customFormat="1" x14ac:dyDescent="0.25"/>
    <row r="51788" customFormat="1" x14ac:dyDescent="0.25"/>
    <row r="51789" customFormat="1" x14ac:dyDescent="0.25"/>
    <row r="51790" customFormat="1" x14ac:dyDescent="0.25"/>
    <row r="51791" customFormat="1" x14ac:dyDescent="0.25"/>
    <row r="51792" customFormat="1" x14ac:dyDescent="0.25"/>
    <row r="51793" customFormat="1" x14ac:dyDescent="0.25"/>
    <row r="51794" customFormat="1" x14ac:dyDescent="0.25"/>
    <row r="51795" customFormat="1" x14ac:dyDescent="0.25"/>
    <row r="51796" customFormat="1" x14ac:dyDescent="0.25"/>
    <row r="51797" customFormat="1" x14ac:dyDescent="0.25"/>
    <row r="51798" customFormat="1" x14ac:dyDescent="0.25"/>
    <row r="51799" customFormat="1" x14ac:dyDescent="0.25"/>
    <row r="51800" customFormat="1" x14ac:dyDescent="0.25"/>
    <row r="51801" customFormat="1" x14ac:dyDescent="0.25"/>
    <row r="51802" customFormat="1" x14ac:dyDescent="0.25"/>
    <row r="51803" customFormat="1" x14ac:dyDescent="0.25"/>
    <row r="51804" customFormat="1" x14ac:dyDescent="0.25"/>
    <row r="51805" customFormat="1" x14ac:dyDescent="0.25"/>
    <row r="51806" customFormat="1" x14ac:dyDescent="0.25"/>
    <row r="51807" customFormat="1" x14ac:dyDescent="0.25"/>
    <row r="51808" customFormat="1" x14ac:dyDescent="0.25"/>
    <row r="51809" customFormat="1" x14ac:dyDescent="0.25"/>
    <row r="51810" customFormat="1" x14ac:dyDescent="0.25"/>
    <row r="51811" customFormat="1" x14ac:dyDescent="0.25"/>
    <row r="51812" customFormat="1" x14ac:dyDescent="0.25"/>
    <row r="51813" customFormat="1" x14ac:dyDescent="0.25"/>
    <row r="51814" customFormat="1" x14ac:dyDescent="0.25"/>
    <row r="51815" customFormat="1" x14ac:dyDescent="0.25"/>
    <row r="51816" customFormat="1" x14ac:dyDescent="0.25"/>
    <row r="51817" customFormat="1" x14ac:dyDescent="0.25"/>
    <row r="51818" customFormat="1" x14ac:dyDescent="0.25"/>
    <row r="51819" customFormat="1" x14ac:dyDescent="0.25"/>
    <row r="51820" customFormat="1" x14ac:dyDescent="0.25"/>
    <row r="51821" customFormat="1" x14ac:dyDescent="0.25"/>
    <row r="51822" customFormat="1" x14ac:dyDescent="0.25"/>
    <row r="51823" customFormat="1" x14ac:dyDescent="0.25"/>
    <row r="51824" customFormat="1" x14ac:dyDescent="0.25"/>
    <row r="51825" customFormat="1" x14ac:dyDescent="0.25"/>
    <row r="51826" customFormat="1" x14ac:dyDescent="0.25"/>
    <row r="51827" customFormat="1" x14ac:dyDescent="0.25"/>
    <row r="51828" customFormat="1" x14ac:dyDescent="0.25"/>
    <row r="51829" customFormat="1" x14ac:dyDescent="0.25"/>
    <row r="51830" customFormat="1" x14ac:dyDescent="0.25"/>
    <row r="51831" customFormat="1" x14ac:dyDescent="0.25"/>
    <row r="51832" customFormat="1" x14ac:dyDescent="0.25"/>
    <row r="51833" customFormat="1" x14ac:dyDescent="0.25"/>
    <row r="51834" customFormat="1" x14ac:dyDescent="0.25"/>
    <row r="51835" customFormat="1" x14ac:dyDescent="0.25"/>
    <row r="51836" customFormat="1" x14ac:dyDescent="0.25"/>
    <row r="51837" customFormat="1" x14ac:dyDescent="0.25"/>
    <row r="51838" customFormat="1" x14ac:dyDescent="0.25"/>
    <row r="51839" customFormat="1" x14ac:dyDescent="0.25"/>
    <row r="51840" customFormat="1" x14ac:dyDescent="0.25"/>
    <row r="51841" customFormat="1" x14ac:dyDescent="0.25"/>
    <row r="51842" customFormat="1" x14ac:dyDescent="0.25"/>
    <row r="51843" customFormat="1" x14ac:dyDescent="0.25"/>
    <row r="51844" customFormat="1" x14ac:dyDescent="0.25"/>
    <row r="51845" customFormat="1" x14ac:dyDescent="0.25"/>
    <row r="51846" customFormat="1" x14ac:dyDescent="0.25"/>
    <row r="51847" customFormat="1" x14ac:dyDescent="0.25"/>
    <row r="51848" customFormat="1" x14ac:dyDescent="0.25"/>
    <row r="51849" customFormat="1" x14ac:dyDescent="0.25"/>
    <row r="51850" customFormat="1" x14ac:dyDescent="0.25"/>
    <row r="51851" customFormat="1" x14ac:dyDescent="0.25"/>
    <row r="51852" customFormat="1" x14ac:dyDescent="0.25"/>
    <row r="51853" customFormat="1" x14ac:dyDescent="0.25"/>
    <row r="51854" customFormat="1" x14ac:dyDescent="0.25"/>
    <row r="51855" customFormat="1" x14ac:dyDescent="0.25"/>
    <row r="51856" customFormat="1" x14ac:dyDescent="0.25"/>
    <row r="51857" customFormat="1" x14ac:dyDescent="0.25"/>
    <row r="51858" customFormat="1" x14ac:dyDescent="0.25"/>
    <row r="51859" customFormat="1" x14ac:dyDescent="0.25"/>
    <row r="51860" customFormat="1" x14ac:dyDescent="0.25"/>
    <row r="51861" customFormat="1" x14ac:dyDescent="0.25"/>
    <row r="51862" customFormat="1" x14ac:dyDescent="0.25"/>
    <row r="51863" customFormat="1" x14ac:dyDescent="0.25"/>
    <row r="51864" customFormat="1" x14ac:dyDescent="0.25"/>
    <row r="51865" customFormat="1" x14ac:dyDescent="0.25"/>
    <row r="51866" customFormat="1" x14ac:dyDescent="0.25"/>
    <row r="51867" customFormat="1" x14ac:dyDescent="0.25"/>
    <row r="51868" customFormat="1" x14ac:dyDescent="0.25"/>
    <row r="51869" customFormat="1" x14ac:dyDescent="0.25"/>
    <row r="51870" customFormat="1" x14ac:dyDescent="0.25"/>
    <row r="51871" customFormat="1" x14ac:dyDescent="0.25"/>
    <row r="51872" customFormat="1" x14ac:dyDescent="0.25"/>
    <row r="51873" customFormat="1" x14ac:dyDescent="0.25"/>
    <row r="51874" customFormat="1" x14ac:dyDescent="0.25"/>
    <row r="51875" customFormat="1" x14ac:dyDescent="0.25"/>
    <row r="51876" customFormat="1" x14ac:dyDescent="0.25"/>
    <row r="51877" customFormat="1" x14ac:dyDescent="0.25"/>
    <row r="51878" customFormat="1" x14ac:dyDescent="0.25"/>
    <row r="51879" customFormat="1" x14ac:dyDescent="0.25"/>
    <row r="51880" customFormat="1" x14ac:dyDescent="0.25"/>
    <row r="51881" customFormat="1" x14ac:dyDescent="0.25"/>
    <row r="51882" customFormat="1" x14ac:dyDescent="0.25"/>
    <row r="51883" customFormat="1" x14ac:dyDescent="0.25"/>
    <row r="51884" customFormat="1" x14ac:dyDescent="0.25"/>
    <row r="51885" customFormat="1" x14ac:dyDescent="0.25"/>
    <row r="51886" customFormat="1" x14ac:dyDescent="0.25"/>
    <row r="51887" customFormat="1" x14ac:dyDescent="0.25"/>
    <row r="51888" customFormat="1" x14ac:dyDescent="0.25"/>
    <row r="51889" customFormat="1" x14ac:dyDescent="0.25"/>
    <row r="51890" customFormat="1" x14ac:dyDescent="0.25"/>
    <row r="51891" customFormat="1" x14ac:dyDescent="0.25"/>
    <row r="51892" customFormat="1" x14ac:dyDescent="0.25"/>
    <row r="51893" customFormat="1" x14ac:dyDescent="0.25"/>
    <row r="51894" customFormat="1" x14ac:dyDescent="0.25"/>
    <row r="51895" customFormat="1" x14ac:dyDescent="0.25"/>
    <row r="51896" customFormat="1" x14ac:dyDescent="0.25"/>
    <row r="51897" customFormat="1" x14ac:dyDescent="0.25"/>
    <row r="51898" customFormat="1" x14ac:dyDescent="0.25"/>
    <row r="51899" customFormat="1" x14ac:dyDescent="0.25"/>
    <row r="51900" customFormat="1" x14ac:dyDescent="0.25"/>
    <row r="51901" customFormat="1" x14ac:dyDescent="0.25"/>
    <row r="51902" customFormat="1" x14ac:dyDescent="0.25"/>
    <row r="51903" customFormat="1" x14ac:dyDescent="0.25"/>
    <row r="51904" customFormat="1" x14ac:dyDescent="0.25"/>
    <row r="51905" customFormat="1" x14ac:dyDescent="0.25"/>
    <row r="51906" customFormat="1" x14ac:dyDescent="0.25"/>
    <row r="51907" customFormat="1" x14ac:dyDescent="0.25"/>
    <row r="51908" customFormat="1" x14ac:dyDescent="0.25"/>
    <row r="51909" customFormat="1" x14ac:dyDescent="0.25"/>
    <row r="51910" customFormat="1" x14ac:dyDescent="0.25"/>
    <row r="51911" customFormat="1" x14ac:dyDescent="0.25"/>
    <row r="51912" customFormat="1" x14ac:dyDescent="0.25"/>
    <row r="51913" customFormat="1" x14ac:dyDescent="0.25"/>
    <row r="51914" customFormat="1" x14ac:dyDescent="0.25"/>
    <row r="51915" customFormat="1" x14ac:dyDescent="0.25"/>
    <row r="51916" customFormat="1" x14ac:dyDescent="0.25"/>
    <row r="51917" customFormat="1" x14ac:dyDescent="0.25"/>
    <row r="51918" customFormat="1" x14ac:dyDescent="0.25"/>
    <row r="51919" customFormat="1" x14ac:dyDescent="0.25"/>
    <row r="51920" customFormat="1" x14ac:dyDescent="0.25"/>
    <row r="51921" customFormat="1" x14ac:dyDescent="0.25"/>
    <row r="51922" customFormat="1" x14ac:dyDescent="0.25"/>
    <row r="51923" customFormat="1" x14ac:dyDescent="0.25"/>
    <row r="51924" customFormat="1" x14ac:dyDescent="0.25"/>
    <row r="51925" customFormat="1" x14ac:dyDescent="0.25"/>
    <row r="51926" customFormat="1" x14ac:dyDescent="0.25"/>
    <row r="51927" customFormat="1" x14ac:dyDescent="0.25"/>
    <row r="51928" customFormat="1" x14ac:dyDescent="0.25"/>
    <row r="51929" customFormat="1" x14ac:dyDescent="0.25"/>
    <row r="51930" customFormat="1" x14ac:dyDescent="0.25"/>
    <row r="51931" customFormat="1" x14ac:dyDescent="0.25"/>
    <row r="51932" customFormat="1" x14ac:dyDescent="0.25"/>
    <row r="51933" customFormat="1" x14ac:dyDescent="0.25"/>
    <row r="51934" customFormat="1" x14ac:dyDescent="0.25"/>
    <row r="51935" customFormat="1" x14ac:dyDescent="0.25"/>
    <row r="51936" customFormat="1" x14ac:dyDescent="0.25"/>
    <row r="51937" customFormat="1" x14ac:dyDescent="0.25"/>
    <row r="51938" customFormat="1" x14ac:dyDescent="0.25"/>
    <row r="51939" customFormat="1" x14ac:dyDescent="0.25"/>
    <row r="51940" customFormat="1" x14ac:dyDescent="0.25"/>
    <row r="51941" customFormat="1" x14ac:dyDescent="0.25"/>
    <row r="51942" customFormat="1" x14ac:dyDescent="0.25"/>
    <row r="51943" customFormat="1" x14ac:dyDescent="0.25"/>
    <row r="51944" customFormat="1" x14ac:dyDescent="0.25"/>
    <row r="51945" customFormat="1" x14ac:dyDescent="0.25"/>
    <row r="51946" customFormat="1" x14ac:dyDescent="0.25"/>
    <row r="51947" customFormat="1" x14ac:dyDescent="0.25"/>
    <row r="51948" customFormat="1" x14ac:dyDescent="0.25"/>
    <row r="51949" customFormat="1" x14ac:dyDescent="0.25"/>
    <row r="51950" customFormat="1" x14ac:dyDescent="0.25"/>
    <row r="51951" customFormat="1" x14ac:dyDescent="0.25"/>
    <row r="51952" customFormat="1" x14ac:dyDescent="0.25"/>
    <row r="51953" customFormat="1" x14ac:dyDescent="0.25"/>
    <row r="51954" customFormat="1" x14ac:dyDescent="0.25"/>
    <row r="51955" customFormat="1" x14ac:dyDescent="0.25"/>
    <row r="51956" customFormat="1" x14ac:dyDescent="0.25"/>
    <row r="51957" customFormat="1" x14ac:dyDescent="0.25"/>
    <row r="51958" customFormat="1" x14ac:dyDescent="0.25"/>
    <row r="51959" customFormat="1" x14ac:dyDescent="0.25"/>
    <row r="51960" customFormat="1" x14ac:dyDescent="0.25"/>
    <row r="51961" customFormat="1" x14ac:dyDescent="0.25"/>
    <row r="51962" customFormat="1" x14ac:dyDescent="0.25"/>
    <row r="51963" customFormat="1" x14ac:dyDescent="0.25"/>
    <row r="51964" customFormat="1" x14ac:dyDescent="0.25"/>
    <row r="51965" customFormat="1" x14ac:dyDescent="0.25"/>
    <row r="51966" customFormat="1" x14ac:dyDescent="0.25"/>
    <row r="51967" customFormat="1" x14ac:dyDescent="0.25"/>
    <row r="51968" customFormat="1" x14ac:dyDescent="0.25"/>
    <row r="51969" customFormat="1" x14ac:dyDescent="0.25"/>
    <row r="51970" customFormat="1" x14ac:dyDescent="0.25"/>
    <row r="51971" customFormat="1" x14ac:dyDescent="0.25"/>
    <row r="51972" customFormat="1" x14ac:dyDescent="0.25"/>
    <row r="51973" customFormat="1" x14ac:dyDescent="0.25"/>
    <row r="51974" customFormat="1" x14ac:dyDescent="0.25"/>
    <row r="51975" customFormat="1" x14ac:dyDescent="0.25"/>
    <row r="51976" customFormat="1" x14ac:dyDescent="0.25"/>
    <row r="51977" customFormat="1" x14ac:dyDescent="0.25"/>
    <row r="51978" customFormat="1" x14ac:dyDescent="0.25"/>
    <row r="51979" customFormat="1" x14ac:dyDescent="0.25"/>
    <row r="51980" customFormat="1" x14ac:dyDescent="0.25"/>
    <row r="51981" customFormat="1" x14ac:dyDescent="0.25"/>
    <row r="51982" customFormat="1" x14ac:dyDescent="0.25"/>
    <row r="51983" customFormat="1" x14ac:dyDescent="0.25"/>
    <row r="51984" customFormat="1" x14ac:dyDescent="0.25"/>
    <row r="51985" customFormat="1" x14ac:dyDescent="0.25"/>
    <row r="51986" customFormat="1" x14ac:dyDescent="0.25"/>
    <row r="51987" customFormat="1" x14ac:dyDescent="0.25"/>
    <row r="51988" customFormat="1" x14ac:dyDescent="0.25"/>
    <row r="51989" customFormat="1" x14ac:dyDescent="0.25"/>
    <row r="51990" customFormat="1" x14ac:dyDescent="0.25"/>
    <row r="51991" customFormat="1" x14ac:dyDescent="0.25"/>
    <row r="51992" customFormat="1" x14ac:dyDescent="0.25"/>
    <row r="51993" customFormat="1" x14ac:dyDescent="0.25"/>
    <row r="51994" customFormat="1" x14ac:dyDescent="0.25"/>
    <row r="51995" customFormat="1" x14ac:dyDescent="0.25"/>
    <row r="51996" customFormat="1" x14ac:dyDescent="0.25"/>
    <row r="51997" customFormat="1" x14ac:dyDescent="0.25"/>
    <row r="51998" customFormat="1" x14ac:dyDescent="0.25"/>
    <row r="51999" customFormat="1" x14ac:dyDescent="0.25"/>
    <row r="52000" customFormat="1" x14ac:dyDescent="0.25"/>
    <row r="52001" customFormat="1" x14ac:dyDescent="0.25"/>
    <row r="52002" customFormat="1" x14ac:dyDescent="0.25"/>
    <row r="52003" customFormat="1" x14ac:dyDescent="0.25"/>
    <row r="52004" customFormat="1" x14ac:dyDescent="0.25"/>
    <row r="52005" customFormat="1" x14ac:dyDescent="0.25"/>
    <row r="52006" customFormat="1" x14ac:dyDescent="0.25"/>
    <row r="52007" customFormat="1" x14ac:dyDescent="0.25"/>
    <row r="52008" customFormat="1" x14ac:dyDescent="0.25"/>
    <row r="52009" customFormat="1" x14ac:dyDescent="0.25"/>
    <row r="52010" customFormat="1" x14ac:dyDescent="0.25"/>
    <row r="52011" customFormat="1" x14ac:dyDescent="0.25"/>
    <row r="52012" customFormat="1" x14ac:dyDescent="0.25"/>
    <row r="52013" customFormat="1" x14ac:dyDescent="0.25"/>
    <row r="52014" customFormat="1" x14ac:dyDescent="0.25"/>
    <row r="52015" customFormat="1" x14ac:dyDescent="0.25"/>
    <row r="52016" customFormat="1" x14ac:dyDescent="0.25"/>
    <row r="52017" customFormat="1" x14ac:dyDescent="0.25"/>
    <row r="52018" customFormat="1" x14ac:dyDescent="0.25"/>
    <row r="52019" customFormat="1" x14ac:dyDescent="0.25"/>
    <row r="52020" customFormat="1" x14ac:dyDescent="0.25"/>
    <row r="52021" customFormat="1" x14ac:dyDescent="0.25"/>
    <row r="52022" customFormat="1" x14ac:dyDescent="0.25"/>
    <row r="52023" customFormat="1" x14ac:dyDescent="0.25"/>
    <row r="52024" customFormat="1" x14ac:dyDescent="0.25"/>
    <row r="52025" customFormat="1" x14ac:dyDescent="0.25"/>
    <row r="52026" customFormat="1" x14ac:dyDescent="0.25"/>
    <row r="52027" customFormat="1" x14ac:dyDescent="0.25"/>
    <row r="52028" customFormat="1" x14ac:dyDescent="0.25"/>
    <row r="52029" customFormat="1" x14ac:dyDescent="0.25"/>
    <row r="52030" customFormat="1" x14ac:dyDescent="0.25"/>
    <row r="52031" customFormat="1" x14ac:dyDescent="0.25"/>
    <row r="52032" customFormat="1" x14ac:dyDescent="0.25"/>
    <row r="52033" customFormat="1" x14ac:dyDescent="0.25"/>
    <row r="52034" customFormat="1" x14ac:dyDescent="0.25"/>
    <row r="52035" customFormat="1" x14ac:dyDescent="0.25"/>
    <row r="52036" customFormat="1" x14ac:dyDescent="0.25"/>
    <row r="52037" customFormat="1" x14ac:dyDescent="0.25"/>
    <row r="52038" customFormat="1" x14ac:dyDescent="0.25"/>
    <row r="52039" customFormat="1" x14ac:dyDescent="0.25"/>
    <row r="52040" customFormat="1" x14ac:dyDescent="0.25"/>
    <row r="52041" customFormat="1" x14ac:dyDescent="0.25"/>
    <row r="52042" customFormat="1" x14ac:dyDescent="0.25"/>
    <row r="52043" customFormat="1" x14ac:dyDescent="0.25"/>
    <row r="52044" customFormat="1" x14ac:dyDescent="0.25"/>
    <row r="52045" customFormat="1" x14ac:dyDescent="0.25"/>
    <row r="52046" customFormat="1" x14ac:dyDescent="0.25"/>
    <row r="52047" customFormat="1" x14ac:dyDescent="0.25"/>
    <row r="52048" customFormat="1" x14ac:dyDescent="0.25"/>
    <row r="52049" customFormat="1" x14ac:dyDescent="0.25"/>
    <row r="52050" customFormat="1" x14ac:dyDescent="0.25"/>
    <row r="52051" customFormat="1" x14ac:dyDescent="0.25"/>
    <row r="52052" customFormat="1" x14ac:dyDescent="0.25"/>
    <row r="52053" customFormat="1" x14ac:dyDescent="0.25"/>
    <row r="52054" customFormat="1" x14ac:dyDescent="0.25"/>
    <row r="52055" customFormat="1" x14ac:dyDescent="0.25"/>
    <row r="52056" customFormat="1" x14ac:dyDescent="0.25"/>
    <row r="52057" customFormat="1" x14ac:dyDescent="0.25"/>
    <row r="52058" customFormat="1" x14ac:dyDescent="0.25"/>
    <row r="52059" customFormat="1" x14ac:dyDescent="0.25"/>
    <row r="52060" customFormat="1" x14ac:dyDescent="0.25"/>
    <row r="52061" customFormat="1" x14ac:dyDescent="0.25"/>
    <row r="52062" customFormat="1" x14ac:dyDescent="0.25"/>
    <row r="52063" customFormat="1" x14ac:dyDescent="0.25"/>
    <row r="52064" customFormat="1" x14ac:dyDescent="0.25"/>
    <row r="52065" customFormat="1" x14ac:dyDescent="0.25"/>
    <row r="52066" customFormat="1" x14ac:dyDescent="0.25"/>
    <row r="52067" customFormat="1" x14ac:dyDescent="0.25"/>
    <row r="52068" customFormat="1" x14ac:dyDescent="0.25"/>
    <row r="52069" customFormat="1" x14ac:dyDescent="0.25"/>
    <row r="52070" customFormat="1" x14ac:dyDescent="0.25"/>
    <row r="52071" customFormat="1" x14ac:dyDescent="0.25"/>
    <row r="52072" customFormat="1" x14ac:dyDescent="0.25"/>
    <row r="52073" customFormat="1" x14ac:dyDescent="0.25"/>
    <row r="52074" customFormat="1" x14ac:dyDescent="0.25"/>
    <row r="52075" customFormat="1" x14ac:dyDescent="0.25"/>
    <row r="52076" customFormat="1" x14ac:dyDescent="0.25"/>
    <row r="52077" customFormat="1" x14ac:dyDescent="0.25"/>
    <row r="52078" customFormat="1" x14ac:dyDescent="0.25"/>
    <row r="52079" customFormat="1" x14ac:dyDescent="0.25"/>
    <row r="52080" customFormat="1" x14ac:dyDescent="0.25"/>
    <row r="52081" customFormat="1" x14ac:dyDescent="0.25"/>
    <row r="52082" customFormat="1" x14ac:dyDescent="0.25"/>
    <row r="52083" customFormat="1" x14ac:dyDescent="0.25"/>
    <row r="52084" customFormat="1" x14ac:dyDescent="0.25"/>
    <row r="52085" customFormat="1" x14ac:dyDescent="0.25"/>
    <row r="52086" customFormat="1" x14ac:dyDescent="0.25"/>
    <row r="52087" customFormat="1" x14ac:dyDescent="0.25"/>
    <row r="52088" customFormat="1" x14ac:dyDescent="0.25"/>
    <row r="52089" customFormat="1" x14ac:dyDescent="0.25"/>
    <row r="52090" customFormat="1" x14ac:dyDescent="0.25"/>
    <row r="52091" customFormat="1" x14ac:dyDescent="0.25"/>
    <row r="52092" customFormat="1" x14ac:dyDescent="0.25"/>
    <row r="52093" customFormat="1" x14ac:dyDescent="0.25"/>
    <row r="52094" customFormat="1" x14ac:dyDescent="0.25"/>
    <row r="52095" customFormat="1" x14ac:dyDescent="0.25"/>
    <row r="52096" customFormat="1" x14ac:dyDescent="0.25"/>
    <row r="52097" customFormat="1" x14ac:dyDescent="0.25"/>
    <row r="52098" customFormat="1" x14ac:dyDescent="0.25"/>
    <row r="52099" customFormat="1" x14ac:dyDescent="0.25"/>
    <row r="52100" customFormat="1" x14ac:dyDescent="0.25"/>
    <row r="52101" customFormat="1" x14ac:dyDescent="0.25"/>
    <row r="52102" customFormat="1" x14ac:dyDescent="0.25"/>
    <row r="52103" customFormat="1" x14ac:dyDescent="0.25"/>
    <row r="52104" customFormat="1" x14ac:dyDescent="0.25"/>
    <row r="52105" customFormat="1" x14ac:dyDescent="0.25"/>
    <row r="52106" customFormat="1" x14ac:dyDescent="0.25"/>
    <row r="52107" customFormat="1" x14ac:dyDescent="0.25"/>
    <row r="52108" customFormat="1" x14ac:dyDescent="0.25"/>
    <row r="52109" customFormat="1" x14ac:dyDescent="0.25"/>
    <row r="52110" customFormat="1" x14ac:dyDescent="0.25"/>
    <row r="52111" customFormat="1" x14ac:dyDescent="0.25"/>
    <row r="52112" customFormat="1" x14ac:dyDescent="0.25"/>
    <row r="52113" customFormat="1" x14ac:dyDescent="0.25"/>
    <row r="52114" customFormat="1" x14ac:dyDescent="0.25"/>
    <row r="52115" customFormat="1" x14ac:dyDescent="0.25"/>
    <row r="52116" customFormat="1" x14ac:dyDescent="0.25"/>
    <row r="52117" customFormat="1" x14ac:dyDescent="0.25"/>
    <row r="52118" customFormat="1" x14ac:dyDescent="0.25"/>
    <row r="52119" customFormat="1" x14ac:dyDescent="0.25"/>
    <row r="52120" customFormat="1" x14ac:dyDescent="0.25"/>
    <row r="52121" customFormat="1" x14ac:dyDescent="0.25"/>
    <row r="52122" customFormat="1" x14ac:dyDescent="0.25"/>
    <row r="52123" customFormat="1" x14ac:dyDescent="0.25"/>
    <row r="52124" customFormat="1" x14ac:dyDescent="0.25"/>
    <row r="52125" customFormat="1" x14ac:dyDescent="0.25"/>
    <row r="52126" customFormat="1" x14ac:dyDescent="0.25"/>
    <row r="52127" customFormat="1" x14ac:dyDescent="0.25"/>
    <row r="52128" customFormat="1" x14ac:dyDescent="0.25"/>
    <row r="52129" customFormat="1" x14ac:dyDescent="0.25"/>
    <row r="52130" customFormat="1" x14ac:dyDescent="0.25"/>
    <row r="52131" customFormat="1" x14ac:dyDescent="0.25"/>
    <row r="52132" customFormat="1" x14ac:dyDescent="0.25"/>
    <row r="52133" customFormat="1" x14ac:dyDescent="0.25"/>
    <row r="52134" customFormat="1" x14ac:dyDescent="0.25"/>
    <row r="52135" customFormat="1" x14ac:dyDescent="0.25"/>
    <row r="52136" customFormat="1" x14ac:dyDescent="0.25"/>
    <row r="52137" customFormat="1" x14ac:dyDescent="0.25"/>
    <row r="52138" customFormat="1" x14ac:dyDescent="0.25"/>
    <row r="52139" customFormat="1" x14ac:dyDescent="0.25"/>
    <row r="52140" customFormat="1" x14ac:dyDescent="0.25"/>
    <row r="52141" customFormat="1" x14ac:dyDescent="0.25"/>
    <row r="52142" customFormat="1" x14ac:dyDescent="0.25"/>
    <row r="52143" customFormat="1" x14ac:dyDescent="0.25"/>
    <row r="52144" customFormat="1" x14ac:dyDescent="0.25"/>
    <row r="52145" customFormat="1" x14ac:dyDescent="0.25"/>
    <row r="52146" customFormat="1" x14ac:dyDescent="0.25"/>
    <row r="52147" customFormat="1" x14ac:dyDescent="0.25"/>
    <row r="52148" customFormat="1" x14ac:dyDescent="0.25"/>
    <row r="52149" customFormat="1" x14ac:dyDescent="0.25"/>
    <row r="52150" customFormat="1" x14ac:dyDescent="0.25"/>
    <row r="52151" customFormat="1" x14ac:dyDescent="0.25"/>
    <row r="52152" customFormat="1" x14ac:dyDescent="0.25"/>
    <row r="52153" customFormat="1" x14ac:dyDescent="0.25"/>
    <row r="52154" customFormat="1" x14ac:dyDescent="0.25"/>
    <row r="52155" customFormat="1" x14ac:dyDescent="0.25"/>
    <row r="52156" customFormat="1" x14ac:dyDescent="0.25"/>
    <row r="52157" customFormat="1" x14ac:dyDescent="0.25"/>
    <row r="52158" customFormat="1" x14ac:dyDescent="0.25"/>
    <row r="52159" customFormat="1" x14ac:dyDescent="0.25"/>
    <row r="52160" customFormat="1" x14ac:dyDescent="0.25"/>
    <row r="52161" customFormat="1" x14ac:dyDescent="0.25"/>
    <row r="52162" customFormat="1" x14ac:dyDescent="0.25"/>
    <row r="52163" customFormat="1" x14ac:dyDescent="0.25"/>
    <row r="52164" customFormat="1" x14ac:dyDescent="0.25"/>
    <row r="52165" customFormat="1" x14ac:dyDescent="0.25"/>
    <row r="52166" customFormat="1" x14ac:dyDescent="0.25"/>
    <row r="52167" customFormat="1" x14ac:dyDescent="0.25"/>
    <row r="52168" customFormat="1" x14ac:dyDescent="0.25"/>
    <row r="52169" customFormat="1" x14ac:dyDescent="0.25"/>
    <row r="52170" customFormat="1" x14ac:dyDescent="0.25"/>
    <row r="52171" customFormat="1" x14ac:dyDescent="0.25"/>
    <row r="52172" customFormat="1" x14ac:dyDescent="0.25"/>
    <row r="52173" customFormat="1" x14ac:dyDescent="0.25"/>
    <row r="52174" customFormat="1" x14ac:dyDescent="0.25"/>
    <row r="52175" customFormat="1" x14ac:dyDescent="0.25"/>
    <row r="52176" customFormat="1" x14ac:dyDescent="0.25"/>
    <row r="52177" customFormat="1" x14ac:dyDescent="0.25"/>
    <row r="52178" customFormat="1" x14ac:dyDescent="0.25"/>
    <row r="52179" customFormat="1" x14ac:dyDescent="0.25"/>
    <row r="52180" customFormat="1" x14ac:dyDescent="0.25"/>
    <row r="52181" customFormat="1" x14ac:dyDescent="0.25"/>
    <row r="52182" customFormat="1" x14ac:dyDescent="0.25"/>
    <row r="52183" customFormat="1" x14ac:dyDescent="0.25"/>
    <row r="52184" customFormat="1" x14ac:dyDescent="0.25"/>
    <row r="52185" customFormat="1" x14ac:dyDescent="0.25"/>
    <row r="52186" customFormat="1" x14ac:dyDescent="0.25"/>
    <row r="52187" customFormat="1" x14ac:dyDescent="0.25"/>
    <row r="52188" customFormat="1" x14ac:dyDescent="0.25"/>
    <row r="52189" customFormat="1" x14ac:dyDescent="0.25"/>
    <row r="52190" customFormat="1" x14ac:dyDescent="0.25"/>
    <row r="52191" customFormat="1" x14ac:dyDescent="0.25"/>
    <row r="52192" customFormat="1" x14ac:dyDescent="0.25"/>
    <row r="52193" customFormat="1" x14ac:dyDescent="0.25"/>
    <row r="52194" customFormat="1" x14ac:dyDescent="0.25"/>
    <row r="52195" customFormat="1" x14ac:dyDescent="0.25"/>
    <row r="52196" customFormat="1" x14ac:dyDescent="0.25"/>
    <row r="52197" customFormat="1" x14ac:dyDescent="0.25"/>
    <row r="52198" customFormat="1" x14ac:dyDescent="0.25"/>
    <row r="52199" customFormat="1" x14ac:dyDescent="0.25"/>
    <row r="52200" customFormat="1" x14ac:dyDescent="0.25"/>
    <row r="52201" customFormat="1" x14ac:dyDescent="0.25"/>
    <row r="52202" customFormat="1" x14ac:dyDescent="0.25"/>
    <row r="52203" customFormat="1" x14ac:dyDescent="0.25"/>
    <row r="52204" customFormat="1" x14ac:dyDescent="0.25"/>
    <row r="52205" customFormat="1" x14ac:dyDescent="0.25"/>
    <row r="52206" customFormat="1" x14ac:dyDescent="0.25"/>
    <row r="52207" customFormat="1" x14ac:dyDescent="0.25"/>
    <row r="52208" customFormat="1" x14ac:dyDescent="0.25"/>
    <row r="52209" customFormat="1" x14ac:dyDescent="0.25"/>
    <row r="52210" customFormat="1" x14ac:dyDescent="0.25"/>
    <row r="52211" customFormat="1" x14ac:dyDescent="0.25"/>
    <row r="52212" customFormat="1" x14ac:dyDescent="0.25"/>
    <row r="52213" customFormat="1" x14ac:dyDescent="0.25"/>
    <row r="52214" customFormat="1" x14ac:dyDescent="0.25"/>
    <row r="52215" customFormat="1" x14ac:dyDescent="0.25"/>
    <row r="52216" customFormat="1" x14ac:dyDescent="0.25"/>
    <row r="52217" customFormat="1" x14ac:dyDescent="0.25"/>
    <row r="52218" customFormat="1" x14ac:dyDescent="0.25"/>
    <row r="52219" customFormat="1" x14ac:dyDescent="0.25"/>
    <row r="52220" customFormat="1" x14ac:dyDescent="0.25"/>
    <row r="52221" customFormat="1" x14ac:dyDescent="0.25"/>
    <row r="52222" customFormat="1" x14ac:dyDescent="0.25"/>
    <row r="52223" customFormat="1" x14ac:dyDescent="0.25"/>
    <row r="52224" customFormat="1" x14ac:dyDescent="0.25"/>
    <row r="52225" customFormat="1" x14ac:dyDescent="0.25"/>
    <row r="52226" customFormat="1" x14ac:dyDescent="0.25"/>
    <row r="52227" customFormat="1" x14ac:dyDescent="0.25"/>
    <row r="52228" customFormat="1" x14ac:dyDescent="0.25"/>
    <row r="52229" customFormat="1" x14ac:dyDescent="0.25"/>
    <row r="52230" customFormat="1" x14ac:dyDescent="0.25"/>
    <row r="52231" customFormat="1" x14ac:dyDescent="0.25"/>
    <row r="52232" customFormat="1" x14ac:dyDescent="0.25"/>
    <row r="52233" customFormat="1" x14ac:dyDescent="0.25"/>
    <row r="52234" customFormat="1" x14ac:dyDescent="0.25"/>
    <row r="52235" customFormat="1" x14ac:dyDescent="0.25"/>
    <row r="52236" customFormat="1" x14ac:dyDescent="0.25"/>
    <row r="52237" customFormat="1" x14ac:dyDescent="0.25"/>
    <row r="52238" customFormat="1" x14ac:dyDescent="0.25"/>
    <row r="52239" customFormat="1" x14ac:dyDescent="0.25"/>
    <row r="52240" customFormat="1" x14ac:dyDescent="0.25"/>
    <row r="52241" customFormat="1" x14ac:dyDescent="0.25"/>
    <row r="52242" customFormat="1" x14ac:dyDescent="0.25"/>
    <row r="52243" customFormat="1" x14ac:dyDescent="0.25"/>
    <row r="52244" customFormat="1" x14ac:dyDescent="0.25"/>
    <row r="52245" customFormat="1" x14ac:dyDescent="0.25"/>
    <row r="52246" customFormat="1" x14ac:dyDescent="0.25"/>
    <row r="52247" customFormat="1" x14ac:dyDescent="0.25"/>
    <row r="52248" customFormat="1" x14ac:dyDescent="0.25"/>
    <row r="52249" customFormat="1" x14ac:dyDescent="0.25"/>
    <row r="52250" customFormat="1" x14ac:dyDescent="0.25"/>
    <row r="52251" customFormat="1" x14ac:dyDescent="0.25"/>
    <row r="52252" customFormat="1" x14ac:dyDescent="0.25"/>
    <row r="52253" customFormat="1" x14ac:dyDescent="0.25"/>
    <row r="52254" customFormat="1" x14ac:dyDescent="0.25"/>
    <row r="52255" customFormat="1" x14ac:dyDescent="0.25"/>
    <row r="52256" customFormat="1" x14ac:dyDescent="0.25"/>
    <row r="52257" customFormat="1" x14ac:dyDescent="0.25"/>
    <row r="52258" customFormat="1" x14ac:dyDescent="0.25"/>
    <row r="52259" customFormat="1" x14ac:dyDescent="0.25"/>
    <row r="52260" customFormat="1" x14ac:dyDescent="0.25"/>
    <row r="52261" customFormat="1" x14ac:dyDescent="0.25"/>
    <row r="52262" customFormat="1" x14ac:dyDescent="0.25"/>
    <row r="52263" customFormat="1" x14ac:dyDescent="0.25"/>
    <row r="52264" customFormat="1" x14ac:dyDescent="0.25"/>
    <row r="52265" customFormat="1" x14ac:dyDescent="0.25"/>
    <row r="52266" customFormat="1" x14ac:dyDescent="0.25"/>
    <row r="52267" customFormat="1" x14ac:dyDescent="0.25"/>
    <row r="52268" customFormat="1" x14ac:dyDescent="0.25"/>
    <row r="52269" customFormat="1" x14ac:dyDescent="0.25"/>
    <row r="52270" customFormat="1" x14ac:dyDescent="0.25"/>
    <row r="52271" customFormat="1" x14ac:dyDescent="0.25"/>
    <row r="52272" customFormat="1" x14ac:dyDescent="0.25"/>
    <row r="52273" customFormat="1" x14ac:dyDescent="0.25"/>
    <row r="52274" customFormat="1" x14ac:dyDescent="0.25"/>
    <row r="52275" customFormat="1" x14ac:dyDescent="0.25"/>
    <row r="52276" customFormat="1" x14ac:dyDescent="0.25"/>
    <row r="52277" customFormat="1" x14ac:dyDescent="0.25"/>
    <row r="52278" customFormat="1" x14ac:dyDescent="0.25"/>
    <row r="52279" customFormat="1" x14ac:dyDescent="0.25"/>
    <row r="52280" customFormat="1" x14ac:dyDescent="0.25"/>
    <row r="52281" customFormat="1" x14ac:dyDescent="0.25"/>
    <row r="52282" customFormat="1" x14ac:dyDescent="0.25"/>
    <row r="52283" customFormat="1" x14ac:dyDescent="0.25"/>
    <row r="52284" customFormat="1" x14ac:dyDescent="0.25"/>
    <row r="52285" customFormat="1" x14ac:dyDescent="0.25"/>
    <row r="52286" customFormat="1" x14ac:dyDescent="0.25"/>
    <row r="52287" customFormat="1" x14ac:dyDescent="0.25"/>
    <row r="52288" customFormat="1" x14ac:dyDescent="0.25"/>
    <row r="52289" customFormat="1" x14ac:dyDescent="0.25"/>
    <row r="52290" customFormat="1" x14ac:dyDescent="0.25"/>
    <row r="52291" customFormat="1" x14ac:dyDescent="0.25"/>
    <row r="52292" customFormat="1" x14ac:dyDescent="0.25"/>
    <row r="52293" customFormat="1" x14ac:dyDescent="0.25"/>
    <row r="52294" customFormat="1" x14ac:dyDescent="0.25"/>
    <row r="52295" customFormat="1" x14ac:dyDescent="0.25"/>
    <row r="52296" customFormat="1" x14ac:dyDescent="0.25"/>
    <row r="52297" customFormat="1" x14ac:dyDescent="0.25"/>
    <row r="52298" customFormat="1" x14ac:dyDescent="0.25"/>
    <row r="52299" customFormat="1" x14ac:dyDescent="0.25"/>
    <row r="52300" customFormat="1" x14ac:dyDescent="0.25"/>
    <row r="52301" customFormat="1" x14ac:dyDescent="0.25"/>
    <row r="52302" customFormat="1" x14ac:dyDescent="0.25"/>
    <row r="52303" customFormat="1" x14ac:dyDescent="0.25"/>
    <row r="52304" customFormat="1" x14ac:dyDescent="0.25"/>
    <row r="52305" customFormat="1" x14ac:dyDescent="0.25"/>
    <row r="52306" customFormat="1" x14ac:dyDescent="0.25"/>
    <row r="52307" customFormat="1" x14ac:dyDescent="0.25"/>
    <row r="52308" customFormat="1" x14ac:dyDescent="0.25"/>
    <row r="52309" customFormat="1" x14ac:dyDescent="0.25"/>
    <row r="52310" customFormat="1" x14ac:dyDescent="0.25"/>
    <row r="52311" customFormat="1" x14ac:dyDescent="0.25"/>
    <row r="52312" customFormat="1" x14ac:dyDescent="0.25"/>
    <row r="52313" customFormat="1" x14ac:dyDescent="0.25"/>
    <row r="52314" customFormat="1" x14ac:dyDescent="0.25"/>
    <row r="52315" customFormat="1" x14ac:dyDescent="0.25"/>
    <row r="52316" customFormat="1" x14ac:dyDescent="0.25"/>
    <row r="52317" customFormat="1" x14ac:dyDescent="0.25"/>
    <row r="52318" customFormat="1" x14ac:dyDescent="0.25"/>
    <row r="52319" customFormat="1" x14ac:dyDescent="0.25"/>
    <row r="52320" customFormat="1" x14ac:dyDescent="0.25"/>
    <row r="52321" customFormat="1" x14ac:dyDescent="0.25"/>
    <row r="52322" customFormat="1" x14ac:dyDescent="0.25"/>
    <row r="52323" customFormat="1" x14ac:dyDescent="0.25"/>
    <row r="52324" customFormat="1" x14ac:dyDescent="0.25"/>
    <row r="52325" customFormat="1" x14ac:dyDescent="0.25"/>
    <row r="52326" customFormat="1" x14ac:dyDescent="0.25"/>
    <row r="52327" customFormat="1" x14ac:dyDescent="0.25"/>
    <row r="52328" customFormat="1" x14ac:dyDescent="0.25"/>
    <row r="52329" customFormat="1" x14ac:dyDescent="0.25"/>
    <row r="52330" customFormat="1" x14ac:dyDescent="0.25"/>
    <row r="52331" customFormat="1" x14ac:dyDescent="0.25"/>
    <row r="52332" customFormat="1" x14ac:dyDescent="0.25"/>
    <row r="52333" customFormat="1" x14ac:dyDescent="0.25"/>
    <row r="52334" customFormat="1" x14ac:dyDescent="0.25"/>
    <row r="52335" customFormat="1" x14ac:dyDescent="0.25"/>
    <row r="52336" customFormat="1" x14ac:dyDescent="0.25"/>
    <row r="52337" customFormat="1" x14ac:dyDescent="0.25"/>
    <row r="52338" customFormat="1" x14ac:dyDescent="0.25"/>
    <row r="52339" customFormat="1" x14ac:dyDescent="0.25"/>
    <row r="52340" customFormat="1" x14ac:dyDescent="0.25"/>
    <row r="52341" customFormat="1" x14ac:dyDescent="0.25"/>
    <row r="52342" customFormat="1" x14ac:dyDescent="0.25"/>
    <row r="52343" customFormat="1" x14ac:dyDescent="0.25"/>
    <row r="52344" customFormat="1" x14ac:dyDescent="0.25"/>
    <row r="52345" customFormat="1" x14ac:dyDescent="0.25"/>
    <row r="52346" customFormat="1" x14ac:dyDescent="0.25"/>
    <row r="52347" customFormat="1" x14ac:dyDescent="0.25"/>
    <row r="52348" customFormat="1" x14ac:dyDescent="0.25"/>
    <row r="52349" customFormat="1" x14ac:dyDescent="0.25"/>
    <row r="52350" customFormat="1" x14ac:dyDescent="0.25"/>
    <row r="52351" customFormat="1" x14ac:dyDescent="0.25"/>
    <row r="52352" customFormat="1" x14ac:dyDescent="0.25"/>
    <row r="52353" customFormat="1" x14ac:dyDescent="0.25"/>
    <row r="52354" customFormat="1" x14ac:dyDescent="0.25"/>
    <row r="52355" customFormat="1" x14ac:dyDescent="0.25"/>
    <row r="52356" customFormat="1" x14ac:dyDescent="0.25"/>
    <row r="52357" customFormat="1" x14ac:dyDescent="0.25"/>
    <row r="52358" customFormat="1" x14ac:dyDescent="0.25"/>
    <row r="52359" customFormat="1" x14ac:dyDescent="0.25"/>
    <row r="52360" customFormat="1" x14ac:dyDescent="0.25"/>
    <row r="52361" customFormat="1" x14ac:dyDescent="0.25"/>
    <row r="52362" customFormat="1" x14ac:dyDescent="0.25"/>
    <row r="52363" customFormat="1" x14ac:dyDescent="0.25"/>
    <row r="52364" customFormat="1" x14ac:dyDescent="0.25"/>
    <row r="52365" customFormat="1" x14ac:dyDescent="0.25"/>
    <row r="52366" customFormat="1" x14ac:dyDescent="0.25"/>
    <row r="52367" customFormat="1" x14ac:dyDescent="0.25"/>
    <row r="52368" customFormat="1" x14ac:dyDescent="0.25"/>
    <row r="52369" customFormat="1" x14ac:dyDescent="0.25"/>
    <row r="52370" customFormat="1" x14ac:dyDescent="0.25"/>
    <row r="52371" customFormat="1" x14ac:dyDescent="0.25"/>
    <row r="52372" customFormat="1" x14ac:dyDescent="0.25"/>
    <row r="52373" customFormat="1" x14ac:dyDescent="0.25"/>
    <row r="52374" customFormat="1" x14ac:dyDescent="0.25"/>
    <row r="52375" customFormat="1" x14ac:dyDescent="0.25"/>
    <row r="52376" customFormat="1" x14ac:dyDescent="0.25"/>
    <row r="52377" customFormat="1" x14ac:dyDescent="0.25"/>
    <row r="52378" customFormat="1" x14ac:dyDescent="0.25"/>
    <row r="52379" customFormat="1" x14ac:dyDescent="0.25"/>
    <row r="52380" customFormat="1" x14ac:dyDescent="0.25"/>
    <row r="52381" customFormat="1" x14ac:dyDescent="0.25"/>
    <row r="52382" customFormat="1" x14ac:dyDescent="0.25"/>
    <row r="52383" customFormat="1" x14ac:dyDescent="0.25"/>
    <row r="52384" customFormat="1" x14ac:dyDescent="0.25"/>
    <row r="52385" customFormat="1" x14ac:dyDescent="0.25"/>
    <row r="52386" customFormat="1" x14ac:dyDescent="0.25"/>
    <row r="52387" customFormat="1" x14ac:dyDescent="0.25"/>
    <row r="52388" customFormat="1" x14ac:dyDescent="0.25"/>
    <row r="52389" customFormat="1" x14ac:dyDescent="0.25"/>
    <row r="52390" customFormat="1" x14ac:dyDescent="0.25"/>
    <row r="52391" customFormat="1" x14ac:dyDescent="0.25"/>
    <row r="52392" customFormat="1" x14ac:dyDescent="0.25"/>
    <row r="52393" customFormat="1" x14ac:dyDescent="0.25"/>
    <row r="52394" customFormat="1" x14ac:dyDescent="0.25"/>
    <row r="52395" customFormat="1" x14ac:dyDescent="0.25"/>
    <row r="52396" customFormat="1" x14ac:dyDescent="0.25"/>
    <row r="52397" customFormat="1" x14ac:dyDescent="0.25"/>
    <row r="52398" customFormat="1" x14ac:dyDescent="0.25"/>
    <row r="52399" customFormat="1" x14ac:dyDescent="0.25"/>
    <row r="52400" customFormat="1" x14ac:dyDescent="0.25"/>
    <row r="52401" customFormat="1" x14ac:dyDescent="0.25"/>
    <row r="52402" customFormat="1" x14ac:dyDescent="0.25"/>
    <row r="52403" customFormat="1" x14ac:dyDescent="0.25"/>
    <row r="52404" customFormat="1" x14ac:dyDescent="0.25"/>
    <row r="52405" customFormat="1" x14ac:dyDescent="0.25"/>
    <row r="52406" customFormat="1" x14ac:dyDescent="0.25"/>
    <row r="52407" customFormat="1" x14ac:dyDescent="0.25"/>
    <row r="52408" customFormat="1" x14ac:dyDescent="0.25"/>
    <row r="52409" customFormat="1" x14ac:dyDescent="0.25"/>
    <row r="52410" customFormat="1" x14ac:dyDescent="0.25"/>
    <row r="52411" customFormat="1" x14ac:dyDescent="0.25"/>
    <row r="52412" customFormat="1" x14ac:dyDescent="0.25"/>
    <row r="52413" customFormat="1" x14ac:dyDescent="0.25"/>
    <row r="52414" customFormat="1" x14ac:dyDescent="0.25"/>
    <row r="52415" customFormat="1" x14ac:dyDescent="0.25"/>
    <row r="52416" customFormat="1" x14ac:dyDescent="0.25"/>
    <row r="52417" customFormat="1" x14ac:dyDescent="0.25"/>
    <row r="52418" customFormat="1" x14ac:dyDescent="0.25"/>
    <row r="52419" customFormat="1" x14ac:dyDescent="0.25"/>
    <row r="52420" customFormat="1" x14ac:dyDescent="0.25"/>
    <row r="52421" customFormat="1" x14ac:dyDescent="0.25"/>
    <row r="52422" customFormat="1" x14ac:dyDescent="0.25"/>
    <row r="52423" customFormat="1" x14ac:dyDescent="0.25"/>
    <row r="52424" customFormat="1" x14ac:dyDescent="0.25"/>
    <row r="52425" customFormat="1" x14ac:dyDescent="0.25"/>
    <row r="52426" customFormat="1" x14ac:dyDescent="0.25"/>
    <row r="52427" customFormat="1" x14ac:dyDescent="0.25"/>
    <row r="52428" customFormat="1" x14ac:dyDescent="0.25"/>
    <row r="52429" customFormat="1" x14ac:dyDescent="0.25"/>
    <row r="52430" customFormat="1" x14ac:dyDescent="0.25"/>
    <row r="52431" customFormat="1" x14ac:dyDescent="0.25"/>
    <row r="52432" customFormat="1" x14ac:dyDescent="0.25"/>
    <row r="52433" customFormat="1" x14ac:dyDescent="0.25"/>
    <row r="52434" customFormat="1" x14ac:dyDescent="0.25"/>
    <row r="52435" customFormat="1" x14ac:dyDescent="0.25"/>
    <row r="52436" customFormat="1" x14ac:dyDescent="0.25"/>
    <row r="52437" customFormat="1" x14ac:dyDescent="0.25"/>
    <row r="52438" customFormat="1" x14ac:dyDescent="0.25"/>
    <row r="52439" customFormat="1" x14ac:dyDescent="0.25"/>
    <row r="52440" customFormat="1" x14ac:dyDescent="0.25"/>
    <row r="52441" customFormat="1" x14ac:dyDescent="0.25"/>
    <row r="52442" customFormat="1" x14ac:dyDescent="0.25"/>
    <row r="52443" customFormat="1" x14ac:dyDescent="0.25"/>
    <row r="52444" customFormat="1" x14ac:dyDescent="0.25"/>
    <row r="52445" customFormat="1" x14ac:dyDescent="0.25"/>
    <row r="52446" customFormat="1" x14ac:dyDescent="0.25"/>
    <row r="52447" customFormat="1" x14ac:dyDescent="0.25"/>
    <row r="52448" customFormat="1" x14ac:dyDescent="0.25"/>
    <row r="52449" customFormat="1" x14ac:dyDescent="0.25"/>
    <row r="52450" customFormat="1" x14ac:dyDescent="0.25"/>
    <row r="52451" customFormat="1" x14ac:dyDescent="0.25"/>
    <row r="52452" customFormat="1" x14ac:dyDescent="0.25"/>
    <row r="52453" customFormat="1" x14ac:dyDescent="0.25"/>
    <row r="52454" customFormat="1" x14ac:dyDescent="0.25"/>
    <row r="52455" customFormat="1" x14ac:dyDescent="0.25"/>
    <row r="52456" customFormat="1" x14ac:dyDescent="0.25"/>
    <row r="52457" customFormat="1" x14ac:dyDescent="0.25"/>
    <row r="52458" customFormat="1" x14ac:dyDescent="0.25"/>
    <row r="52459" customFormat="1" x14ac:dyDescent="0.25"/>
    <row r="52460" customFormat="1" x14ac:dyDescent="0.25"/>
    <row r="52461" customFormat="1" x14ac:dyDescent="0.25"/>
    <row r="52462" customFormat="1" x14ac:dyDescent="0.25"/>
    <row r="52463" customFormat="1" x14ac:dyDescent="0.25"/>
    <row r="52464" customFormat="1" x14ac:dyDescent="0.25"/>
    <row r="52465" customFormat="1" x14ac:dyDescent="0.25"/>
    <row r="52466" customFormat="1" x14ac:dyDescent="0.25"/>
    <row r="52467" customFormat="1" x14ac:dyDescent="0.25"/>
    <row r="52468" customFormat="1" x14ac:dyDescent="0.25"/>
    <row r="52469" customFormat="1" x14ac:dyDescent="0.25"/>
    <row r="52470" customFormat="1" x14ac:dyDescent="0.25"/>
    <row r="52471" customFormat="1" x14ac:dyDescent="0.25"/>
    <row r="52472" customFormat="1" x14ac:dyDescent="0.25"/>
    <row r="52473" customFormat="1" x14ac:dyDescent="0.25"/>
    <row r="52474" customFormat="1" x14ac:dyDescent="0.25"/>
    <row r="52475" customFormat="1" x14ac:dyDescent="0.25"/>
    <row r="52476" customFormat="1" x14ac:dyDescent="0.25"/>
    <row r="52477" customFormat="1" x14ac:dyDescent="0.25"/>
    <row r="52478" customFormat="1" x14ac:dyDescent="0.25"/>
    <row r="52479" customFormat="1" x14ac:dyDescent="0.25"/>
    <row r="52480" customFormat="1" x14ac:dyDescent="0.25"/>
    <row r="52481" customFormat="1" x14ac:dyDescent="0.25"/>
    <row r="52482" customFormat="1" x14ac:dyDescent="0.25"/>
    <row r="52483" customFormat="1" x14ac:dyDescent="0.25"/>
    <row r="52484" customFormat="1" x14ac:dyDescent="0.25"/>
    <row r="52485" customFormat="1" x14ac:dyDescent="0.25"/>
    <row r="52486" customFormat="1" x14ac:dyDescent="0.25"/>
    <row r="52487" customFormat="1" x14ac:dyDescent="0.25"/>
    <row r="52488" customFormat="1" x14ac:dyDescent="0.25"/>
    <row r="52489" customFormat="1" x14ac:dyDescent="0.25"/>
    <row r="52490" customFormat="1" x14ac:dyDescent="0.25"/>
    <row r="52491" customFormat="1" x14ac:dyDescent="0.25"/>
    <row r="52492" customFormat="1" x14ac:dyDescent="0.25"/>
    <row r="52493" customFormat="1" x14ac:dyDescent="0.25"/>
    <row r="52494" customFormat="1" x14ac:dyDescent="0.25"/>
    <row r="52495" customFormat="1" x14ac:dyDescent="0.25"/>
    <row r="52496" customFormat="1" x14ac:dyDescent="0.25"/>
    <row r="52497" customFormat="1" x14ac:dyDescent="0.25"/>
    <row r="52498" customFormat="1" x14ac:dyDescent="0.25"/>
    <row r="52499" customFormat="1" x14ac:dyDescent="0.25"/>
    <row r="52500" customFormat="1" x14ac:dyDescent="0.25"/>
    <row r="52501" customFormat="1" x14ac:dyDescent="0.25"/>
    <row r="52502" customFormat="1" x14ac:dyDescent="0.25"/>
    <row r="52503" customFormat="1" x14ac:dyDescent="0.25"/>
    <row r="52504" customFormat="1" x14ac:dyDescent="0.25"/>
    <row r="52505" customFormat="1" x14ac:dyDescent="0.25"/>
    <row r="52506" customFormat="1" x14ac:dyDescent="0.25"/>
    <row r="52507" customFormat="1" x14ac:dyDescent="0.25"/>
    <row r="52508" customFormat="1" x14ac:dyDescent="0.25"/>
    <row r="52509" customFormat="1" x14ac:dyDescent="0.25"/>
    <row r="52510" customFormat="1" x14ac:dyDescent="0.25"/>
    <row r="52511" customFormat="1" x14ac:dyDescent="0.25"/>
    <row r="52512" customFormat="1" x14ac:dyDescent="0.25"/>
    <row r="52513" customFormat="1" x14ac:dyDescent="0.25"/>
    <row r="52514" customFormat="1" x14ac:dyDescent="0.25"/>
    <row r="52515" customFormat="1" x14ac:dyDescent="0.25"/>
    <row r="52516" customFormat="1" x14ac:dyDescent="0.25"/>
    <row r="52517" customFormat="1" x14ac:dyDescent="0.25"/>
    <row r="52518" customFormat="1" x14ac:dyDescent="0.25"/>
    <row r="52519" customFormat="1" x14ac:dyDescent="0.25"/>
    <row r="52520" customFormat="1" x14ac:dyDescent="0.25"/>
    <row r="52521" customFormat="1" x14ac:dyDescent="0.25"/>
    <row r="52522" customFormat="1" x14ac:dyDescent="0.25"/>
    <row r="52523" customFormat="1" x14ac:dyDescent="0.25"/>
    <row r="52524" customFormat="1" x14ac:dyDescent="0.25"/>
    <row r="52525" customFormat="1" x14ac:dyDescent="0.25"/>
    <row r="52526" customFormat="1" x14ac:dyDescent="0.25"/>
    <row r="52527" customFormat="1" x14ac:dyDescent="0.25"/>
    <row r="52528" customFormat="1" x14ac:dyDescent="0.25"/>
    <row r="52529" customFormat="1" x14ac:dyDescent="0.25"/>
    <row r="52530" customFormat="1" x14ac:dyDescent="0.25"/>
    <row r="52531" customFormat="1" x14ac:dyDescent="0.25"/>
    <row r="52532" customFormat="1" x14ac:dyDescent="0.25"/>
    <row r="52533" customFormat="1" x14ac:dyDescent="0.25"/>
    <row r="52534" customFormat="1" x14ac:dyDescent="0.25"/>
    <row r="52535" customFormat="1" x14ac:dyDescent="0.25"/>
    <row r="52536" customFormat="1" x14ac:dyDescent="0.25"/>
    <row r="52537" customFormat="1" x14ac:dyDescent="0.25"/>
    <row r="52538" customFormat="1" x14ac:dyDescent="0.25"/>
    <row r="52539" customFormat="1" x14ac:dyDescent="0.25"/>
    <row r="52540" customFormat="1" x14ac:dyDescent="0.25"/>
    <row r="52541" customFormat="1" x14ac:dyDescent="0.25"/>
    <row r="52542" customFormat="1" x14ac:dyDescent="0.25"/>
    <row r="52543" customFormat="1" x14ac:dyDescent="0.25"/>
    <row r="52544" customFormat="1" x14ac:dyDescent="0.25"/>
    <row r="52545" customFormat="1" x14ac:dyDescent="0.25"/>
    <row r="52546" customFormat="1" x14ac:dyDescent="0.25"/>
    <row r="52547" customFormat="1" x14ac:dyDescent="0.25"/>
    <row r="52548" customFormat="1" x14ac:dyDescent="0.25"/>
    <row r="52549" customFormat="1" x14ac:dyDescent="0.25"/>
    <row r="52550" customFormat="1" x14ac:dyDescent="0.25"/>
    <row r="52551" customFormat="1" x14ac:dyDescent="0.25"/>
    <row r="52552" customFormat="1" x14ac:dyDescent="0.25"/>
    <row r="52553" customFormat="1" x14ac:dyDescent="0.25"/>
    <row r="52554" customFormat="1" x14ac:dyDescent="0.25"/>
    <row r="52555" customFormat="1" x14ac:dyDescent="0.25"/>
    <row r="52556" customFormat="1" x14ac:dyDescent="0.25"/>
    <row r="52557" customFormat="1" x14ac:dyDescent="0.25"/>
    <row r="52558" customFormat="1" x14ac:dyDescent="0.25"/>
    <row r="52559" customFormat="1" x14ac:dyDescent="0.25"/>
    <row r="52560" customFormat="1" x14ac:dyDescent="0.25"/>
    <row r="52561" customFormat="1" x14ac:dyDescent="0.25"/>
    <row r="52562" customFormat="1" x14ac:dyDescent="0.25"/>
    <row r="52563" customFormat="1" x14ac:dyDescent="0.25"/>
    <row r="52564" customFormat="1" x14ac:dyDescent="0.25"/>
    <row r="52565" customFormat="1" x14ac:dyDescent="0.25"/>
    <row r="52566" customFormat="1" x14ac:dyDescent="0.25"/>
    <row r="52567" customFormat="1" x14ac:dyDescent="0.25"/>
    <row r="52568" customFormat="1" x14ac:dyDescent="0.25"/>
    <row r="52569" customFormat="1" x14ac:dyDescent="0.25"/>
    <row r="52570" customFormat="1" x14ac:dyDescent="0.25"/>
    <row r="52571" customFormat="1" x14ac:dyDescent="0.25"/>
    <row r="52572" customFormat="1" x14ac:dyDescent="0.25"/>
    <row r="52573" customFormat="1" x14ac:dyDescent="0.25"/>
    <row r="52574" customFormat="1" x14ac:dyDescent="0.25"/>
    <row r="52575" customFormat="1" x14ac:dyDescent="0.25"/>
    <row r="52576" customFormat="1" x14ac:dyDescent="0.25"/>
    <row r="52577" customFormat="1" x14ac:dyDescent="0.25"/>
    <row r="52578" customFormat="1" x14ac:dyDescent="0.25"/>
    <row r="52579" customFormat="1" x14ac:dyDescent="0.25"/>
    <row r="52580" customFormat="1" x14ac:dyDescent="0.25"/>
    <row r="52581" customFormat="1" x14ac:dyDescent="0.25"/>
    <row r="52582" customFormat="1" x14ac:dyDescent="0.25"/>
    <row r="52583" customFormat="1" x14ac:dyDescent="0.25"/>
    <row r="52584" customFormat="1" x14ac:dyDescent="0.25"/>
    <row r="52585" customFormat="1" x14ac:dyDescent="0.25"/>
    <row r="52586" customFormat="1" x14ac:dyDescent="0.25"/>
    <row r="52587" customFormat="1" x14ac:dyDescent="0.25"/>
    <row r="52588" customFormat="1" x14ac:dyDescent="0.25"/>
    <row r="52589" customFormat="1" x14ac:dyDescent="0.25"/>
    <row r="52590" customFormat="1" x14ac:dyDescent="0.25"/>
    <row r="52591" customFormat="1" x14ac:dyDescent="0.25"/>
    <row r="52592" customFormat="1" x14ac:dyDescent="0.25"/>
    <row r="52593" customFormat="1" x14ac:dyDescent="0.25"/>
    <row r="52594" customFormat="1" x14ac:dyDescent="0.25"/>
    <row r="52595" customFormat="1" x14ac:dyDescent="0.25"/>
    <row r="52596" customFormat="1" x14ac:dyDescent="0.25"/>
    <row r="52597" customFormat="1" x14ac:dyDescent="0.25"/>
    <row r="52598" customFormat="1" x14ac:dyDescent="0.25"/>
    <row r="52599" customFormat="1" x14ac:dyDescent="0.25"/>
    <row r="52600" customFormat="1" x14ac:dyDescent="0.25"/>
    <row r="52601" customFormat="1" x14ac:dyDescent="0.25"/>
    <row r="52602" customFormat="1" x14ac:dyDescent="0.25"/>
    <row r="52603" customFormat="1" x14ac:dyDescent="0.25"/>
    <row r="52604" customFormat="1" x14ac:dyDescent="0.25"/>
    <row r="52605" customFormat="1" x14ac:dyDescent="0.25"/>
    <row r="52606" customFormat="1" x14ac:dyDescent="0.25"/>
    <row r="52607" customFormat="1" x14ac:dyDescent="0.25"/>
    <row r="52608" customFormat="1" x14ac:dyDescent="0.25"/>
    <row r="52609" customFormat="1" x14ac:dyDescent="0.25"/>
    <row r="52610" customFormat="1" x14ac:dyDescent="0.25"/>
    <row r="52611" customFormat="1" x14ac:dyDescent="0.25"/>
    <row r="52612" customFormat="1" x14ac:dyDescent="0.25"/>
    <row r="52613" customFormat="1" x14ac:dyDescent="0.25"/>
    <row r="52614" customFormat="1" x14ac:dyDescent="0.25"/>
    <row r="52615" customFormat="1" x14ac:dyDescent="0.25"/>
    <row r="52616" customFormat="1" x14ac:dyDescent="0.25"/>
    <row r="52617" customFormat="1" x14ac:dyDescent="0.25"/>
    <row r="52618" customFormat="1" x14ac:dyDescent="0.25"/>
    <row r="52619" customFormat="1" x14ac:dyDescent="0.25"/>
    <row r="52620" customFormat="1" x14ac:dyDescent="0.25"/>
    <row r="52621" customFormat="1" x14ac:dyDescent="0.25"/>
    <row r="52622" customFormat="1" x14ac:dyDescent="0.25"/>
    <row r="52623" customFormat="1" x14ac:dyDescent="0.25"/>
    <row r="52624" customFormat="1" x14ac:dyDescent="0.25"/>
    <row r="52625" customFormat="1" x14ac:dyDescent="0.25"/>
    <row r="52626" customFormat="1" x14ac:dyDescent="0.25"/>
    <row r="52627" customFormat="1" x14ac:dyDescent="0.25"/>
    <row r="52628" customFormat="1" x14ac:dyDescent="0.25"/>
    <row r="52629" customFormat="1" x14ac:dyDescent="0.25"/>
    <row r="52630" customFormat="1" x14ac:dyDescent="0.25"/>
    <row r="52631" customFormat="1" x14ac:dyDescent="0.25"/>
    <row r="52632" customFormat="1" x14ac:dyDescent="0.25"/>
    <row r="52633" customFormat="1" x14ac:dyDescent="0.25"/>
    <row r="52634" customFormat="1" x14ac:dyDescent="0.25"/>
    <row r="52635" customFormat="1" x14ac:dyDescent="0.25"/>
    <row r="52636" customFormat="1" x14ac:dyDescent="0.25"/>
    <row r="52637" customFormat="1" x14ac:dyDescent="0.25"/>
    <row r="52638" customFormat="1" x14ac:dyDescent="0.25"/>
    <row r="52639" customFormat="1" x14ac:dyDescent="0.25"/>
    <row r="52640" customFormat="1" x14ac:dyDescent="0.25"/>
    <row r="52641" customFormat="1" x14ac:dyDescent="0.25"/>
    <row r="52642" customFormat="1" x14ac:dyDescent="0.25"/>
    <row r="52643" customFormat="1" x14ac:dyDescent="0.25"/>
    <row r="52644" customFormat="1" x14ac:dyDescent="0.25"/>
    <row r="52645" customFormat="1" x14ac:dyDescent="0.25"/>
    <row r="52646" customFormat="1" x14ac:dyDescent="0.25"/>
    <row r="52647" customFormat="1" x14ac:dyDescent="0.25"/>
    <row r="52648" customFormat="1" x14ac:dyDescent="0.25"/>
    <row r="52649" customFormat="1" x14ac:dyDescent="0.25"/>
    <row r="52650" customFormat="1" x14ac:dyDescent="0.25"/>
    <row r="52651" customFormat="1" x14ac:dyDescent="0.25"/>
    <row r="52652" customFormat="1" x14ac:dyDescent="0.25"/>
    <row r="52653" customFormat="1" x14ac:dyDescent="0.25"/>
    <row r="52654" customFormat="1" x14ac:dyDescent="0.25"/>
    <row r="52655" customFormat="1" x14ac:dyDescent="0.25"/>
    <row r="52656" customFormat="1" x14ac:dyDescent="0.25"/>
    <row r="52657" customFormat="1" x14ac:dyDescent="0.25"/>
    <row r="52658" customFormat="1" x14ac:dyDescent="0.25"/>
    <row r="52659" customFormat="1" x14ac:dyDescent="0.25"/>
    <row r="52660" customFormat="1" x14ac:dyDescent="0.25"/>
    <row r="52661" customFormat="1" x14ac:dyDescent="0.25"/>
    <row r="52662" customFormat="1" x14ac:dyDescent="0.25"/>
    <row r="52663" customFormat="1" x14ac:dyDescent="0.25"/>
    <row r="52664" customFormat="1" x14ac:dyDescent="0.25"/>
    <row r="52665" customFormat="1" x14ac:dyDescent="0.25"/>
    <row r="52666" customFormat="1" x14ac:dyDescent="0.25"/>
    <row r="52667" customFormat="1" x14ac:dyDescent="0.25"/>
    <row r="52668" customFormat="1" x14ac:dyDescent="0.25"/>
    <row r="52669" customFormat="1" x14ac:dyDescent="0.25"/>
    <row r="52670" customFormat="1" x14ac:dyDescent="0.25"/>
    <row r="52671" customFormat="1" x14ac:dyDescent="0.25"/>
    <row r="52672" customFormat="1" x14ac:dyDescent="0.25"/>
    <row r="52673" customFormat="1" x14ac:dyDescent="0.25"/>
    <row r="52674" customFormat="1" x14ac:dyDescent="0.25"/>
    <row r="52675" customFormat="1" x14ac:dyDescent="0.25"/>
    <row r="52676" customFormat="1" x14ac:dyDescent="0.25"/>
    <row r="52677" customFormat="1" x14ac:dyDescent="0.25"/>
    <row r="52678" customFormat="1" x14ac:dyDescent="0.25"/>
    <row r="52679" customFormat="1" x14ac:dyDescent="0.25"/>
    <row r="52680" customFormat="1" x14ac:dyDescent="0.25"/>
    <row r="52681" customFormat="1" x14ac:dyDescent="0.25"/>
    <row r="52682" customFormat="1" x14ac:dyDescent="0.25"/>
    <row r="52683" customFormat="1" x14ac:dyDescent="0.25"/>
    <row r="52684" customFormat="1" x14ac:dyDescent="0.25"/>
    <row r="52685" customFormat="1" x14ac:dyDescent="0.25"/>
    <row r="52686" customFormat="1" x14ac:dyDescent="0.25"/>
    <row r="52687" customFormat="1" x14ac:dyDescent="0.25"/>
    <row r="52688" customFormat="1" x14ac:dyDescent="0.25"/>
    <row r="52689" customFormat="1" x14ac:dyDescent="0.25"/>
    <row r="52690" customFormat="1" x14ac:dyDescent="0.25"/>
    <row r="52691" customFormat="1" x14ac:dyDescent="0.25"/>
    <row r="52692" customFormat="1" x14ac:dyDescent="0.25"/>
    <row r="52693" customFormat="1" x14ac:dyDescent="0.25"/>
    <row r="52694" customFormat="1" x14ac:dyDescent="0.25"/>
    <row r="52695" customFormat="1" x14ac:dyDescent="0.25"/>
    <row r="52696" customFormat="1" x14ac:dyDescent="0.25"/>
    <row r="52697" customFormat="1" x14ac:dyDescent="0.25"/>
    <row r="52698" customFormat="1" x14ac:dyDescent="0.25"/>
    <row r="52699" customFormat="1" x14ac:dyDescent="0.25"/>
    <row r="52700" customFormat="1" x14ac:dyDescent="0.25"/>
    <row r="52701" customFormat="1" x14ac:dyDescent="0.25"/>
    <row r="52702" customFormat="1" x14ac:dyDescent="0.25"/>
    <row r="52703" customFormat="1" x14ac:dyDescent="0.25"/>
    <row r="52704" customFormat="1" x14ac:dyDescent="0.25"/>
    <row r="52705" customFormat="1" x14ac:dyDescent="0.25"/>
    <row r="52706" customFormat="1" x14ac:dyDescent="0.25"/>
    <row r="52707" customFormat="1" x14ac:dyDescent="0.25"/>
    <row r="52708" customFormat="1" x14ac:dyDescent="0.25"/>
    <row r="52709" customFormat="1" x14ac:dyDescent="0.25"/>
    <row r="52710" customFormat="1" x14ac:dyDescent="0.25"/>
    <row r="52711" customFormat="1" x14ac:dyDescent="0.25"/>
    <row r="52712" customFormat="1" x14ac:dyDescent="0.25"/>
    <row r="52713" customFormat="1" x14ac:dyDescent="0.25"/>
    <row r="52714" customFormat="1" x14ac:dyDescent="0.25"/>
    <row r="52715" customFormat="1" x14ac:dyDescent="0.25"/>
    <row r="52716" customFormat="1" x14ac:dyDescent="0.25"/>
    <row r="52717" customFormat="1" x14ac:dyDescent="0.25"/>
    <row r="52718" customFormat="1" x14ac:dyDescent="0.25"/>
    <row r="52719" customFormat="1" x14ac:dyDescent="0.25"/>
    <row r="52720" customFormat="1" x14ac:dyDescent="0.25"/>
    <row r="52721" customFormat="1" x14ac:dyDescent="0.25"/>
    <row r="52722" customFormat="1" x14ac:dyDescent="0.25"/>
    <row r="52723" customFormat="1" x14ac:dyDescent="0.25"/>
    <row r="52724" customFormat="1" x14ac:dyDescent="0.25"/>
    <row r="52725" customFormat="1" x14ac:dyDescent="0.25"/>
    <row r="52726" customFormat="1" x14ac:dyDescent="0.25"/>
    <row r="52727" customFormat="1" x14ac:dyDescent="0.25"/>
    <row r="52728" customFormat="1" x14ac:dyDescent="0.25"/>
    <row r="52729" customFormat="1" x14ac:dyDescent="0.25"/>
    <row r="52730" customFormat="1" x14ac:dyDescent="0.25"/>
    <row r="52731" customFormat="1" x14ac:dyDescent="0.25"/>
    <row r="52732" customFormat="1" x14ac:dyDescent="0.25"/>
    <row r="52733" customFormat="1" x14ac:dyDescent="0.25"/>
    <row r="52734" customFormat="1" x14ac:dyDescent="0.25"/>
    <row r="52735" customFormat="1" x14ac:dyDescent="0.25"/>
    <row r="52736" customFormat="1" x14ac:dyDescent="0.25"/>
    <row r="52737" customFormat="1" x14ac:dyDescent="0.25"/>
    <row r="52738" customFormat="1" x14ac:dyDescent="0.25"/>
    <row r="52739" customFormat="1" x14ac:dyDescent="0.25"/>
    <row r="52740" customFormat="1" x14ac:dyDescent="0.25"/>
    <row r="52741" customFormat="1" x14ac:dyDescent="0.25"/>
    <row r="52742" customFormat="1" x14ac:dyDescent="0.25"/>
    <row r="52743" customFormat="1" x14ac:dyDescent="0.25"/>
    <row r="52744" customFormat="1" x14ac:dyDescent="0.25"/>
    <row r="52745" customFormat="1" x14ac:dyDescent="0.25"/>
    <row r="52746" customFormat="1" x14ac:dyDescent="0.25"/>
    <row r="52747" customFormat="1" x14ac:dyDescent="0.25"/>
    <row r="52748" customFormat="1" x14ac:dyDescent="0.25"/>
    <row r="52749" customFormat="1" x14ac:dyDescent="0.25"/>
    <row r="52750" customFormat="1" x14ac:dyDescent="0.25"/>
    <row r="52751" customFormat="1" x14ac:dyDescent="0.25"/>
    <row r="52752" customFormat="1" x14ac:dyDescent="0.25"/>
    <row r="52753" customFormat="1" x14ac:dyDescent="0.25"/>
    <row r="52754" customFormat="1" x14ac:dyDescent="0.25"/>
    <row r="52755" customFormat="1" x14ac:dyDescent="0.25"/>
    <row r="52756" customFormat="1" x14ac:dyDescent="0.25"/>
    <row r="52757" customFormat="1" x14ac:dyDescent="0.25"/>
    <row r="52758" customFormat="1" x14ac:dyDescent="0.25"/>
    <row r="52759" customFormat="1" x14ac:dyDescent="0.25"/>
    <row r="52760" customFormat="1" x14ac:dyDescent="0.25"/>
    <row r="52761" customFormat="1" x14ac:dyDescent="0.25"/>
    <row r="52762" customFormat="1" x14ac:dyDescent="0.25"/>
    <row r="52763" customFormat="1" x14ac:dyDescent="0.25"/>
    <row r="52764" customFormat="1" x14ac:dyDescent="0.25"/>
    <row r="52765" customFormat="1" x14ac:dyDescent="0.25"/>
    <row r="52766" customFormat="1" x14ac:dyDescent="0.25"/>
    <row r="52767" customFormat="1" x14ac:dyDescent="0.25"/>
    <row r="52768" customFormat="1" x14ac:dyDescent="0.25"/>
    <row r="52769" customFormat="1" x14ac:dyDescent="0.25"/>
    <row r="52770" customFormat="1" x14ac:dyDescent="0.25"/>
    <row r="52771" customFormat="1" x14ac:dyDescent="0.25"/>
    <row r="52772" customFormat="1" x14ac:dyDescent="0.25"/>
    <row r="52773" customFormat="1" x14ac:dyDescent="0.25"/>
    <row r="52774" customFormat="1" x14ac:dyDescent="0.25"/>
    <row r="52775" customFormat="1" x14ac:dyDescent="0.25"/>
    <row r="52776" customFormat="1" x14ac:dyDescent="0.25"/>
    <row r="52777" customFormat="1" x14ac:dyDescent="0.25"/>
    <row r="52778" customFormat="1" x14ac:dyDescent="0.25"/>
    <row r="52779" customFormat="1" x14ac:dyDescent="0.25"/>
    <row r="52780" customFormat="1" x14ac:dyDescent="0.25"/>
    <row r="52781" customFormat="1" x14ac:dyDescent="0.25"/>
    <row r="52782" customFormat="1" x14ac:dyDescent="0.25"/>
    <row r="52783" customFormat="1" x14ac:dyDescent="0.25"/>
    <row r="52784" customFormat="1" x14ac:dyDescent="0.25"/>
    <row r="52785" customFormat="1" x14ac:dyDescent="0.25"/>
    <row r="52786" customFormat="1" x14ac:dyDescent="0.25"/>
    <row r="52787" customFormat="1" x14ac:dyDescent="0.25"/>
    <row r="52788" customFormat="1" x14ac:dyDescent="0.25"/>
    <row r="52789" customFormat="1" x14ac:dyDescent="0.25"/>
    <row r="52790" customFormat="1" x14ac:dyDescent="0.25"/>
    <row r="52791" customFormat="1" x14ac:dyDescent="0.25"/>
    <row r="52792" customFormat="1" x14ac:dyDescent="0.25"/>
    <row r="52793" customFormat="1" x14ac:dyDescent="0.25"/>
    <row r="52794" customFormat="1" x14ac:dyDescent="0.25"/>
    <row r="52795" customFormat="1" x14ac:dyDescent="0.25"/>
    <row r="52796" customFormat="1" x14ac:dyDescent="0.25"/>
    <row r="52797" customFormat="1" x14ac:dyDescent="0.25"/>
    <row r="52798" customFormat="1" x14ac:dyDescent="0.25"/>
    <row r="52799" customFormat="1" x14ac:dyDescent="0.25"/>
    <row r="52800" customFormat="1" x14ac:dyDescent="0.25"/>
    <row r="52801" customFormat="1" x14ac:dyDescent="0.25"/>
    <row r="52802" customFormat="1" x14ac:dyDescent="0.25"/>
    <row r="52803" customFormat="1" x14ac:dyDescent="0.25"/>
    <row r="52804" customFormat="1" x14ac:dyDescent="0.25"/>
    <row r="52805" customFormat="1" x14ac:dyDescent="0.25"/>
    <row r="52806" customFormat="1" x14ac:dyDescent="0.25"/>
    <row r="52807" customFormat="1" x14ac:dyDescent="0.25"/>
    <row r="52808" customFormat="1" x14ac:dyDescent="0.25"/>
    <row r="52809" customFormat="1" x14ac:dyDescent="0.25"/>
    <row r="52810" customFormat="1" x14ac:dyDescent="0.25"/>
    <row r="52811" customFormat="1" x14ac:dyDescent="0.25"/>
    <row r="52812" customFormat="1" x14ac:dyDescent="0.25"/>
    <row r="52813" customFormat="1" x14ac:dyDescent="0.25"/>
    <row r="52814" customFormat="1" x14ac:dyDescent="0.25"/>
    <row r="52815" customFormat="1" x14ac:dyDescent="0.25"/>
    <row r="52816" customFormat="1" x14ac:dyDescent="0.25"/>
    <row r="52817" customFormat="1" x14ac:dyDescent="0.25"/>
    <row r="52818" customFormat="1" x14ac:dyDescent="0.25"/>
    <row r="52819" customFormat="1" x14ac:dyDescent="0.25"/>
    <row r="52820" customFormat="1" x14ac:dyDescent="0.25"/>
    <row r="52821" customFormat="1" x14ac:dyDescent="0.25"/>
    <row r="52822" customFormat="1" x14ac:dyDescent="0.25"/>
    <row r="52823" customFormat="1" x14ac:dyDescent="0.25"/>
    <row r="52824" customFormat="1" x14ac:dyDescent="0.25"/>
    <row r="52825" customFormat="1" x14ac:dyDescent="0.25"/>
    <row r="52826" customFormat="1" x14ac:dyDescent="0.25"/>
    <row r="52827" customFormat="1" x14ac:dyDescent="0.25"/>
    <row r="52828" customFormat="1" x14ac:dyDescent="0.25"/>
    <row r="52829" customFormat="1" x14ac:dyDescent="0.25"/>
    <row r="52830" customFormat="1" x14ac:dyDescent="0.25"/>
    <row r="52831" customFormat="1" x14ac:dyDescent="0.25"/>
    <row r="52832" customFormat="1" x14ac:dyDescent="0.25"/>
    <row r="52833" customFormat="1" x14ac:dyDescent="0.25"/>
    <row r="52834" customFormat="1" x14ac:dyDescent="0.25"/>
    <row r="52835" customFormat="1" x14ac:dyDescent="0.25"/>
    <row r="52836" customFormat="1" x14ac:dyDescent="0.25"/>
    <row r="52837" customFormat="1" x14ac:dyDescent="0.25"/>
    <row r="52838" customFormat="1" x14ac:dyDescent="0.25"/>
    <row r="52839" customFormat="1" x14ac:dyDescent="0.25"/>
    <row r="52840" customFormat="1" x14ac:dyDescent="0.25"/>
    <row r="52841" customFormat="1" x14ac:dyDescent="0.25"/>
    <row r="52842" customFormat="1" x14ac:dyDescent="0.25"/>
    <row r="52843" customFormat="1" x14ac:dyDescent="0.25"/>
    <row r="52844" customFormat="1" x14ac:dyDescent="0.25"/>
    <row r="52845" customFormat="1" x14ac:dyDescent="0.25"/>
    <row r="52846" customFormat="1" x14ac:dyDescent="0.25"/>
    <row r="52847" customFormat="1" x14ac:dyDescent="0.25"/>
    <row r="52848" customFormat="1" x14ac:dyDescent="0.25"/>
    <row r="52849" customFormat="1" x14ac:dyDescent="0.25"/>
    <row r="52850" customFormat="1" x14ac:dyDescent="0.25"/>
    <row r="52851" customFormat="1" x14ac:dyDescent="0.25"/>
    <row r="52852" customFormat="1" x14ac:dyDescent="0.25"/>
    <row r="52853" customFormat="1" x14ac:dyDescent="0.25"/>
    <row r="52854" customFormat="1" x14ac:dyDescent="0.25"/>
    <row r="52855" customFormat="1" x14ac:dyDescent="0.25"/>
    <row r="52856" customFormat="1" x14ac:dyDescent="0.25"/>
    <row r="52857" customFormat="1" x14ac:dyDescent="0.25"/>
    <row r="52858" customFormat="1" x14ac:dyDescent="0.25"/>
    <row r="52859" customFormat="1" x14ac:dyDescent="0.25"/>
    <row r="52860" customFormat="1" x14ac:dyDescent="0.25"/>
    <row r="52861" customFormat="1" x14ac:dyDescent="0.25"/>
    <row r="52862" customFormat="1" x14ac:dyDescent="0.25"/>
    <row r="52863" customFormat="1" x14ac:dyDescent="0.25"/>
    <row r="52864" customFormat="1" x14ac:dyDescent="0.25"/>
    <row r="52865" customFormat="1" x14ac:dyDescent="0.25"/>
    <row r="52866" customFormat="1" x14ac:dyDescent="0.25"/>
    <row r="52867" customFormat="1" x14ac:dyDescent="0.25"/>
    <row r="52868" customFormat="1" x14ac:dyDescent="0.25"/>
    <row r="52869" customFormat="1" x14ac:dyDescent="0.25"/>
    <row r="52870" customFormat="1" x14ac:dyDescent="0.25"/>
    <row r="52871" customFormat="1" x14ac:dyDescent="0.25"/>
    <row r="52872" customFormat="1" x14ac:dyDescent="0.25"/>
    <row r="52873" customFormat="1" x14ac:dyDescent="0.25"/>
    <row r="52874" customFormat="1" x14ac:dyDescent="0.25"/>
    <row r="52875" customFormat="1" x14ac:dyDescent="0.25"/>
    <row r="52876" customFormat="1" x14ac:dyDescent="0.25"/>
    <row r="52877" customFormat="1" x14ac:dyDescent="0.25"/>
    <row r="52878" customFormat="1" x14ac:dyDescent="0.25"/>
    <row r="52879" customFormat="1" x14ac:dyDescent="0.25"/>
    <row r="52880" customFormat="1" x14ac:dyDescent="0.25"/>
    <row r="52881" customFormat="1" x14ac:dyDescent="0.25"/>
    <row r="52882" customFormat="1" x14ac:dyDescent="0.25"/>
    <row r="52883" customFormat="1" x14ac:dyDescent="0.25"/>
    <row r="52884" customFormat="1" x14ac:dyDescent="0.25"/>
    <row r="52885" customFormat="1" x14ac:dyDescent="0.25"/>
    <row r="52886" customFormat="1" x14ac:dyDescent="0.25"/>
    <row r="52887" customFormat="1" x14ac:dyDescent="0.25"/>
    <row r="52888" customFormat="1" x14ac:dyDescent="0.25"/>
    <row r="52889" customFormat="1" x14ac:dyDescent="0.25"/>
    <row r="52890" customFormat="1" x14ac:dyDescent="0.25"/>
    <row r="52891" customFormat="1" x14ac:dyDescent="0.25"/>
    <row r="52892" customFormat="1" x14ac:dyDescent="0.25"/>
    <row r="52893" customFormat="1" x14ac:dyDescent="0.25"/>
    <row r="52894" customFormat="1" x14ac:dyDescent="0.25"/>
    <row r="52895" customFormat="1" x14ac:dyDescent="0.25"/>
    <row r="52896" customFormat="1" x14ac:dyDescent="0.25"/>
    <row r="52897" customFormat="1" x14ac:dyDescent="0.25"/>
    <row r="52898" customFormat="1" x14ac:dyDescent="0.25"/>
    <row r="52899" customFormat="1" x14ac:dyDescent="0.25"/>
    <row r="52900" customFormat="1" x14ac:dyDescent="0.25"/>
    <row r="52901" customFormat="1" x14ac:dyDescent="0.25"/>
    <row r="52902" customFormat="1" x14ac:dyDescent="0.25"/>
    <row r="52903" customFormat="1" x14ac:dyDescent="0.25"/>
    <row r="52904" customFormat="1" x14ac:dyDescent="0.25"/>
    <row r="52905" customFormat="1" x14ac:dyDescent="0.25"/>
    <row r="52906" customFormat="1" x14ac:dyDescent="0.25"/>
    <row r="52907" customFormat="1" x14ac:dyDescent="0.25"/>
    <row r="52908" customFormat="1" x14ac:dyDescent="0.25"/>
    <row r="52909" customFormat="1" x14ac:dyDescent="0.25"/>
    <row r="52910" customFormat="1" x14ac:dyDescent="0.25"/>
    <row r="52911" customFormat="1" x14ac:dyDescent="0.25"/>
    <row r="52912" customFormat="1" x14ac:dyDescent="0.25"/>
    <row r="52913" customFormat="1" x14ac:dyDescent="0.25"/>
    <row r="52914" customFormat="1" x14ac:dyDescent="0.25"/>
    <row r="52915" customFormat="1" x14ac:dyDescent="0.25"/>
    <row r="52916" customFormat="1" x14ac:dyDescent="0.25"/>
    <row r="52917" customFormat="1" x14ac:dyDescent="0.25"/>
    <row r="52918" customFormat="1" x14ac:dyDescent="0.25"/>
    <row r="52919" customFormat="1" x14ac:dyDescent="0.25"/>
    <row r="52920" customFormat="1" x14ac:dyDescent="0.25"/>
    <row r="52921" customFormat="1" x14ac:dyDescent="0.25"/>
    <row r="52922" customFormat="1" x14ac:dyDescent="0.25"/>
    <row r="52923" customFormat="1" x14ac:dyDescent="0.25"/>
    <row r="52924" customFormat="1" x14ac:dyDescent="0.25"/>
    <row r="52925" customFormat="1" x14ac:dyDescent="0.25"/>
    <row r="52926" customFormat="1" x14ac:dyDescent="0.25"/>
    <row r="52927" customFormat="1" x14ac:dyDescent="0.25"/>
    <row r="52928" customFormat="1" x14ac:dyDescent="0.25"/>
    <row r="52929" customFormat="1" x14ac:dyDescent="0.25"/>
    <row r="52930" customFormat="1" x14ac:dyDescent="0.25"/>
    <row r="52931" customFormat="1" x14ac:dyDescent="0.25"/>
    <row r="52932" customFormat="1" x14ac:dyDescent="0.25"/>
    <row r="52933" customFormat="1" x14ac:dyDescent="0.25"/>
    <row r="52934" customFormat="1" x14ac:dyDescent="0.25"/>
    <row r="52935" customFormat="1" x14ac:dyDescent="0.25"/>
    <row r="52936" customFormat="1" x14ac:dyDescent="0.25"/>
    <row r="52937" customFormat="1" x14ac:dyDescent="0.25"/>
    <row r="52938" customFormat="1" x14ac:dyDescent="0.25"/>
    <row r="52939" customFormat="1" x14ac:dyDescent="0.25"/>
    <row r="52940" customFormat="1" x14ac:dyDescent="0.25"/>
    <row r="52941" customFormat="1" x14ac:dyDescent="0.25"/>
    <row r="52942" customFormat="1" x14ac:dyDescent="0.25"/>
    <row r="52943" customFormat="1" x14ac:dyDescent="0.25"/>
    <row r="52944" customFormat="1" x14ac:dyDescent="0.25"/>
    <row r="52945" customFormat="1" x14ac:dyDescent="0.25"/>
    <row r="52946" customFormat="1" x14ac:dyDescent="0.25"/>
    <row r="52947" customFormat="1" x14ac:dyDescent="0.25"/>
    <row r="52948" customFormat="1" x14ac:dyDescent="0.25"/>
    <row r="52949" customFormat="1" x14ac:dyDescent="0.25"/>
    <row r="52950" customFormat="1" x14ac:dyDescent="0.25"/>
    <row r="52951" customFormat="1" x14ac:dyDescent="0.25"/>
    <row r="52952" customFormat="1" x14ac:dyDescent="0.25"/>
    <row r="52953" customFormat="1" x14ac:dyDescent="0.25"/>
    <row r="52954" customFormat="1" x14ac:dyDescent="0.25"/>
    <row r="52955" customFormat="1" x14ac:dyDescent="0.25"/>
    <row r="52956" customFormat="1" x14ac:dyDescent="0.25"/>
    <row r="52957" customFormat="1" x14ac:dyDescent="0.25"/>
    <row r="52958" customFormat="1" x14ac:dyDescent="0.25"/>
    <row r="52959" customFormat="1" x14ac:dyDescent="0.25"/>
    <row r="52960" customFormat="1" x14ac:dyDescent="0.25"/>
    <row r="52961" customFormat="1" x14ac:dyDescent="0.25"/>
    <row r="52962" customFormat="1" x14ac:dyDescent="0.25"/>
    <row r="52963" customFormat="1" x14ac:dyDescent="0.25"/>
    <row r="52964" customFormat="1" x14ac:dyDescent="0.25"/>
    <row r="52965" customFormat="1" x14ac:dyDescent="0.25"/>
    <row r="52966" customFormat="1" x14ac:dyDescent="0.25"/>
    <row r="52967" customFormat="1" x14ac:dyDescent="0.25"/>
    <row r="52968" customFormat="1" x14ac:dyDescent="0.25"/>
    <row r="52969" customFormat="1" x14ac:dyDescent="0.25"/>
    <row r="52970" customFormat="1" x14ac:dyDescent="0.25"/>
    <row r="52971" customFormat="1" x14ac:dyDescent="0.25"/>
    <row r="52972" customFormat="1" x14ac:dyDescent="0.25"/>
    <row r="52973" customFormat="1" x14ac:dyDescent="0.25"/>
    <row r="52974" customFormat="1" x14ac:dyDescent="0.25"/>
    <row r="52975" customFormat="1" x14ac:dyDescent="0.25"/>
    <row r="52976" customFormat="1" x14ac:dyDescent="0.25"/>
    <row r="52977" customFormat="1" x14ac:dyDescent="0.25"/>
    <row r="52978" customFormat="1" x14ac:dyDescent="0.25"/>
    <row r="52979" customFormat="1" x14ac:dyDescent="0.25"/>
    <row r="52980" customFormat="1" x14ac:dyDescent="0.25"/>
    <row r="52981" customFormat="1" x14ac:dyDescent="0.25"/>
    <row r="52982" customFormat="1" x14ac:dyDescent="0.25"/>
    <row r="52983" customFormat="1" x14ac:dyDescent="0.25"/>
    <row r="52984" customFormat="1" x14ac:dyDescent="0.25"/>
    <row r="52985" customFormat="1" x14ac:dyDescent="0.25"/>
    <row r="52986" customFormat="1" x14ac:dyDescent="0.25"/>
    <row r="52987" customFormat="1" x14ac:dyDescent="0.25"/>
    <row r="52988" customFormat="1" x14ac:dyDescent="0.25"/>
    <row r="52989" customFormat="1" x14ac:dyDescent="0.25"/>
    <row r="52990" customFormat="1" x14ac:dyDescent="0.25"/>
    <row r="52991" customFormat="1" x14ac:dyDescent="0.25"/>
    <row r="52992" customFormat="1" x14ac:dyDescent="0.25"/>
    <row r="52993" customFormat="1" x14ac:dyDescent="0.25"/>
    <row r="52994" customFormat="1" x14ac:dyDescent="0.25"/>
    <row r="52995" customFormat="1" x14ac:dyDescent="0.25"/>
    <row r="52996" customFormat="1" x14ac:dyDescent="0.25"/>
    <row r="52997" customFormat="1" x14ac:dyDescent="0.25"/>
    <row r="52998" customFormat="1" x14ac:dyDescent="0.25"/>
    <row r="52999" customFormat="1" x14ac:dyDescent="0.25"/>
    <row r="53000" customFormat="1" x14ac:dyDescent="0.25"/>
    <row r="53001" customFormat="1" x14ac:dyDescent="0.25"/>
    <row r="53002" customFormat="1" x14ac:dyDescent="0.25"/>
    <row r="53003" customFormat="1" x14ac:dyDescent="0.25"/>
    <row r="53004" customFormat="1" x14ac:dyDescent="0.25"/>
    <row r="53005" customFormat="1" x14ac:dyDescent="0.25"/>
    <row r="53006" customFormat="1" x14ac:dyDescent="0.25"/>
    <row r="53007" customFormat="1" x14ac:dyDescent="0.25"/>
    <row r="53008" customFormat="1" x14ac:dyDescent="0.25"/>
    <row r="53009" customFormat="1" x14ac:dyDescent="0.25"/>
    <row r="53010" customFormat="1" x14ac:dyDescent="0.25"/>
    <row r="53011" customFormat="1" x14ac:dyDescent="0.25"/>
    <row r="53012" customFormat="1" x14ac:dyDescent="0.25"/>
    <row r="53013" customFormat="1" x14ac:dyDescent="0.25"/>
    <row r="53014" customFormat="1" x14ac:dyDescent="0.25"/>
    <row r="53015" customFormat="1" x14ac:dyDescent="0.25"/>
    <row r="53016" customFormat="1" x14ac:dyDescent="0.25"/>
    <row r="53017" customFormat="1" x14ac:dyDescent="0.25"/>
    <row r="53018" customFormat="1" x14ac:dyDescent="0.25"/>
    <row r="53019" customFormat="1" x14ac:dyDescent="0.25"/>
    <row r="53020" customFormat="1" x14ac:dyDescent="0.25"/>
    <row r="53021" customFormat="1" x14ac:dyDescent="0.25"/>
    <row r="53022" customFormat="1" x14ac:dyDescent="0.25"/>
    <row r="53023" customFormat="1" x14ac:dyDescent="0.25"/>
    <row r="53024" customFormat="1" x14ac:dyDescent="0.25"/>
    <row r="53025" customFormat="1" x14ac:dyDescent="0.25"/>
    <row r="53026" customFormat="1" x14ac:dyDescent="0.25"/>
    <row r="53027" customFormat="1" x14ac:dyDescent="0.25"/>
    <row r="53028" customFormat="1" x14ac:dyDescent="0.25"/>
    <row r="53029" customFormat="1" x14ac:dyDescent="0.25"/>
    <row r="53030" customFormat="1" x14ac:dyDescent="0.25"/>
    <row r="53031" customFormat="1" x14ac:dyDescent="0.25"/>
    <row r="53032" customFormat="1" x14ac:dyDescent="0.25"/>
    <row r="53033" customFormat="1" x14ac:dyDescent="0.25"/>
    <row r="53034" customFormat="1" x14ac:dyDescent="0.25"/>
    <row r="53035" customFormat="1" x14ac:dyDescent="0.25"/>
    <row r="53036" customFormat="1" x14ac:dyDescent="0.25"/>
    <row r="53037" customFormat="1" x14ac:dyDescent="0.25"/>
    <row r="53038" customFormat="1" x14ac:dyDescent="0.25"/>
    <row r="53039" customFormat="1" x14ac:dyDescent="0.25"/>
    <row r="53040" customFormat="1" x14ac:dyDescent="0.25"/>
    <row r="53041" customFormat="1" x14ac:dyDescent="0.25"/>
    <row r="53042" customFormat="1" x14ac:dyDescent="0.25"/>
    <row r="53043" customFormat="1" x14ac:dyDescent="0.25"/>
    <row r="53044" customFormat="1" x14ac:dyDescent="0.25"/>
    <row r="53045" customFormat="1" x14ac:dyDescent="0.25"/>
    <row r="53046" customFormat="1" x14ac:dyDescent="0.25"/>
    <row r="53047" customFormat="1" x14ac:dyDescent="0.25"/>
    <row r="53048" customFormat="1" x14ac:dyDescent="0.25"/>
    <row r="53049" customFormat="1" x14ac:dyDescent="0.25"/>
    <row r="53050" customFormat="1" x14ac:dyDescent="0.25"/>
    <row r="53051" customFormat="1" x14ac:dyDescent="0.25"/>
    <row r="53052" customFormat="1" x14ac:dyDescent="0.25"/>
    <row r="53053" customFormat="1" x14ac:dyDescent="0.25"/>
    <row r="53054" customFormat="1" x14ac:dyDescent="0.25"/>
    <row r="53055" customFormat="1" x14ac:dyDescent="0.25"/>
    <row r="53056" customFormat="1" x14ac:dyDescent="0.25"/>
    <row r="53057" customFormat="1" x14ac:dyDescent="0.25"/>
    <row r="53058" customFormat="1" x14ac:dyDescent="0.25"/>
    <row r="53059" customFormat="1" x14ac:dyDescent="0.25"/>
    <row r="53060" customFormat="1" x14ac:dyDescent="0.25"/>
    <row r="53061" customFormat="1" x14ac:dyDescent="0.25"/>
    <row r="53062" customFormat="1" x14ac:dyDescent="0.25"/>
    <row r="53063" customFormat="1" x14ac:dyDescent="0.25"/>
    <row r="53064" customFormat="1" x14ac:dyDescent="0.25"/>
    <row r="53065" customFormat="1" x14ac:dyDescent="0.25"/>
    <row r="53066" customFormat="1" x14ac:dyDescent="0.25"/>
    <row r="53067" customFormat="1" x14ac:dyDescent="0.25"/>
    <row r="53068" customFormat="1" x14ac:dyDescent="0.25"/>
    <row r="53069" customFormat="1" x14ac:dyDescent="0.25"/>
    <row r="53070" customFormat="1" x14ac:dyDescent="0.25"/>
    <row r="53071" customFormat="1" x14ac:dyDescent="0.25"/>
    <row r="53072" customFormat="1" x14ac:dyDescent="0.25"/>
    <row r="53073" customFormat="1" x14ac:dyDescent="0.25"/>
    <row r="53074" customFormat="1" x14ac:dyDescent="0.25"/>
    <row r="53075" customFormat="1" x14ac:dyDescent="0.25"/>
    <row r="53076" customFormat="1" x14ac:dyDescent="0.25"/>
    <row r="53077" customFormat="1" x14ac:dyDescent="0.25"/>
    <row r="53078" customFormat="1" x14ac:dyDescent="0.25"/>
    <row r="53079" customFormat="1" x14ac:dyDescent="0.25"/>
    <row r="53080" customFormat="1" x14ac:dyDescent="0.25"/>
    <row r="53081" customFormat="1" x14ac:dyDescent="0.25"/>
    <row r="53082" customFormat="1" x14ac:dyDescent="0.25"/>
    <row r="53083" customFormat="1" x14ac:dyDescent="0.25"/>
    <row r="53084" customFormat="1" x14ac:dyDescent="0.25"/>
    <row r="53085" customFormat="1" x14ac:dyDescent="0.25"/>
    <row r="53086" customFormat="1" x14ac:dyDescent="0.25"/>
    <row r="53087" customFormat="1" x14ac:dyDescent="0.25"/>
    <row r="53088" customFormat="1" x14ac:dyDescent="0.25"/>
    <row r="53089" customFormat="1" x14ac:dyDescent="0.25"/>
    <row r="53090" customFormat="1" x14ac:dyDescent="0.25"/>
    <row r="53091" customFormat="1" x14ac:dyDescent="0.25"/>
    <row r="53092" customFormat="1" x14ac:dyDescent="0.25"/>
    <row r="53093" customFormat="1" x14ac:dyDescent="0.25"/>
    <row r="53094" customFormat="1" x14ac:dyDescent="0.25"/>
    <row r="53095" customFormat="1" x14ac:dyDescent="0.25"/>
    <row r="53096" customFormat="1" x14ac:dyDescent="0.25"/>
    <row r="53097" customFormat="1" x14ac:dyDescent="0.25"/>
    <row r="53098" customFormat="1" x14ac:dyDescent="0.25"/>
    <row r="53099" customFormat="1" x14ac:dyDescent="0.25"/>
    <row r="53100" customFormat="1" x14ac:dyDescent="0.25"/>
    <row r="53101" customFormat="1" x14ac:dyDescent="0.25"/>
    <row r="53102" customFormat="1" x14ac:dyDescent="0.25"/>
    <row r="53103" customFormat="1" x14ac:dyDescent="0.25"/>
    <row r="53104" customFormat="1" x14ac:dyDescent="0.25"/>
    <row r="53105" customFormat="1" x14ac:dyDescent="0.25"/>
    <row r="53106" customFormat="1" x14ac:dyDescent="0.25"/>
    <row r="53107" customFormat="1" x14ac:dyDescent="0.25"/>
    <row r="53108" customFormat="1" x14ac:dyDescent="0.25"/>
    <row r="53109" customFormat="1" x14ac:dyDescent="0.25"/>
    <row r="53110" customFormat="1" x14ac:dyDescent="0.25"/>
    <row r="53111" customFormat="1" x14ac:dyDescent="0.25"/>
    <row r="53112" customFormat="1" x14ac:dyDescent="0.25"/>
    <row r="53113" customFormat="1" x14ac:dyDescent="0.25"/>
    <row r="53114" customFormat="1" x14ac:dyDescent="0.25"/>
    <row r="53115" customFormat="1" x14ac:dyDescent="0.25"/>
    <row r="53116" customFormat="1" x14ac:dyDescent="0.25"/>
    <row r="53117" customFormat="1" x14ac:dyDescent="0.25"/>
    <row r="53118" customFormat="1" x14ac:dyDescent="0.25"/>
    <row r="53119" customFormat="1" x14ac:dyDescent="0.25"/>
    <row r="53120" customFormat="1" x14ac:dyDescent="0.25"/>
    <row r="53121" customFormat="1" x14ac:dyDescent="0.25"/>
    <row r="53122" customFormat="1" x14ac:dyDescent="0.25"/>
    <row r="53123" customFormat="1" x14ac:dyDescent="0.25"/>
    <row r="53124" customFormat="1" x14ac:dyDescent="0.25"/>
    <row r="53125" customFormat="1" x14ac:dyDescent="0.25"/>
    <row r="53126" customFormat="1" x14ac:dyDescent="0.25"/>
    <row r="53127" customFormat="1" x14ac:dyDescent="0.25"/>
    <row r="53128" customFormat="1" x14ac:dyDescent="0.25"/>
    <row r="53129" customFormat="1" x14ac:dyDescent="0.25"/>
    <row r="53130" customFormat="1" x14ac:dyDescent="0.25"/>
    <row r="53131" customFormat="1" x14ac:dyDescent="0.25"/>
    <row r="53132" customFormat="1" x14ac:dyDescent="0.25"/>
    <row r="53133" customFormat="1" x14ac:dyDescent="0.25"/>
    <row r="53134" customFormat="1" x14ac:dyDescent="0.25"/>
    <row r="53135" customFormat="1" x14ac:dyDescent="0.25"/>
    <row r="53136" customFormat="1" x14ac:dyDescent="0.25"/>
    <row r="53137" customFormat="1" x14ac:dyDescent="0.25"/>
    <row r="53138" customFormat="1" x14ac:dyDescent="0.25"/>
    <row r="53139" customFormat="1" x14ac:dyDescent="0.25"/>
    <row r="53140" customFormat="1" x14ac:dyDescent="0.25"/>
    <row r="53141" customFormat="1" x14ac:dyDescent="0.25"/>
    <row r="53142" customFormat="1" x14ac:dyDescent="0.25"/>
    <row r="53143" customFormat="1" x14ac:dyDescent="0.25"/>
    <row r="53144" customFormat="1" x14ac:dyDescent="0.25"/>
    <row r="53145" customFormat="1" x14ac:dyDescent="0.25"/>
    <row r="53146" customFormat="1" x14ac:dyDescent="0.25"/>
    <row r="53147" customFormat="1" x14ac:dyDescent="0.25"/>
    <row r="53148" customFormat="1" x14ac:dyDescent="0.25"/>
    <row r="53149" customFormat="1" x14ac:dyDescent="0.25"/>
    <row r="53150" customFormat="1" x14ac:dyDescent="0.25"/>
    <row r="53151" customFormat="1" x14ac:dyDescent="0.25"/>
    <row r="53152" customFormat="1" x14ac:dyDescent="0.25"/>
    <row r="53153" customFormat="1" x14ac:dyDescent="0.25"/>
    <row r="53154" customFormat="1" x14ac:dyDescent="0.25"/>
    <row r="53155" customFormat="1" x14ac:dyDescent="0.25"/>
    <row r="53156" customFormat="1" x14ac:dyDescent="0.25"/>
    <row r="53157" customFormat="1" x14ac:dyDescent="0.25"/>
    <row r="53158" customFormat="1" x14ac:dyDescent="0.25"/>
    <row r="53159" customFormat="1" x14ac:dyDescent="0.25"/>
    <row r="53160" customFormat="1" x14ac:dyDescent="0.25"/>
    <row r="53161" customFormat="1" x14ac:dyDescent="0.25"/>
    <row r="53162" customFormat="1" x14ac:dyDescent="0.25"/>
    <row r="53163" customFormat="1" x14ac:dyDescent="0.25"/>
    <row r="53164" customFormat="1" x14ac:dyDescent="0.25"/>
    <row r="53165" customFormat="1" x14ac:dyDescent="0.25"/>
    <row r="53166" customFormat="1" x14ac:dyDescent="0.25"/>
    <row r="53167" customFormat="1" x14ac:dyDescent="0.25"/>
    <row r="53168" customFormat="1" x14ac:dyDescent="0.25"/>
    <row r="53169" customFormat="1" x14ac:dyDescent="0.25"/>
    <row r="53170" customFormat="1" x14ac:dyDescent="0.25"/>
    <row r="53171" customFormat="1" x14ac:dyDescent="0.25"/>
    <row r="53172" customFormat="1" x14ac:dyDescent="0.25"/>
    <row r="53173" customFormat="1" x14ac:dyDescent="0.25"/>
    <row r="53174" customFormat="1" x14ac:dyDescent="0.25"/>
    <row r="53175" customFormat="1" x14ac:dyDescent="0.25"/>
    <row r="53176" customFormat="1" x14ac:dyDescent="0.25"/>
    <row r="53177" customFormat="1" x14ac:dyDescent="0.25"/>
    <row r="53178" customFormat="1" x14ac:dyDescent="0.25"/>
    <row r="53179" customFormat="1" x14ac:dyDescent="0.25"/>
    <row r="53180" customFormat="1" x14ac:dyDescent="0.25"/>
    <row r="53181" customFormat="1" x14ac:dyDescent="0.25"/>
    <row r="53182" customFormat="1" x14ac:dyDescent="0.25"/>
    <row r="53183" customFormat="1" x14ac:dyDescent="0.25"/>
    <row r="53184" customFormat="1" x14ac:dyDescent="0.25"/>
    <row r="53185" customFormat="1" x14ac:dyDescent="0.25"/>
    <row r="53186" customFormat="1" x14ac:dyDescent="0.25"/>
    <row r="53187" customFormat="1" x14ac:dyDescent="0.25"/>
    <row r="53188" customFormat="1" x14ac:dyDescent="0.25"/>
    <row r="53189" customFormat="1" x14ac:dyDescent="0.25"/>
    <row r="53190" customFormat="1" x14ac:dyDescent="0.25"/>
    <row r="53191" customFormat="1" x14ac:dyDescent="0.25"/>
    <row r="53192" customFormat="1" x14ac:dyDescent="0.25"/>
    <row r="53193" customFormat="1" x14ac:dyDescent="0.25"/>
    <row r="53194" customFormat="1" x14ac:dyDescent="0.25"/>
    <row r="53195" customFormat="1" x14ac:dyDescent="0.25"/>
    <row r="53196" customFormat="1" x14ac:dyDescent="0.25"/>
    <row r="53197" customFormat="1" x14ac:dyDescent="0.25"/>
    <row r="53198" customFormat="1" x14ac:dyDescent="0.25"/>
    <row r="53199" customFormat="1" x14ac:dyDescent="0.25"/>
    <row r="53200" customFormat="1" x14ac:dyDescent="0.25"/>
    <row r="53201" customFormat="1" x14ac:dyDescent="0.25"/>
    <row r="53202" customFormat="1" x14ac:dyDescent="0.25"/>
    <row r="53203" customFormat="1" x14ac:dyDescent="0.25"/>
    <row r="53204" customFormat="1" x14ac:dyDescent="0.25"/>
    <row r="53205" customFormat="1" x14ac:dyDescent="0.25"/>
    <row r="53206" customFormat="1" x14ac:dyDescent="0.25"/>
    <row r="53207" customFormat="1" x14ac:dyDescent="0.25"/>
    <row r="53208" customFormat="1" x14ac:dyDescent="0.25"/>
    <row r="53209" customFormat="1" x14ac:dyDescent="0.25"/>
    <row r="53210" customFormat="1" x14ac:dyDescent="0.25"/>
    <row r="53211" customFormat="1" x14ac:dyDescent="0.25"/>
    <row r="53212" customFormat="1" x14ac:dyDescent="0.25"/>
    <row r="53213" customFormat="1" x14ac:dyDescent="0.25"/>
    <row r="53214" customFormat="1" x14ac:dyDescent="0.25"/>
    <row r="53215" customFormat="1" x14ac:dyDescent="0.25"/>
    <row r="53216" customFormat="1" x14ac:dyDescent="0.25"/>
    <row r="53217" customFormat="1" x14ac:dyDescent="0.25"/>
    <row r="53218" customFormat="1" x14ac:dyDescent="0.25"/>
    <row r="53219" customFormat="1" x14ac:dyDescent="0.25"/>
    <row r="53220" customFormat="1" x14ac:dyDescent="0.25"/>
    <row r="53221" customFormat="1" x14ac:dyDescent="0.25"/>
    <row r="53222" customFormat="1" x14ac:dyDescent="0.25"/>
    <row r="53223" customFormat="1" x14ac:dyDescent="0.25"/>
    <row r="53224" customFormat="1" x14ac:dyDescent="0.25"/>
    <row r="53225" customFormat="1" x14ac:dyDescent="0.25"/>
    <row r="53226" customFormat="1" x14ac:dyDescent="0.25"/>
    <row r="53227" customFormat="1" x14ac:dyDescent="0.25"/>
    <row r="53228" customFormat="1" x14ac:dyDescent="0.25"/>
    <row r="53229" customFormat="1" x14ac:dyDescent="0.25"/>
    <row r="53230" customFormat="1" x14ac:dyDescent="0.25"/>
    <row r="53231" customFormat="1" x14ac:dyDescent="0.25"/>
    <row r="53232" customFormat="1" x14ac:dyDescent="0.25"/>
    <row r="53233" customFormat="1" x14ac:dyDescent="0.25"/>
    <row r="53234" customFormat="1" x14ac:dyDescent="0.25"/>
    <row r="53235" customFormat="1" x14ac:dyDescent="0.25"/>
    <row r="53236" customFormat="1" x14ac:dyDescent="0.25"/>
    <row r="53237" customFormat="1" x14ac:dyDescent="0.25"/>
    <row r="53238" customFormat="1" x14ac:dyDescent="0.25"/>
    <row r="53239" customFormat="1" x14ac:dyDescent="0.25"/>
    <row r="53240" customFormat="1" x14ac:dyDescent="0.25"/>
    <row r="53241" customFormat="1" x14ac:dyDescent="0.25"/>
    <row r="53242" customFormat="1" x14ac:dyDescent="0.25"/>
    <row r="53243" customFormat="1" x14ac:dyDescent="0.25"/>
    <row r="53244" customFormat="1" x14ac:dyDescent="0.25"/>
    <row r="53245" customFormat="1" x14ac:dyDescent="0.25"/>
    <row r="53246" customFormat="1" x14ac:dyDescent="0.25"/>
    <row r="53247" customFormat="1" x14ac:dyDescent="0.25"/>
    <row r="53248" customFormat="1" x14ac:dyDescent="0.25"/>
    <row r="53249" customFormat="1" x14ac:dyDescent="0.25"/>
    <row r="53250" customFormat="1" x14ac:dyDescent="0.25"/>
    <row r="53251" customFormat="1" x14ac:dyDescent="0.25"/>
    <row r="53252" customFormat="1" x14ac:dyDescent="0.25"/>
    <row r="53253" customFormat="1" x14ac:dyDescent="0.25"/>
    <row r="53254" customFormat="1" x14ac:dyDescent="0.25"/>
    <row r="53255" customFormat="1" x14ac:dyDescent="0.25"/>
    <row r="53256" customFormat="1" x14ac:dyDescent="0.25"/>
    <row r="53257" customFormat="1" x14ac:dyDescent="0.25"/>
    <row r="53258" customFormat="1" x14ac:dyDescent="0.25"/>
    <row r="53259" customFormat="1" x14ac:dyDescent="0.25"/>
    <row r="53260" customFormat="1" x14ac:dyDescent="0.25"/>
    <row r="53261" customFormat="1" x14ac:dyDescent="0.25"/>
    <row r="53262" customFormat="1" x14ac:dyDescent="0.25"/>
    <row r="53263" customFormat="1" x14ac:dyDescent="0.25"/>
    <row r="53264" customFormat="1" x14ac:dyDescent="0.25"/>
    <row r="53265" customFormat="1" x14ac:dyDescent="0.25"/>
    <row r="53266" customFormat="1" x14ac:dyDescent="0.25"/>
    <row r="53267" customFormat="1" x14ac:dyDescent="0.25"/>
    <row r="53268" customFormat="1" x14ac:dyDescent="0.25"/>
    <row r="53269" customFormat="1" x14ac:dyDescent="0.25"/>
    <row r="53270" customFormat="1" x14ac:dyDescent="0.25"/>
    <row r="53271" customFormat="1" x14ac:dyDescent="0.25"/>
    <row r="53272" customFormat="1" x14ac:dyDescent="0.25"/>
    <row r="53273" customFormat="1" x14ac:dyDescent="0.25"/>
    <row r="53274" customFormat="1" x14ac:dyDescent="0.25"/>
    <row r="53275" customFormat="1" x14ac:dyDescent="0.25"/>
    <row r="53276" customFormat="1" x14ac:dyDescent="0.25"/>
    <row r="53277" customFormat="1" x14ac:dyDescent="0.25"/>
    <row r="53278" customFormat="1" x14ac:dyDescent="0.25"/>
    <row r="53279" customFormat="1" x14ac:dyDescent="0.25"/>
    <row r="53280" customFormat="1" x14ac:dyDescent="0.25"/>
    <row r="53281" customFormat="1" x14ac:dyDescent="0.25"/>
    <row r="53282" customFormat="1" x14ac:dyDescent="0.25"/>
    <row r="53283" customFormat="1" x14ac:dyDescent="0.25"/>
    <row r="53284" customFormat="1" x14ac:dyDescent="0.25"/>
    <row r="53285" customFormat="1" x14ac:dyDescent="0.25"/>
    <row r="53286" customFormat="1" x14ac:dyDescent="0.25"/>
    <row r="53287" customFormat="1" x14ac:dyDescent="0.25"/>
    <row r="53288" customFormat="1" x14ac:dyDescent="0.25"/>
    <row r="53289" customFormat="1" x14ac:dyDescent="0.25"/>
    <row r="53290" customFormat="1" x14ac:dyDescent="0.25"/>
    <row r="53291" customFormat="1" x14ac:dyDescent="0.25"/>
    <row r="53292" customFormat="1" x14ac:dyDescent="0.25"/>
    <row r="53293" customFormat="1" x14ac:dyDescent="0.25"/>
    <row r="53294" customFormat="1" x14ac:dyDescent="0.25"/>
    <row r="53295" customFormat="1" x14ac:dyDescent="0.25"/>
    <row r="53296" customFormat="1" x14ac:dyDescent="0.25"/>
    <row r="53297" customFormat="1" x14ac:dyDescent="0.25"/>
    <row r="53298" customFormat="1" x14ac:dyDescent="0.25"/>
    <row r="53299" customFormat="1" x14ac:dyDescent="0.25"/>
    <row r="53300" customFormat="1" x14ac:dyDescent="0.25"/>
    <row r="53301" customFormat="1" x14ac:dyDescent="0.25"/>
    <row r="53302" customFormat="1" x14ac:dyDescent="0.25"/>
    <row r="53303" customFormat="1" x14ac:dyDescent="0.25"/>
    <row r="53304" customFormat="1" x14ac:dyDescent="0.25"/>
    <row r="53305" customFormat="1" x14ac:dyDescent="0.25"/>
    <row r="53306" customFormat="1" x14ac:dyDescent="0.25"/>
    <row r="53307" customFormat="1" x14ac:dyDescent="0.25"/>
    <row r="53308" customFormat="1" x14ac:dyDescent="0.25"/>
    <row r="53309" customFormat="1" x14ac:dyDescent="0.25"/>
    <row r="53310" customFormat="1" x14ac:dyDescent="0.25"/>
    <row r="53311" customFormat="1" x14ac:dyDescent="0.25"/>
    <row r="53312" customFormat="1" x14ac:dyDescent="0.25"/>
    <row r="53313" customFormat="1" x14ac:dyDescent="0.25"/>
    <row r="53314" customFormat="1" x14ac:dyDescent="0.25"/>
    <row r="53315" customFormat="1" x14ac:dyDescent="0.25"/>
    <row r="53316" customFormat="1" x14ac:dyDescent="0.25"/>
    <row r="53317" customFormat="1" x14ac:dyDescent="0.25"/>
    <row r="53318" customFormat="1" x14ac:dyDescent="0.25"/>
    <row r="53319" customFormat="1" x14ac:dyDescent="0.25"/>
    <row r="53320" customFormat="1" x14ac:dyDescent="0.25"/>
    <row r="53321" customFormat="1" x14ac:dyDescent="0.25"/>
    <row r="53322" customFormat="1" x14ac:dyDescent="0.25"/>
    <row r="53323" customFormat="1" x14ac:dyDescent="0.25"/>
    <row r="53324" customFormat="1" x14ac:dyDescent="0.25"/>
    <row r="53325" customFormat="1" x14ac:dyDescent="0.25"/>
    <row r="53326" customFormat="1" x14ac:dyDescent="0.25"/>
    <row r="53327" customFormat="1" x14ac:dyDescent="0.25"/>
    <row r="53328" customFormat="1" x14ac:dyDescent="0.25"/>
    <row r="53329" customFormat="1" x14ac:dyDescent="0.25"/>
    <row r="53330" customFormat="1" x14ac:dyDescent="0.25"/>
    <row r="53331" customFormat="1" x14ac:dyDescent="0.25"/>
    <row r="53332" customFormat="1" x14ac:dyDescent="0.25"/>
    <row r="53333" customFormat="1" x14ac:dyDescent="0.25"/>
    <row r="53334" customFormat="1" x14ac:dyDescent="0.25"/>
    <row r="53335" customFormat="1" x14ac:dyDescent="0.25"/>
    <row r="53336" customFormat="1" x14ac:dyDescent="0.25"/>
    <row r="53337" customFormat="1" x14ac:dyDescent="0.25"/>
    <row r="53338" customFormat="1" x14ac:dyDescent="0.25"/>
    <row r="53339" customFormat="1" x14ac:dyDescent="0.25"/>
    <row r="53340" customFormat="1" x14ac:dyDescent="0.25"/>
    <row r="53341" customFormat="1" x14ac:dyDescent="0.25"/>
    <row r="53342" customFormat="1" x14ac:dyDescent="0.25"/>
    <row r="53343" customFormat="1" x14ac:dyDescent="0.25"/>
    <row r="53344" customFormat="1" x14ac:dyDescent="0.25"/>
    <row r="53345" customFormat="1" x14ac:dyDescent="0.25"/>
    <row r="53346" customFormat="1" x14ac:dyDescent="0.25"/>
    <row r="53347" customFormat="1" x14ac:dyDescent="0.25"/>
    <row r="53348" customFormat="1" x14ac:dyDescent="0.25"/>
    <row r="53349" customFormat="1" x14ac:dyDescent="0.25"/>
    <row r="53350" customFormat="1" x14ac:dyDescent="0.25"/>
    <row r="53351" customFormat="1" x14ac:dyDescent="0.25"/>
    <row r="53352" customFormat="1" x14ac:dyDescent="0.25"/>
    <row r="53353" customFormat="1" x14ac:dyDescent="0.25"/>
    <row r="53354" customFormat="1" x14ac:dyDescent="0.25"/>
    <row r="53355" customFormat="1" x14ac:dyDescent="0.25"/>
    <row r="53356" customFormat="1" x14ac:dyDescent="0.25"/>
    <row r="53357" customFormat="1" x14ac:dyDescent="0.25"/>
    <row r="53358" customFormat="1" x14ac:dyDescent="0.25"/>
    <row r="53359" customFormat="1" x14ac:dyDescent="0.25"/>
    <row r="53360" customFormat="1" x14ac:dyDescent="0.25"/>
    <row r="53361" customFormat="1" x14ac:dyDescent="0.25"/>
    <row r="53362" customFormat="1" x14ac:dyDescent="0.25"/>
    <row r="53363" customFormat="1" x14ac:dyDescent="0.25"/>
    <row r="53364" customFormat="1" x14ac:dyDescent="0.25"/>
    <row r="53365" customFormat="1" x14ac:dyDescent="0.25"/>
    <row r="53366" customFormat="1" x14ac:dyDescent="0.25"/>
    <row r="53367" customFormat="1" x14ac:dyDescent="0.25"/>
    <row r="53368" customFormat="1" x14ac:dyDescent="0.25"/>
    <row r="53369" customFormat="1" x14ac:dyDescent="0.25"/>
    <row r="53370" customFormat="1" x14ac:dyDescent="0.25"/>
    <row r="53371" customFormat="1" x14ac:dyDescent="0.25"/>
    <row r="53372" customFormat="1" x14ac:dyDescent="0.25"/>
    <row r="53373" customFormat="1" x14ac:dyDescent="0.25"/>
    <row r="53374" customFormat="1" x14ac:dyDescent="0.25"/>
    <row r="53375" customFormat="1" x14ac:dyDescent="0.25"/>
    <row r="53376" customFormat="1" x14ac:dyDescent="0.25"/>
    <row r="53377" customFormat="1" x14ac:dyDescent="0.25"/>
    <row r="53378" customFormat="1" x14ac:dyDescent="0.25"/>
    <row r="53379" customFormat="1" x14ac:dyDescent="0.25"/>
    <row r="53380" customFormat="1" x14ac:dyDescent="0.25"/>
    <row r="53381" customFormat="1" x14ac:dyDescent="0.25"/>
    <row r="53382" customFormat="1" x14ac:dyDescent="0.25"/>
    <row r="53383" customFormat="1" x14ac:dyDescent="0.25"/>
    <row r="53384" customFormat="1" x14ac:dyDescent="0.25"/>
    <row r="53385" customFormat="1" x14ac:dyDescent="0.25"/>
    <row r="53386" customFormat="1" x14ac:dyDescent="0.25"/>
    <row r="53387" customFormat="1" x14ac:dyDescent="0.25"/>
    <row r="53388" customFormat="1" x14ac:dyDescent="0.25"/>
    <row r="53389" customFormat="1" x14ac:dyDescent="0.25"/>
    <row r="53390" customFormat="1" x14ac:dyDescent="0.25"/>
    <row r="53391" customFormat="1" x14ac:dyDescent="0.25"/>
    <row r="53392" customFormat="1" x14ac:dyDescent="0.25"/>
    <row r="53393" customFormat="1" x14ac:dyDescent="0.25"/>
    <row r="53394" customFormat="1" x14ac:dyDescent="0.25"/>
    <row r="53395" customFormat="1" x14ac:dyDescent="0.25"/>
    <row r="53396" customFormat="1" x14ac:dyDescent="0.25"/>
    <row r="53397" customFormat="1" x14ac:dyDescent="0.25"/>
    <row r="53398" customFormat="1" x14ac:dyDescent="0.25"/>
    <row r="53399" customFormat="1" x14ac:dyDescent="0.25"/>
    <row r="53400" customFormat="1" x14ac:dyDescent="0.25"/>
    <row r="53401" customFormat="1" x14ac:dyDescent="0.25"/>
    <row r="53402" customFormat="1" x14ac:dyDescent="0.25"/>
    <row r="53403" customFormat="1" x14ac:dyDescent="0.25"/>
    <row r="53404" customFormat="1" x14ac:dyDescent="0.25"/>
    <row r="53405" customFormat="1" x14ac:dyDescent="0.25"/>
    <row r="53406" customFormat="1" x14ac:dyDescent="0.25"/>
    <row r="53407" customFormat="1" x14ac:dyDescent="0.25"/>
    <row r="53408" customFormat="1" x14ac:dyDescent="0.25"/>
    <row r="53409" customFormat="1" x14ac:dyDescent="0.25"/>
    <row r="53410" customFormat="1" x14ac:dyDescent="0.25"/>
    <row r="53411" customFormat="1" x14ac:dyDescent="0.25"/>
    <row r="53412" customFormat="1" x14ac:dyDescent="0.25"/>
    <row r="53413" customFormat="1" x14ac:dyDescent="0.25"/>
    <row r="53414" customFormat="1" x14ac:dyDescent="0.25"/>
    <row r="53415" customFormat="1" x14ac:dyDescent="0.25"/>
    <row r="53416" customFormat="1" x14ac:dyDescent="0.25"/>
    <row r="53417" customFormat="1" x14ac:dyDescent="0.25"/>
    <row r="53418" customFormat="1" x14ac:dyDescent="0.25"/>
    <row r="53419" customFormat="1" x14ac:dyDescent="0.25"/>
    <row r="53420" customFormat="1" x14ac:dyDescent="0.25"/>
    <row r="53421" customFormat="1" x14ac:dyDescent="0.25"/>
    <row r="53422" customFormat="1" x14ac:dyDescent="0.25"/>
    <row r="53423" customFormat="1" x14ac:dyDescent="0.25"/>
    <row r="53424" customFormat="1" x14ac:dyDescent="0.25"/>
    <row r="53425" customFormat="1" x14ac:dyDescent="0.25"/>
    <row r="53426" customFormat="1" x14ac:dyDescent="0.25"/>
    <row r="53427" customFormat="1" x14ac:dyDescent="0.25"/>
    <row r="53428" customFormat="1" x14ac:dyDescent="0.25"/>
    <row r="53429" customFormat="1" x14ac:dyDescent="0.25"/>
    <row r="53430" customFormat="1" x14ac:dyDescent="0.25"/>
    <row r="53431" customFormat="1" x14ac:dyDescent="0.25"/>
    <row r="53432" customFormat="1" x14ac:dyDescent="0.25"/>
    <row r="53433" customFormat="1" x14ac:dyDescent="0.25"/>
    <row r="53434" customFormat="1" x14ac:dyDescent="0.25"/>
    <row r="53435" customFormat="1" x14ac:dyDescent="0.25"/>
    <row r="53436" customFormat="1" x14ac:dyDescent="0.25"/>
    <row r="53437" customFormat="1" x14ac:dyDescent="0.25"/>
    <row r="53438" customFormat="1" x14ac:dyDescent="0.25"/>
    <row r="53439" customFormat="1" x14ac:dyDescent="0.25"/>
    <row r="53440" customFormat="1" x14ac:dyDescent="0.25"/>
    <row r="53441" customFormat="1" x14ac:dyDescent="0.25"/>
    <row r="53442" customFormat="1" x14ac:dyDescent="0.25"/>
    <row r="53443" customFormat="1" x14ac:dyDescent="0.25"/>
    <row r="53444" customFormat="1" x14ac:dyDescent="0.25"/>
    <row r="53445" customFormat="1" x14ac:dyDescent="0.25"/>
    <row r="53446" customFormat="1" x14ac:dyDescent="0.25"/>
    <row r="53447" customFormat="1" x14ac:dyDescent="0.25"/>
    <row r="53448" customFormat="1" x14ac:dyDescent="0.25"/>
    <row r="53449" customFormat="1" x14ac:dyDescent="0.25"/>
    <row r="53450" customFormat="1" x14ac:dyDescent="0.25"/>
    <row r="53451" customFormat="1" x14ac:dyDescent="0.25"/>
    <row r="53452" customFormat="1" x14ac:dyDescent="0.25"/>
    <row r="53453" customFormat="1" x14ac:dyDescent="0.25"/>
    <row r="53454" customFormat="1" x14ac:dyDescent="0.25"/>
    <row r="53455" customFormat="1" x14ac:dyDescent="0.25"/>
    <row r="53456" customFormat="1" x14ac:dyDescent="0.25"/>
    <row r="53457" customFormat="1" x14ac:dyDescent="0.25"/>
    <row r="53458" customFormat="1" x14ac:dyDescent="0.25"/>
    <row r="53459" customFormat="1" x14ac:dyDescent="0.25"/>
    <row r="53460" customFormat="1" x14ac:dyDescent="0.25"/>
    <row r="53461" customFormat="1" x14ac:dyDescent="0.25"/>
    <row r="53462" customFormat="1" x14ac:dyDescent="0.25"/>
    <row r="53463" customFormat="1" x14ac:dyDescent="0.25"/>
    <row r="53464" customFormat="1" x14ac:dyDescent="0.25"/>
    <row r="53465" customFormat="1" x14ac:dyDescent="0.25"/>
    <row r="53466" customFormat="1" x14ac:dyDescent="0.25"/>
    <row r="53467" customFormat="1" x14ac:dyDescent="0.25"/>
    <row r="53468" customFormat="1" x14ac:dyDescent="0.25"/>
    <row r="53469" customFormat="1" x14ac:dyDescent="0.25"/>
    <row r="53470" customFormat="1" x14ac:dyDescent="0.25"/>
    <row r="53471" customFormat="1" x14ac:dyDescent="0.25"/>
    <row r="53472" customFormat="1" x14ac:dyDescent="0.25"/>
    <row r="53473" customFormat="1" x14ac:dyDescent="0.25"/>
    <row r="53474" customFormat="1" x14ac:dyDescent="0.25"/>
    <row r="53475" customFormat="1" x14ac:dyDescent="0.25"/>
    <row r="53476" customFormat="1" x14ac:dyDescent="0.25"/>
    <row r="53477" customFormat="1" x14ac:dyDescent="0.25"/>
    <row r="53478" customFormat="1" x14ac:dyDescent="0.25"/>
    <row r="53479" customFormat="1" x14ac:dyDescent="0.25"/>
    <row r="53480" customFormat="1" x14ac:dyDescent="0.25"/>
    <row r="53481" customFormat="1" x14ac:dyDescent="0.25"/>
    <row r="53482" customFormat="1" x14ac:dyDescent="0.25"/>
    <row r="53483" customFormat="1" x14ac:dyDescent="0.25"/>
    <row r="53484" customFormat="1" x14ac:dyDescent="0.25"/>
    <row r="53485" customFormat="1" x14ac:dyDescent="0.25"/>
    <row r="53486" customFormat="1" x14ac:dyDescent="0.25"/>
    <row r="53487" customFormat="1" x14ac:dyDescent="0.25"/>
    <row r="53488" customFormat="1" x14ac:dyDescent="0.25"/>
    <row r="53489" customFormat="1" x14ac:dyDescent="0.25"/>
    <row r="53490" customFormat="1" x14ac:dyDescent="0.25"/>
    <row r="53491" customFormat="1" x14ac:dyDescent="0.25"/>
    <row r="53492" customFormat="1" x14ac:dyDescent="0.25"/>
    <row r="53493" customFormat="1" x14ac:dyDescent="0.25"/>
    <row r="53494" customFormat="1" x14ac:dyDescent="0.25"/>
    <row r="53495" customFormat="1" x14ac:dyDescent="0.25"/>
    <row r="53496" customFormat="1" x14ac:dyDescent="0.25"/>
    <row r="53497" customFormat="1" x14ac:dyDescent="0.25"/>
    <row r="53498" customFormat="1" x14ac:dyDescent="0.25"/>
    <row r="53499" customFormat="1" x14ac:dyDescent="0.25"/>
    <row r="53500" customFormat="1" x14ac:dyDescent="0.25"/>
    <row r="53501" customFormat="1" x14ac:dyDescent="0.25"/>
    <row r="53502" customFormat="1" x14ac:dyDescent="0.25"/>
    <row r="53503" customFormat="1" x14ac:dyDescent="0.25"/>
    <row r="53504" customFormat="1" x14ac:dyDescent="0.25"/>
    <row r="53505" customFormat="1" x14ac:dyDescent="0.25"/>
    <row r="53506" customFormat="1" x14ac:dyDescent="0.25"/>
    <row r="53507" customFormat="1" x14ac:dyDescent="0.25"/>
    <row r="53508" customFormat="1" x14ac:dyDescent="0.25"/>
    <row r="53509" customFormat="1" x14ac:dyDescent="0.25"/>
    <row r="53510" customFormat="1" x14ac:dyDescent="0.25"/>
    <row r="53511" customFormat="1" x14ac:dyDescent="0.25"/>
    <row r="53512" customFormat="1" x14ac:dyDescent="0.25"/>
    <row r="53513" customFormat="1" x14ac:dyDescent="0.25"/>
    <row r="53514" customFormat="1" x14ac:dyDescent="0.25"/>
    <row r="53515" customFormat="1" x14ac:dyDescent="0.25"/>
    <row r="53516" customFormat="1" x14ac:dyDescent="0.25"/>
    <row r="53517" customFormat="1" x14ac:dyDescent="0.25"/>
    <row r="53518" customFormat="1" x14ac:dyDescent="0.25"/>
    <row r="53519" customFormat="1" x14ac:dyDescent="0.25"/>
    <row r="53520" customFormat="1" x14ac:dyDescent="0.25"/>
    <row r="53521" customFormat="1" x14ac:dyDescent="0.25"/>
    <row r="53522" customFormat="1" x14ac:dyDescent="0.25"/>
    <row r="53523" customFormat="1" x14ac:dyDescent="0.25"/>
    <row r="53524" customFormat="1" x14ac:dyDescent="0.25"/>
    <row r="53525" customFormat="1" x14ac:dyDescent="0.25"/>
    <row r="53526" customFormat="1" x14ac:dyDescent="0.25"/>
    <row r="53527" customFormat="1" x14ac:dyDescent="0.25"/>
    <row r="53528" customFormat="1" x14ac:dyDescent="0.25"/>
    <row r="53529" customFormat="1" x14ac:dyDescent="0.25"/>
    <row r="53530" customFormat="1" x14ac:dyDescent="0.25"/>
    <row r="53531" customFormat="1" x14ac:dyDescent="0.25"/>
    <row r="53532" customFormat="1" x14ac:dyDescent="0.25"/>
    <row r="53533" customFormat="1" x14ac:dyDescent="0.25"/>
    <row r="53534" customFormat="1" x14ac:dyDescent="0.25"/>
    <row r="53535" customFormat="1" x14ac:dyDescent="0.25"/>
    <row r="53536" customFormat="1" x14ac:dyDescent="0.25"/>
    <row r="53537" customFormat="1" x14ac:dyDescent="0.25"/>
    <row r="53538" customFormat="1" x14ac:dyDescent="0.25"/>
    <row r="53539" customFormat="1" x14ac:dyDescent="0.25"/>
    <row r="53540" customFormat="1" x14ac:dyDescent="0.25"/>
    <row r="53541" customFormat="1" x14ac:dyDescent="0.25"/>
    <row r="53542" customFormat="1" x14ac:dyDescent="0.25"/>
    <row r="53543" customFormat="1" x14ac:dyDescent="0.25"/>
    <row r="53544" customFormat="1" x14ac:dyDescent="0.25"/>
    <row r="53545" customFormat="1" x14ac:dyDescent="0.25"/>
    <row r="53546" customFormat="1" x14ac:dyDescent="0.25"/>
    <row r="53547" customFormat="1" x14ac:dyDescent="0.25"/>
    <row r="53548" customFormat="1" x14ac:dyDescent="0.25"/>
    <row r="53549" customFormat="1" x14ac:dyDescent="0.25"/>
    <row r="53550" customFormat="1" x14ac:dyDescent="0.25"/>
    <row r="53551" customFormat="1" x14ac:dyDescent="0.25"/>
    <row r="53552" customFormat="1" x14ac:dyDescent="0.25"/>
    <row r="53553" customFormat="1" x14ac:dyDescent="0.25"/>
    <row r="53554" customFormat="1" x14ac:dyDescent="0.25"/>
    <row r="53555" customFormat="1" x14ac:dyDescent="0.25"/>
    <row r="53556" customFormat="1" x14ac:dyDescent="0.25"/>
    <row r="53557" customFormat="1" x14ac:dyDescent="0.25"/>
    <row r="53558" customFormat="1" x14ac:dyDescent="0.25"/>
    <row r="53559" customFormat="1" x14ac:dyDescent="0.25"/>
    <row r="53560" customFormat="1" x14ac:dyDescent="0.25"/>
    <row r="53561" customFormat="1" x14ac:dyDescent="0.25"/>
    <row r="53562" customFormat="1" x14ac:dyDescent="0.25"/>
    <row r="53563" customFormat="1" x14ac:dyDescent="0.25"/>
    <row r="53564" customFormat="1" x14ac:dyDescent="0.25"/>
    <row r="53565" customFormat="1" x14ac:dyDescent="0.25"/>
    <row r="53566" customFormat="1" x14ac:dyDescent="0.25"/>
    <row r="53567" customFormat="1" x14ac:dyDescent="0.25"/>
    <row r="53568" customFormat="1" x14ac:dyDescent="0.25"/>
    <row r="53569" customFormat="1" x14ac:dyDescent="0.25"/>
    <row r="53570" customFormat="1" x14ac:dyDescent="0.25"/>
    <row r="53571" customFormat="1" x14ac:dyDescent="0.25"/>
    <row r="53572" customFormat="1" x14ac:dyDescent="0.25"/>
    <row r="53573" customFormat="1" x14ac:dyDescent="0.25"/>
    <row r="53574" customFormat="1" x14ac:dyDescent="0.25"/>
    <row r="53575" customFormat="1" x14ac:dyDescent="0.25"/>
    <row r="53576" customFormat="1" x14ac:dyDescent="0.25"/>
    <row r="53577" customFormat="1" x14ac:dyDescent="0.25"/>
    <row r="53578" customFormat="1" x14ac:dyDescent="0.25"/>
    <row r="53579" customFormat="1" x14ac:dyDescent="0.25"/>
    <row r="53580" customFormat="1" x14ac:dyDescent="0.25"/>
    <row r="53581" customFormat="1" x14ac:dyDescent="0.25"/>
    <row r="53582" customFormat="1" x14ac:dyDescent="0.25"/>
    <row r="53583" customFormat="1" x14ac:dyDescent="0.25"/>
    <row r="53584" customFormat="1" x14ac:dyDescent="0.25"/>
    <row r="53585" customFormat="1" x14ac:dyDescent="0.25"/>
    <row r="53586" customFormat="1" x14ac:dyDescent="0.25"/>
    <row r="53587" customFormat="1" x14ac:dyDescent="0.25"/>
    <row r="53588" customFormat="1" x14ac:dyDescent="0.25"/>
    <row r="53589" customFormat="1" x14ac:dyDescent="0.25"/>
    <row r="53590" customFormat="1" x14ac:dyDescent="0.25"/>
    <row r="53591" customFormat="1" x14ac:dyDescent="0.25"/>
    <row r="53592" customFormat="1" x14ac:dyDescent="0.25"/>
    <row r="53593" customFormat="1" x14ac:dyDescent="0.25"/>
    <row r="53594" customFormat="1" x14ac:dyDescent="0.25"/>
    <row r="53595" customFormat="1" x14ac:dyDescent="0.25"/>
    <row r="53596" customFormat="1" x14ac:dyDescent="0.25"/>
    <row r="53597" customFormat="1" x14ac:dyDescent="0.25"/>
    <row r="53598" customFormat="1" x14ac:dyDescent="0.25"/>
    <row r="53599" customFormat="1" x14ac:dyDescent="0.25"/>
    <row r="53600" customFormat="1" x14ac:dyDescent="0.25"/>
    <row r="53601" customFormat="1" x14ac:dyDescent="0.25"/>
    <row r="53602" customFormat="1" x14ac:dyDescent="0.25"/>
    <row r="53603" customFormat="1" x14ac:dyDescent="0.25"/>
    <row r="53604" customFormat="1" x14ac:dyDescent="0.25"/>
    <row r="53605" customFormat="1" x14ac:dyDescent="0.25"/>
    <row r="53606" customFormat="1" x14ac:dyDescent="0.25"/>
    <row r="53607" customFormat="1" x14ac:dyDescent="0.25"/>
    <row r="53608" customFormat="1" x14ac:dyDescent="0.25"/>
    <row r="53609" customFormat="1" x14ac:dyDescent="0.25"/>
    <row r="53610" customFormat="1" x14ac:dyDescent="0.25"/>
    <row r="53611" customFormat="1" x14ac:dyDescent="0.25"/>
    <row r="53612" customFormat="1" x14ac:dyDescent="0.25"/>
    <row r="53613" customFormat="1" x14ac:dyDescent="0.25"/>
    <row r="53614" customFormat="1" x14ac:dyDescent="0.25"/>
    <row r="53615" customFormat="1" x14ac:dyDescent="0.25"/>
    <row r="53616" customFormat="1" x14ac:dyDescent="0.25"/>
    <row r="53617" customFormat="1" x14ac:dyDescent="0.25"/>
    <row r="53618" customFormat="1" x14ac:dyDescent="0.25"/>
    <row r="53619" customFormat="1" x14ac:dyDescent="0.25"/>
    <row r="53620" customFormat="1" x14ac:dyDescent="0.25"/>
    <row r="53621" customFormat="1" x14ac:dyDescent="0.25"/>
    <row r="53622" customFormat="1" x14ac:dyDescent="0.25"/>
    <row r="53623" customFormat="1" x14ac:dyDescent="0.25"/>
    <row r="53624" customFormat="1" x14ac:dyDescent="0.25"/>
    <row r="53625" customFormat="1" x14ac:dyDescent="0.25"/>
    <row r="53626" customFormat="1" x14ac:dyDescent="0.25"/>
    <row r="53627" customFormat="1" x14ac:dyDescent="0.25"/>
    <row r="53628" customFormat="1" x14ac:dyDescent="0.25"/>
    <row r="53629" customFormat="1" x14ac:dyDescent="0.25"/>
    <row r="53630" customFormat="1" x14ac:dyDescent="0.25"/>
    <row r="53631" customFormat="1" x14ac:dyDescent="0.25"/>
    <row r="53632" customFormat="1" x14ac:dyDescent="0.25"/>
    <row r="53633" customFormat="1" x14ac:dyDescent="0.25"/>
    <row r="53634" customFormat="1" x14ac:dyDescent="0.25"/>
    <row r="53635" customFormat="1" x14ac:dyDescent="0.25"/>
    <row r="53636" customFormat="1" x14ac:dyDescent="0.25"/>
    <row r="53637" customFormat="1" x14ac:dyDescent="0.25"/>
    <row r="53638" customFormat="1" x14ac:dyDescent="0.25"/>
    <row r="53639" customFormat="1" x14ac:dyDescent="0.25"/>
    <row r="53640" customFormat="1" x14ac:dyDescent="0.25"/>
    <row r="53641" customFormat="1" x14ac:dyDescent="0.25"/>
    <row r="53642" customFormat="1" x14ac:dyDescent="0.25"/>
    <row r="53643" customFormat="1" x14ac:dyDescent="0.25"/>
    <row r="53644" customFormat="1" x14ac:dyDescent="0.25"/>
    <row r="53645" customFormat="1" x14ac:dyDescent="0.25"/>
    <row r="53646" customFormat="1" x14ac:dyDescent="0.25"/>
    <row r="53647" customFormat="1" x14ac:dyDescent="0.25"/>
    <row r="53648" customFormat="1" x14ac:dyDescent="0.25"/>
    <row r="53649" customFormat="1" x14ac:dyDescent="0.25"/>
    <row r="53650" customFormat="1" x14ac:dyDescent="0.25"/>
    <row r="53651" customFormat="1" x14ac:dyDescent="0.25"/>
    <row r="53652" customFormat="1" x14ac:dyDescent="0.25"/>
    <row r="53653" customFormat="1" x14ac:dyDescent="0.25"/>
    <row r="53654" customFormat="1" x14ac:dyDescent="0.25"/>
    <row r="53655" customFormat="1" x14ac:dyDescent="0.25"/>
    <row r="53656" customFormat="1" x14ac:dyDescent="0.25"/>
    <row r="53657" customFormat="1" x14ac:dyDescent="0.25"/>
    <row r="53658" customFormat="1" x14ac:dyDescent="0.25"/>
    <row r="53659" customFormat="1" x14ac:dyDescent="0.25"/>
    <row r="53660" customFormat="1" x14ac:dyDescent="0.25"/>
    <row r="53661" customFormat="1" x14ac:dyDescent="0.25"/>
    <row r="53662" customFormat="1" x14ac:dyDescent="0.25"/>
    <row r="53663" customFormat="1" x14ac:dyDescent="0.25"/>
    <row r="53664" customFormat="1" x14ac:dyDescent="0.25"/>
    <row r="53665" customFormat="1" x14ac:dyDescent="0.25"/>
    <row r="53666" customFormat="1" x14ac:dyDescent="0.25"/>
    <row r="53667" customFormat="1" x14ac:dyDescent="0.25"/>
    <row r="53668" customFormat="1" x14ac:dyDescent="0.25"/>
    <row r="53669" customFormat="1" x14ac:dyDescent="0.25"/>
    <row r="53670" customFormat="1" x14ac:dyDescent="0.25"/>
    <row r="53671" customFormat="1" x14ac:dyDescent="0.25"/>
    <row r="53672" customFormat="1" x14ac:dyDescent="0.25"/>
    <row r="53673" customFormat="1" x14ac:dyDescent="0.25"/>
    <row r="53674" customFormat="1" x14ac:dyDescent="0.25"/>
    <row r="53675" customFormat="1" x14ac:dyDescent="0.25"/>
    <row r="53676" customFormat="1" x14ac:dyDescent="0.25"/>
    <row r="53677" customFormat="1" x14ac:dyDescent="0.25"/>
    <row r="53678" customFormat="1" x14ac:dyDescent="0.25"/>
    <row r="53679" customFormat="1" x14ac:dyDescent="0.25"/>
    <row r="53680" customFormat="1" x14ac:dyDescent="0.25"/>
    <row r="53681" customFormat="1" x14ac:dyDescent="0.25"/>
    <row r="53682" customFormat="1" x14ac:dyDescent="0.25"/>
    <row r="53683" customFormat="1" x14ac:dyDescent="0.25"/>
    <row r="53684" customFormat="1" x14ac:dyDescent="0.25"/>
    <row r="53685" customFormat="1" x14ac:dyDescent="0.25"/>
    <row r="53686" customFormat="1" x14ac:dyDescent="0.25"/>
    <row r="53687" customFormat="1" x14ac:dyDescent="0.25"/>
    <row r="53688" customFormat="1" x14ac:dyDescent="0.25"/>
    <row r="53689" customFormat="1" x14ac:dyDescent="0.25"/>
    <row r="53690" customFormat="1" x14ac:dyDescent="0.25"/>
    <row r="53691" customFormat="1" x14ac:dyDescent="0.25"/>
    <row r="53692" customFormat="1" x14ac:dyDescent="0.25"/>
    <row r="53693" customFormat="1" x14ac:dyDescent="0.25"/>
    <row r="53694" customFormat="1" x14ac:dyDescent="0.25"/>
    <row r="53695" customFormat="1" x14ac:dyDescent="0.25"/>
    <row r="53696" customFormat="1" x14ac:dyDescent="0.25"/>
    <row r="53697" customFormat="1" x14ac:dyDescent="0.25"/>
    <row r="53698" customFormat="1" x14ac:dyDescent="0.25"/>
    <row r="53699" customFormat="1" x14ac:dyDescent="0.25"/>
    <row r="53700" customFormat="1" x14ac:dyDescent="0.25"/>
    <row r="53701" customFormat="1" x14ac:dyDescent="0.25"/>
    <row r="53702" customFormat="1" x14ac:dyDescent="0.25"/>
    <row r="53703" customFormat="1" x14ac:dyDescent="0.25"/>
    <row r="53704" customFormat="1" x14ac:dyDescent="0.25"/>
    <row r="53705" customFormat="1" x14ac:dyDescent="0.25"/>
    <row r="53706" customFormat="1" x14ac:dyDescent="0.25"/>
    <row r="53707" customFormat="1" x14ac:dyDescent="0.25"/>
    <row r="53708" customFormat="1" x14ac:dyDescent="0.25"/>
    <row r="53709" customFormat="1" x14ac:dyDescent="0.25"/>
    <row r="53710" customFormat="1" x14ac:dyDescent="0.25"/>
    <row r="53711" customFormat="1" x14ac:dyDescent="0.25"/>
    <row r="53712" customFormat="1" x14ac:dyDescent="0.25"/>
    <row r="53713" customFormat="1" x14ac:dyDescent="0.25"/>
    <row r="53714" customFormat="1" x14ac:dyDescent="0.25"/>
    <row r="53715" customFormat="1" x14ac:dyDescent="0.25"/>
    <row r="53716" customFormat="1" x14ac:dyDescent="0.25"/>
    <row r="53717" customFormat="1" x14ac:dyDescent="0.25"/>
    <row r="53718" customFormat="1" x14ac:dyDescent="0.25"/>
    <row r="53719" customFormat="1" x14ac:dyDescent="0.25"/>
    <row r="53720" customFormat="1" x14ac:dyDescent="0.25"/>
    <row r="53721" customFormat="1" x14ac:dyDescent="0.25"/>
    <row r="53722" customFormat="1" x14ac:dyDescent="0.25"/>
    <row r="53723" customFormat="1" x14ac:dyDescent="0.25"/>
    <row r="53724" customFormat="1" x14ac:dyDescent="0.25"/>
    <row r="53725" customFormat="1" x14ac:dyDescent="0.25"/>
    <row r="53726" customFormat="1" x14ac:dyDescent="0.25"/>
    <row r="53727" customFormat="1" x14ac:dyDescent="0.25"/>
    <row r="53728" customFormat="1" x14ac:dyDescent="0.25"/>
    <row r="53729" customFormat="1" x14ac:dyDescent="0.25"/>
    <row r="53730" customFormat="1" x14ac:dyDescent="0.25"/>
    <row r="53731" customFormat="1" x14ac:dyDescent="0.25"/>
    <row r="53732" customFormat="1" x14ac:dyDescent="0.25"/>
    <row r="53733" customFormat="1" x14ac:dyDescent="0.25"/>
    <row r="53734" customFormat="1" x14ac:dyDescent="0.25"/>
    <row r="53735" customFormat="1" x14ac:dyDescent="0.25"/>
    <row r="53736" customFormat="1" x14ac:dyDescent="0.25"/>
    <row r="53737" customFormat="1" x14ac:dyDescent="0.25"/>
    <row r="53738" customFormat="1" x14ac:dyDescent="0.25"/>
    <row r="53739" customFormat="1" x14ac:dyDescent="0.25"/>
    <row r="53740" customFormat="1" x14ac:dyDescent="0.25"/>
    <row r="53741" customFormat="1" x14ac:dyDescent="0.25"/>
    <row r="53742" customFormat="1" x14ac:dyDescent="0.25"/>
    <row r="53743" customFormat="1" x14ac:dyDescent="0.25"/>
    <row r="53744" customFormat="1" x14ac:dyDescent="0.25"/>
    <row r="53745" customFormat="1" x14ac:dyDescent="0.25"/>
    <row r="53746" customFormat="1" x14ac:dyDescent="0.25"/>
    <row r="53747" customFormat="1" x14ac:dyDescent="0.25"/>
    <row r="53748" customFormat="1" x14ac:dyDescent="0.25"/>
    <row r="53749" customFormat="1" x14ac:dyDescent="0.25"/>
    <row r="53750" customFormat="1" x14ac:dyDescent="0.25"/>
    <row r="53751" customFormat="1" x14ac:dyDescent="0.25"/>
    <row r="53752" customFormat="1" x14ac:dyDescent="0.25"/>
    <row r="53753" customFormat="1" x14ac:dyDescent="0.25"/>
    <row r="53754" customFormat="1" x14ac:dyDescent="0.25"/>
    <row r="53755" customFormat="1" x14ac:dyDescent="0.25"/>
    <row r="53756" customFormat="1" x14ac:dyDescent="0.25"/>
    <row r="53757" customFormat="1" x14ac:dyDescent="0.25"/>
    <row r="53758" customFormat="1" x14ac:dyDescent="0.25"/>
    <row r="53759" customFormat="1" x14ac:dyDescent="0.25"/>
    <row r="53760" customFormat="1" x14ac:dyDescent="0.25"/>
    <row r="53761" customFormat="1" x14ac:dyDescent="0.25"/>
    <row r="53762" customFormat="1" x14ac:dyDescent="0.25"/>
    <row r="53763" customFormat="1" x14ac:dyDescent="0.25"/>
    <row r="53764" customFormat="1" x14ac:dyDescent="0.25"/>
    <row r="53765" customFormat="1" x14ac:dyDescent="0.25"/>
    <row r="53766" customFormat="1" x14ac:dyDescent="0.25"/>
    <row r="53767" customFormat="1" x14ac:dyDescent="0.25"/>
    <row r="53768" customFormat="1" x14ac:dyDescent="0.25"/>
    <row r="53769" customFormat="1" x14ac:dyDescent="0.25"/>
    <row r="53770" customFormat="1" x14ac:dyDescent="0.25"/>
    <row r="53771" customFormat="1" x14ac:dyDescent="0.25"/>
    <row r="53772" customFormat="1" x14ac:dyDescent="0.25"/>
    <row r="53773" customFormat="1" x14ac:dyDescent="0.25"/>
    <row r="53774" customFormat="1" x14ac:dyDescent="0.25"/>
    <row r="53775" customFormat="1" x14ac:dyDescent="0.25"/>
    <row r="53776" customFormat="1" x14ac:dyDescent="0.25"/>
    <row r="53777" customFormat="1" x14ac:dyDescent="0.25"/>
    <row r="53778" customFormat="1" x14ac:dyDescent="0.25"/>
    <row r="53779" customFormat="1" x14ac:dyDescent="0.25"/>
    <row r="53780" customFormat="1" x14ac:dyDescent="0.25"/>
    <row r="53781" customFormat="1" x14ac:dyDescent="0.25"/>
    <row r="53782" customFormat="1" x14ac:dyDescent="0.25"/>
    <row r="53783" customFormat="1" x14ac:dyDescent="0.25"/>
    <row r="53784" customFormat="1" x14ac:dyDescent="0.25"/>
    <row r="53785" customFormat="1" x14ac:dyDescent="0.25"/>
    <row r="53786" customFormat="1" x14ac:dyDescent="0.25"/>
    <row r="53787" customFormat="1" x14ac:dyDescent="0.25"/>
    <row r="53788" customFormat="1" x14ac:dyDescent="0.25"/>
    <row r="53789" customFormat="1" x14ac:dyDescent="0.25"/>
    <row r="53790" customFormat="1" x14ac:dyDescent="0.25"/>
    <row r="53791" customFormat="1" x14ac:dyDescent="0.25"/>
    <row r="53792" customFormat="1" x14ac:dyDescent="0.25"/>
    <row r="53793" customFormat="1" x14ac:dyDescent="0.25"/>
    <row r="53794" customFormat="1" x14ac:dyDescent="0.25"/>
    <row r="53795" customFormat="1" x14ac:dyDescent="0.25"/>
    <row r="53796" customFormat="1" x14ac:dyDescent="0.25"/>
    <row r="53797" customFormat="1" x14ac:dyDescent="0.25"/>
    <row r="53798" customFormat="1" x14ac:dyDescent="0.25"/>
    <row r="53799" customFormat="1" x14ac:dyDescent="0.25"/>
    <row r="53800" customFormat="1" x14ac:dyDescent="0.25"/>
    <row r="53801" customFormat="1" x14ac:dyDescent="0.25"/>
    <row r="53802" customFormat="1" x14ac:dyDescent="0.25"/>
    <row r="53803" customFormat="1" x14ac:dyDescent="0.25"/>
    <row r="53804" customFormat="1" x14ac:dyDescent="0.25"/>
    <row r="53805" customFormat="1" x14ac:dyDescent="0.25"/>
    <row r="53806" customFormat="1" x14ac:dyDescent="0.25"/>
    <row r="53807" customFormat="1" x14ac:dyDescent="0.25"/>
    <row r="53808" customFormat="1" x14ac:dyDescent="0.25"/>
    <row r="53809" customFormat="1" x14ac:dyDescent="0.25"/>
    <row r="53810" customFormat="1" x14ac:dyDescent="0.25"/>
    <row r="53811" customFormat="1" x14ac:dyDescent="0.25"/>
    <row r="53812" customFormat="1" x14ac:dyDescent="0.25"/>
    <row r="53813" customFormat="1" x14ac:dyDescent="0.25"/>
    <row r="53814" customFormat="1" x14ac:dyDescent="0.25"/>
    <row r="53815" customFormat="1" x14ac:dyDescent="0.25"/>
    <row r="53816" customFormat="1" x14ac:dyDescent="0.25"/>
    <row r="53817" customFormat="1" x14ac:dyDescent="0.25"/>
    <row r="53818" customFormat="1" x14ac:dyDescent="0.25"/>
    <row r="53819" customFormat="1" x14ac:dyDescent="0.25"/>
    <row r="53820" customFormat="1" x14ac:dyDescent="0.25"/>
    <row r="53821" customFormat="1" x14ac:dyDescent="0.25"/>
    <row r="53822" customFormat="1" x14ac:dyDescent="0.25"/>
    <row r="53823" customFormat="1" x14ac:dyDescent="0.25"/>
    <row r="53824" customFormat="1" x14ac:dyDescent="0.25"/>
    <row r="53825" customFormat="1" x14ac:dyDescent="0.25"/>
    <row r="53826" customFormat="1" x14ac:dyDescent="0.25"/>
    <row r="53827" customFormat="1" x14ac:dyDescent="0.25"/>
    <row r="53828" customFormat="1" x14ac:dyDescent="0.25"/>
    <row r="53829" customFormat="1" x14ac:dyDescent="0.25"/>
    <row r="53830" customFormat="1" x14ac:dyDescent="0.25"/>
    <row r="53831" customFormat="1" x14ac:dyDescent="0.25"/>
    <row r="53832" customFormat="1" x14ac:dyDescent="0.25"/>
    <row r="53833" customFormat="1" x14ac:dyDescent="0.25"/>
    <row r="53834" customFormat="1" x14ac:dyDescent="0.25"/>
    <row r="53835" customFormat="1" x14ac:dyDescent="0.25"/>
    <row r="53836" customFormat="1" x14ac:dyDescent="0.25"/>
    <row r="53837" customFormat="1" x14ac:dyDescent="0.25"/>
    <row r="53838" customFormat="1" x14ac:dyDescent="0.25"/>
    <row r="53839" customFormat="1" x14ac:dyDescent="0.25"/>
    <row r="53840" customFormat="1" x14ac:dyDescent="0.25"/>
    <row r="53841" customFormat="1" x14ac:dyDescent="0.25"/>
    <row r="53842" customFormat="1" x14ac:dyDescent="0.25"/>
    <row r="53843" customFormat="1" x14ac:dyDescent="0.25"/>
    <row r="53844" customFormat="1" x14ac:dyDescent="0.25"/>
    <row r="53845" customFormat="1" x14ac:dyDescent="0.25"/>
    <row r="53846" customFormat="1" x14ac:dyDescent="0.25"/>
    <row r="53847" customFormat="1" x14ac:dyDescent="0.25"/>
    <row r="53848" customFormat="1" x14ac:dyDescent="0.25"/>
    <row r="53849" customFormat="1" x14ac:dyDescent="0.25"/>
    <row r="53850" customFormat="1" x14ac:dyDescent="0.25"/>
    <row r="53851" customFormat="1" x14ac:dyDescent="0.25"/>
    <row r="53852" customFormat="1" x14ac:dyDescent="0.25"/>
    <row r="53853" customFormat="1" x14ac:dyDescent="0.25"/>
    <row r="53854" customFormat="1" x14ac:dyDescent="0.25"/>
    <row r="53855" customFormat="1" x14ac:dyDescent="0.25"/>
    <row r="53856" customFormat="1" x14ac:dyDescent="0.25"/>
    <row r="53857" customFormat="1" x14ac:dyDescent="0.25"/>
    <row r="53858" customFormat="1" x14ac:dyDescent="0.25"/>
    <row r="53859" customFormat="1" x14ac:dyDescent="0.25"/>
    <row r="53860" customFormat="1" x14ac:dyDescent="0.25"/>
    <row r="53861" customFormat="1" x14ac:dyDescent="0.25"/>
    <row r="53862" customFormat="1" x14ac:dyDescent="0.25"/>
    <row r="53863" customFormat="1" x14ac:dyDescent="0.25"/>
    <row r="53864" customFormat="1" x14ac:dyDescent="0.25"/>
    <row r="53865" customFormat="1" x14ac:dyDescent="0.25"/>
    <row r="53866" customFormat="1" x14ac:dyDescent="0.25"/>
    <row r="53867" customFormat="1" x14ac:dyDescent="0.25"/>
    <row r="53868" customFormat="1" x14ac:dyDescent="0.25"/>
    <row r="53869" customFormat="1" x14ac:dyDescent="0.25"/>
    <row r="53870" customFormat="1" x14ac:dyDescent="0.25"/>
    <row r="53871" customFormat="1" x14ac:dyDescent="0.25"/>
    <row r="53872" customFormat="1" x14ac:dyDescent="0.25"/>
    <row r="53873" customFormat="1" x14ac:dyDescent="0.25"/>
    <row r="53874" customFormat="1" x14ac:dyDescent="0.25"/>
    <row r="53875" customFormat="1" x14ac:dyDescent="0.25"/>
    <row r="53876" customFormat="1" x14ac:dyDescent="0.25"/>
    <row r="53877" customFormat="1" x14ac:dyDescent="0.25"/>
    <row r="53878" customFormat="1" x14ac:dyDescent="0.25"/>
    <row r="53879" customFormat="1" x14ac:dyDescent="0.25"/>
    <row r="53880" customFormat="1" x14ac:dyDescent="0.25"/>
    <row r="53881" customFormat="1" x14ac:dyDescent="0.25"/>
    <row r="53882" customFormat="1" x14ac:dyDescent="0.25"/>
    <row r="53883" customFormat="1" x14ac:dyDescent="0.25"/>
    <row r="53884" customFormat="1" x14ac:dyDescent="0.25"/>
    <row r="53885" customFormat="1" x14ac:dyDescent="0.25"/>
    <row r="53886" customFormat="1" x14ac:dyDescent="0.25"/>
    <row r="53887" customFormat="1" x14ac:dyDescent="0.25"/>
    <row r="53888" customFormat="1" x14ac:dyDescent="0.25"/>
    <row r="53889" customFormat="1" x14ac:dyDescent="0.25"/>
    <row r="53890" customFormat="1" x14ac:dyDescent="0.25"/>
    <row r="53891" customFormat="1" x14ac:dyDescent="0.25"/>
    <row r="53892" customFormat="1" x14ac:dyDescent="0.25"/>
    <row r="53893" customFormat="1" x14ac:dyDescent="0.25"/>
    <row r="53894" customFormat="1" x14ac:dyDescent="0.25"/>
    <row r="53895" customFormat="1" x14ac:dyDescent="0.25"/>
    <row r="53896" customFormat="1" x14ac:dyDescent="0.25"/>
    <row r="53897" customFormat="1" x14ac:dyDescent="0.25"/>
    <row r="53898" customFormat="1" x14ac:dyDescent="0.25"/>
    <row r="53899" customFormat="1" x14ac:dyDescent="0.25"/>
    <row r="53900" customFormat="1" x14ac:dyDescent="0.25"/>
    <row r="53901" customFormat="1" x14ac:dyDescent="0.25"/>
    <row r="53902" customFormat="1" x14ac:dyDescent="0.25"/>
    <row r="53903" customFormat="1" x14ac:dyDescent="0.25"/>
    <row r="53904" customFormat="1" x14ac:dyDescent="0.25"/>
    <row r="53905" customFormat="1" x14ac:dyDescent="0.25"/>
    <row r="53906" customFormat="1" x14ac:dyDescent="0.25"/>
    <row r="53907" customFormat="1" x14ac:dyDescent="0.25"/>
    <row r="53908" customFormat="1" x14ac:dyDescent="0.25"/>
    <row r="53909" customFormat="1" x14ac:dyDescent="0.25"/>
    <row r="53910" customFormat="1" x14ac:dyDescent="0.25"/>
    <row r="53911" customFormat="1" x14ac:dyDescent="0.25"/>
    <row r="53912" customFormat="1" x14ac:dyDescent="0.25"/>
    <row r="53913" customFormat="1" x14ac:dyDescent="0.25"/>
    <row r="53914" customFormat="1" x14ac:dyDescent="0.25"/>
    <row r="53915" customFormat="1" x14ac:dyDescent="0.25"/>
    <row r="53916" customFormat="1" x14ac:dyDescent="0.25"/>
    <row r="53917" customFormat="1" x14ac:dyDescent="0.25"/>
    <row r="53918" customFormat="1" x14ac:dyDescent="0.25"/>
    <row r="53919" customFormat="1" x14ac:dyDescent="0.25"/>
    <row r="53920" customFormat="1" x14ac:dyDescent="0.25"/>
    <row r="53921" customFormat="1" x14ac:dyDescent="0.25"/>
    <row r="53922" customFormat="1" x14ac:dyDescent="0.25"/>
    <row r="53923" customFormat="1" x14ac:dyDescent="0.25"/>
    <row r="53924" customFormat="1" x14ac:dyDescent="0.25"/>
    <row r="53925" customFormat="1" x14ac:dyDescent="0.25"/>
    <row r="53926" customFormat="1" x14ac:dyDescent="0.25"/>
    <row r="53927" customFormat="1" x14ac:dyDescent="0.25"/>
    <row r="53928" customFormat="1" x14ac:dyDescent="0.25"/>
    <row r="53929" customFormat="1" x14ac:dyDescent="0.25"/>
    <row r="53930" customFormat="1" x14ac:dyDescent="0.25"/>
    <row r="53931" customFormat="1" x14ac:dyDescent="0.25"/>
    <row r="53932" customFormat="1" x14ac:dyDescent="0.25"/>
    <row r="53933" customFormat="1" x14ac:dyDescent="0.25"/>
    <row r="53934" customFormat="1" x14ac:dyDescent="0.25"/>
    <row r="53935" customFormat="1" x14ac:dyDescent="0.25"/>
    <row r="53936" customFormat="1" x14ac:dyDescent="0.25"/>
    <row r="53937" customFormat="1" x14ac:dyDescent="0.25"/>
    <row r="53938" customFormat="1" x14ac:dyDescent="0.25"/>
    <row r="53939" customFormat="1" x14ac:dyDescent="0.25"/>
    <row r="53940" customFormat="1" x14ac:dyDescent="0.25"/>
    <row r="53941" customFormat="1" x14ac:dyDescent="0.25"/>
    <row r="53942" customFormat="1" x14ac:dyDescent="0.25"/>
    <row r="53943" customFormat="1" x14ac:dyDescent="0.25"/>
    <row r="53944" customFormat="1" x14ac:dyDescent="0.25"/>
    <row r="53945" customFormat="1" x14ac:dyDescent="0.25"/>
    <row r="53946" customFormat="1" x14ac:dyDescent="0.25"/>
    <row r="53947" customFormat="1" x14ac:dyDescent="0.25"/>
    <row r="53948" customFormat="1" x14ac:dyDescent="0.25"/>
    <row r="53949" customFormat="1" x14ac:dyDescent="0.25"/>
    <row r="53950" customFormat="1" x14ac:dyDescent="0.25"/>
    <row r="53951" customFormat="1" x14ac:dyDescent="0.25"/>
    <row r="53952" customFormat="1" x14ac:dyDescent="0.25"/>
    <row r="53953" customFormat="1" x14ac:dyDescent="0.25"/>
    <row r="53954" customFormat="1" x14ac:dyDescent="0.25"/>
    <row r="53955" customFormat="1" x14ac:dyDescent="0.25"/>
    <row r="53956" customFormat="1" x14ac:dyDescent="0.25"/>
    <row r="53957" customFormat="1" x14ac:dyDescent="0.25"/>
    <row r="53958" customFormat="1" x14ac:dyDescent="0.25"/>
    <row r="53959" customFormat="1" x14ac:dyDescent="0.25"/>
    <row r="53960" customFormat="1" x14ac:dyDescent="0.25"/>
    <row r="53961" customFormat="1" x14ac:dyDescent="0.25"/>
    <row r="53962" customFormat="1" x14ac:dyDescent="0.25"/>
    <row r="53963" customFormat="1" x14ac:dyDescent="0.25"/>
    <row r="53964" customFormat="1" x14ac:dyDescent="0.25"/>
    <row r="53965" customFormat="1" x14ac:dyDescent="0.25"/>
    <row r="53966" customFormat="1" x14ac:dyDescent="0.25"/>
    <row r="53967" customFormat="1" x14ac:dyDescent="0.25"/>
    <row r="53968" customFormat="1" x14ac:dyDescent="0.25"/>
    <row r="53969" customFormat="1" x14ac:dyDescent="0.25"/>
    <row r="53970" customFormat="1" x14ac:dyDescent="0.25"/>
    <row r="53971" customFormat="1" x14ac:dyDescent="0.25"/>
    <row r="53972" customFormat="1" x14ac:dyDescent="0.25"/>
    <row r="53973" customFormat="1" x14ac:dyDescent="0.25"/>
    <row r="53974" customFormat="1" x14ac:dyDescent="0.25"/>
    <row r="53975" customFormat="1" x14ac:dyDescent="0.25"/>
    <row r="53976" customFormat="1" x14ac:dyDescent="0.25"/>
    <row r="53977" customFormat="1" x14ac:dyDescent="0.25"/>
    <row r="53978" customFormat="1" x14ac:dyDescent="0.25"/>
    <row r="53979" customFormat="1" x14ac:dyDescent="0.25"/>
    <row r="53980" customFormat="1" x14ac:dyDescent="0.25"/>
    <row r="53981" customFormat="1" x14ac:dyDescent="0.25"/>
    <row r="53982" customFormat="1" x14ac:dyDescent="0.25"/>
    <row r="53983" customFormat="1" x14ac:dyDescent="0.25"/>
    <row r="53984" customFormat="1" x14ac:dyDescent="0.25"/>
    <row r="53985" customFormat="1" x14ac:dyDescent="0.25"/>
    <row r="53986" customFormat="1" x14ac:dyDescent="0.25"/>
    <row r="53987" customFormat="1" x14ac:dyDescent="0.25"/>
    <row r="53988" customFormat="1" x14ac:dyDescent="0.25"/>
    <row r="53989" customFormat="1" x14ac:dyDescent="0.25"/>
    <row r="53990" customFormat="1" x14ac:dyDescent="0.25"/>
    <row r="53991" customFormat="1" x14ac:dyDescent="0.25"/>
    <row r="53992" customFormat="1" x14ac:dyDescent="0.25"/>
    <row r="53993" customFormat="1" x14ac:dyDescent="0.25"/>
    <row r="53994" customFormat="1" x14ac:dyDescent="0.25"/>
    <row r="53995" customFormat="1" x14ac:dyDescent="0.25"/>
    <row r="53996" customFormat="1" x14ac:dyDescent="0.25"/>
    <row r="53997" customFormat="1" x14ac:dyDescent="0.25"/>
    <row r="53998" customFormat="1" x14ac:dyDescent="0.25"/>
    <row r="53999" customFormat="1" x14ac:dyDescent="0.25"/>
    <row r="54000" customFormat="1" x14ac:dyDescent="0.25"/>
    <row r="54001" customFormat="1" x14ac:dyDescent="0.25"/>
    <row r="54002" customFormat="1" x14ac:dyDescent="0.25"/>
    <row r="54003" customFormat="1" x14ac:dyDescent="0.25"/>
    <row r="54004" customFormat="1" x14ac:dyDescent="0.25"/>
    <row r="54005" customFormat="1" x14ac:dyDescent="0.25"/>
    <row r="54006" customFormat="1" x14ac:dyDescent="0.25"/>
    <row r="54007" customFormat="1" x14ac:dyDescent="0.25"/>
    <row r="54008" customFormat="1" x14ac:dyDescent="0.25"/>
    <row r="54009" customFormat="1" x14ac:dyDescent="0.25"/>
    <row r="54010" customFormat="1" x14ac:dyDescent="0.25"/>
    <row r="54011" customFormat="1" x14ac:dyDescent="0.25"/>
    <row r="54012" customFormat="1" x14ac:dyDescent="0.25"/>
    <row r="54013" customFormat="1" x14ac:dyDescent="0.25"/>
    <row r="54014" customFormat="1" x14ac:dyDescent="0.25"/>
    <row r="54015" customFormat="1" x14ac:dyDescent="0.25"/>
    <row r="54016" customFormat="1" x14ac:dyDescent="0.25"/>
    <row r="54017" customFormat="1" x14ac:dyDescent="0.25"/>
    <row r="54018" customFormat="1" x14ac:dyDescent="0.25"/>
    <row r="54019" customFormat="1" x14ac:dyDescent="0.25"/>
    <row r="54020" customFormat="1" x14ac:dyDescent="0.25"/>
    <row r="54021" customFormat="1" x14ac:dyDescent="0.25"/>
    <row r="54022" customFormat="1" x14ac:dyDescent="0.25"/>
    <row r="54023" customFormat="1" x14ac:dyDescent="0.25"/>
    <row r="54024" customFormat="1" x14ac:dyDescent="0.25"/>
    <row r="54025" customFormat="1" x14ac:dyDescent="0.25"/>
    <row r="54026" customFormat="1" x14ac:dyDescent="0.25"/>
    <row r="54027" customFormat="1" x14ac:dyDescent="0.25"/>
    <row r="54028" customFormat="1" x14ac:dyDescent="0.25"/>
    <row r="54029" customFormat="1" x14ac:dyDescent="0.25"/>
    <row r="54030" customFormat="1" x14ac:dyDescent="0.25"/>
    <row r="54031" customFormat="1" x14ac:dyDescent="0.25"/>
    <row r="54032" customFormat="1" x14ac:dyDescent="0.25"/>
    <row r="54033" customFormat="1" x14ac:dyDescent="0.25"/>
    <row r="54034" customFormat="1" x14ac:dyDescent="0.25"/>
    <row r="54035" customFormat="1" x14ac:dyDescent="0.25"/>
    <row r="54036" customFormat="1" x14ac:dyDescent="0.25"/>
    <row r="54037" customFormat="1" x14ac:dyDescent="0.25"/>
    <row r="54038" customFormat="1" x14ac:dyDescent="0.25"/>
    <row r="54039" customFormat="1" x14ac:dyDescent="0.25"/>
    <row r="54040" customFormat="1" x14ac:dyDescent="0.25"/>
    <row r="54041" customFormat="1" x14ac:dyDescent="0.25"/>
    <row r="54042" customFormat="1" x14ac:dyDescent="0.25"/>
    <row r="54043" customFormat="1" x14ac:dyDescent="0.25"/>
    <row r="54044" customFormat="1" x14ac:dyDescent="0.25"/>
    <row r="54045" customFormat="1" x14ac:dyDescent="0.25"/>
    <row r="54046" customFormat="1" x14ac:dyDescent="0.25"/>
    <row r="54047" customFormat="1" x14ac:dyDescent="0.25"/>
    <row r="54048" customFormat="1" x14ac:dyDescent="0.25"/>
    <row r="54049" customFormat="1" x14ac:dyDescent="0.25"/>
    <row r="54050" customFormat="1" x14ac:dyDescent="0.25"/>
    <row r="54051" customFormat="1" x14ac:dyDescent="0.25"/>
    <row r="54052" customFormat="1" x14ac:dyDescent="0.25"/>
    <row r="54053" customFormat="1" x14ac:dyDescent="0.25"/>
    <row r="54054" customFormat="1" x14ac:dyDescent="0.25"/>
    <row r="54055" customFormat="1" x14ac:dyDescent="0.25"/>
    <row r="54056" customFormat="1" x14ac:dyDescent="0.25"/>
    <row r="54057" customFormat="1" x14ac:dyDescent="0.25"/>
    <row r="54058" customFormat="1" x14ac:dyDescent="0.25"/>
    <row r="54059" customFormat="1" x14ac:dyDescent="0.25"/>
    <row r="54060" customFormat="1" x14ac:dyDescent="0.25"/>
    <row r="54061" customFormat="1" x14ac:dyDescent="0.25"/>
    <row r="54062" customFormat="1" x14ac:dyDescent="0.25"/>
    <row r="54063" customFormat="1" x14ac:dyDescent="0.25"/>
    <row r="54064" customFormat="1" x14ac:dyDescent="0.25"/>
    <row r="54065" customFormat="1" x14ac:dyDescent="0.25"/>
    <row r="54066" customFormat="1" x14ac:dyDescent="0.25"/>
    <row r="54067" customFormat="1" x14ac:dyDescent="0.25"/>
    <row r="54068" customFormat="1" x14ac:dyDescent="0.25"/>
    <row r="54069" customFormat="1" x14ac:dyDescent="0.25"/>
    <row r="54070" customFormat="1" x14ac:dyDescent="0.25"/>
    <row r="54071" customFormat="1" x14ac:dyDescent="0.25"/>
    <row r="54072" customFormat="1" x14ac:dyDescent="0.25"/>
    <row r="54073" customFormat="1" x14ac:dyDescent="0.25"/>
    <row r="54074" customFormat="1" x14ac:dyDescent="0.25"/>
    <row r="54075" customFormat="1" x14ac:dyDescent="0.25"/>
    <row r="54076" customFormat="1" x14ac:dyDescent="0.25"/>
    <row r="54077" customFormat="1" x14ac:dyDescent="0.25"/>
    <row r="54078" customFormat="1" x14ac:dyDescent="0.25"/>
    <row r="54079" customFormat="1" x14ac:dyDescent="0.25"/>
    <row r="54080" customFormat="1" x14ac:dyDescent="0.25"/>
    <row r="54081" customFormat="1" x14ac:dyDescent="0.25"/>
    <row r="54082" customFormat="1" x14ac:dyDescent="0.25"/>
    <row r="54083" customFormat="1" x14ac:dyDescent="0.25"/>
    <row r="54084" customFormat="1" x14ac:dyDescent="0.25"/>
    <row r="54085" customFormat="1" x14ac:dyDescent="0.25"/>
    <row r="54086" customFormat="1" x14ac:dyDescent="0.25"/>
    <row r="54087" customFormat="1" x14ac:dyDescent="0.25"/>
    <row r="54088" customFormat="1" x14ac:dyDescent="0.25"/>
    <row r="54089" customFormat="1" x14ac:dyDescent="0.25"/>
    <row r="54090" customFormat="1" x14ac:dyDescent="0.25"/>
    <row r="54091" customFormat="1" x14ac:dyDescent="0.25"/>
    <row r="54092" customFormat="1" x14ac:dyDescent="0.25"/>
    <row r="54093" customFormat="1" x14ac:dyDescent="0.25"/>
    <row r="54094" customFormat="1" x14ac:dyDescent="0.25"/>
    <row r="54095" customFormat="1" x14ac:dyDescent="0.25"/>
    <row r="54096" customFormat="1" x14ac:dyDescent="0.25"/>
    <row r="54097" customFormat="1" x14ac:dyDescent="0.25"/>
    <row r="54098" customFormat="1" x14ac:dyDescent="0.25"/>
    <row r="54099" customFormat="1" x14ac:dyDescent="0.25"/>
    <row r="54100" customFormat="1" x14ac:dyDescent="0.25"/>
    <row r="54101" customFormat="1" x14ac:dyDescent="0.25"/>
    <row r="54102" customFormat="1" x14ac:dyDescent="0.25"/>
    <row r="54103" customFormat="1" x14ac:dyDescent="0.25"/>
    <row r="54104" customFormat="1" x14ac:dyDescent="0.25"/>
    <row r="54105" customFormat="1" x14ac:dyDescent="0.25"/>
    <row r="54106" customFormat="1" x14ac:dyDescent="0.25"/>
    <row r="54107" customFormat="1" x14ac:dyDescent="0.25"/>
    <row r="54108" customFormat="1" x14ac:dyDescent="0.25"/>
    <row r="54109" customFormat="1" x14ac:dyDescent="0.25"/>
    <row r="54110" customFormat="1" x14ac:dyDescent="0.25"/>
    <row r="54111" customFormat="1" x14ac:dyDescent="0.25"/>
    <row r="54112" customFormat="1" x14ac:dyDescent="0.25"/>
    <row r="54113" customFormat="1" x14ac:dyDescent="0.25"/>
    <row r="54114" customFormat="1" x14ac:dyDescent="0.25"/>
    <row r="54115" customFormat="1" x14ac:dyDescent="0.25"/>
    <row r="54116" customFormat="1" x14ac:dyDescent="0.25"/>
    <row r="54117" customFormat="1" x14ac:dyDescent="0.25"/>
    <row r="54118" customFormat="1" x14ac:dyDescent="0.25"/>
    <row r="54119" customFormat="1" x14ac:dyDescent="0.25"/>
    <row r="54120" customFormat="1" x14ac:dyDescent="0.25"/>
    <row r="54121" customFormat="1" x14ac:dyDescent="0.25"/>
    <row r="54122" customFormat="1" x14ac:dyDescent="0.25"/>
    <row r="54123" customFormat="1" x14ac:dyDescent="0.25"/>
    <row r="54124" customFormat="1" x14ac:dyDescent="0.25"/>
    <row r="54125" customFormat="1" x14ac:dyDescent="0.25"/>
    <row r="54126" customFormat="1" x14ac:dyDescent="0.25"/>
    <row r="54127" customFormat="1" x14ac:dyDescent="0.25"/>
    <row r="54128" customFormat="1" x14ac:dyDescent="0.25"/>
    <row r="54129" customFormat="1" x14ac:dyDescent="0.25"/>
    <row r="54130" customFormat="1" x14ac:dyDescent="0.25"/>
    <row r="54131" customFormat="1" x14ac:dyDescent="0.25"/>
    <row r="54132" customFormat="1" x14ac:dyDescent="0.25"/>
    <row r="54133" customFormat="1" x14ac:dyDescent="0.25"/>
    <row r="54134" customFormat="1" x14ac:dyDescent="0.25"/>
    <row r="54135" customFormat="1" x14ac:dyDescent="0.25"/>
    <row r="54136" customFormat="1" x14ac:dyDescent="0.25"/>
    <row r="54137" customFormat="1" x14ac:dyDescent="0.25"/>
    <row r="54138" customFormat="1" x14ac:dyDescent="0.25"/>
    <row r="54139" customFormat="1" x14ac:dyDescent="0.25"/>
    <row r="54140" customFormat="1" x14ac:dyDescent="0.25"/>
    <row r="54141" customFormat="1" x14ac:dyDescent="0.25"/>
    <row r="54142" customFormat="1" x14ac:dyDescent="0.25"/>
    <row r="54143" customFormat="1" x14ac:dyDescent="0.25"/>
    <row r="54144" customFormat="1" x14ac:dyDescent="0.25"/>
    <row r="54145" customFormat="1" x14ac:dyDescent="0.25"/>
    <row r="54146" customFormat="1" x14ac:dyDescent="0.25"/>
    <row r="54147" customFormat="1" x14ac:dyDescent="0.25"/>
    <row r="54148" customFormat="1" x14ac:dyDescent="0.25"/>
    <row r="54149" customFormat="1" x14ac:dyDescent="0.25"/>
    <row r="54150" customFormat="1" x14ac:dyDescent="0.25"/>
    <row r="54151" customFormat="1" x14ac:dyDescent="0.25"/>
    <row r="54152" customFormat="1" x14ac:dyDescent="0.25"/>
    <row r="54153" customFormat="1" x14ac:dyDescent="0.25"/>
    <row r="54154" customFormat="1" x14ac:dyDescent="0.25"/>
    <row r="54155" customFormat="1" x14ac:dyDescent="0.25"/>
    <row r="54156" customFormat="1" x14ac:dyDescent="0.25"/>
    <row r="54157" customFormat="1" x14ac:dyDescent="0.25"/>
    <row r="54158" customFormat="1" x14ac:dyDescent="0.25"/>
    <row r="54159" customFormat="1" x14ac:dyDescent="0.25"/>
    <row r="54160" customFormat="1" x14ac:dyDescent="0.25"/>
    <row r="54161" customFormat="1" x14ac:dyDescent="0.25"/>
    <row r="54162" customFormat="1" x14ac:dyDescent="0.25"/>
    <row r="54163" customFormat="1" x14ac:dyDescent="0.25"/>
    <row r="54164" customFormat="1" x14ac:dyDescent="0.25"/>
    <row r="54165" customFormat="1" x14ac:dyDescent="0.25"/>
    <row r="54166" customFormat="1" x14ac:dyDescent="0.25"/>
    <row r="54167" customFormat="1" x14ac:dyDescent="0.25"/>
    <row r="54168" customFormat="1" x14ac:dyDescent="0.25"/>
    <row r="54169" customFormat="1" x14ac:dyDescent="0.25"/>
    <row r="54170" customFormat="1" x14ac:dyDescent="0.25"/>
    <row r="54171" customFormat="1" x14ac:dyDescent="0.25"/>
    <row r="54172" customFormat="1" x14ac:dyDescent="0.25"/>
    <row r="54173" customFormat="1" x14ac:dyDescent="0.25"/>
    <row r="54174" customFormat="1" x14ac:dyDescent="0.25"/>
    <row r="54175" customFormat="1" x14ac:dyDescent="0.25"/>
    <row r="54176" customFormat="1" x14ac:dyDescent="0.25"/>
    <row r="54177" customFormat="1" x14ac:dyDescent="0.25"/>
    <row r="54178" customFormat="1" x14ac:dyDescent="0.25"/>
    <row r="54179" customFormat="1" x14ac:dyDescent="0.25"/>
    <row r="54180" customFormat="1" x14ac:dyDescent="0.25"/>
    <row r="54181" customFormat="1" x14ac:dyDescent="0.25"/>
    <row r="54182" customFormat="1" x14ac:dyDescent="0.25"/>
    <row r="54183" customFormat="1" x14ac:dyDescent="0.25"/>
    <row r="54184" customFormat="1" x14ac:dyDescent="0.25"/>
    <row r="54185" customFormat="1" x14ac:dyDescent="0.25"/>
    <row r="54186" customFormat="1" x14ac:dyDescent="0.25"/>
    <row r="54187" customFormat="1" x14ac:dyDescent="0.25"/>
    <row r="54188" customFormat="1" x14ac:dyDescent="0.25"/>
    <row r="54189" customFormat="1" x14ac:dyDescent="0.25"/>
    <row r="54190" customFormat="1" x14ac:dyDescent="0.25"/>
    <row r="54191" customFormat="1" x14ac:dyDescent="0.25"/>
    <row r="54192" customFormat="1" x14ac:dyDescent="0.25"/>
    <row r="54193" customFormat="1" x14ac:dyDescent="0.25"/>
    <row r="54194" customFormat="1" x14ac:dyDescent="0.25"/>
    <row r="54195" customFormat="1" x14ac:dyDescent="0.25"/>
    <row r="54196" customFormat="1" x14ac:dyDescent="0.25"/>
    <row r="54197" customFormat="1" x14ac:dyDescent="0.25"/>
    <row r="54198" customFormat="1" x14ac:dyDescent="0.25"/>
    <row r="54199" customFormat="1" x14ac:dyDescent="0.25"/>
    <row r="54200" customFormat="1" x14ac:dyDescent="0.25"/>
    <row r="54201" customFormat="1" x14ac:dyDescent="0.25"/>
    <row r="54202" customFormat="1" x14ac:dyDescent="0.25"/>
    <row r="54203" customFormat="1" x14ac:dyDescent="0.25"/>
    <row r="54204" customFormat="1" x14ac:dyDescent="0.25"/>
    <row r="54205" customFormat="1" x14ac:dyDescent="0.25"/>
    <row r="54206" customFormat="1" x14ac:dyDescent="0.25"/>
    <row r="54207" customFormat="1" x14ac:dyDescent="0.25"/>
    <row r="54208" customFormat="1" x14ac:dyDescent="0.25"/>
    <row r="54209" customFormat="1" x14ac:dyDescent="0.25"/>
    <row r="54210" customFormat="1" x14ac:dyDescent="0.25"/>
    <row r="54211" customFormat="1" x14ac:dyDescent="0.25"/>
    <row r="54212" customFormat="1" x14ac:dyDescent="0.25"/>
    <row r="54213" customFormat="1" x14ac:dyDescent="0.25"/>
    <row r="54214" customFormat="1" x14ac:dyDescent="0.25"/>
    <row r="54215" customFormat="1" x14ac:dyDescent="0.25"/>
    <row r="54216" customFormat="1" x14ac:dyDescent="0.25"/>
    <row r="54217" customFormat="1" x14ac:dyDescent="0.25"/>
    <row r="54218" customFormat="1" x14ac:dyDescent="0.25"/>
    <row r="54219" customFormat="1" x14ac:dyDescent="0.25"/>
    <row r="54220" customFormat="1" x14ac:dyDescent="0.25"/>
    <row r="54221" customFormat="1" x14ac:dyDescent="0.25"/>
    <row r="54222" customFormat="1" x14ac:dyDescent="0.25"/>
    <row r="54223" customFormat="1" x14ac:dyDescent="0.25"/>
    <row r="54224" customFormat="1" x14ac:dyDescent="0.25"/>
    <row r="54225" customFormat="1" x14ac:dyDescent="0.25"/>
    <row r="54226" customFormat="1" x14ac:dyDescent="0.25"/>
    <row r="54227" customFormat="1" x14ac:dyDescent="0.25"/>
    <row r="54228" customFormat="1" x14ac:dyDescent="0.25"/>
    <row r="54229" customFormat="1" x14ac:dyDescent="0.25"/>
    <row r="54230" customFormat="1" x14ac:dyDescent="0.25"/>
    <row r="54231" customFormat="1" x14ac:dyDescent="0.25"/>
    <row r="54232" customFormat="1" x14ac:dyDescent="0.25"/>
    <row r="54233" customFormat="1" x14ac:dyDescent="0.25"/>
    <row r="54234" customFormat="1" x14ac:dyDescent="0.25"/>
    <row r="54235" customFormat="1" x14ac:dyDescent="0.25"/>
    <row r="54236" customFormat="1" x14ac:dyDescent="0.25"/>
    <row r="54237" customFormat="1" x14ac:dyDescent="0.25"/>
    <row r="54238" customFormat="1" x14ac:dyDescent="0.25"/>
    <row r="54239" customFormat="1" x14ac:dyDescent="0.25"/>
    <row r="54240" customFormat="1" x14ac:dyDescent="0.25"/>
    <row r="54241" customFormat="1" x14ac:dyDescent="0.25"/>
    <row r="54242" customFormat="1" x14ac:dyDescent="0.25"/>
    <row r="54243" customFormat="1" x14ac:dyDescent="0.25"/>
    <row r="54244" customFormat="1" x14ac:dyDescent="0.25"/>
    <row r="54245" customFormat="1" x14ac:dyDescent="0.25"/>
    <row r="54246" customFormat="1" x14ac:dyDescent="0.25"/>
    <row r="54247" customFormat="1" x14ac:dyDescent="0.25"/>
    <row r="54248" customFormat="1" x14ac:dyDescent="0.25"/>
    <row r="54249" customFormat="1" x14ac:dyDescent="0.25"/>
    <row r="54250" customFormat="1" x14ac:dyDescent="0.25"/>
    <row r="54251" customFormat="1" x14ac:dyDescent="0.25"/>
    <row r="54252" customFormat="1" x14ac:dyDescent="0.25"/>
    <row r="54253" customFormat="1" x14ac:dyDescent="0.25"/>
    <row r="54254" customFormat="1" x14ac:dyDescent="0.25"/>
    <row r="54255" customFormat="1" x14ac:dyDescent="0.25"/>
    <row r="54256" customFormat="1" x14ac:dyDescent="0.25"/>
    <row r="54257" customFormat="1" x14ac:dyDescent="0.25"/>
    <row r="54258" customFormat="1" x14ac:dyDescent="0.25"/>
    <row r="54259" customFormat="1" x14ac:dyDescent="0.25"/>
    <row r="54260" customFormat="1" x14ac:dyDescent="0.25"/>
    <row r="54261" customFormat="1" x14ac:dyDescent="0.25"/>
    <row r="54262" customFormat="1" x14ac:dyDescent="0.25"/>
    <row r="54263" customFormat="1" x14ac:dyDescent="0.25"/>
    <row r="54264" customFormat="1" x14ac:dyDescent="0.25"/>
    <row r="54265" customFormat="1" x14ac:dyDescent="0.25"/>
    <row r="54266" customFormat="1" x14ac:dyDescent="0.25"/>
    <row r="54267" customFormat="1" x14ac:dyDescent="0.25"/>
    <row r="54268" customFormat="1" x14ac:dyDescent="0.25"/>
    <row r="54269" customFormat="1" x14ac:dyDescent="0.25"/>
    <row r="54270" customFormat="1" x14ac:dyDescent="0.25"/>
    <row r="54271" customFormat="1" x14ac:dyDescent="0.25"/>
    <row r="54272" customFormat="1" x14ac:dyDescent="0.25"/>
    <row r="54273" customFormat="1" x14ac:dyDescent="0.25"/>
    <row r="54274" customFormat="1" x14ac:dyDescent="0.25"/>
    <row r="54275" customFormat="1" x14ac:dyDescent="0.25"/>
    <row r="54276" customFormat="1" x14ac:dyDescent="0.25"/>
    <row r="54277" customFormat="1" x14ac:dyDescent="0.25"/>
    <row r="54278" customFormat="1" x14ac:dyDescent="0.25"/>
    <row r="54279" customFormat="1" x14ac:dyDescent="0.25"/>
    <row r="54280" customFormat="1" x14ac:dyDescent="0.25"/>
    <row r="54281" customFormat="1" x14ac:dyDescent="0.25"/>
    <row r="54282" customFormat="1" x14ac:dyDescent="0.25"/>
    <row r="54283" customFormat="1" x14ac:dyDescent="0.25"/>
    <row r="54284" customFormat="1" x14ac:dyDescent="0.25"/>
    <row r="54285" customFormat="1" x14ac:dyDescent="0.25"/>
    <row r="54286" customFormat="1" x14ac:dyDescent="0.25"/>
    <row r="54287" customFormat="1" x14ac:dyDescent="0.25"/>
    <row r="54288" customFormat="1" x14ac:dyDescent="0.25"/>
    <row r="54289" customFormat="1" x14ac:dyDescent="0.25"/>
    <row r="54290" customFormat="1" x14ac:dyDescent="0.25"/>
    <row r="54291" customFormat="1" x14ac:dyDescent="0.25"/>
    <row r="54292" customFormat="1" x14ac:dyDescent="0.25"/>
    <row r="54293" customFormat="1" x14ac:dyDescent="0.25"/>
    <row r="54294" customFormat="1" x14ac:dyDescent="0.25"/>
    <row r="54295" customFormat="1" x14ac:dyDescent="0.25"/>
    <row r="54296" customFormat="1" x14ac:dyDescent="0.25"/>
    <row r="54297" customFormat="1" x14ac:dyDescent="0.25"/>
    <row r="54298" customFormat="1" x14ac:dyDescent="0.25"/>
    <row r="54299" customFormat="1" x14ac:dyDescent="0.25"/>
    <row r="54300" customFormat="1" x14ac:dyDescent="0.25"/>
    <row r="54301" customFormat="1" x14ac:dyDescent="0.25"/>
    <row r="54302" customFormat="1" x14ac:dyDescent="0.25"/>
    <row r="54303" customFormat="1" x14ac:dyDescent="0.25"/>
    <row r="54304" customFormat="1" x14ac:dyDescent="0.25"/>
    <row r="54305" customFormat="1" x14ac:dyDescent="0.25"/>
    <row r="54306" customFormat="1" x14ac:dyDescent="0.25"/>
    <row r="54307" customFormat="1" x14ac:dyDescent="0.25"/>
    <row r="54308" customFormat="1" x14ac:dyDescent="0.25"/>
    <row r="54309" customFormat="1" x14ac:dyDescent="0.25"/>
    <row r="54310" customFormat="1" x14ac:dyDescent="0.25"/>
    <row r="54311" customFormat="1" x14ac:dyDescent="0.25"/>
    <row r="54312" customFormat="1" x14ac:dyDescent="0.25"/>
    <row r="54313" customFormat="1" x14ac:dyDescent="0.25"/>
    <row r="54314" customFormat="1" x14ac:dyDescent="0.25"/>
    <row r="54315" customFormat="1" x14ac:dyDescent="0.25"/>
    <row r="54316" customFormat="1" x14ac:dyDescent="0.25"/>
    <row r="54317" customFormat="1" x14ac:dyDescent="0.25"/>
    <row r="54318" customFormat="1" x14ac:dyDescent="0.25"/>
    <row r="54319" customFormat="1" x14ac:dyDescent="0.25"/>
    <row r="54320" customFormat="1" x14ac:dyDescent="0.25"/>
    <row r="54321" customFormat="1" x14ac:dyDescent="0.25"/>
    <row r="54322" customFormat="1" x14ac:dyDescent="0.25"/>
    <row r="54323" customFormat="1" x14ac:dyDescent="0.25"/>
    <row r="54324" customFormat="1" x14ac:dyDescent="0.25"/>
    <row r="54325" customFormat="1" x14ac:dyDescent="0.25"/>
    <row r="54326" customFormat="1" x14ac:dyDescent="0.25"/>
    <row r="54327" customFormat="1" x14ac:dyDescent="0.25"/>
    <row r="54328" customFormat="1" x14ac:dyDescent="0.25"/>
    <row r="54329" customFormat="1" x14ac:dyDescent="0.25"/>
    <row r="54330" customFormat="1" x14ac:dyDescent="0.25"/>
    <row r="54331" customFormat="1" x14ac:dyDescent="0.25"/>
    <row r="54332" customFormat="1" x14ac:dyDescent="0.25"/>
    <row r="54333" customFormat="1" x14ac:dyDescent="0.25"/>
    <row r="54334" customFormat="1" x14ac:dyDescent="0.25"/>
    <row r="54335" customFormat="1" x14ac:dyDescent="0.25"/>
    <row r="54336" customFormat="1" x14ac:dyDescent="0.25"/>
    <row r="54337" customFormat="1" x14ac:dyDescent="0.25"/>
    <row r="54338" customFormat="1" x14ac:dyDescent="0.25"/>
    <row r="54339" customFormat="1" x14ac:dyDescent="0.25"/>
    <row r="54340" customFormat="1" x14ac:dyDescent="0.25"/>
    <row r="54341" customFormat="1" x14ac:dyDescent="0.25"/>
    <row r="54342" customFormat="1" x14ac:dyDescent="0.25"/>
    <row r="54343" customFormat="1" x14ac:dyDescent="0.25"/>
    <row r="54344" customFormat="1" x14ac:dyDescent="0.25"/>
    <row r="54345" customFormat="1" x14ac:dyDescent="0.25"/>
    <row r="54346" customFormat="1" x14ac:dyDescent="0.25"/>
    <row r="54347" customFormat="1" x14ac:dyDescent="0.25"/>
    <row r="54348" customFormat="1" x14ac:dyDescent="0.25"/>
    <row r="54349" customFormat="1" x14ac:dyDescent="0.25"/>
    <row r="54350" customFormat="1" x14ac:dyDescent="0.25"/>
    <row r="54351" customFormat="1" x14ac:dyDescent="0.25"/>
    <row r="54352" customFormat="1" x14ac:dyDescent="0.25"/>
    <row r="54353" customFormat="1" x14ac:dyDescent="0.25"/>
    <row r="54354" customFormat="1" x14ac:dyDescent="0.25"/>
    <row r="54355" customFormat="1" x14ac:dyDescent="0.25"/>
    <row r="54356" customFormat="1" x14ac:dyDescent="0.25"/>
    <row r="54357" customFormat="1" x14ac:dyDescent="0.25"/>
    <row r="54358" customFormat="1" x14ac:dyDescent="0.25"/>
    <row r="54359" customFormat="1" x14ac:dyDescent="0.25"/>
    <row r="54360" customFormat="1" x14ac:dyDescent="0.25"/>
    <row r="54361" customFormat="1" x14ac:dyDescent="0.25"/>
    <row r="54362" customFormat="1" x14ac:dyDescent="0.25"/>
    <row r="54363" customFormat="1" x14ac:dyDescent="0.25"/>
    <row r="54364" customFormat="1" x14ac:dyDescent="0.25"/>
    <row r="54365" customFormat="1" x14ac:dyDescent="0.25"/>
    <row r="54366" customFormat="1" x14ac:dyDescent="0.25"/>
    <row r="54367" customFormat="1" x14ac:dyDescent="0.25"/>
    <row r="54368" customFormat="1" x14ac:dyDescent="0.25"/>
    <row r="54369" customFormat="1" x14ac:dyDescent="0.25"/>
    <row r="54370" customFormat="1" x14ac:dyDescent="0.25"/>
    <row r="54371" customFormat="1" x14ac:dyDescent="0.25"/>
    <row r="54372" customFormat="1" x14ac:dyDescent="0.25"/>
    <row r="54373" customFormat="1" x14ac:dyDescent="0.25"/>
    <row r="54374" customFormat="1" x14ac:dyDescent="0.25"/>
    <row r="54375" customFormat="1" x14ac:dyDescent="0.25"/>
    <row r="54376" customFormat="1" x14ac:dyDescent="0.25"/>
    <row r="54377" customFormat="1" x14ac:dyDescent="0.25"/>
    <row r="54378" customFormat="1" x14ac:dyDescent="0.25"/>
    <row r="54379" customFormat="1" x14ac:dyDescent="0.25"/>
    <row r="54380" customFormat="1" x14ac:dyDescent="0.25"/>
    <row r="54381" customFormat="1" x14ac:dyDescent="0.25"/>
    <row r="54382" customFormat="1" x14ac:dyDescent="0.25"/>
    <row r="54383" customFormat="1" x14ac:dyDescent="0.25"/>
    <row r="54384" customFormat="1" x14ac:dyDescent="0.25"/>
    <row r="54385" customFormat="1" x14ac:dyDescent="0.25"/>
    <row r="54386" customFormat="1" x14ac:dyDescent="0.25"/>
    <row r="54387" customFormat="1" x14ac:dyDescent="0.25"/>
    <row r="54388" customFormat="1" x14ac:dyDescent="0.25"/>
    <row r="54389" customFormat="1" x14ac:dyDescent="0.25"/>
    <row r="54390" customFormat="1" x14ac:dyDescent="0.25"/>
    <row r="54391" customFormat="1" x14ac:dyDescent="0.25"/>
    <row r="54392" customFormat="1" x14ac:dyDescent="0.25"/>
    <row r="54393" customFormat="1" x14ac:dyDescent="0.25"/>
    <row r="54394" customFormat="1" x14ac:dyDescent="0.25"/>
    <row r="54395" customFormat="1" x14ac:dyDescent="0.25"/>
    <row r="54396" customFormat="1" x14ac:dyDescent="0.25"/>
    <row r="54397" customFormat="1" x14ac:dyDescent="0.25"/>
    <row r="54398" customFormat="1" x14ac:dyDescent="0.25"/>
    <row r="54399" customFormat="1" x14ac:dyDescent="0.25"/>
    <row r="54400" customFormat="1" x14ac:dyDescent="0.25"/>
    <row r="54401" customFormat="1" x14ac:dyDescent="0.25"/>
    <row r="54402" customFormat="1" x14ac:dyDescent="0.25"/>
    <row r="54403" customFormat="1" x14ac:dyDescent="0.25"/>
    <row r="54404" customFormat="1" x14ac:dyDescent="0.25"/>
    <row r="54405" customFormat="1" x14ac:dyDescent="0.25"/>
    <row r="54406" customFormat="1" x14ac:dyDescent="0.25"/>
    <row r="54407" customFormat="1" x14ac:dyDescent="0.25"/>
    <row r="54408" customFormat="1" x14ac:dyDescent="0.25"/>
    <row r="54409" customFormat="1" x14ac:dyDescent="0.25"/>
    <row r="54410" customFormat="1" x14ac:dyDescent="0.25"/>
    <row r="54411" customFormat="1" x14ac:dyDescent="0.25"/>
    <row r="54412" customFormat="1" x14ac:dyDescent="0.25"/>
    <row r="54413" customFormat="1" x14ac:dyDescent="0.25"/>
    <row r="54414" customFormat="1" x14ac:dyDescent="0.25"/>
    <row r="54415" customFormat="1" x14ac:dyDescent="0.25"/>
    <row r="54416" customFormat="1" x14ac:dyDescent="0.25"/>
    <row r="54417" customFormat="1" x14ac:dyDescent="0.25"/>
    <row r="54418" customFormat="1" x14ac:dyDescent="0.25"/>
    <row r="54419" customFormat="1" x14ac:dyDescent="0.25"/>
    <row r="54420" customFormat="1" x14ac:dyDescent="0.25"/>
    <row r="54421" customFormat="1" x14ac:dyDescent="0.25"/>
    <row r="54422" customFormat="1" x14ac:dyDescent="0.25"/>
    <row r="54423" customFormat="1" x14ac:dyDescent="0.25"/>
    <row r="54424" customFormat="1" x14ac:dyDescent="0.25"/>
    <row r="54425" customFormat="1" x14ac:dyDescent="0.25"/>
    <row r="54426" customFormat="1" x14ac:dyDescent="0.25"/>
    <row r="54427" customFormat="1" x14ac:dyDescent="0.25"/>
    <row r="54428" customFormat="1" x14ac:dyDescent="0.25"/>
    <row r="54429" customFormat="1" x14ac:dyDescent="0.25"/>
    <row r="54430" customFormat="1" x14ac:dyDescent="0.25"/>
    <row r="54431" customFormat="1" x14ac:dyDescent="0.25"/>
    <row r="54432" customFormat="1" x14ac:dyDescent="0.25"/>
    <row r="54433" customFormat="1" x14ac:dyDescent="0.25"/>
    <row r="54434" customFormat="1" x14ac:dyDescent="0.25"/>
    <row r="54435" customFormat="1" x14ac:dyDescent="0.25"/>
    <row r="54436" customFormat="1" x14ac:dyDescent="0.25"/>
    <row r="54437" customFormat="1" x14ac:dyDescent="0.25"/>
    <row r="54438" customFormat="1" x14ac:dyDescent="0.25"/>
    <row r="54439" customFormat="1" x14ac:dyDescent="0.25"/>
    <row r="54440" customFormat="1" x14ac:dyDescent="0.25"/>
    <row r="54441" customFormat="1" x14ac:dyDescent="0.25"/>
    <row r="54442" customFormat="1" x14ac:dyDescent="0.25"/>
    <row r="54443" customFormat="1" x14ac:dyDescent="0.25"/>
    <row r="54444" customFormat="1" x14ac:dyDescent="0.25"/>
    <row r="54445" customFormat="1" x14ac:dyDescent="0.25"/>
    <row r="54446" customFormat="1" x14ac:dyDescent="0.25"/>
    <row r="54447" customFormat="1" x14ac:dyDescent="0.25"/>
    <row r="54448" customFormat="1" x14ac:dyDescent="0.25"/>
    <row r="54449" customFormat="1" x14ac:dyDescent="0.25"/>
    <row r="54450" customFormat="1" x14ac:dyDescent="0.25"/>
    <row r="54451" customFormat="1" x14ac:dyDescent="0.25"/>
    <row r="54452" customFormat="1" x14ac:dyDescent="0.25"/>
    <row r="54453" customFormat="1" x14ac:dyDescent="0.25"/>
    <row r="54454" customFormat="1" x14ac:dyDescent="0.25"/>
    <row r="54455" customFormat="1" x14ac:dyDescent="0.25"/>
    <row r="54456" customFormat="1" x14ac:dyDescent="0.25"/>
    <row r="54457" customFormat="1" x14ac:dyDescent="0.25"/>
    <row r="54458" customFormat="1" x14ac:dyDescent="0.25"/>
    <row r="54459" customFormat="1" x14ac:dyDescent="0.25"/>
    <row r="54460" customFormat="1" x14ac:dyDescent="0.25"/>
    <row r="54461" customFormat="1" x14ac:dyDescent="0.25"/>
    <row r="54462" customFormat="1" x14ac:dyDescent="0.25"/>
    <row r="54463" customFormat="1" x14ac:dyDescent="0.25"/>
    <row r="54464" customFormat="1" x14ac:dyDescent="0.25"/>
    <row r="54465" customFormat="1" x14ac:dyDescent="0.25"/>
    <row r="54466" customFormat="1" x14ac:dyDescent="0.25"/>
    <row r="54467" customFormat="1" x14ac:dyDescent="0.25"/>
    <row r="54468" customFormat="1" x14ac:dyDescent="0.25"/>
    <row r="54469" customFormat="1" x14ac:dyDescent="0.25"/>
    <row r="54470" customFormat="1" x14ac:dyDescent="0.25"/>
    <row r="54471" customFormat="1" x14ac:dyDescent="0.25"/>
    <row r="54472" customFormat="1" x14ac:dyDescent="0.25"/>
    <row r="54473" customFormat="1" x14ac:dyDescent="0.25"/>
    <row r="54474" customFormat="1" x14ac:dyDescent="0.25"/>
    <row r="54475" customFormat="1" x14ac:dyDescent="0.25"/>
    <row r="54476" customFormat="1" x14ac:dyDescent="0.25"/>
    <row r="54477" customFormat="1" x14ac:dyDescent="0.25"/>
    <row r="54478" customFormat="1" x14ac:dyDescent="0.25"/>
    <row r="54479" customFormat="1" x14ac:dyDescent="0.25"/>
    <row r="54480" customFormat="1" x14ac:dyDescent="0.25"/>
    <row r="54481" customFormat="1" x14ac:dyDescent="0.25"/>
    <row r="54482" customFormat="1" x14ac:dyDescent="0.25"/>
    <row r="54483" customFormat="1" x14ac:dyDescent="0.25"/>
    <row r="54484" customFormat="1" x14ac:dyDescent="0.25"/>
    <row r="54485" customFormat="1" x14ac:dyDescent="0.25"/>
    <row r="54486" customFormat="1" x14ac:dyDescent="0.25"/>
    <row r="54487" customFormat="1" x14ac:dyDescent="0.25"/>
    <row r="54488" customFormat="1" x14ac:dyDescent="0.25"/>
    <row r="54489" customFormat="1" x14ac:dyDescent="0.25"/>
    <row r="54490" customFormat="1" x14ac:dyDescent="0.25"/>
    <row r="54491" customFormat="1" x14ac:dyDescent="0.25"/>
    <row r="54492" customFormat="1" x14ac:dyDescent="0.25"/>
    <row r="54493" customFormat="1" x14ac:dyDescent="0.25"/>
    <row r="54494" customFormat="1" x14ac:dyDescent="0.25"/>
    <row r="54495" customFormat="1" x14ac:dyDescent="0.25"/>
    <row r="54496" customFormat="1" x14ac:dyDescent="0.25"/>
    <row r="54497" customFormat="1" x14ac:dyDescent="0.25"/>
    <row r="54498" customFormat="1" x14ac:dyDescent="0.25"/>
    <row r="54499" customFormat="1" x14ac:dyDescent="0.25"/>
    <row r="54500" customFormat="1" x14ac:dyDescent="0.25"/>
    <row r="54501" customFormat="1" x14ac:dyDescent="0.25"/>
    <row r="54502" customFormat="1" x14ac:dyDescent="0.25"/>
    <row r="54503" customFormat="1" x14ac:dyDescent="0.25"/>
    <row r="54504" customFormat="1" x14ac:dyDescent="0.25"/>
    <row r="54505" customFormat="1" x14ac:dyDescent="0.25"/>
    <row r="54506" customFormat="1" x14ac:dyDescent="0.25"/>
    <row r="54507" customFormat="1" x14ac:dyDescent="0.25"/>
    <row r="54508" customFormat="1" x14ac:dyDescent="0.25"/>
    <row r="54509" customFormat="1" x14ac:dyDescent="0.25"/>
    <row r="54510" customFormat="1" x14ac:dyDescent="0.25"/>
    <row r="54511" customFormat="1" x14ac:dyDescent="0.25"/>
    <row r="54512" customFormat="1" x14ac:dyDescent="0.25"/>
    <row r="54513" customFormat="1" x14ac:dyDescent="0.25"/>
    <row r="54514" customFormat="1" x14ac:dyDescent="0.25"/>
    <row r="54515" customFormat="1" x14ac:dyDescent="0.25"/>
    <row r="54516" customFormat="1" x14ac:dyDescent="0.25"/>
    <row r="54517" customFormat="1" x14ac:dyDescent="0.25"/>
    <row r="54518" customFormat="1" x14ac:dyDescent="0.25"/>
    <row r="54519" customFormat="1" x14ac:dyDescent="0.25"/>
    <row r="54520" customFormat="1" x14ac:dyDescent="0.25"/>
    <row r="54521" customFormat="1" x14ac:dyDescent="0.25"/>
    <row r="54522" customFormat="1" x14ac:dyDescent="0.25"/>
    <row r="54523" customFormat="1" x14ac:dyDescent="0.25"/>
    <row r="54524" customFormat="1" x14ac:dyDescent="0.25"/>
    <row r="54525" customFormat="1" x14ac:dyDescent="0.25"/>
    <row r="54526" customFormat="1" x14ac:dyDescent="0.25"/>
    <row r="54527" customFormat="1" x14ac:dyDescent="0.25"/>
    <row r="54528" customFormat="1" x14ac:dyDescent="0.25"/>
    <row r="54529" customFormat="1" x14ac:dyDescent="0.25"/>
    <row r="54530" customFormat="1" x14ac:dyDescent="0.25"/>
    <row r="54531" customFormat="1" x14ac:dyDescent="0.25"/>
    <row r="54532" customFormat="1" x14ac:dyDescent="0.25"/>
    <row r="54533" customFormat="1" x14ac:dyDescent="0.25"/>
    <row r="54534" customFormat="1" x14ac:dyDescent="0.25"/>
    <row r="54535" customFormat="1" x14ac:dyDescent="0.25"/>
    <row r="54536" customFormat="1" x14ac:dyDescent="0.25"/>
    <row r="54537" customFormat="1" x14ac:dyDescent="0.25"/>
    <row r="54538" customFormat="1" x14ac:dyDescent="0.25"/>
    <row r="54539" customFormat="1" x14ac:dyDescent="0.25"/>
    <row r="54540" customFormat="1" x14ac:dyDescent="0.25"/>
    <row r="54541" customFormat="1" x14ac:dyDescent="0.25"/>
    <row r="54542" customFormat="1" x14ac:dyDescent="0.25"/>
    <row r="54543" customFormat="1" x14ac:dyDescent="0.25"/>
    <row r="54544" customFormat="1" x14ac:dyDescent="0.25"/>
    <row r="54545" customFormat="1" x14ac:dyDescent="0.25"/>
    <row r="54546" customFormat="1" x14ac:dyDescent="0.25"/>
    <row r="54547" customFormat="1" x14ac:dyDescent="0.25"/>
    <row r="54548" customFormat="1" x14ac:dyDescent="0.25"/>
    <row r="54549" customFormat="1" x14ac:dyDescent="0.25"/>
    <row r="54550" customFormat="1" x14ac:dyDescent="0.25"/>
    <row r="54551" customFormat="1" x14ac:dyDescent="0.25"/>
    <row r="54552" customFormat="1" x14ac:dyDescent="0.25"/>
    <row r="54553" customFormat="1" x14ac:dyDescent="0.25"/>
    <row r="54554" customFormat="1" x14ac:dyDescent="0.25"/>
    <row r="54555" customFormat="1" x14ac:dyDescent="0.25"/>
    <row r="54556" customFormat="1" x14ac:dyDescent="0.25"/>
    <row r="54557" customFormat="1" x14ac:dyDescent="0.25"/>
    <row r="54558" customFormat="1" x14ac:dyDescent="0.25"/>
    <row r="54559" customFormat="1" x14ac:dyDescent="0.25"/>
    <row r="54560" customFormat="1" x14ac:dyDescent="0.25"/>
    <row r="54561" customFormat="1" x14ac:dyDescent="0.25"/>
    <row r="54562" customFormat="1" x14ac:dyDescent="0.25"/>
    <row r="54563" customFormat="1" x14ac:dyDescent="0.25"/>
    <row r="54564" customFormat="1" x14ac:dyDescent="0.25"/>
    <row r="54565" customFormat="1" x14ac:dyDescent="0.25"/>
    <row r="54566" customFormat="1" x14ac:dyDescent="0.25"/>
    <row r="54567" customFormat="1" x14ac:dyDescent="0.25"/>
    <row r="54568" customFormat="1" x14ac:dyDescent="0.25"/>
    <row r="54569" customFormat="1" x14ac:dyDescent="0.25"/>
    <row r="54570" customFormat="1" x14ac:dyDescent="0.25"/>
    <row r="54571" customFormat="1" x14ac:dyDescent="0.25"/>
    <row r="54572" customFormat="1" x14ac:dyDescent="0.25"/>
    <row r="54573" customFormat="1" x14ac:dyDescent="0.25"/>
    <row r="54574" customFormat="1" x14ac:dyDescent="0.25"/>
    <row r="54575" customFormat="1" x14ac:dyDescent="0.25"/>
    <row r="54576" customFormat="1" x14ac:dyDescent="0.25"/>
    <row r="54577" customFormat="1" x14ac:dyDescent="0.25"/>
    <row r="54578" customFormat="1" x14ac:dyDescent="0.25"/>
    <row r="54579" customFormat="1" x14ac:dyDescent="0.25"/>
    <row r="54580" customFormat="1" x14ac:dyDescent="0.25"/>
    <row r="54581" customFormat="1" x14ac:dyDescent="0.25"/>
    <row r="54582" customFormat="1" x14ac:dyDescent="0.25"/>
    <row r="54583" customFormat="1" x14ac:dyDescent="0.25"/>
    <row r="54584" customFormat="1" x14ac:dyDescent="0.25"/>
    <row r="54585" customFormat="1" x14ac:dyDescent="0.25"/>
    <row r="54586" customFormat="1" x14ac:dyDescent="0.25"/>
    <row r="54587" customFormat="1" x14ac:dyDescent="0.25"/>
    <row r="54588" customFormat="1" x14ac:dyDescent="0.25"/>
    <row r="54589" customFormat="1" x14ac:dyDescent="0.25"/>
    <row r="54590" customFormat="1" x14ac:dyDescent="0.25"/>
    <row r="54591" customFormat="1" x14ac:dyDescent="0.25"/>
    <row r="54592" customFormat="1" x14ac:dyDescent="0.25"/>
    <row r="54593" customFormat="1" x14ac:dyDescent="0.25"/>
    <row r="54594" customFormat="1" x14ac:dyDescent="0.25"/>
    <row r="54595" customFormat="1" x14ac:dyDescent="0.25"/>
    <row r="54596" customFormat="1" x14ac:dyDescent="0.25"/>
    <row r="54597" customFormat="1" x14ac:dyDescent="0.25"/>
    <row r="54598" customFormat="1" x14ac:dyDescent="0.25"/>
    <row r="54599" customFormat="1" x14ac:dyDescent="0.25"/>
    <row r="54600" customFormat="1" x14ac:dyDescent="0.25"/>
    <row r="54601" customFormat="1" x14ac:dyDescent="0.25"/>
    <row r="54602" customFormat="1" x14ac:dyDescent="0.25"/>
    <row r="54603" customFormat="1" x14ac:dyDescent="0.25"/>
    <row r="54604" customFormat="1" x14ac:dyDescent="0.25"/>
    <row r="54605" customFormat="1" x14ac:dyDescent="0.25"/>
    <row r="54606" customFormat="1" x14ac:dyDescent="0.25"/>
    <row r="54607" customFormat="1" x14ac:dyDescent="0.25"/>
    <row r="54608" customFormat="1" x14ac:dyDescent="0.25"/>
    <row r="54609" customFormat="1" x14ac:dyDescent="0.25"/>
    <row r="54610" customFormat="1" x14ac:dyDescent="0.25"/>
    <row r="54611" customFormat="1" x14ac:dyDescent="0.25"/>
    <row r="54612" customFormat="1" x14ac:dyDescent="0.25"/>
    <row r="54613" customFormat="1" x14ac:dyDescent="0.25"/>
    <row r="54614" customFormat="1" x14ac:dyDescent="0.25"/>
    <row r="54615" customFormat="1" x14ac:dyDescent="0.25"/>
    <row r="54616" customFormat="1" x14ac:dyDescent="0.25"/>
    <row r="54617" customFormat="1" x14ac:dyDescent="0.25"/>
    <row r="54618" customFormat="1" x14ac:dyDescent="0.25"/>
    <row r="54619" customFormat="1" x14ac:dyDescent="0.25"/>
    <row r="54620" customFormat="1" x14ac:dyDescent="0.25"/>
    <row r="54621" customFormat="1" x14ac:dyDescent="0.25"/>
    <row r="54622" customFormat="1" x14ac:dyDescent="0.25"/>
    <row r="54623" customFormat="1" x14ac:dyDescent="0.25"/>
    <row r="54624" customFormat="1" x14ac:dyDescent="0.25"/>
    <row r="54625" customFormat="1" x14ac:dyDescent="0.25"/>
    <row r="54626" customFormat="1" x14ac:dyDescent="0.25"/>
    <row r="54627" customFormat="1" x14ac:dyDescent="0.25"/>
    <row r="54628" customFormat="1" x14ac:dyDescent="0.25"/>
    <row r="54629" customFormat="1" x14ac:dyDescent="0.25"/>
    <row r="54630" customFormat="1" x14ac:dyDescent="0.25"/>
    <row r="54631" customFormat="1" x14ac:dyDescent="0.25"/>
    <row r="54632" customFormat="1" x14ac:dyDescent="0.25"/>
    <row r="54633" customFormat="1" x14ac:dyDescent="0.25"/>
    <row r="54634" customFormat="1" x14ac:dyDescent="0.25"/>
    <row r="54635" customFormat="1" x14ac:dyDescent="0.25"/>
    <row r="54636" customFormat="1" x14ac:dyDescent="0.25"/>
    <row r="54637" customFormat="1" x14ac:dyDescent="0.25"/>
    <row r="54638" customFormat="1" x14ac:dyDescent="0.25"/>
    <row r="54639" customFormat="1" x14ac:dyDescent="0.25"/>
    <row r="54640" customFormat="1" x14ac:dyDescent="0.25"/>
    <row r="54641" customFormat="1" x14ac:dyDescent="0.25"/>
    <row r="54642" customFormat="1" x14ac:dyDescent="0.25"/>
    <row r="54643" customFormat="1" x14ac:dyDescent="0.25"/>
    <row r="54644" customFormat="1" x14ac:dyDescent="0.25"/>
    <row r="54645" customFormat="1" x14ac:dyDescent="0.25"/>
    <row r="54646" customFormat="1" x14ac:dyDescent="0.25"/>
    <row r="54647" customFormat="1" x14ac:dyDescent="0.25"/>
    <row r="54648" customFormat="1" x14ac:dyDescent="0.25"/>
    <row r="54649" customFormat="1" x14ac:dyDescent="0.25"/>
    <row r="54650" customFormat="1" x14ac:dyDescent="0.25"/>
    <row r="54651" customFormat="1" x14ac:dyDescent="0.25"/>
    <row r="54652" customFormat="1" x14ac:dyDescent="0.25"/>
    <row r="54653" customFormat="1" x14ac:dyDescent="0.25"/>
    <row r="54654" customFormat="1" x14ac:dyDescent="0.25"/>
    <row r="54655" customFormat="1" x14ac:dyDescent="0.25"/>
    <row r="54656" customFormat="1" x14ac:dyDescent="0.25"/>
    <row r="54657" customFormat="1" x14ac:dyDescent="0.25"/>
    <row r="54658" customFormat="1" x14ac:dyDescent="0.25"/>
    <row r="54659" customFormat="1" x14ac:dyDescent="0.25"/>
    <row r="54660" customFormat="1" x14ac:dyDescent="0.25"/>
    <row r="54661" customFormat="1" x14ac:dyDescent="0.25"/>
    <row r="54662" customFormat="1" x14ac:dyDescent="0.25"/>
    <row r="54663" customFormat="1" x14ac:dyDescent="0.25"/>
    <row r="54664" customFormat="1" x14ac:dyDescent="0.25"/>
    <row r="54665" customFormat="1" x14ac:dyDescent="0.25"/>
    <row r="54666" customFormat="1" x14ac:dyDescent="0.25"/>
    <row r="54667" customFormat="1" x14ac:dyDescent="0.25"/>
    <row r="54668" customFormat="1" x14ac:dyDescent="0.25"/>
    <row r="54669" customFormat="1" x14ac:dyDescent="0.25"/>
    <row r="54670" customFormat="1" x14ac:dyDescent="0.25"/>
    <row r="54671" customFormat="1" x14ac:dyDescent="0.25"/>
    <row r="54672" customFormat="1" x14ac:dyDescent="0.25"/>
    <row r="54673" customFormat="1" x14ac:dyDescent="0.25"/>
    <row r="54674" customFormat="1" x14ac:dyDescent="0.25"/>
    <row r="54675" customFormat="1" x14ac:dyDescent="0.25"/>
    <row r="54676" customFormat="1" x14ac:dyDescent="0.25"/>
    <row r="54677" customFormat="1" x14ac:dyDescent="0.25"/>
    <row r="54678" customFormat="1" x14ac:dyDescent="0.25"/>
    <row r="54679" customFormat="1" x14ac:dyDescent="0.25"/>
    <row r="54680" customFormat="1" x14ac:dyDescent="0.25"/>
    <row r="54681" customFormat="1" x14ac:dyDescent="0.25"/>
    <row r="54682" customFormat="1" x14ac:dyDescent="0.25"/>
    <row r="54683" customFormat="1" x14ac:dyDescent="0.25"/>
    <row r="54684" customFormat="1" x14ac:dyDescent="0.25"/>
    <row r="54685" customFormat="1" x14ac:dyDescent="0.25"/>
    <row r="54686" customFormat="1" x14ac:dyDescent="0.25"/>
    <row r="54687" customFormat="1" x14ac:dyDescent="0.25"/>
    <row r="54688" customFormat="1" x14ac:dyDescent="0.25"/>
    <row r="54689" customFormat="1" x14ac:dyDescent="0.25"/>
    <row r="54690" customFormat="1" x14ac:dyDescent="0.25"/>
    <row r="54691" customFormat="1" x14ac:dyDescent="0.25"/>
    <row r="54692" customFormat="1" x14ac:dyDescent="0.25"/>
    <row r="54693" customFormat="1" x14ac:dyDescent="0.25"/>
    <row r="54694" customFormat="1" x14ac:dyDescent="0.25"/>
    <row r="54695" customFormat="1" x14ac:dyDescent="0.25"/>
    <row r="54696" customFormat="1" x14ac:dyDescent="0.25"/>
    <row r="54697" customFormat="1" x14ac:dyDescent="0.25"/>
    <row r="54698" customFormat="1" x14ac:dyDescent="0.25"/>
    <row r="54699" customFormat="1" x14ac:dyDescent="0.25"/>
    <row r="54700" customFormat="1" x14ac:dyDescent="0.25"/>
    <row r="54701" customFormat="1" x14ac:dyDescent="0.25"/>
    <row r="54702" customFormat="1" x14ac:dyDescent="0.25"/>
    <row r="54703" customFormat="1" x14ac:dyDescent="0.25"/>
    <row r="54704" customFormat="1" x14ac:dyDescent="0.25"/>
    <row r="54705" customFormat="1" x14ac:dyDescent="0.25"/>
    <row r="54706" customFormat="1" x14ac:dyDescent="0.25"/>
    <row r="54707" customFormat="1" x14ac:dyDescent="0.25"/>
    <row r="54708" customFormat="1" x14ac:dyDescent="0.25"/>
    <row r="54709" customFormat="1" x14ac:dyDescent="0.25"/>
    <row r="54710" customFormat="1" x14ac:dyDescent="0.25"/>
    <row r="54711" customFormat="1" x14ac:dyDescent="0.25"/>
    <row r="54712" customFormat="1" x14ac:dyDescent="0.25"/>
    <row r="54713" customFormat="1" x14ac:dyDescent="0.25"/>
    <row r="54714" customFormat="1" x14ac:dyDescent="0.25"/>
    <row r="54715" customFormat="1" x14ac:dyDescent="0.25"/>
    <row r="54716" customFormat="1" x14ac:dyDescent="0.25"/>
    <row r="54717" customFormat="1" x14ac:dyDescent="0.25"/>
    <row r="54718" customFormat="1" x14ac:dyDescent="0.25"/>
    <row r="54719" customFormat="1" x14ac:dyDescent="0.25"/>
    <row r="54720" customFormat="1" x14ac:dyDescent="0.25"/>
    <row r="54721" customFormat="1" x14ac:dyDescent="0.25"/>
    <row r="54722" customFormat="1" x14ac:dyDescent="0.25"/>
    <row r="54723" customFormat="1" x14ac:dyDescent="0.25"/>
    <row r="54724" customFormat="1" x14ac:dyDescent="0.25"/>
    <row r="54725" customFormat="1" x14ac:dyDescent="0.25"/>
    <row r="54726" customFormat="1" x14ac:dyDescent="0.25"/>
    <row r="54727" customFormat="1" x14ac:dyDescent="0.25"/>
    <row r="54728" customFormat="1" x14ac:dyDescent="0.25"/>
    <row r="54729" customFormat="1" x14ac:dyDescent="0.25"/>
    <row r="54730" customFormat="1" x14ac:dyDescent="0.25"/>
    <row r="54731" customFormat="1" x14ac:dyDescent="0.25"/>
    <row r="54732" customFormat="1" x14ac:dyDescent="0.25"/>
    <row r="54733" customFormat="1" x14ac:dyDescent="0.25"/>
    <row r="54734" customFormat="1" x14ac:dyDescent="0.25"/>
    <row r="54735" customFormat="1" x14ac:dyDescent="0.25"/>
    <row r="54736" customFormat="1" x14ac:dyDescent="0.25"/>
    <row r="54737" customFormat="1" x14ac:dyDescent="0.25"/>
    <row r="54738" customFormat="1" x14ac:dyDescent="0.25"/>
    <row r="54739" customFormat="1" x14ac:dyDescent="0.25"/>
    <row r="54740" customFormat="1" x14ac:dyDescent="0.25"/>
    <row r="54741" customFormat="1" x14ac:dyDescent="0.25"/>
    <row r="54742" customFormat="1" x14ac:dyDescent="0.25"/>
    <row r="54743" customFormat="1" x14ac:dyDescent="0.25"/>
    <row r="54744" customFormat="1" x14ac:dyDescent="0.25"/>
    <row r="54745" customFormat="1" x14ac:dyDescent="0.25"/>
    <row r="54746" customFormat="1" x14ac:dyDescent="0.25"/>
    <row r="54747" customFormat="1" x14ac:dyDescent="0.25"/>
    <row r="54748" customFormat="1" x14ac:dyDescent="0.25"/>
    <row r="54749" customFormat="1" x14ac:dyDescent="0.25"/>
    <row r="54750" customFormat="1" x14ac:dyDescent="0.25"/>
    <row r="54751" customFormat="1" x14ac:dyDescent="0.25"/>
    <row r="54752" customFormat="1" x14ac:dyDescent="0.25"/>
    <row r="54753" customFormat="1" x14ac:dyDescent="0.25"/>
    <row r="54754" customFormat="1" x14ac:dyDescent="0.25"/>
    <row r="54755" customFormat="1" x14ac:dyDescent="0.25"/>
    <row r="54756" customFormat="1" x14ac:dyDescent="0.25"/>
    <row r="54757" customFormat="1" x14ac:dyDescent="0.25"/>
    <row r="54758" customFormat="1" x14ac:dyDescent="0.25"/>
    <row r="54759" customFormat="1" x14ac:dyDescent="0.25"/>
    <row r="54760" customFormat="1" x14ac:dyDescent="0.25"/>
    <row r="54761" customFormat="1" x14ac:dyDescent="0.25"/>
    <row r="54762" customFormat="1" x14ac:dyDescent="0.25"/>
    <row r="54763" customFormat="1" x14ac:dyDescent="0.25"/>
    <row r="54764" customFormat="1" x14ac:dyDescent="0.25"/>
    <row r="54765" customFormat="1" x14ac:dyDescent="0.25"/>
    <row r="54766" customFormat="1" x14ac:dyDescent="0.25"/>
    <row r="54767" customFormat="1" x14ac:dyDescent="0.25"/>
    <row r="54768" customFormat="1" x14ac:dyDescent="0.25"/>
    <row r="54769" customFormat="1" x14ac:dyDescent="0.25"/>
    <row r="54770" customFormat="1" x14ac:dyDescent="0.25"/>
    <row r="54771" customFormat="1" x14ac:dyDescent="0.25"/>
    <row r="54772" customFormat="1" x14ac:dyDescent="0.25"/>
    <row r="54773" customFormat="1" x14ac:dyDescent="0.25"/>
    <row r="54774" customFormat="1" x14ac:dyDescent="0.25"/>
    <row r="54775" customFormat="1" x14ac:dyDescent="0.25"/>
    <row r="54776" customFormat="1" x14ac:dyDescent="0.25"/>
    <row r="54777" customFormat="1" x14ac:dyDescent="0.25"/>
    <row r="54778" customFormat="1" x14ac:dyDescent="0.25"/>
    <row r="54779" customFormat="1" x14ac:dyDescent="0.25"/>
    <row r="54780" customFormat="1" x14ac:dyDescent="0.25"/>
    <row r="54781" customFormat="1" x14ac:dyDescent="0.25"/>
    <row r="54782" customFormat="1" x14ac:dyDescent="0.25"/>
    <row r="54783" customFormat="1" x14ac:dyDescent="0.25"/>
    <row r="54784" customFormat="1" x14ac:dyDescent="0.25"/>
    <row r="54785" customFormat="1" x14ac:dyDescent="0.25"/>
    <row r="54786" customFormat="1" x14ac:dyDescent="0.25"/>
    <row r="54787" customFormat="1" x14ac:dyDescent="0.25"/>
    <row r="54788" customFormat="1" x14ac:dyDescent="0.25"/>
    <row r="54789" customFormat="1" x14ac:dyDescent="0.25"/>
    <row r="54790" customFormat="1" x14ac:dyDescent="0.25"/>
    <row r="54791" customFormat="1" x14ac:dyDescent="0.25"/>
    <row r="54792" customFormat="1" x14ac:dyDescent="0.25"/>
    <row r="54793" customFormat="1" x14ac:dyDescent="0.25"/>
    <row r="54794" customFormat="1" x14ac:dyDescent="0.25"/>
    <row r="54795" customFormat="1" x14ac:dyDescent="0.25"/>
    <row r="54796" customFormat="1" x14ac:dyDescent="0.25"/>
    <row r="54797" customFormat="1" x14ac:dyDescent="0.25"/>
    <row r="54798" customFormat="1" x14ac:dyDescent="0.25"/>
    <row r="54799" customFormat="1" x14ac:dyDescent="0.25"/>
    <row r="54800" customFormat="1" x14ac:dyDescent="0.25"/>
    <row r="54801" customFormat="1" x14ac:dyDescent="0.25"/>
    <row r="54802" customFormat="1" x14ac:dyDescent="0.25"/>
    <row r="54803" customFormat="1" x14ac:dyDescent="0.25"/>
    <row r="54804" customFormat="1" x14ac:dyDescent="0.25"/>
    <row r="54805" customFormat="1" x14ac:dyDescent="0.25"/>
    <row r="54806" customFormat="1" x14ac:dyDescent="0.25"/>
    <row r="54807" customFormat="1" x14ac:dyDescent="0.25"/>
    <row r="54808" customFormat="1" x14ac:dyDescent="0.25"/>
    <row r="54809" customFormat="1" x14ac:dyDescent="0.25"/>
    <row r="54810" customFormat="1" x14ac:dyDescent="0.25"/>
    <row r="54811" customFormat="1" x14ac:dyDescent="0.25"/>
    <row r="54812" customFormat="1" x14ac:dyDescent="0.25"/>
    <row r="54813" customFormat="1" x14ac:dyDescent="0.25"/>
    <row r="54814" customFormat="1" x14ac:dyDescent="0.25"/>
    <row r="54815" customFormat="1" x14ac:dyDescent="0.25"/>
    <row r="54816" customFormat="1" x14ac:dyDescent="0.25"/>
    <row r="54817" customFormat="1" x14ac:dyDescent="0.25"/>
    <row r="54818" customFormat="1" x14ac:dyDescent="0.25"/>
    <row r="54819" customFormat="1" x14ac:dyDescent="0.25"/>
    <row r="54820" customFormat="1" x14ac:dyDescent="0.25"/>
    <row r="54821" customFormat="1" x14ac:dyDescent="0.25"/>
    <row r="54822" customFormat="1" x14ac:dyDescent="0.25"/>
    <row r="54823" customFormat="1" x14ac:dyDescent="0.25"/>
    <row r="54824" customFormat="1" x14ac:dyDescent="0.25"/>
    <row r="54825" customFormat="1" x14ac:dyDescent="0.25"/>
    <row r="54826" customFormat="1" x14ac:dyDescent="0.25"/>
    <row r="54827" customFormat="1" x14ac:dyDescent="0.25"/>
    <row r="54828" customFormat="1" x14ac:dyDescent="0.25"/>
    <row r="54829" customFormat="1" x14ac:dyDescent="0.25"/>
    <row r="54830" customFormat="1" x14ac:dyDescent="0.25"/>
    <row r="54831" customFormat="1" x14ac:dyDescent="0.25"/>
    <row r="54832" customFormat="1" x14ac:dyDescent="0.25"/>
    <row r="54833" customFormat="1" x14ac:dyDescent="0.25"/>
    <row r="54834" customFormat="1" x14ac:dyDescent="0.25"/>
    <row r="54835" customFormat="1" x14ac:dyDescent="0.25"/>
    <row r="54836" customFormat="1" x14ac:dyDescent="0.25"/>
    <row r="54837" customFormat="1" x14ac:dyDescent="0.25"/>
    <row r="54838" customFormat="1" x14ac:dyDescent="0.25"/>
    <row r="54839" customFormat="1" x14ac:dyDescent="0.25"/>
    <row r="54840" customFormat="1" x14ac:dyDescent="0.25"/>
    <row r="54841" customFormat="1" x14ac:dyDescent="0.25"/>
    <row r="54842" customFormat="1" x14ac:dyDescent="0.25"/>
    <row r="54843" customFormat="1" x14ac:dyDescent="0.25"/>
    <row r="54844" customFormat="1" x14ac:dyDescent="0.25"/>
    <row r="54845" customFormat="1" x14ac:dyDescent="0.25"/>
    <row r="54846" customFormat="1" x14ac:dyDescent="0.25"/>
    <row r="54847" customFormat="1" x14ac:dyDescent="0.25"/>
    <row r="54848" customFormat="1" x14ac:dyDescent="0.25"/>
    <row r="54849" customFormat="1" x14ac:dyDescent="0.25"/>
    <row r="54850" customFormat="1" x14ac:dyDescent="0.25"/>
    <row r="54851" customFormat="1" x14ac:dyDescent="0.25"/>
    <row r="54852" customFormat="1" x14ac:dyDescent="0.25"/>
    <row r="54853" customFormat="1" x14ac:dyDescent="0.25"/>
    <row r="54854" customFormat="1" x14ac:dyDescent="0.25"/>
    <row r="54855" customFormat="1" x14ac:dyDescent="0.25"/>
    <row r="54856" customFormat="1" x14ac:dyDescent="0.25"/>
    <row r="54857" customFormat="1" x14ac:dyDescent="0.25"/>
    <row r="54858" customFormat="1" x14ac:dyDescent="0.25"/>
    <row r="54859" customFormat="1" x14ac:dyDescent="0.25"/>
    <row r="54860" customFormat="1" x14ac:dyDescent="0.25"/>
    <row r="54861" customFormat="1" x14ac:dyDescent="0.25"/>
    <row r="54862" customFormat="1" x14ac:dyDescent="0.25"/>
    <row r="54863" customFormat="1" x14ac:dyDescent="0.25"/>
    <row r="54864" customFormat="1" x14ac:dyDescent="0.25"/>
    <row r="54865" customFormat="1" x14ac:dyDescent="0.25"/>
    <row r="54866" customFormat="1" x14ac:dyDescent="0.25"/>
    <row r="54867" customFormat="1" x14ac:dyDescent="0.25"/>
    <row r="54868" customFormat="1" x14ac:dyDescent="0.25"/>
    <row r="54869" customFormat="1" x14ac:dyDescent="0.25"/>
    <row r="54870" customFormat="1" x14ac:dyDescent="0.25"/>
    <row r="54871" customFormat="1" x14ac:dyDescent="0.25"/>
    <row r="54872" customFormat="1" x14ac:dyDescent="0.25"/>
    <row r="54873" customFormat="1" x14ac:dyDescent="0.25"/>
    <row r="54874" customFormat="1" x14ac:dyDescent="0.25"/>
    <row r="54875" customFormat="1" x14ac:dyDescent="0.25"/>
    <row r="54876" customFormat="1" x14ac:dyDescent="0.25"/>
    <row r="54877" customFormat="1" x14ac:dyDescent="0.25"/>
    <row r="54878" customFormat="1" x14ac:dyDescent="0.25"/>
    <row r="54879" customFormat="1" x14ac:dyDescent="0.25"/>
    <row r="54880" customFormat="1" x14ac:dyDescent="0.25"/>
    <row r="54881" customFormat="1" x14ac:dyDescent="0.25"/>
    <row r="54882" customFormat="1" x14ac:dyDescent="0.25"/>
    <row r="54883" customFormat="1" x14ac:dyDescent="0.25"/>
    <row r="54884" customFormat="1" x14ac:dyDescent="0.25"/>
    <row r="54885" customFormat="1" x14ac:dyDescent="0.25"/>
    <row r="54886" customFormat="1" x14ac:dyDescent="0.25"/>
    <row r="54887" customFormat="1" x14ac:dyDescent="0.25"/>
    <row r="54888" customFormat="1" x14ac:dyDescent="0.25"/>
    <row r="54889" customFormat="1" x14ac:dyDescent="0.25"/>
    <row r="54890" customFormat="1" x14ac:dyDescent="0.25"/>
    <row r="54891" customFormat="1" x14ac:dyDescent="0.25"/>
    <row r="54892" customFormat="1" x14ac:dyDescent="0.25"/>
    <row r="54893" customFormat="1" x14ac:dyDescent="0.25"/>
    <row r="54894" customFormat="1" x14ac:dyDescent="0.25"/>
    <row r="54895" customFormat="1" x14ac:dyDescent="0.25"/>
    <row r="54896" customFormat="1" x14ac:dyDescent="0.25"/>
    <row r="54897" customFormat="1" x14ac:dyDescent="0.25"/>
    <row r="54898" customFormat="1" x14ac:dyDescent="0.25"/>
    <row r="54899" customFormat="1" x14ac:dyDescent="0.25"/>
    <row r="54900" customFormat="1" x14ac:dyDescent="0.25"/>
    <row r="54901" customFormat="1" x14ac:dyDescent="0.25"/>
    <row r="54902" customFormat="1" x14ac:dyDescent="0.25"/>
    <row r="54903" customFormat="1" x14ac:dyDescent="0.25"/>
    <row r="54904" customFormat="1" x14ac:dyDescent="0.25"/>
    <row r="54905" customFormat="1" x14ac:dyDescent="0.25"/>
    <row r="54906" customFormat="1" x14ac:dyDescent="0.25"/>
    <row r="54907" customFormat="1" x14ac:dyDescent="0.25"/>
    <row r="54908" customFormat="1" x14ac:dyDescent="0.25"/>
    <row r="54909" customFormat="1" x14ac:dyDescent="0.25"/>
    <row r="54910" customFormat="1" x14ac:dyDescent="0.25"/>
    <row r="54911" customFormat="1" x14ac:dyDescent="0.25"/>
    <row r="54912" customFormat="1" x14ac:dyDescent="0.25"/>
    <row r="54913" customFormat="1" x14ac:dyDescent="0.25"/>
    <row r="54914" customFormat="1" x14ac:dyDescent="0.25"/>
    <row r="54915" customFormat="1" x14ac:dyDescent="0.25"/>
    <row r="54916" customFormat="1" x14ac:dyDescent="0.25"/>
    <row r="54917" customFormat="1" x14ac:dyDescent="0.25"/>
    <row r="54918" customFormat="1" x14ac:dyDescent="0.25"/>
    <row r="54919" customFormat="1" x14ac:dyDescent="0.25"/>
    <row r="54920" customFormat="1" x14ac:dyDescent="0.25"/>
    <row r="54921" customFormat="1" x14ac:dyDescent="0.25"/>
    <row r="54922" customFormat="1" x14ac:dyDescent="0.25"/>
    <row r="54923" customFormat="1" x14ac:dyDescent="0.25"/>
    <row r="54924" customFormat="1" x14ac:dyDescent="0.25"/>
    <row r="54925" customFormat="1" x14ac:dyDescent="0.25"/>
    <row r="54926" customFormat="1" x14ac:dyDescent="0.25"/>
    <row r="54927" customFormat="1" x14ac:dyDescent="0.25"/>
    <row r="54928" customFormat="1" x14ac:dyDescent="0.25"/>
    <row r="54929" customFormat="1" x14ac:dyDescent="0.25"/>
    <row r="54930" customFormat="1" x14ac:dyDescent="0.25"/>
    <row r="54931" customFormat="1" x14ac:dyDescent="0.25"/>
    <row r="54932" customFormat="1" x14ac:dyDescent="0.25"/>
    <row r="54933" customFormat="1" x14ac:dyDescent="0.25"/>
    <row r="54934" customFormat="1" x14ac:dyDescent="0.25"/>
    <row r="54935" customFormat="1" x14ac:dyDescent="0.25"/>
    <row r="54936" customFormat="1" x14ac:dyDescent="0.25"/>
    <row r="54937" customFormat="1" x14ac:dyDescent="0.25"/>
    <row r="54938" customFormat="1" x14ac:dyDescent="0.25"/>
    <row r="54939" customFormat="1" x14ac:dyDescent="0.25"/>
    <row r="54940" customFormat="1" x14ac:dyDescent="0.25"/>
    <row r="54941" customFormat="1" x14ac:dyDescent="0.25"/>
    <row r="54942" customFormat="1" x14ac:dyDescent="0.25"/>
    <row r="54943" customFormat="1" x14ac:dyDescent="0.25"/>
    <row r="54944" customFormat="1" x14ac:dyDescent="0.25"/>
    <row r="54945" customFormat="1" x14ac:dyDescent="0.25"/>
    <row r="54946" customFormat="1" x14ac:dyDescent="0.25"/>
    <row r="54947" customFormat="1" x14ac:dyDescent="0.25"/>
    <row r="54948" customFormat="1" x14ac:dyDescent="0.25"/>
    <row r="54949" customFormat="1" x14ac:dyDescent="0.25"/>
    <row r="54950" customFormat="1" x14ac:dyDescent="0.25"/>
    <row r="54951" customFormat="1" x14ac:dyDescent="0.25"/>
    <row r="54952" customFormat="1" x14ac:dyDescent="0.25"/>
    <row r="54953" customFormat="1" x14ac:dyDescent="0.25"/>
    <row r="54954" customFormat="1" x14ac:dyDescent="0.25"/>
    <row r="54955" customFormat="1" x14ac:dyDescent="0.25"/>
    <row r="54956" customFormat="1" x14ac:dyDescent="0.25"/>
    <row r="54957" customFormat="1" x14ac:dyDescent="0.25"/>
    <row r="54958" customFormat="1" x14ac:dyDescent="0.25"/>
    <row r="54959" customFormat="1" x14ac:dyDescent="0.25"/>
    <row r="54960" customFormat="1" x14ac:dyDescent="0.25"/>
    <row r="54961" customFormat="1" x14ac:dyDescent="0.25"/>
    <row r="54962" customFormat="1" x14ac:dyDescent="0.25"/>
    <row r="54963" customFormat="1" x14ac:dyDescent="0.25"/>
    <row r="54964" customFormat="1" x14ac:dyDescent="0.25"/>
    <row r="54965" customFormat="1" x14ac:dyDescent="0.25"/>
    <row r="54966" customFormat="1" x14ac:dyDescent="0.25"/>
    <row r="54967" customFormat="1" x14ac:dyDescent="0.25"/>
    <row r="54968" customFormat="1" x14ac:dyDescent="0.25"/>
    <row r="54969" customFormat="1" x14ac:dyDescent="0.25"/>
    <row r="54970" customFormat="1" x14ac:dyDescent="0.25"/>
    <row r="54971" customFormat="1" x14ac:dyDescent="0.25"/>
    <row r="54972" customFormat="1" x14ac:dyDescent="0.25"/>
    <row r="54973" customFormat="1" x14ac:dyDescent="0.25"/>
    <row r="54974" customFormat="1" x14ac:dyDescent="0.25"/>
    <row r="54975" customFormat="1" x14ac:dyDescent="0.25"/>
    <row r="54976" customFormat="1" x14ac:dyDescent="0.25"/>
    <row r="54977" customFormat="1" x14ac:dyDescent="0.25"/>
    <row r="54978" customFormat="1" x14ac:dyDescent="0.25"/>
    <row r="54979" customFormat="1" x14ac:dyDescent="0.25"/>
    <row r="54980" customFormat="1" x14ac:dyDescent="0.25"/>
    <row r="54981" customFormat="1" x14ac:dyDescent="0.25"/>
    <row r="54982" customFormat="1" x14ac:dyDescent="0.25"/>
    <row r="54983" customFormat="1" x14ac:dyDescent="0.25"/>
    <row r="54984" customFormat="1" x14ac:dyDescent="0.25"/>
    <row r="54985" customFormat="1" x14ac:dyDescent="0.25"/>
    <row r="54986" customFormat="1" x14ac:dyDescent="0.25"/>
    <row r="54987" customFormat="1" x14ac:dyDescent="0.25"/>
    <row r="54988" customFormat="1" x14ac:dyDescent="0.25"/>
    <row r="54989" customFormat="1" x14ac:dyDescent="0.25"/>
    <row r="54990" customFormat="1" x14ac:dyDescent="0.25"/>
    <row r="54991" customFormat="1" x14ac:dyDescent="0.25"/>
    <row r="54992" customFormat="1" x14ac:dyDescent="0.25"/>
    <row r="54993" customFormat="1" x14ac:dyDescent="0.25"/>
    <row r="54994" customFormat="1" x14ac:dyDescent="0.25"/>
    <row r="54995" customFormat="1" x14ac:dyDescent="0.25"/>
    <row r="54996" customFormat="1" x14ac:dyDescent="0.25"/>
    <row r="54997" customFormat="1" x14ac:dyDescent="0.25"/>
    <row r="54998" customFormat="1" x14ac:dyDescent="0.25"/>
    <row r="54999" customFormat="1" x14ac:dyDescent="0.25"/>
    <row r="55000" customFormat="1" x14ac:dyDescent="0.25"/>
    <row r="55001" customFormat="1" x14ac:dyDescent="0.25"/>
    <row r="55002" customFormat="1" x14ac:dyDescent="0.25"/>
    <row r="55003" customFormat="1" x14ac:dyDescent="0.25"/>
    <row r="55004" customFormat="1" x14ac:dyDescent="0.25"/>
    <row r="55005" customFormat="1" x14ac:dyDescent="0.25"/>
    <row r="55006" customFormat="1" x14ac:dyDescent="0.25"/>
    <row r="55007" customFormat="1" x14ac:dyDescent="0.25"/>
    <row r="55008" customFormat="1" x14ac:dyDescent="0.25"/>
    <row r="55009" customFormat="1" x14ac:dyDescent="0.25"/>
    <row r="55010" customFormat="1" x14ac:dyDescent="0.25"/>
    <row r="55011" customFormat="1" x14ac:dyDescent="0.25"/>
    <row r="55012" customFormat="1" x14ac:dyDescent="0.25"/>
    <row r="55013" customFormat="1" x14ac:dyDescent="0.25"/>
    <row r="55014" customFormat="1" x14ac:dyDescent="0.25"/>
    <row r="55015" customFormat="1" x14ac:dyDescent="0.25"/>
    <row r="55016" customFormat="1" x14ac:dyDescent="0.25"/>
    <row r="55017" customFormat="1" x14ac:dyDescent="0.25"/>
    <row r="55018" customFormat="1" x14ac:dyDescent="0.25"/>
    <row r="55019" customFormat="1" x14ac:dyDescent="0.25"/>
    <row r="55020" customFormat="1" x14ac:dyDescent="0.25"/>
    <row r="55021" customFormat="1" x14ac:dyDescent="0.25"/>
    <row r="55022" customFormat="1" x14ac:dyDescent="0.25"/>
    <row r="55023" customFormat="1" x14ac:dyDescent="0.25"/>
    <row r="55024" customFormat="1" x14ac:dyDescent="0.25"/>
    <row r="55025" customFormat="1" x14ac:dyDescent="0.25"/>
    <row r="55026" customFormat="1" x14ac:dyDescent="0.25"/>
    <row r="55027" customFormat="1" x14ac:dyDescent="0.25"/>
    <row r="55028" customFormat="1" x14ac:dyDescent="0.25"/>
    <row r="55029" customFormat="1" x14ac:dyDescent="0.25"/>
    <row r="55030" customFormat="1" x14ac:dyDescent="0.25"/>
    <row r="55031" customFormat="1" x14ac:dyDescent="0.25"/>
    <row r="55032" customFormat="1" x14ac:dyDescent="0.25"/>
    <row r="55033" customFormat="1" x14ac:dyDescent="0.25"/>
    <row r="55034" customFormat="1" x14ac:dyDescent="0.25"/>
    <row r="55035" customFormat="1" x14ac:dyDescent="0.25"/>
    <row r="55036" customFormat="1" x14ac:dyDescent="0.25"/>
    <row r="55037" customFormat="1" x14ac:dyDescent="0.25"/>
    <row r="55038" customFormat="1" x14ac:dyDescent="0.25"/>
    <row r="55039" customFormat="1" x14ac:dyDescent="0.25"/>
    <row r="55040" customFormat="1" x14ac:dyDescent="0.25"/>
    <row r="55041" customFormat="1" x14ac:dyDescent="0.25"/>
    <row r="55042" customFormat="1" x14ac:dyDescent="0.25"/>
    <row r="55043" customFormat="1" x14ac:dyDescent="0.25"/>
    <row r="55044" customFormat="1" x14ac:dyDescent="0.25"/>
    <row r="55045" customFormat="1" x14ac:dyDescent="0.25"/>
    <row r="55046" customFormat="1" x14ac:dyDescent="0.25"/>
    <row r="55047" customFormat="1" x14ac:dyDescent="0.25"/>
    <row r="55048" customFormat="1" x14ac:dyDescent="0.25"/>
    <row r="55049" customFormat="1" x14ac:dyDescent="0.25"/>
    <row r="55050" customFormat="1" x14ac:dyDescent="0.25"/>
    <row r="55051" customFormat="1" x14ac:dyDescent="0.25"/>
    <row r="55052" customFormat="1" x14ac:dyDescent="0.25"/>
    <row r="55053" customFormat="1" x14ac:dyDescent="0.25"/>
    <row r="55054" customFormat="1" x14ac:dyDescent="0.25"/>
    <row r="55055" customFormat="1" x14ac:dyDescent="0.25"/>
    <row r="55056" customFormat="1" x14ac:dyDescent="0.25"/>
    <row r="55057" customFormat="1" x14ac:dyDescent="0.25"/>
    <row r="55058" customFormat="1" x14ac:dyDescent="0.25"/>
    <row r="55059" customFormat="1" x14ac:dyDescent="0.25"/>
    <row r="55060" customFormat="1" x14ac:dyDescent="0.25"/>
    <row r="55061" customFormat="1" x14ac:dyDescent="0.25"/>
    <row r="55062" customFormat="1" x14ac:dyDescent="0.25"/>
    <row r="55063" customFormat="1" x14ac:dyDescent="0.25"/>
    <row r="55064" customFormat="1" x14ac:dyDescent="0.25"/>
    <row r="55065" customFormat="1" x14ac:dyDescent="0.25"/>
    <row r="55066" customFormat="1" x14ac:dyDescent="0.25"/>
    <row r="55067" customFormat="1" x14ac:dyDescent="0.25"/>
    <row r="55068" customFormat="1" x14ac:dyDescent="0.25"/>
    <row r="55069" customFormat="1" x14ac:dyDescent="0.25"/>
    <row r="55070" customFormat="1" x14ac:dyDescent="0.25"/>
    <row r="55071" customFormat="1" x14ac:dyDescent="0.25"/>
    <row r="55072" customFormat="1" x14ac:dyDescent="0.25"/>
    <row r="55073" customFormat="1" x14ac:dyDescent="0.25"/>
    <row r="55074" customFormat="1" x14ac:dyDescent="0.25"/>
    <row r="55075" customFormat="1" x14ac:dyDescent="0.25"/>
    <row r="55076" customFormat="1" x14ac:dyDescent="0.25"/>
    <row r="55077" customFormat="1" x14ac:dyDescent="0.25"/>
    <row r="55078" customFormat="1" x14ac:dyDescent="0.25"/>
    <row r="55079" customFormat="1" x14ac:dyDescent="0.25"/>
    <row r="55080" customFormat="1" x14ac:dyDescent="0.25"/>
    <row r="55081" customFormat="1" x14ac:dyDescent="0.25"/>
    <row r="55082" customFormat="1" x14ac:dyDescent="0.25"/>
    <row r="55083" customFormat="1" x14ac:dyDescent="0.25"/>
    <row r="55084" customFormat="1" x14ac:dyDescent="0.25"/>
    <row r="55085" customFormat="1" x14ac:dyDescent="0.25"/>
    <row r="55086" customFormat="1" x14ac:dyDescent="0.25"/>
    <row r="55087" customFormat="1" x14ac:dyDescent="0.25"/>
    <row r="55088" customFormat="1" x14ac:dyDescent="0.25"/>
    <row r="55089" customFormat="1" x14ac:dyDescent="0.25"/>
    <row r="55090" customFormat="1" x14ac:dyDescent="0.25"/>
    <row r="55091" customFormat="1" x14ac:dyDescent="0.25"/>
    <row r="55092" customFormat="1" x14ac:dyDescent="0.25"/>
    <row r="55093" customFormat="1" x14ac:dyDescent="0.25"/>
    <row r="55094" customFormat="1" x14ac:dyDescent="0.25"/>
    <row r="55095" customFormat="1" x14ac:dyDescent="0.25"/>
    <row r="55096" customFormat="1" x14ac:dyDescent="0.25"/>
    <row r="55097" customFormat="1" x14ac:dyDescent="0.25"/>
    <row r="55098" customFormat="1" x14ac:dyDescent="0.25"/>
    <row r="55099" customFormat="1" x14ac:dyDescent="0.25"/>
    <row r="55100" customFormat="1" x14ac:dyDescent="0.25"/>
    <row r="55101" customFormat="1" x14ac:dyDescent="0.25"/>
    <row r="55102" customFormat="1" x14ac:dyDescent="0.25"/>
    <row r="55103" customFormat="1" x14ac:dyDescent="0.25"/>
    <row r="55104" customFormat="1" x14ac:dyDescent="0.25"/>
    <row r="55105" customFormat="1" x14ac:dyDescent="0.25"/>
    <row r="55106" customFormat="1" x14ac:dyDescent="0.25"/>
    <row r="55107" customFormat="1" x14ac:dyDescent="0.25"/>
    <row r="55108" customFormat="1" x14ac:dyDescent="0.25"/>
    <row r="55109" customFormat="1" x14ac:dyDescent="0.25"/>
    <row r="55110" customFormat="1" x14ac:dyDescent="0.25"/>
    <row r="55111" customFormat="1" x14ac:dyDescent="0.25"/>
    <row r="55112" customFormat="1" x14ac:dyDescent="0.25"/>
    <row r="55113" customFormat="1" x14ac:dyDescent="0.25"/>
    <row r="55114" customFormat="1" x14ac:dyDescent="0.25"/>
    <row r="55115" customFormat="1" x14ac:dyDescent="0.25"/>
    <row r="55116" customFormat="1" x14ac:dyDescent="0.25"/>
    <row r="55117" customFormat="1" x14ac:dyDescent="0.25"/>
    <row r="55118" customFormat="1" x14ac:dyDescent="0.25"/>
    <row r="55119" customFormat="1" x14ac:dyDescent="0.25"/>
    <row r="55120" customFormat="1" x14ac:dyDescent="0.25"/>
    <row r="55121" customFormat="1" x14ac:dyDescent="0.25"/>
    <row r="55122" customFormat="1" x14ac:dyDescent="0.25"/>
    <row r="55123" customFormat="1" x14ac:dyDescent="0.25"/>
    <row r="55124" customFormat="1" x14ac:dyDescent="0.25"/>
    <row r="55125" customFormat="1" x14ac:dyDescent="0.25"/>
    <row r="55126" customFormat="1" x14ac:dyDescent="0.25"/>
    <row r="55127" customFormat="1" x14ac:dyDescent="0.25"/>
    <row r="55128" customFormat="1" x14ac:dyDescent="0.25"/>
    <row r="55129" customFormat="1" x14ac:dyDescent="0.25"/>
    <row r="55130" customFormat="1" x14ac:dyDescent="0.25"/>
    <row r="55131" customFormat="1" x14ac:dyDescent="0.25"/>
    <row r="55132" customFormat="1" x14ac:dyDescent="0.25"/>
    <row r="55133" customFormat="1" x14ac:dyDescent="0.25"/>
    <row r="55134" customFormat="1" x14ac:dyDescent="0.25"/>
    <row r="55135" customFormat="1" x14ac:dyDescent="0.25"/>
    <row r="55136" customFormat="1" x14ac:dyDescent="0.25"/>
    <row r="55137" customFormat="1" x14ac:dyDescent="0.25"/>
    <row r="55138" customFormat="1" x14ac:dyDescent="0.25"/>
    <row r="55139" customFormat="1" x14ac:dyDescent="0.25"/>
    <row r="55140" customFormat="1" x14ac:dyDescent="0.25"/>
    <row r="55141" customFormat="1" x14ac:dyDescent="0.25"/>
    <row r="55142" customFormat="1" x14ac:dyDescent="0.25"/>
    <row r="55143" customFormat="1" x14ac:dyDescent="0.25"/>
    <row r="55144" customFormat="1" x14ac:dyDescent="0.25"/>
    <row r="55145" customFormat="1" x14ac:dyDescent="0.25"/>
    <row r="55146" customFormat="1" x14ac:dyDescent="0.25"/>
    <row r="55147" customFormat="1" x14ac:dyDescent="0.25"/>
    <row r="55148" customFormat="1" x14ac:dyDescent="0.25"/>
    <row r="55149" customFormat="1" x14ac:dyDescent="0.25"/>
    <row r="55150" customFormat="1" x14ac:dyDescent="0.25"/>
    <row r="55151" customFormat="1" x14ac:dyDescent="0.25"/>
    <row r="55152" customFormat="1" x14ac:dyDescent="0.25"/>
    <row r="55153" customFormat="1" x14ac:dyDescent="0.25"/>
    <row r="55154" customFormat="1" x14ac:dyDescent="0.25"/>
    <row r="55155" customFormat="1" x14ac:dyDescent="0.25"/>
    <row r="55156" customFormat="1" x14ac:dyDescent="0.25"/>
    <row r="55157" customFormat="1" x14ac:dyDescent="0.25"/>
    <row r="55158" customFormat="1" x14ac:dyDescent="0.25"/>
    <row r="55159" customFormat="1" x14ac:dyDescent="0.25"/>
    <row r="55160" customFormat="1" x14ac:dyDescent="0.25"/>
    <row r="55161" customFormat="1" x14ac:dyDescent="0.25"/>
    <row r="55162" customFormat="1" x14ac:dyDescent="0.25"/>
    <row r="55163" customFormat="1" x14ac:dyDescent="0.25"/>
    <row r="55164" customFormat="1" x14ac:dyDescent="0.25"/>
    <row r="55165" customFormat="1" x14ac:dyDescent="0.25"/>
    <row r="55166" customFormat="1" x14ac:dyDescent="0.25"/>
    <row r="55167" customFormat="1" x14ac:dyDescent="0.25"/>
    <row r="55168" customFormat="1" x14ac:dyDescent="0.25"/>
    <row r="55169" customFormat="1" x14ac:dyDescent="0.25"/>
    <row r="55170" customFormat="1" x14ac:dyDescent="0.25"/>
    <row r="55171" customFormat="1" x14ac:dyDescent="0.25"/>
    <row r="55172" customFormat="1" x14ac:dyDescent="0.25"/>
    <row r="55173" customFormat="1" x14ac:dyDescent="0.25"/>
    <row r="55174" customFormat="1" x14ac:dyDescent="0.25"/>
    <row r="55175" customFormat="1" x14ac:dyDescent="0.25"/>
    <row r="55176" customFormat="1" x14ac:dyDescent="0.25"/>
    <row r="55177" customFormat="1" x14ac:dyDescent="0.25"/>
    <row r="55178" customFormat="1" x14ac:dyDescent="0.25"/>
    <row r="55179" customFormat="1" x14ac:dyDescent="0.25"/>
    <row r="55180" customFormat="1" x14ac:dyDescent="0.25"/>
    <row r="55181" customFormat="1" x14ac:dyDescent="0.25"/>
    <row r="55182" customFormat="1" x14ac:dyDescent="0.25"/>
    <row r="55183" customFormat="1" x14ac:dyDescent="0.25"/>
    <row r="55184" customFormat="1" x14ac:dyDescent="0.25"/>
    <row r="55185" customFormat="1" x14ac:dyDescent="0.25"/>
    <row r="55186" customFormat="1" x14ac:dyDescent="0.25"/>
    <row r="55187" customFormat="1" x14ac:dyDescent="0.25"/>
    <row r="55188" customFormat="1" x14ac:dyDescent="0.25"/>
    <row r="55189" customFormat="1" x14ac:dyDescent="0.25"/>
    <row r="55190" customFormat="1" x14ac:dyDescent="0.25"/>
    <row r="55191" customFormat="1" x14ac:dyDescent="0.25"/>
    <row r="55192" customFormat="1" x14ac:dyDescent="0.25"/>
    <row r="55193" customFormat="1" x14ac:dyDescent="0.25"/>
    <row r="55194" customFormat="1" x14ac:dyDescent="0.25"/>
    <row r="55195" customFormat="1" x14ac:dyDescent="0.25"/>
    <row r="55196" customFormat="1" x14ac:dyDescent="0.25"/>
    <row r="55197" customFormat="1" x14ac:dyDescent="0.25"/>
    <row r="55198" customFormat="1" x14ac:dyDescent="0.25"/>
    <row r="55199" customFormat="1" x14ac:dyDescent="0.25"/>
    <row r="55200" customFormat="1" x14ac:dyDescent="0.25"/>
    <row r="55201" customFormat="1" x14ac:dyDescent="0.25"/>
    <row r="55202" customFormat="1" x14ac:dyDescent="0.25"/>
    <row r="55203" customFormat="1" x14ac:dyDescent="0.25"/>
    <row r="55204" customFormat="1" x14ac:dyDescent="0.25"/>
    <row r="55205" customFormat="1" x14ac:dyDescent="0.25"/>
    <row r="55206" customFormat="1" x14ac:dyDescent="0.25"/>
    <row r="55207" customFormat="1" x14ac:dyDescent="0.25"/>
    <row r="55208" customFormat="1" x14ac:dyDescent="0.25"/>
    <row r="55209" customFormat="1" x14ac:dyDescent="0.25"/>
    <row r="55210" customFormat="1" x14ac:dyDescent="0.25"/>
    <row r="55211" customFormat="1" x14ac:dyDescent="0.25"/>
    <row r="55212" customFormat="1" x14ac:dyDescent="0.25"/>
    <row r="55213" customFormat="1" x14ac:dyDescent="0.25"/>
    <row r="55214" customFormat="1" x14ac:dyDescent="0.25"/>
    <row r="55215" customFormat="1" x14ac:dyDescent="0.25"/>
    <row r="55216" customFormat="1" x14ac:dyDescent="0.25"/>
    <row r="55217" customFormat="1" x14ac:dyDescent="0.25"/>
    <row r="55218" customFormat="1" x14ac:dyDescent="0.25"/>
    <row r="55219" customFormat="1" x14ac:dyDescent="0.25"/>
    <row r="55220" customFormat="1" x14ac:dyDescent="0.25"/>
    <row r="55221" customFormat="1" x14ac:dyDescent="0.25"/>
    <row r="55222" customFormat="1" x14ac:dyDescent="0.25"/>
    <row r="55223" customFormat="1" x14ac:dyDescent="0.25"/>
    <row r="55224" customFormat="1" x14ac:dyDescent="0.25"/>
    <row r="55225" customFormat="1" x14ac:dyDescent="0.25"/>
    <row r="55226" customFormat="1" x14ac:dyDescent="0.25"/>
    <row r="55227" customFormat="1" x14ac:dyDescent="0.25"/>
    <row r="55228" customFormat="1" x14ac:dyDescent="0.25"/>
    <row r="55229" customFormat="1" x14ac:dyDescent="0.25"/>
    <row r="55230" customFormat="1" x14ac:dyDescent="0.25"/>
    <row r="55231" customFormat="1" x14ac:dyDescent="0.25"/>
    <row r="55232" customFormat="1" x14ac:dyDescent="0.25"/>
    <row r="55233" customFormat="1" x14ac:dyDescent="0.25"/>
    <row r="55234" customFormat="1" x14ac:dyDescent="0.25"/>
    <row r="55235" customFormat="1" x14ac:dyDescent="0.25"/>
    <row r="55236" customFormat="1" x14ac:dyDescent="0.25"/>
    <row r="55237" customFormat="1" x14ac:dyDescent="0.25"/>
    <row r="55238" customFormat="1" x14ac:dyDescent="0.25"/>
    <row r="55239" customFormat="1" x14ac:dyDescent="0.25"/>
    <row r="55240" customFormat="1" x14ac:dyDescent="0.25"/>
    <row r="55241" customFormat="1" x14ac:dyDescent="0.25"/>
    <row r="55242" customFormat="1" x14ac:dyDescent="0.25"/>
    <row r="55243" customFormat="1" x14ac:dyDescent="0.25"/>
    <row r="55244" customFormat="1" x14ac:dyDescent="0.25"/>
    <row r="55245" customFormat="1" x14ac:dyDescent="0.25"/>
    <row r="55246" customFormat="1" x14ac:dyDescent="0.25"/>
    <row r="55247" customFormat="1" x14ac:dyDescent="0.25"/>
    <row r="55248" customFormat="1" x14ac:dyDescent="0.25"/>
    <row r="55249" customFormat="1" x14ac:dyDescent="0.25"/>
    <row r="55250" customFormat="1" x14ac:dyDescent="0.25"/>
    <row r="55251" customFormat="1" x14ac:dyDescent="0.25"/>
    <row r="55252" customFormat="1" x14ac:dyDescent="0.25"/>
    <row r="55253" customFormat="1" x14ac:dyDescent="0.25"/>
    <row r="55254" customFormat="1" x14ac:dyDescent="0.25"/>
    <row r="55255" customFormat="1" x14ac:dyDescent="0.25"/>
    <row r="55256" customFormat="1" x14ac:dyDescent="0.25"/>
    <row r="55257" customFormat="1" x14ac:dyDescent="0.25"/>
    <row r="55258" customFormat="1" x14ac:dyDescent="0.25"/>
    <row r="55259" customFormat="1" x14ac:dyDescent="0.25"/>
    <row r="55260" customFormat="1" x14ac:dyDescent="0.25"/>
    <row r="55261" customFormat="1" x14ac:dyDescent="0.25"/>
    <row r="55262" customFormat="1" x14ac:dyDescent="0.25"/>
    <row r="55263" customFormat="1" x14ac:dyDescent="0.25"/>
    <row r="55264" customFormat="1" x14ac:dyDescent="0.25"/>
    <row r="55265" customFormat="1" x14ac:dyDescent="0.25"/>
    <row r="55266" customFormat="1" x14ac:dyDescent="0.25"/>
    <row r="55267" customFormat="1" x14ac:dyDescent="0.25"/>
    <row r="55268" customFormat="1" x14ac:dyDescent="0.25"/>
    <row r="55269" customFormat="1" x14ac:dyDescent="0.25"/>
    <row r="55270" customFormat="1" x14ac:dyDescent="0.25"/>
    <row r="55271" customFormat="1" x14ac:dyDescent="0.25"/>
    <row r="55272" customFormat="1" x14ac:dyDescent="0.25"/>
    <row r="55273" customFormat="1" x14ac:dyDescent="0.25"/>
    <row r="55274" customFormat="1" x14ac:dyDescent="0.25"/>
    <row r="55275" customFormat="1" x14ac:dyDescent="0.25"/>
    <row r="55276" customFormat="1" x14ac:dyDescent="0.25"/>
    <row r="55277" customFormat="1" x14ac:dyDescent="0.25"/>
    <row r="55278" customFormat="1" x14ac:dyDescent="0.25"/>
    <row r="55279" customFormat="1" x14ac:dyDescent="0.25"/>
    <row r="55280" customFormat="1" x14ac:dyDescent="0.25"/>
    <row r="55281" customFormat="1" x14ac:dyDescent="0.25"/>
    <row r="55282" customFormat="1" x14ac:dyDescent="0.25"/>
    <row r="55283" customFormat="1" x14ac:dyDescent="0.25"/>
    <row r="55284" customFormat="1" x14ac:dyDescent="0.25"/>
    <row r="55285" customFormat="1" x14ac:dyDescent="0.25"/>
    <row r="55286" customFormat="1" x14ac:dyDescent="0.25"/>
    <row r="55287" customFormat="1" x14ac:dyDescent="0.25"/>
    <row r="55288" customFormat="1" x14ac:dyDescent="0.25"/>
    <row r="55289" customFormat="1" x14ac:dyDescent="0.25"/>
    <row r="55290" customFormat="1" x14ac:dyDescent="0.25"/>
    <row r="55291" customFormat="1" x14ac:dyDescent="0.25"/>
    <row r="55292" customFormat="1" x14ac:dyDescent="0.25"/>
    <row r="55293" customFormat="1" x14ac:dyDescent="0.25"/>
    <row r="55294" customFormat="1" x14ac:dyDescent="0.25"/>
    <row r="55295" customFormat="1" x14ac:dyDescent="0.25"/>
    <row r="55296" customFormat="1" x14ac:dyDescent="0.25"/>
    <row r="55297" customFormat="1" x14ac:dyDescent="0.25"/>
    <row r="55298" customFormat="1" x14ac:dyDescent="0.25"/>
    <row r="55299" customFormat="1" x14ac:dyDescent="0.25"/>
    <row r="55300" customFormat="1" x14ac:dyDescent="0.25"/>
    <row r="55301" customFormat="1" x14ac:dyDescent="0.25"/>
    <row r="55302" customFormat="1" x14ac:dyDescent="0.25"/>
    <row r="55303" customFormat="1" x14ac:dyDescent="0.25"/>
    <row r="55304" customFormat="1" x14ac:dyDescent="0.25"/>
    <row r="55305" customFormat="1" x14ac:dyDescent="0.25"/>
    <row r="55306" customFormat="1" x14ac:dyDescent="0.25"/>
    <row r="55307" customFormat="1" x14ac:dyDescent="0.25"/>
    <row r="55308" customFormat="1" x14ac:dyDescent="0.25"/>
    <row r="55309" customFormat="1" x14ac:dyDescent="0.25"/>
    <row r="55310" customFormat="1" x14ac:dyDescent="0.25"/>
    <row r="55311" customFormat="1" x14ac:dyDescent="0.25"/>
    <row r="55312" customFormat="1" x14ac:dyDescent="0.25"/>
    <row r="55313" customFormat="1" x14ac:dyDescent="0.25"/>
    <row r="55314" customFormat="1" x14ac:dyDescent="0.25"/>
    <row r="55315" customFormat="1" x14ac:dyDescent="0.25"/>
    <row r="55316" customFormat="1" x14ac:dyDescent="0.25"/>
    <row r="55317" customFormat="1" x14ac:dyDescent="0.25"/>
    <row r="55318" customFormat="1" x14ac:dyDescent="0.25"/>
    <row r="55319" customFormat="1" x14ac:dyDescent="0.25"/>
    <row r="55320" customFormat="1" x14ac:dyDescent="0.25"/>
    <row r="55321" customFormat="1" x14ac:dyDescent="0.25"/>
    <row r="55322" customFormat="1" x14ac:dyDescent="0.25"/>
    <row r="55323" customFormat="1" x14ac:dyDescent="0.25"/>
    <row r="55324" customFormat="1" x14ac:dyDescent="0.25"/>
    <row r="55325" customFormat="1" x14ac:dyDescent="0.25"/>
    <row r="55326" customFormat="1" x14ac:dyDescent="0.25"/>
    <row r="55327" customFormat="1" x14ac:dyDescent="0.25"/>
    <row r="55328" customFormat="1" x14ac:dyDescent="0.25"/>
    <row r="55329" customFormat="1" x14ac:dyDescent="0.25"/>
    <row r="55330" customFormat="1" x14ac:dyDescent="0.25"/>
    <row r="55331" customFormat="1" x14ac:dyDescent="0.25"/>
    <row r="55332" customFormat="1" x14ac:dyDescent="0.25"/>
    <row r="55333" customFormat="1" x14ac:dyDescent="0.25"/>
    <row r="55334" customFormat="1" x14ac:dyDescent="0.25"/>
    <row r="55335" customFormat="1" x14ac:dyDescent="0.25"/>
    <row r="55336" customFormat="1" x14ac:dyDescent="0.25"/>
    <row r="55337" customFormat="1" x14ac:dyDescent="0.25"/>
    <row r="55338" customFormat="1" x14ac:dyDescent="0.25"/>
    <row r="55339" customFormat="1" x14ac:dyDescent="0.25"/>
    <row r="55340" customFormat="1" x14ac:dyDescent="0.25"/>
    <row r="55341" customFormat="1" x14ac:dyDescent="0.25"/>
    <row r="55342" customFormat="1" x14ac:dyDescent="0.25"/>
    <row r="55343" customFormat="1" x14ac:dyDescent="0.25"/>
    <row r="55344" customFormat="1" x14ac:dyDescent="0.25"/>
    <row r="55345" customFormat="1" x14ac:dyDescent="0.25"/>
    <row r="55346" customFormat="1" x14ac:dyDescent="0.25"/>
    <row r="55347" customFormat="1" x14ac:dyDescent="0.25"/>
    <row r="55348" customFormat="1" x14ac:dyDescent="0.25"/>
    <row r="55349" customFormat="1" x14ac:dyDescent="0.25"/>
    <row r="55350" customFormat="1" x14ac:dyDescent="0.25"/>
    <row r="55351" customFormat="1" x14ac:dyDescent="0.25"/>
    <row r="55352" customFormat="1" x14ac:dyDescent="0.25"/>
    <row r="55353" customFormat="1" x14ac:dyDescent="0.25"/>
    <row r="55354" customFormat="1" x14ac:dyDescent="0.25"/>
    <row r="55355" customFormat="1" x14ac:dyDescent="0.25"/>
    <row r="55356" customFormat="1" x14ac:dyDescent="0.25"/>
    <row r="55357" customFormat="1" x14ac:dyDescent="0.25"/>
    <row r="55358" customFormat="1" x14ac:dyDescent="0.25"/>
    <row r="55359" customFormat="1" x14ac:dyDescent="0.25"/>
    <row r="55360" customFormat="1" x14ac:dyDescent="0.25"/>
    <row r="55361" customFormat="1" x14ac:dyDescent="0.25"/>
    <row r="55362" customFormat="1" x14ac:dyDescent="0.25"/>
    <row r="55363" customFormat="1" x14ac:dyDescent="0.25"/>
    <row r="55364" customFormat="1" x14ac:dyDescent="0.25"/>
    <row r="55365" customFormat="1" x14ac:dyDescent="0.25"/>
    <row r="55366" customFormat="1" x14ac:dyDescent="0.25"/>
    <row r="55367" customFormat="1" x14ac:dyDescent="0.25"/>
    <row r="55368" customFormat="1" x14ac:dyDescent="0.25"/>
    <row r="55369" customFormat="1" x14ac:dyDescent="0.25"/>
    <row r="55370" customFormat="1" x14ac:dyDescent="0.25"/>
    <row r="55371" customFormat="1" x14ac:dyDescent="0.25"/>
    <row r="55372" customFormat="1" x14ac:dyDescent="0.25"/>
    <row r="55373" customFormat="1" x14ac:dyDescent="0.25"/>
    <row r="55374" customFormat="1" x14ac:dyDescent="0.25"/>
    <row r="55375" customFormat="1" x14ac:dyDescent="0.25"/>
    <row r="55376" customFormat="1" x14ac:dyDescent="0.25"/>
    <row r="55377" customFormat="1" x14ac:dyDescent="0.25"/>
    <row r="55378" customFormat="1" x14ac:dyDescent="0.25"/>
    <row r="55379" customFormat="1" x14ac:dyDescent="0.25"/>
    <row r="55380" customFormat="1" x14ac:dyDescent="0.25"/>
    <row r="55381" customFormat="1" x14ac:dyDescent="0.25"/>
    <row r="55382" customFormat="1" x14ac:dyDescent="0.25"/>
    <row r="55383" customFormat="1" x14ac:dyDescent="0.25"/>
    <row r="55384" customFormat="1" x14ac:dyDescent="0.25"/>
    <row r="55385" customFormat="1" x14ac:dyDescent="0.25"/>
    <row r="55386" customFormat="1" x14ac:dyDescent="0.25"/>
    <row r="55387" customFormat="1" x14ac:dyDescent="0.25"/>
    <row r="55388" customFormat="1" x14ac:dyDescent="0.25"/>
    <row r="55389" customFormat="1" x14ac:dyDescent="0.25"/>
    <row r="55390" customFormat="1" x14ac:dyDescent="0.25"/>
    <row r="55391" customFormat="1" x14ac:dyDescent="0.25"/>
    <row r="55392" customFormat="1" x14ac:dyDescent="0.25"/>
    <row r="55393" customFormat="1" x14ac:dyDescent="0.25"/>
    <row r="55394" customFormat="1" x14ac:dyDescent="0.25"/>
    <row r="55395" customFormat="1" x14ac:dyDescent="0.25"/>
    <row r="55396" customFormat="1" x14ac:dyDescent="0.25"/>
    <row r="55397" customFormat="1" x14ac:dyDescent="0.25"/>
    <row r="55398" customFormat="1" x14ac:dyDescent="0.25"/>
    <row r="55399" customFormat="1" x14ac:dyDescent="0.25"/>
    <row r="55400" customFormat="1" x14ac:dyDescent="0.25"/>
    <row r="55401" customFormat="1" x14ac:dyDescent="0.25"/>
    <row r="55402" customFormat="1" x14ac:dyDescent="0.25"/>
    <row r="55403" customFormat="1" x14ac:dyDescent="0.25"/>
    <row r="55404" customFormat="1" x14ac:dyDescent="0.25"/>
    <row r="55405" customFormat="1" x14ac:dyDescent="0.25"/>
    <row r="55406" customFormat="1" x14ac:dyDescent="0.25"/>
    <row r="55407" customFormat="1" x14ac:dyDescent="0.25"/>
    <row r="55408" customFormat="1" x14ac:dyDescent="0.25"/>
    <row r="55409" customFormat="1" x14ac:dyDescent="0.25"/>
    <row r="55410" customFormat="1" x14ac:dyDescent="0.25"/>
    <row r="55411" customFormat="1" x14ac:dyDescent="0.25"/>
    <row r="55412" customFormat="1" x14ac:dyDescent="0.25"/>
    <row r="55413" customFormat="1" x14ac:dyDescent="0.25"/>
    <row r="55414" customFormat="1" x14ac:dyDescent="0.25"/>
    <row r="55415" customFormat="1" x14ac:dyDescent="0.25"/>
    <row r="55416" customFormat="1" x14ac:dyDescent="0.25"/>
    <row r="55417" customFormat="1" x14ac:dyDescent="0.25"/>
    <row r="55418" customFormat="1" x14ac:dyDescent="0.25"/>
    <row r="55419" customFormat="1" x14ac:dyDescent="0.25"/>
    <row r="55420" customFormat="1" x14ac:dyDescent="0.25"/>
    <row r="55421" customFormat="1" x14ac:dyDescent="0.25"/>
    <row r="55422" customFormat="1" x14ac:dyDescent="0.25"/>
    <row r="55423" customFormat="1" x14ac:dyDescent="0.25"/>
    <row r="55424" customFormat="1" x14ac:dyDescent="0.25"/>
    <row r="55425" customFormat="1" x14ac:dyDescent="0.25"/>
    <row r="55426" customFormat="1" x14ac:dyDescent="0.25"/>
    <row r="55427" customFormat="1" x14ac:dyDescent="0.25"/>
    <row r="55428" customFormat="1" x14ac:dyDescent="0.25"/>
    <row r="55429" customFormat="1" x14ac:dyDescent="0.25"/>
    <row r="55430" customFormat="1" x14ac:dyDescent="0.25"/>
    <row r="55431" customFormat="1" x14ac:dyDescent="0.25"/>
    <row r="55432" customFormat="1" x14ac:dyDescent="0.25"/>
    <row r="55433" customFormat="1" x14ac:dyDescent="0.25"/>
    <row r="55434" customFormat="1" x14ac:dyDescent="0.25"/>
    <row r="55435" customFormat="1" x14ac:dyDescent="0.25"/>
    <row r="55436" customFormat="1" x14ac:dyDescent="0.25"/>
    <row r="55437" customFormat="1" x14ac:dyDescent="0.25"/>
    <row r="55438" customFormat="1" x14ac:dyDescent="0.25"/>
    <row r="55439" customFormat="1" x14ac:dyDescent="0.25"/>
    <row r="55440" customFormat="1" x14ac:dyDescent="0.25"/>
    <row r="55441" customFormat="1" x14ac:dyDescent="0.25"/>
    <row r="55442" customFormat="1" x14ac:dyDescent="0.25"/>
    <row r="55443" customFormat="1" x14ac:dyDescent="0.25"/>
    <row r="55444" customFormat="1" x14ac:dyDescent="0.25"/>
    <row r="55445" customFormat="1" x14ac:dyDescent="0.25"/>
    <row r="55446" customFormat="1" x14ac:dyDescent="0.25"/>
    <row r="55447" customFormat="1" x14ac:dyDescent="0.25"/>
    <row r="55448" customFormat="1" x14ac:dyDescent="0.25"/>
    <row r="55449" customFormat="1" x14ac:dyDescent="0.25"/>
    <row r="55450" customFormat="1" x14ac:dyDescent="0.25"/>
    <row r="55451" customFormat="1" x14ac:dyDescent="0.25"/>
    <row r="55452" customFormat="1" x14ac:dyDescent="0.25"/>
    <row r="55453" customFormat="1" x14ac:dyDescent="0.25"/>
    <row r="55454" customFormat="1" x14ac:dyDescent="0.25"/>
    <row r="55455" customFormat="1" x14ac:dyDescent="0.25"/>
    <row r="55456" customFormat="1" x14ac:dyDescent="0.25"/>
    <row r="55457" customFormat="1" x14ac:dyDescent="0.25"/>
    <row r="55458" customFormat="1" x14ac:dyDescent="0.25"/>
    <row r="55459" customFormat="1" x14ac:dyDescent="0.25"/>
    <row r="55460" customFormat="1" x14ac:dyDescent="0.25"/>
    <row r="55461" customFormat="1" x14ac:dyDescent="0.25"/>
    <row r="55462" customFormat="1" x14ac:dyDescent="0.25"/>
    <row r="55463" customFormat="1" x14ac:dyDescent="0.25"/>
    <row r="55464" customFormat="1" x14ac:dyDescent="0.25"/>
    <row r="55465" customFormat="1" x14ac:dyDescent="0.25"/>
    <row r="55466" customFormat="1" x14ac:dyDescent="0.25"/>
    <row r="55467" customFormat="1" x14ac:dyDescent="0.25"/>
    <row r="55468" customFormat="1" x14ac:dyDescent="0.25"/>
    <row r="55469" customFormat="1" x14ac:dyDescent="0.25"/>
    <row r="55470" customFormat="1" x14ac:dyDescent="0.25"/>
    <row r="55471" customFormat="1" x14ac:dyDescent="0.25"/>
    <row r="55472" customFormat="1" x14ac:dyDescent="0.25"/>
    <row r="55473" customFormat="1" x14ac:dyDescent="0.25"/>
    <row r="55474" customFormat="1" x14ac:dyDescent="0.25"/>
    <row r="55475" customFormat="1" x14ac:dyDescent="0.25"/>
    <row r="55476" customFormat="1" x14ac:dyDescent="0.25"/>
    <row r="55477" customFormat="1" x14ac:dyDescent="0.25"/>
    <row r="55478" customFormat="1" x14ac:dyDescent="0.25"/>
    <row r="55479" customFormat="1" x14ac:dyDescent="0.25"/>
    <row r="55480" customFormat="1" x14ac:dyDescent="0.25"/>
    <row r="55481" customFormat="1" x14ac:dyDescent="0.25"/>
    <row r="55482" customFormat="1" x14ac:dyDescent="0.25"/>
    <row r="55483" customFormat="1" x14ac:dyDescent="0.25"/>
    <row r="55484" customFormat="1" x14ac:dyDescent="0.25"/>
    <row r="55485" customFormat="1" x14ac:dyDescent="0.25"/>
    <row r="55486" customFormat="1" x14ac:dyDescent="0.25"/>
    <row r="55487" customFormat="1" x14ac:dyDescent="0.25"/>
    <row r="55488" customFormat="1" x14ac:dyDescent="0.25"/>
    <row r="55489" customFormat="1" x14ac:dyDescent="0.25"/>
    <row r="55490" customFormat="1" x14ac:dyDescent="0.25"/>
    <row r="55491" customFormat="1" x14ac:dyDescent="0.25"/>
    <row r="55492" customFormat="1" x14ac:dyDescent="0.25"/>
    <row r="55493" customFormat="1" x14ac:dyDescent="0.25"/>
    <row r="55494" customFormat="1" x14ac:dyDescent="0.25"/>
    <row r="55495" customFormat="1" x14ac:dyDescent="0.25"/>
    <row r="55496" customFormat="1" x14ac:dyDescent="0.25"/>
    <row r="55497" customFormat="1" x14ac:dyDescent="0.25"/>
    <row r="55498" customFormat="1" x14ac:dyDescent="0.25"/>
    <row r="55499" customFormat="1" x14ac:dyDescent="0.25"/>
    <row r="55500" customFormat="1" x14ac:dyDescent="0.25"/>
    <row r="55501" customFormat="1" x14ac:dyDescent="0.25"/>
    <row r="55502" customFormat="1" x14ac:dyDescent="0.25"/>
    <row r="55503" customFormat="1" x14ac:dyDescent="0.25"/>
    <row r="55504" customFormat="1" x14ac:dyDescent="0.25"/>
    <row r="55505" customFormat="1" x14ac:dyDescent="0.25"/>
    <row r="55506" customFormat="1" x14ac:dyDescent="0.25"/>
    <row r="55507" customFormat="1" x14ac:dyDescent="0.25"/>
    <row r="55508" customFormat="1" x14ac:dyDescent="0.25"/>
    <row r="55509" customFormat="1" x14ac:dyDescent="0.25"/>
    <row r="55510" customFormat="1" x14ac:dyDescent="0.25"/>
    <row r="55511" customFormat="1" x14ac:dyDescent="0.25"/>
    <row r="55512" customFormat="1" x14ac:dyDescent="0.25"/>
    <row r="55513" customFormat="1" x14ac:dyDescent="0.25"/>
    <row r="55514" customFormat="1" x14ac:dyDescent="0.25"/>
    <row r="55515" customFormat="1" x14ac:dyDescent="0.25"/>
    <row r="55516" customFormat="1" x14ac:dyDescent="0.25"/>
    <row r="55517" customFormat="1" x14ac:dyDescent="0.25"/>
    <row r="55518" customFormat="1" x14ac:dyDescent="0.25"/>
    <row r="55519" customFormat="1" x14ac:dyDescent="0.25"/>
    <row r="55520" customFormat="1" x14ac:dyDescent="0.25"/>
    <row r="55521" customFormat="1" x14ac:dyDescent="0.25"/>
    <row r="55522" customFormat="1" x14ac:dyDescent="0.25"/>
    <row r="55523" customFormat="1" x14ac:dyDescent="0.25"/>
    <row r="55524" customFormat="1" x14ac:dyDescent="0.25"/>
    <row r="55525" customFormat="1" x14ac:dyDescent="0.25"/>
    <row r="55526" customFormat="1" x14ac:dyDescent="0.25"/>
    <row r="55527" customFormat="1" x14ac:dyDescent="0.25"/>
    <row r="55528" customFormat="1" x14ac:dyDescent="0.25"/>
    <row r="55529" customFormat="1" x14ac:dyDescent="0.25"/>
    <row r="55530" customFormat="1" x14ac:dyDescent="0.25"/>
    <row r="55531" customFormat="1" x14ac:dyDescent="0.25"/>
    <row r="55532" customFormat="1" x14ac:dyDescent="0.25"/>
    <row r="55533" customFormat="1" x14ac:dyDescent="0.25"/>
    <row r="55534" customFormat="1" x14ac:dyDescent="0.25"/>
    <row r="55535" customFormat="1" x14ac:dyDescent="0.25"/>
    <row r="55536" customFormat="1" x14ac:dyDescent="0.25"/>
    <row r="55537" customFormat="1" x14ac:dyDescent="0.25"/>
    <row r="55538" customFormat="1" x14ac:dyDescent="0.25"/>
    <row r="55539" customFormat="1" x14ac:dyDescent="0.25"/>
    <row r="55540" customFormat="1" x14ac:dyDescent="0.25"/>
    <row r="55541" customFormat="1" x14ac:dyDescent="0.25"/>
    <row r="55542" customFormat="1" x14ac:dyDescent="0.25"/>
    <row r="55543" customFormat="1" x14ac:dyDescent="0.25"/>
    <row r="55544" customFormat="1" x14ac:dyDescent="0.25"/>
    <row r="55545" customFormat="1" x14ac:dyDescent="0.25"/>
    <row r="55546" customFormat="1" x14ac:dyDescent="0.25"/>
    <row r="55547" customFormat="1" x14ac:dyDescent="0.25"/>
    <row r="55548" customFormat="1" x14ac:dyDescent="0.25"/>
    <row r="55549" customFormat="1" x14ac:dyDescent="0.25"/>
    <row r="55550" customFormat="1" x14ac:dyDescent="0.25"/>
    <row r="55551" customFormat="1" x14ac:dyDescent="0.25"/>
    <row r="55552" customFormat="1" x14ac:dyDescent="0.25"/>
    <row r="55553" customFormat="1" x14ac:dyDescent="0.25"/>
    <row r="55554" customFormat="1" x14ac:dyDescent="0.25"/>
    <row r="55555" customFormat="1" x14ac:dyDescent="0.25"/>
    <row r="55556" customFormat="1" x14ac:dyDescent="0.25"/>
    <row r="55557" customFormat="1" x14ac:dyDescent="0.25"/>
    <row r="55558" customFormat="1" x14ac:dyDescent="0.25"/>
    <row r="55559" customFormat="1" x14ac:dyDescent="0.25"/>
    <row r="55560" customFormat="1" x14ac:dyDescent="0.25"/>
    <row r="55561" customFormat="1" x14ac:dyDescent="0.25"/>
    <row r="55562" customFormat="1" x14ac:dyDescent="0.25"/>
    <row r="55563" customFormat="1" x14ac:dyDescent="0.25"/>
    <row r="55564" customFormat="1" x14ac:dyDescent="0.25"/>
    <row r="55565" customFormat="1" x14ac:dyDescent="0.25"/>
    <row r="55566" customFormat="1" x14ac:dyDescent="0.25"/>
    <row r="55567" customFormat="1" x14ac:dyDescent="0.25"/>
    <row r="55568" customFormat="1" x14ac:dyDescent="0.25"/>
    <row r="55569" customFormat="1" x14ac:dyDescent="0.25"/>
    <row r="55570" customFormat="1" x14ac:dyDescent="0.25"/>
    <row r="55571" customFormat="1" x14ac:dyDescent="0.25"/>
    <row r="55572" customFormat="1" x14ac:dyDescent="0.25"/>
    <row r="55573" customFormat="1" x14ac:dyDescent="0.25"/>
    <row r="55574" customFormat="1" x14ac:dyDescent="0.25"/>
    <row r="55575" customFormat="1" x14ac:dyDescent="0.25"/>
    <row r="55576" customFormat="1" x14ac:dyDescent="0.25"/>
    <row r="55577" customFormat="1" x14ac:dyDescent="0.25"/>
    <row r="55578" customFormat="1" x14ac:dyDescent="0.25"/>
    <row r="55579" customFormat="1" x14ac:dyDescent="0.25"/>
    <row r="55580" customFormat="1" x14ac:dyDescent="0.25"/>
    <row r="55581" customFormat="1" x14ac:dyDescent="0.25"/>
    <row r="55582" customFormat="1" x14ac:dyDescent="0.25"/>
    <row r="55583" customFormat="1" x14ac:dyDescent="0.25"/>
    <row r="55584" customFormat="1" x14ac:dyDescent="0.25"/>
    <row r="55585" customFormat="1" x14ac:dyDescent="0.25"/>
    <row r="55586" customFormat="1" x14ac:dyDescent="0.25"/>
    <row r="55587" customFormat="1" x14ac:dyDescent="0.25"/>
    <row r="55588" customFormat="1" x14ac:dyDescent="0.25"/>
    <row r="55589" customFormat="1" x14ac:dyDescent="0.25"/>
    <row r="55590" customFormat="1" x14ac:dyDescent="0.25"/>
    <row r="55591" customFormat="1" x14ac:dyDescent="0.25"/>
    <row r="55592" customFormat="1" x14ac:dyDescent="0.25"/>
    <row r="55593" customFormat="1" x14ac:dyDescent="0.25"/>
    <row r="55594" customFormat="1" x14ac:dyDescent="0.25"/>
    <row r="55595" customFormat="1" x14ac:dyDescent="0.25"/>
    <row r="55596" customFormat="1" x14ac:dyDescent="0.25"/>
    <row r="55597" customFormat="1" x14ac:dyDescent="0.25"/>
    <row r="55598" customFormat="1" x14ac:dyDescent="0.25"/>
    <row r="55599" customFormat="1" x14ac:dyDescent="0.25"/>
    <row r="55600" customFormat="1" x14ac:dyDescent="0.25"/>
    <row r="55601" customFormat="1" x14ac:dyDescent="0.25"/>
    <row r="55602" customFormat="1" x14ac:dyDescent="0.25"/>
    <row r="55603" customFormat="1" x14ac:dyDescent="0.25"/>
    <row r="55604" customFormat="1" x14ac:dyDescent="0.25"/>
    <row r="55605" customFormat="1" x14ac:dyDescent="0.25"/>
    <row r="55606" customFormat="1" x14ac:dyDescent="0.25"/>
    <row r="55607" customFormat="1" x14ac:dyDescent="0.25"/>
    <row r="55608" customFormat="1" x14ac:dyDescent="0.25"/>
    <row r="55609" customFormat="1" x14ac:dyDescent="0.25"/>
    <row r="55610" customFormat="1" x14ac:dyDescent="0.25"/>
    <row r="55611" customFormat="1" x14ac:dyDescent="0.25"/>
    <row r="55612" customFormat="1" x14ac:dyDescent="0.25"/>
    <row r="55613" customFormat="1" x14ac:dyDescent="0.25"/>
    <row r="55614" customFormat="1" x14ac:dyDescent="0.25"/>
    <row r="55615" customFormat="1" x14ac:dyDescent="0.25"/>
    <row r="55616" customFormat="1" x14ac:dyDescent="0.25"/>
    <row r="55617" customFormat="1" x14ac:dyDescent="0.25"/>
    <row r="55618" customFormat="1" x14ac:dyDescent="0.25"/>
    <row r="55619" customFormat="1" x14ac:dyDescent="0.25"/>
    <row r="55620" customFormat="1" x14ac:dyDescent="0.25"/>
    <row r="55621" customFormat="1" x14ac:dyDescent="0.25"/>
    <row r="55622" customFormat="1" x14ac:dyDescent="0.25"/>
    <row r="55623" customFormat="1" x14ac:dyDescent="0.25"/>
    <row r="55624" customFormat="1" x14ac:dyDescent="0.25"/>
    <row r="55625" customFormat="1" x14ac:dyDescent="0.25"/>
    <row r="55626" customFormat="1" x14ac:dyDescent="0.25"/>
    <row r="55627" customFormat="1" x14ac:dyDescent="0.25"/>
    <row r="55628" customFormat="1" x14ac:dyDescent="0.25"/>
    <row r="55629" customFormat="1" x14ac:dyDescent="0.25"/>
    <row r="55630" customFormat="1" x14ac:dyDescent="0.25"/>
    <row r="55631" customFormat="1" x14ac:dyDescent="0.25"/>
    <row r="55632" customFormat="1" x14ac:dyDescent="0.25"/>
    <row r="55633" customFormat="1" x14ac:dyDescent="0.25"/>
    <row r="55634" customFormat="1" x14ac:dyDescent="0.25"/>
    <row r="55635" customFormat="1" x14ac:dyDescent="0.25"/>
    <row r="55636" customFormat="1" x14ac:dyDescent="0.25"/>
    <row r="55637" customFormat="1" x14ac:dyDescent="0.25"/>
    <row r="55638" customFormat="1" x14ac:dyDescent="0.25"/>
    <row r="55639" customFormat="1" x14ac:dyDescent="0.25"/>
    <row r="55640" customFormat="1" x14ac:dyDescent="0.25"/>
    <row r="55641" customFormat="1" x14ac:dyDescent="0.25"/>
    <row r="55642" customFormat="1" x14ac:dyDescent="0.25"/>
    <row r="55643" customFormat="1" x14ac:dyDescent="0.25"/>
    <row r="55644" customFormat="1" x14ac:dyDescent="0.25"/>
    <row r="55645" customFormat="1" x14ac:dyDescent="0.25"/>
    <row r="55646" customFormat="1" x14ac:dyDescent="0.25"/>
    <row r="55647" customFormat="1" x14ac:dyDescent="0.25"/>
    <row r="55648" customFormat="1" x14ac:dyDescent="0.25"/>
    <row r="55649" customFormat="1" x14ac:dyDescent="0.25"/>
    <row r="55650" customFormat="1" x14ac:dyDescent="0.25"/>
    <row r="55651" customFormat="1" x14ac:dyDescent="0.25"/>
    <row r="55652" customFormat="1" x14ac:dyDescent="0.25"/>
    <row r="55653" customFormat="1" x14ac:dyDescent="0.25"/>
    <row r="55654" customFormat="1" x14ac:dyDescent="0.25"/>
    <row r="55655" customFormat="1" x14ac:dyDescent="0.25"/>
    <row r="55656" customFormat="1" x14ac:dyDescent="0.25"/>
    <row r="55657" customFormat="1" x14ac:dyDescent="0.25"/>
    <row r="55658" customFormat="1" x14ac:dyDescent="0.25"/>
    <row r="55659" customFormat="1" x14ac:dyDescent="0.25"/>
    <row r="55660" customFormat="1" x14ac:dyDescent="0.25"/>
    <row r="55661" customFormat="1" x14ac:dyDescent="0.25"/>
    <row r="55662" customFormat="1" x14ac:dyDescent="0.25"/>
    <row r="55663" customFormat="1" x14ac:dyDescent="0.25"/>
    <row r="55664" customFormat="1" x14ac:dyDescent="0.25"/>
    <row r="55665" customFormat="1" x14ac:dyDescent="0.25"/>
    <row r="55666" customFormat="1" x14ac:dyDescent="0.25"/>
    <row r="55667" customFormat="1" x14ac:dyDescent="0.25"/>
    <row r="55668" customFormat="1" x14ac:dyDescent="0.25"/>
    <row r="55669" customFormat="1" x14ac:dyDescent="0.25"/>
    <row r="55670" customFormat="1" x14ac:dyDescent="0.25"/>
    <row r="55671" customFormat="1" x14ac:dyDescent="0.25"/>
    <row r="55672" customFormat="1" x14ac:dyDescent="0.25"/>
    <row r="55673" customFormat="1" x14ac:dyDescent="0.25"/>
    <row r="55674" customFormat="1" x14ac:dyDescent="0.25"/>
    <row r="55675" customFormat="1" x14ac:dyDescent="0.25"/>
    <row r="55676" customFormat="1" x14ac:dyDescent="0.25"/>
    <row r="55677" customFormat="1" x14ac:dyDescent="0.25"/>
    <row r="55678" customFormat="1" x14ac:dyDescent="0.25"/>
    <row r="55679" customFormat="1" x14ac:dyDescent="0.25"/>
    <row r="55680" customFormat="1" x14ac:dyDescent="0.25"/>
    <row r="55681" customFormat="1" x14ac:dyDescent="0.25"/>
    <row r="55682" customFormat="1" x14ac:dyDescent="0.25"/>
    <row r="55683" customFormat="1" x14ac:dyDescent="0.25"/>
    <row r="55684" customFormat="1" x14ac:dyDescent="0.25"/>
    <row r="55685" customFormat="1" x14ac:dyDescent="0.25"/>
    <row r="55686" customFormat="1" x14ac:dyDescent="0.25"/>
    <row r="55687" customFormat="1" x14ac:dyDescent="0.25"/>
    <row r="55688" customFormat="1" x14ac:dyDescent="0.25"/>
    <row r="55689" customFormat="1" x14ac:dyDescent="0.25"/>
    <row r="55690" customFormat="1" x14ac:dyDescent="0.25"/>
    <row r="55691" customFormat="1" x14ac:dyDescent="0.25"/>
    <row r="55692" customFormat="1" x14ac:dyDescent="0.25"/>
    <row r="55693" customFormat="1" x14ac:dyDescent="0.25"/>
    <row r="55694" customFormat="1" x14ac:dyDescent="0.25"/>
    <row r="55695" customFormat="1" x14ac:dyDescent="0.25"/>
    <row r="55696" customFormat="1" x14ac:dyDescent="0.25"/>
    <row r="55697" customFormat="1" x14ac:dyDescent="0.25"/>
    <row r="55698" customFormat="1" x14ac:dyDescent="0.25"/>
    <row r="55699" customFormat="1" x14ac:dyDescent="0.25"/>
    <row r="55700" customFormat="1" x14ac:dyDescent="0.25"/>
    <row r="55701" customFormat="1" x14ac:dyDescent="0.25"/>
    <row r="55702" customFormat="1" x14ac:dyDescent="0.25"/>
    <row r="55703" customFormat="1" x14ac:dyDescent="0.25"/>
    <row r="55704" customFormat="1" x14ac:dyDescent="0.25"/>
    <row r="55705" customFormat="1" x14ac:dyDescent="0.25"/>
    <row r="55706" customFormat="1" x14ac:dyDescent="0.25"/>
    <row r="55707" customFormat="1" x14ac:dyDescent="0.25"/>
    <row r="55708" customFormat="1" x14ac:dyDescent="0.25"/>
    <row r="55709" customFormat="1" x14ac:dyDescent="0.25"/>
    <row r="55710" customFormat="1" x14ac:dyDescent="0.25"/>
    <row r="55711" customFormat="1" x14ac:dyDescent="0.25"/>
    <row r="55712" customFormat="1" x14ac:dyDescent="0.25"/>
    <row r="55713" customFormat="1" x14ac:dyDescent="0.25"/>
    <row r="55714" customFormat="1" x14ac:dyDescent="0.25"/>
    <row r="55715" customFormat="1" x14ac:dyDescent="0.25"/>
    <row r="55716" customFormat="1" x14ac:dyDescent="0.25"/>
    <row r="55717" customFormat="1" x14ac:dyDescent="0.25"/>
    <row r="55718" customFormat="1" x14ac:dyDescent="0.25"/>
    <row r="55719" customFormat="1" x14ac:dyDescent="0.25"/>
    <row r="55720" customFormat="1" x14ac:dyDescent="0.25"/>
    <row r="55721" customFormat="1" x14ac:dyDescent="0.25"/>
    <row r="55722" customFormat="1" x14ac:dyDescent="0.25"/>
    <row r="55723" customFormat="1" x14ac:dyDescent="0.25"/>
    <row r="55724" customFormat="1" x14ac:dyDescent="0.25"/>
    <row r="55725" customFormat="1" x14ac:dyDescent="0.25"/>
    <row r="55726" customFormat="1" x14ac:dyDescent="0.25"/>
    <row r="55727" customFormat="1" x14ac:dyDescent="0.25"/>
    <row r="55728" customFormat="1" x14ac:dyDescent="0.25"/>
    <row r="55729" customFormat="1" x14ac:dyDescent="0.25"/>
    <row r="55730" customFormat="1" x14ac:dyDescent="0.25"/>
    <row r="55731" customFormat="1" x14ac:dyDescent="0.25"/>
    <row r="55732" customFormat="1" x14ac:dyDescent="0.25"/>
    <row r="55733" customFormat="1" x14ac:dyDescent="0.25"/>
    <row r="55734" customFormat="1" x14ac:dyDescent="0.25"/>
    <row r="55735" customFormat="1" x14ac:dyDescent="0.25"/>
    <row r="55736" customFormat="1" x14ac:dyDescent="0.25"/>
    <row r="55737" customFormat="1" x14ac:dyDescent="0.25"/>
    <row r="55738" customFormat="1" x14ac:dyDescent="0.25"/>
    <row r="55739" customFormat="1" x14ac:dyDescent="0.25"/>
    <row r="55740" customFormat="1" x14ac:dyDescent="0.25"/>
    <row r="55741" customFormat="1" x14ac:dyDescent="0.25"/>
    <row r="55742" customFormat="1" x14ac:dyDescent="0.25"/>
    <row r="55743" customFormat="1" x14ac:dyDescent="0.25"/>
    <row r="55744" customFormat="1" x14ac:dyDescent="0.25"/>
    <row r="55745" customFormat="1" x14ac:dyDescent="0.25"/>
    <row r="55746" customFormat="1" x14ac:dyDescent="0.25"/>
    <row r="55747" customFormat="1" x14ac:dyDescent="0.25"/>
    <row r="55748" customFormat="1" x14ac:dyDescent="0.25"/>
    <row r="55749" customFormat="1" x14ac:dyDescent="0.25"/>
    <row r="55750" customFormat="1" x14ac:dyDescent="0.25"/>
    <row r="55751" customFormat="1" x14ac:dyDescent="0.25"/>
    <row r="55752" customFormat="1" x14ac:dyDescent="0.25"/>
    <row r="55753" customFormat="1" x14ac:dyDescent="0.25"/>
    <row r="55754" customFormat="1" x14ac:dyDescent="0.25"/>
    <row r="55755" customFormat="1" x14ac:dyDescent="0.25"/>
    <row r="55756" customFormat="1" x14ac:dyDescent="0.25"/>
    <row r="55757" customFormat="1" x14ac:dyDescent="0.25"/>
    <row r="55758" customFormat="1" x14ac:dyDescent="0.25"/>
    <row r="55759" customFormat="1" x14ac:dyDescent="0.25"/>
    <row r="55760" customFormat="1" x14ac:dyDescent="0.25"/>
    <row r="55761" customFormat="1" x14ac:dyDescent="0.25"/>
    <row r="55762" customFormat="1" x14ac:dyDescent="0.25"/>
    <row r="55763" customFormat="1" x14ac:dyDescent="0.25"/>
    <row r="55764" customFormat="1" x14ac:dyDescent="0.25"/>
    <row r="55765" customFormat="1" x14ac:dyDescent="0.25"/>
    <row r="55766" customFormat="1" x14ac:dyDescent="0.25"/>
    <row r="55767" customFormat="1" x14ac:dyDescent="0.25"/>
    <row r="55768" customFormat="1" x14ac:dyDescent="0.25"/>
    <row r="55769" customFormat="1" x14ac:dyDescent="0.25"/>
    <row r="55770" customFormat="1" x14ac:dyDescent="0.25"/>
    <row r="55771" customFormat="1" x14ac:dyDescent="0.25"/>
    <row r="55772" customFormat="1" x14ac:dyDescent="0.25"/>
    <row r="55773" customFormat="1" x14ac:dyDescent="0.25"/>
    <row r="55774" customFormat="1" x14ac:dyDescent="0.25"/>
    <row r="55775" customFormat="1" x14ac:dyDescent="0.25"/>
    <row r="55776" customFormat="1" x14ac:dyDescent="0.25"/>
    <row r="55777" customFormat="1" x14ac:dyDescent="0.25"/>
    <row r="55778" customFormat="1" x14ac:dyDescent="0.25"/>
    <row r="55779" customFormat="1" x14ac:dyDescent="0.25"/>
    <row r="55780" customFormat="1" x14ac:dyDescent="0.25"/>
    <row r="55781" customFormat="1" x14ac:dyDescent="0.25"/>
    <row r="55782" customFormat="1" x14ac:dyDescent="0.25"/>
    <row r="55783" customFormat="1" x14ac:dyDescent="0.25"/>
    <row r="55784" customFormat="1" x14ac:dyDescent="0.25"/>
    <row r="55785" customFormat="1" x14ac:dyDescent="0.25"/>
    <row r="55786" customFormat="1" x14ac:dyDescent="0.25"/>
    <row r="55787" customFormat="1" x14ac:dyDescent="0.25"/>
    <row r="55788" customFormat="1" x14ac:dyDescent="0.25"/>
    <row r="55789" customFormat="1" x14ac:dyDescent="0.25"/>
    <row r="55790" customFormat="1" x14ac:dyDescent="0.25"/>
    <row r="55791" customFormat="1" x14ac:dyDescent="0.25"/>
    <row r="55792" customFormat="1" x14ac:dyDescent="0.25"/>
    <row r="55793" customFormat="1" x14ac:dyDescent="0.25"/>
    <row r="55794" customFormat="1" x14ac:dyDescent="0.25"/>
    <row r="55795" customFormat="1" x14ac:dyDescent="0.25"/>
    <row r="55796" customFormat="1" x14ac:dyDescent="0.25"/>
    <row r="55797" customFormat="1" x14ac:dyDescent="0.25"/>
    <row r="55798" customFormat="1" x14ac:dyDescent="0.25"/>
    <row r="55799" customFormat="1" x14ac:dyDescent="0.25"/>
    <row r="55800" customFormat="1" x14ac:dyDescent="0.25"/>
    <row r="55801" customFormat="1" x14ac:dyDescent="0.25"/>
    <row r="55802" customFormat="1" x14ac:dyDescent="0.25"/>
    <row r="55803" customFormat="1" x14ac:dyDescent="0.25"/>
    <row r="55804" customFormat="1" x14ac:dyDescent="0.25"/>
    <row r="55805" customFormat="1" x14ac:dyDescent="0.25"/>
    <row r="55806" customFormat="1" x14ac:dyDescent="0.25"/>
    <row r="55807" customFormat="1" x14ac:dyDescent="0.25"/>
    <row r="55808" customFormat="1" x14ac:dyDescent="0.25"/>
    <row r="55809" customFormat="1" x14ac:dyDescent="0.25"/>
    <row r="55810" customFormat="1" x14ac:dyDescent="0.25"/>
    <row r="55811" customFormat="1" x14ac:dyDescent="0.25"/>
    <row r="55812" customFormat="1" x14ac:dyDescent="0.25"/>
    <row r="55813" customFormat="1" x14ac:dyDescent="0.25"/>
    <row r="55814" customFormat="1" x14ac:dyDescent="0.25"/>
    <row r="55815" customFormat="1" x14ac:dyDescent="0.25"/>
    <row r="55816" customFormat="1" x14ac:dyDescent="0.25"/>
    <row r="55817" customFormat="1" x14ac:dyDescent="0.25"/>
    <row r="55818" customFormat="1" x14ac:dyDescent="0.25"/>
    <row r="55819" customFormat="1" x14ac:dyDescent="0.25"/>
    <row r="55820" customFormat="1" x14ac:dyDescent="0.25"/>
    <row r="55821" customFormat="1" x14ac:dyDescent="0.25"/>
    <row r="55822" customFormat="1" x14ac:dyDescent="0.25"/>
    <row r="55823" customFormat="1" x14ac:dyDescent="0.25"/>
    <row r="55824" customFormat="1" x14ac:dyDescent="0.25"/>
    <row r="55825" customFormat="1" x14ac:dyDescent="0.25"/>
    <row r="55826" customFormat="1" x14ac:dyDescent="0.25"/>
    <row r="55827" customFormat="1" x14ac:dyDescent="0.25"/>
    <row r="55828" customFormat="1" x14ac:dyDescent="0.25"/>
    <row r="55829" customFormat="1" x14ac:dyDescent="0.25"/>
    <row r="55830" customFormat="1" x14ac:dyDescent="0.25"/>
    <row r="55831" customFormat="1" x14ac:dyDescent="0.25"/>
    <row r="55832" customFormat="1" x14ac:dyDescent="0.25"/>
    <row r="55833" customFormat="1" x14ac:dyDescent="0.25"/>
    <row r="55834" customFormat="1" x14ac:dyDescent="0.25"/>
    <row r="55835" customFormat="1" x14ac:dyDescent="0.25"/>
    <row r="55836" customFormat="1" x14ac:dyDescent="0.25"/>
    <row r="55837" customFormat="1" x14ac:dyDescent="0.25"/>
    <row r="55838" customFormat="1" x14ac:dyDescent="0.25"/>
    <row r="55839" customFormat="1" x14ac:dyDescent="0.25"/>
    <row r="55840" customFormat="1" x14ac:dyDescent="0.25"/>
    <row r="55841" customFormat="1" x14ac:dyDescent="0.25"/>
    <row r="55842" customFormat="1" x14ac:dyDescent="0.25"/>
    <row r="55843" customFormat="1" x14ac:dyDescent="0.25"/>
    <row r="55844" customFormat="1" x14ac:dyDescent="0.25"/>
    <row r="55845" customFormat="1" x14ac:dyDescent="0.25"/>
    <row r="55846" customFormat="1" x14ac:dyDescent="0.25"/>
    <row r="55847" customFormat="1" x14ac:dyDescent="0.25"/>
    <row r="55848" customFormat="1" x14ac:dyDescent="0.25"/>
    <row r="55849" customFormat="1" x14ac:dyDescent="0.25"/>
    <row r="55850" customFormat="1" x14ac:dyDescent="0.25"/>
    <row r="55851" customFormat="1" x14ac:dyDescent="0.25"/>
    <row r="55852" customFormat="1" x14ac:dyDescent="0.25"/>
    <row r="55853" customFormat="1" x14ac:dyDescent="0.25"/>
    <row r="55854" customFormat="1" x14ac:dyDescent="0.25"/>
    <row r="55855" customFormat="1" x14ac:dyDescent="0.25"/>
    <row r="55856" customFormat="1" x14ac:dyDescent="0.25"/>
    <row r="55857" customFormat="1" x14ac:dyDescent="0.25"/>
    <row r="55858" customFormat="1" x14ac:dyDescent="0.25"/>
    <row r="55859" customFormat="1" x14ac:dyDescent="0.25"/>
    <row r="55860" customFormat="1" x14ac:dyDescent="0.25"/>
    <row r="55861" customFormat="1" x14ac:dyDescent="0.25"/>
    <row r="55862" customFormat="1" x14ac:dyDescent="0.25"/>
    <row r="55863" customFormat="1" x14ac:dyDescent="0.25"/>
    <row r="55864" customFormat="1" x14ac:dyDescent="0.25"/>
    <row r="55865" customFormat="1" x14ac:dyDescent="0.25"/>
    <row r="55866" customFormat="1" x14ac:dyDescent="0.25"/>
    <row r="55867" customFormat="1" x14ac:dyDescent="0.25"/>
    <row r="55868" customFormat="1" x14ac:dyDescent="0.25"/>
    <row r="55869" customFormat="1" x14ac:dyDescent="0.25"/>
    <row r="55870" customFormat="1" x14ac:dyDescent="0.25"/>
    <row r="55871" customFormat="1" x14ac:dyDescent="0.25"/>
    <row r="55872" customFormat="1" x14ac:dyDescent="0.25"/>
    <row r="55873" customFormat="1" x14ac:dyDescent="0.25"/>
    <row r="55874" customFormat="1" x14ac:dyDescent="0.25"/>
    <row r="55875" customFormat="1" x14ac:dyDescent="0.25"/>
    <row r="55876" customFormat="1" x14ac:dyDescent="0.25"/>
    <row r="55877" customFormat="1" x14ac:dyDescent="0.25"/>
    <row r="55878" customFormat="1" x14ac:dyDescent="0.25"/>
    <row r="55879" customFormat="1" x14ac:dyDescent="0.25"/>
    <row r="55880" customFormat="1" x14ac:dyDescent="0.25"/>
    <row r="55881" customFormat="1" x14ac:dyDescent="0.25"/>
    <row r="55882" customFormat="1" x14ac:dyDescent="0.25"/>
    <row r="55883" customFormat="1" x14ac:dyDescent="0.25"/>
    <row r="55884" customFormat="1" x14ac:dyDescent="0.25"/>
    <row r="55885" customFormat="1" x14ac:dyDescent="0.25"/>
    <row r="55886" customFormat="1" x14ac:dyDescent="0.25"/>
    <row r="55887" customFormat="1" x14ac:dyDescent="0.25"/>
    <row r="55888" customFormat="1" x14ac:dyDescent="0.25"/>
    <row r="55889" customFormat="1" x14ac:dyDescent="0.25"/>
    <row r="55890" customFormat="1" x14ac:dyDescent="0.25"/>
    <row r="55891" customFormat="1" x14ac:dyDescent="0.25"/>
    <row r="55892" customFormat="1" x14ac:dyDescent="0.25"/>
    <row r="55893" customFormat="1" x14ac:dyDescent="0.25"/>
    <row r="55894" customFormat="1" x14ac:dyDescent="0.25"/>
    <row r="55895" customFormat="1" x14ac:dyDescent="0.25"/>
    <row r="55896" customFormat="1" x14ac:dyDescent="0.25"/>
    <row r="55897" customFormat="1" x14ac:dyDescent="0.25"/>
    <row r="55898" customFormat="1" x14ac:dyDescent="0.25"/>
    <row r="55899" customFormat="1" x14ac:dyDescent="0.25"/>
    <row r="55900" customFormat="1" x14ac:dyDescent="0.25"/>
    <row r="55901" customFormat="1" x14ac:dyDescent="0.25"/>
    <row r="55902" customFormat="1" x14ac:dyDescent="0.25"/>
    <row r="55903" customFormat="1" x14ac:dyDescent="0.25"/>
    <row r="55904" customFormat="1" x14ac:dyDescent="0.25"/>
    <row r="55905" customFormat="1" x14ac:dyDescent="0.25"/>
    <row r="55906" customFormat="1" x14ac:dyDescent="0.25"/>
    <row r="55907" customFormat="1" x14ac:dyDescent="0.25"/>
    <row r="55908" customFormat="1" x14ac:dyDescent="0.25"/>
    <row r="55909" customFormat="1" x14ac:dyDescent="0.25"/>
    <row r="55910" customFormat="1" x14ac:dyDescent="0.25"/>
    <row r="55911" customFormat="1" x14ac:dyDescent="0.25"/>
    <row r="55912" customFormat="1" x14ac:dyDescent="0.25"/>
    <row r="55913" customFormat="1" x14ac:dyDescent="0.25"/>
    <row r="55914" customFormat="1" x14ac:dyDescent="0.25"/>
    <row r="55915" customFormat="1" x14ac:dyDescent="0.25"/>
    <row r="55916" customFormat="1" x14ac:dyDescent="0.25"/>
    <row r="55917" customFormat="1" x14ac:dyDescent="0.25"/>
    <row r="55918" customFormat="1" x14ac:dyDescent="0.25"/>
    <row r="55919" customFormat="1" x14ac:dyDescent="0.25"/>
    <row r="55920" customFormat="1" x14ac:dyDescent="0.25"/>
    <row r="55921" customFormat="1" x14ac:dyDescent="0.25"/>
    <row r="55922" customFormat="1" x14ac:dyDescent="0.25"/>
    <row r="55923" customFormat="1" x14ac:dyDescent="0.25"/>
    <row r="55924" customFormat="1" x14ac:dyDescent="0.25"/>
    <row r="55925" customFormat="1" x14ac:dyDescent="0.25"/>
    <row r="55926" customFormat="1" x14ac:dyDescent="0.25"/>
    <row r="55927" customFormat="1" x14ac:dyDescent="0.25"/>
    <row r="55928" customFormat="1" x14ac:dyDescent="0.25"/>
    <row r="55929" customFormat="1" x14ac:dyDescent="0.25"/>
    <row r="55930" customFormat="1" x14ac:dyDescent="0.25"/>
    <row r="55931" customFormat="1" x14ac:dyDescent="0.25"/>
    <row r="55932" customFormat="1" x14ac:dyDescent="0.25"/>
    <row r="55933" customFormat="1" x14ac:dyDescent="0.25"/>
    <row r="55934" customFormat="1" x14ac:dyDescent="0.25"/>
    <row r="55935" customFormat="1" x14ac:dyDescent="0.25"/>
    <row r="55936" customFormat="1" x14ac:dyDescent="0.25"/>
    <row r="55937" customFormat="1" x14ac:dyDescent="0.25"/>
    <row r="55938" customFormat="1" x14ac:dyDescent="0.25"/>
    <row r="55939" customFormat="1" x14ac:dyDescent="0.25"/>
    <row r="55940" customFormat="1" x14ac:dyDescent="0.25"/>
    <row r="55941" customFormat="1" x14ac:dyDescent="0.25"/>
    <row r="55942" customFormat="1" x14ac:dyDescent="0.25"/>
    <row r="55943" customFormat="1" x14ac:dyDescent="0.25"/>
    <row r="55944" customFormat="1" x14ac:dyDescent="0.25"/>
    <row r="55945" customFormat="1" x14ac:dyDescent="0.25"/>
    <row r="55946" customFormat="1" x14ac:dyDescent="0.25"/>
    <row r="55947" customFormat="1" x14ac:dyDescent="0.25"/>
    <row r="55948" customFormat="1" x14ac:dyDescent="0.25"/>
    <row r="55949" customFormat="1" x14ac:dyDescent="0.25"/>
    <row r="55950" customFormat="1" x14ac:dyDescent="0.25"/>
    <row r="55951" customFormat="1" x14ac:dyDescent="0.25"/>
    <row r="55952" customFormat="1" x14ac:dyDescent="0.25"/>
    <row r="55953" customFormat="1" x14ac:dyDescent="0.25"/>
    <row r="55954" customFormat="1" x14ac:dyDescent="0.25"/>
    <row r="55955" customFormat="1" x14ac:dyDescent="0.25"/>
    <row r="55956" customFormat="1" x14ac:dyDescent="0.25"/>
    <row r="55957" customFormat="1" x14ac:dyDescent="0.25"/>
    <row r="55958" customFormat="1" x14ac:dyDescent="0.25"/>
    <row r="55959" customFormat="1" x14ac:dyDescent="0.25"/>
    <row r="55960" customFormat="1" x14ac:dyDescent="0.25"/>
    <row r="55961" customFormat="1" x14ac:dyDescent="0.25"/>
    <row r="55962" customFormat="1" x14ac:dyDescent="0.25"/>
    <row r="55963" customFormat="1" x14ac:dyDescent="0.25"/>
    <row r="55964" customFormat="1" x14ac:dyDescent="0.25"/>
    <row r="55965" customFormat="1" x14ac:dyDescent="0.25"/>
    <row r="55966" customFormat="1" x14ac:dyDescent="0.25"/>
    <row r="55967" customFormat="1" x14ac:dyDescent="0.25"/>
    <row r="55968" customFormat="1" x14ac:dyDescent="0.25"/>
    <row r="55969" customFormat="1" x14ac:dyDescent="0.25"/>
    <row r="55970" customFormat="1" x14ac:dyDescent="0.25"/>
    <row r="55971" customFormat="1" x14ac:dyDescent="0.25"/>
    <row r="55972" customFormat="1" x14ac:dyDescent="0.25"/>
    <row r="55973" customFormat="1" x14ac:dyDescent="0.25"/>
    <row r="55974" customFormat="1" x14ac:dyDescent="0.25"/>
    <row r="55975" customFormat="1" x14ac:dyDescent="0.25"/>
    <row r="55976" customFormat="1" x14ac:dyDescent="0.25"/>
    <row r="55977" customFormat="1" x14ac:dyDescent="0.25"/>
    <row r="55978" customFormat="1" x14ac:dyDescent="0.25"/>
    <row r="55979" customFormat="1" x14ac:dyDescent="0.25"/>
    <row r="55980" customFormat="1" x14ac:dyDescent="0.25"/>
    <row r="55981" customFormat="1" x14ac:dyDescent="0.25"/>
    <row r="55982" customFormat="1" x14ac:dyDescent="0.25"/>
    <row r="55983" customFormat="1" x14ac:dyDescent="0.25"/>
    <row r="55984" customFormat="1" x14ac:dyDescent="0.25"/>
    <row r="55985" customFormat="1" x14ac:dyDescent="0.25"/>
    <row r="55986" customFormat="1" x14ac:dyDescent="0.25"/>
    <row r="55987" customFormat="1" x14ac:dyDescent="0.25"/>
    <row r="55988" customFormat="1" x14ac:dyDescent="0.25"/>
    <row r="55989" customFormat="1" x14ac:dyDescent="0.25"/>
    <row r="55990" customFormat="1" x14ac:dyDescent="0.25"/>
    <row r="55991" customFormat="1" x14ac:dyDescent="0.25"/>
    <row r="55992" customFormat="1" x14ac:dyDescent="0.25"/>
    <row r="55993" customFormat="1" x14ac:dyDescent="0.25"/>
    <row r="55994" customFormat="1" x14ac:dyDescent="0.25"/>
    <row r="55995" customFormat="1" x14ac:dyDescent="0.25"/>
    <row r="55996" customFormat="1" x14ac:dyDescent="0.25"/>
    <row r="55997" customFormat="1" x14ac:dyDescent="0.25"/>
    <row r="55998" customFormat="1" x14ac:dyDescent="0.25"/>
    <row r="55999" customFormat="1" x14ac:dyDescent="0.25"/>
    <row r="56000" customFormat="1" x14ac:dyDescent="0.25"/>
    <row r="56001" customFormat="1" x14ac:dyDescent="0.25"/>
    <row r="56002" customFormat="1" x14ac:dyDescent="0.25"/>
    <row r="56003" customFormat="1" x14ac:dyDescent="0.25"/>
    <row r="56004" customFormat="1" x14ac:dyDescent="0.25"/>
    <row r="56005" customFormat="1" x14ac:dyDescent="0.25"/>
    <row r="56006" customFormat="1" x14ac:dyDescent="0.25"/>
    <row r="56007" customFormat="1" x14ac:dyDescent="0.25"/>
    <row r="56008" customFormat="1" x14ac:dyDescent="0.25"/>
    <row r="56009" customFormat="1" x14ac:dyDescent="0.25"/>
    <row r="56010" customFormat="1" x14ac:dyDescent="0.25"/>
    <row r="56011" customFormat="1" x14ac:dyDescent="0.25"/>
    <row r="56012" customFormat="1" x14ac:dyDescent="0.25"/>
    <row r="56013" customFormat="1" x14ac:dyDescent="0.25"/>
    <row r="56014" customFormat="1" x14ac:dyDescent="0.25"/>
    <row r="56015" customFormat="1" x14ac:dyDescent="0.25"/>
    <row r="56016" customFormat="1" x14ac:dyDescent="0.25"/>
    <row r="56017" customFormat="1" x14ac:dyDescent="0.25"/>
    <row r="56018" customFormat="1" x14ac:dyDescent="0.25"/>
    <row r="56019" customFormat="1" x14ac:dyDescent="0.25"/>
    <row r="56020" customFormat="1" x14ac:dyDescent="0.25"/>
    <row r="56021" customFormat="1" x14ac:dyDescent="0.25"/>
    <row r="56022" customFormat="1" x14ac:dyDescent="0.25"/>
    <row r="56023" customFormat="1" x14ac:dyDescent="0.25"/>
    <row r="56024" customFormat="1" x14ac:dyDescent="0.25"/>
    <row r="56025" customFormat="1" x14ac:dyDescent="0.25"/>
    <row r="56026" customFormat="1" x14ac:dyDescent="0.25"/>
    <row r="56027" customFormat="1" x14ac:dyDescent="0.25"/>
    <row r="56028" customFormat="1" x14ac:dyDescent="0.25"/>
    <row r="56029" customFormat="1" x14ac:dyDescent="0.25"/>
    <row r="56030" customFormat="1" x14ac:dyDescent="0.25"/>
    <row r="56031" customFormat="1" x14ac:dyDescent="0.25"/>
    <row r="56032" customFormat="1" x14ac:dyDescent="0.25"/>
    <row r="56033" customFormat="1" x14ac:dyDescent="0.25"/>
    <row r="56034" customFormat="1" x14ac:dyDescent="0.25"/>
    <row r="56035" customFormat="1" x14ac:dyDescent="0.25"/>
    <row r="56036" customFormat="1" x14ac:dyDescent="0.25"/>
    <row r="56037" customFormat="1" x14ac:dyDescent="0.25"/>
    <row r="56038" customFormat="1" x14ac:dyDescent="0.25"/>
    <row r="56039" customFormat="1" x14ac:dyDescent="0.25"/>
    <row r="56040" customFormat="1" x14ac:dyDescent="0.25"/>
    <row r="56041" customFormat="1" x14ac:dyDescent="0.25"/>
    <row r="56042" customFormat="1" x14ac:dyDescent="0.25"/>
    <row r="56043" customFormat="1" x14ac:dyDescent="0.25"/>
    <row r="56044" customFormat="1" x14ac:dyDescent="0.25"/>
    <row r="56045" customFormat="1" x14ac:dyDescent="0.25"/>
    <row r="56046" customFormat="1" x14ac:dyDescent="0.25"/>
    <row r="56047" customFormat="1" x14ac:dyDescent="0.25"/>
    <row r="56048" customFormat="1" x14ac:dyDescent="0.25"/>
    <row r="56049" customFormat="1" x14ac:dyDescent="0.25"/>
    <row r="56050" customFormat="1" x14ac:dyDescent="0.25"/>
    <row r="56051" customFormat="1" x14ac:dyDescent="0.25"/>
    <row r="56052" customFormat="1" x14ac:dyDescent="0.25"/>
    <row r="56053" customFormat="1" x14ac:dyDescent="0.25"/>
    <row r="56054" customFormat="1" x14ac:dyDescent="0.25"/>
    <row r="56055" customFormat="1" x14ac:dyDescent="0.25"/>
    <row r="56056" customFormat="1" x14ac:dyDescent="0.25"/>
    <row r="56057" customFormat="1" x14ac:dyDescent="0.25"/>
    <row r="56058" customFormat="1" x14ac:dyDescent="0.25"/>
    <row r="56059" customFormat="1" x14ac:dyDescent="0.25"/>
    <row r="56060" customFormat="1" x14ac:dyDescent="0.25"/>
    <row r="56061" customFormat="1" x14ac:dyDescent="0.25"/>
    <row r="56062" customFormat="1" x14ac:dyDescent="0.25"/>
    <row r="56063" customFormat="1" x14ac:dyDescent="0.25"/>
    <row r="56064" customFormat="1" x14ac:dyDescent="0.25"/>
    <row r="56065" customFormat="1" x14ac:dyDescent="0.25"/>
    <row r="56066" customFormat="1" x14ac:dyDescent="0.25"/>
    <row r="56067" customFormat="1" x14ac:dyDescent="0.25"/>
    <row r="56068" customFormat="1" x14ac:dyDescent="0.25"/>
    <row r="56069" customFormat="1" x14ac:dyDescent="0.25"/>
    <row r="56070" customFormat="1" x14ac:dyDescent="0.25"/>
    <row r="56071" customFormat="1" x14ac:dyDescent="0.25"/>
    <row r="56072" customFormat="1" x14ac:dyDescent="0.25"/>
    <row r="56073" customFormat="1" x14ac:dyDescent="0.25"/>
    <row r="56074" customFormat="1" x14ac:dyDescent="0.25"/>
    <row r="56075" customFormat="1" x14ac:dyDescent="0.25"/>
    <row r="56076" customFormat="1" x14ac:dyDescent="0.25"/>
    <row r="56077" customFormat="1" x14ac:dyDescent="0.25"/>
    <row r="56078" customFormat="1" x14ac:dyDescent="0.25"/>
    <row r="56079" customFormat="1" x14ac:dyDescent="0.25"/>
    <row r="56080" customFormat="1" x14ac:dyDescent="0.25"/>
    <row r="56081" customFormat="1" x14ac:dyDescent="0.25"/>
    <row r="56082" customFormat="1" x14ac:dyDescent="0.25"/>
    <row r="56083" customFormat="1" x14ac:dyDescent="0.25"/>
    <row r="56084" customFormat="1" x14ac:dyDescent="0.25"/>
    <row r="56085" customFormat="1" x14ac:dyDescent="0.25"/>
    <row r="56086" customFormat="1" x14ac:dyDescent="0.25"/>
    <row r="56087" customFormat="1" x14ac:dyDescent="0.25"/>
    <row r="56088" customFormat="1" x14ac:dyDescent="0.25"/>
    <row r="56089" customFormat="1" x14ac:dyDescent="0.25"/>
    <row r="56090" customFormat="1" x14ac:dyDescent="0.25"/>
    <row r="56091" customFormat="1" x14ac:dyDescent="0.25"/>
    <row r="56092" customFormat="1" x14ac:dyDescent="0.25"/>
    <row r="56093" customFormat="1" x14ac:dyDescent="0.25"/>
    <row r="56094" customFormat="1" x14ac:dyDescent="0.25"/>
    <row r="56095" customFormat="1" x14ac:dyDescent="0.25"/>
    <row r="56096" customFormat="1" x14ac:dyDescent="0.25"/>
    <row r="56097" customFormat="1" x14ac:dyDescent="0.25"/>
    <row r="56098" customFormat="1" x14ac:dyDescent="0.25"/>
    <row r="56099" customFormat="1" x14ac:dyDescent="0.25"/>
    <row r="56100" customFormat="1" x14ac:dyDescent="0.25"/>
    <row r="56101" customFormat="1" x14ac:dyDescent="0.25"/>
    <row r="56102" customFormat="1" x14ac:dyDescent="0.25"/>
    <row r="56103" customFormat="1" x14ac:dyDescent="0.25"/>
    <row r="56104" customFormat="1" x14ac:dyDescent="0.25"/>
    <row r="56105" customFormat="1" x14ac:dyDescent="0.25"/>
    <row r="56106" customFormat="1" x14ac:dyDescent="0.25"/>
    <row r="56107" customFormat="1" x14ac:dyDescent="0.25"/>
    <row r="56108" customFormat="1" x14ac:dyDescent="0.25"/>
    <row r="56109" customFormat="1" x14ac:dyDescent="0.25"/>
    <row r="56110" customFormat="1" x14ac:dyDescent="0.25"/>
    <row r="56111" customFormat="1" x14ac:dyDescent="0.25"/>
    <row r="56112" customFormat="1" x14ac:dyDescent="0.25"/>
    <row r="56113" customFormat="1" x14ac:dyDescent="0.25"/>
    <row r="56114" customFormat="1" x14ac:dyDescent="0.25"/>
    <row r="56115" customFormat="1" x14ac:dyDescent="0.25"/>
    <row r="56116" customFormat="1" x14ac:dyDescent="0.25"/>
    <row r="56117" customFormat="1" x14ac:dyDescent="0.25"/>
    <row r="56118" customFormat="1" x14ac:dyDescent="0.25"/>
    <row r="56119" customFormat="1" x14ac:dyDescent="0.25"/>
    <row r="56120" customFormat="1" x14ac:dyDescent="0.25"/>
    <row r="56121" customFormat="1" x14ac:dyDescent="0.25"/>
    <row r="56122" customFormat="1" x14ac:dyDescent="0.25"/>
    <row r="56123" customFormat="1" x14ac:dyDescent="0.25"/>
    <row r="56124" customFormat="1" x14ac:dyDescent="0.25"/>
    <row r="56125" customFormat="1" x14ac:dyDescent="0.25"/>
    <row r="56126" customFormat="1" x14ac:dyDescent="0.25"/>
    <row r="56127" customFormat="1" x14ac:dyDescent="0.25"/>
    <row r="56128" customFormat="1" x14ac:dyDescent="0.25"/>
    <row r="56129" customFormat="1" x14ac:dyDescent="0.25"/>
    <row r="56130" customFormat="1" x14ac:dyDescent="0.25"/>
    <row r="56131" customFormat="1" x14ac:dyDescent="0.25"/>
    <row r="56132" customFormat="1" x14ac:dyDescent="0.25"/>
    <row r="56133" customFormat="1" x14ac:dyDescent="0.25"/>
    <row r="56134" customFormat="1" x14ac:dyDescent="0.25"/>
    <row r="56135" customFormat="1" x14ac:dyDescent="0.25"/>
    <row r="56136" customFormat="1" x14ac:dyDescent="0.25"/>
    <row r="56137" customFormat="1" x14ac:dyDescent="0.25"/>
    <row r="56138" customFormat="1" x14ac:dyDescent="0.25"/>
    <row r="56139" customFormat="1" x14ac:dyDescent="0.25"/>
    <row r="56140" customFormat="1" x14ac:dyDescent="0.25"/>
    <row r="56141" customFormat="1" x14ac:dyDescent="0.25"/>
    <row r="56142" customFormat="1" x14ac:dyDescent="0.25"/>
    <row r="56143" customFormat="1" x14ac:dyDescent="0.25"/>
    <row r="56144" customFormat="1" x14ac:dyDescent="0.25"/>
    <row r="56145" customFormat="1" x14ac:dyDescent="0.25"/>
    <row r="56146" customFormat="1" x14ac:dyDescent="0.25"/>
    <row r="56147" customFormat="1" x14ac:dyDescent="0.25"/>
    <row r="56148" customFormat="1" x14ac:dyDescent="0.25"/>
    <row r="56149" customFormat="1" x14ac:dyDescent="0.25"/>
    <row r="56150" customFormat="1" x14ac:dyDescent="0.25"/>
    <row r="56151" customFormat="1" x14ac:dyDescent="0.25"/>
    <row r="56152" customFormat="1" x14ac:dyDescent="0.25"/>
    <row r="56153" customFormat="1" x14ac:dyDescent="0.25"/>
    <row r="56154" customFormat="1" x14ac:dyDescent="0.25"/>
    <row r="56155" customFormat="1" x14ac:dyDescent="0.25"/>
    <row r="56156" customFormat="1" x14ac:dyDescent="0.25"/>
    <row r="56157" customFormat="1" x14ac:dyDescent="0.25"/>
    <row r="56158" customFormat="1" x14ac:dyDescent="0.25"/>
    <row r="56159" customFormat="1" x14ac:dyDescent="0.25"/>
    <row r="56160" customFormat="1" x14ac:dyDescent="0.25"/>
    <row r="56161" customFormat="1" x14ac:dyDescent="0.25"/>
    <row r="56162" customFormat="1" x14ac:dyDescent="0.25"/>
    <row r="56163" customFormat="1" x14ac:dyDescent="0.25"/>
    <row r="56164" customFormat="1" x14ac:dyDescent="0.25"/>
    <row r="56165" customFormat="1" x14ac:dyDescent="0.25"/>
    <row r="56166" customFormat="1" x14ac:dyDescent="0.25"/>
    <row r="56167" customFormat="1" x14ac:dyDescent="0.25"/>
    <row r="56168" customFormat="1" x14ac:dyDescent="0.25"/>
    <row r="56169" customFormat="1" x14ac:dyDescent="0.25"/>
    <row r="56170" customFormat="1" x14ac:dyDescent="0.25"/>
    <row r="56171" customFormat="1" x14ac:dyDescent="0.25"/>
    <row r="56172" customFormat="1" x14ac:dyDescent="0.25"/>
    <row r="56173" customFormat="1" x14ac:dyDescent="0.25"/>
    <row r="56174" customFormat="1" x14ac:dyDescent="0.25"/>
    <row r="56175" customFormat="1" x14ac:dyDescent="0.25"/>
    <row r="56176" customFormat="1" x14ac:dyDescent="0.25"/>
    <row r="56177" customFormat="1" x14ac:dyDescent="0.25"/>
    <row r="56178" customFormat="1" x14ac:dyDescent="0.25"/>
    <row r="56179" customFormat="1" x14ac:dyDescent="0.25"/>
    <row r="56180" customFormat="1" x14ac:dyDescent="0.25"/>
    <row r="56181" customFormat="1" x14ac:dyDescent="0.25"/>
    <row r="56182" customFormat="1" x14ac:dyDescent="0.25"/>
    <row r="56183" customFormat="1" x14ac:dyDescent="0.25"/>
    <row r="56184" customFormat="1" x14ac:dyDescent="0.25"/>
    <row r="56185" customFormat="1" x14ac:dyDescent="0.25"/>
    <row r="56186" customFormat="1" x14ac:dyDescent="0.25"/>
    <row r="56187" customFormat="1" x14ac:dyDescent="0.25"/>
    <row r="56188" customFormat="1" x14ac:dyDescent="0.25"/>
    <row r="56189" customFormat="1" x14ac:dyDescent="0.25"/>
    <row r="56190" customFormat="1" x14ac:dyDescent="0.25"/>
    <row r="56191" customFormat="1" x14ac:dyDescent="0.25"/>
    <row r="56192" customFormat="1" x14ac:dyDescent="0.25"/>
    <row r="56193" customFormat="1" x14ac:dyDescent="0.25"/>
    <row r="56194" customFormat="1" x14ac:dyDescent="0.25"/>
    <row r="56195" customFormat="1" x14ac:dyDescent="0.25"/>
    <row r="56196" customFormat="1" x14ac:dyDescent="0.25"/>
    <row r="56197" customFormat="1" x14ac:dyDescent="0.25"/>
    <row r="56198" customFormat="1" x14ac:dyDescent="0.25"/>
    <row r="56199" customFormat="1" x14ac:dyDescent="0.25"/>
    <row r="56200" customFormat="1" x14ac:dyDescent="0.25"/>
    <row r="56201" customFormat="1" x14ac:dyDescent="0.25"/>
    <row r="56202" customFormat="1" x14ac:dyDescent="0.25"/>
    <row r="56203" customFormat="1" x14ac:dyDescent="0.25"/>
    <row r="56204" customFormat="1" x14ac:dyDescent="0.25"/>
    <row r="56205" customFormat="1" x14ac:dyDescent="0.25"/>
    <row r="56206" customFormat="1" x14ac:dyDescent="0.25"/>
    <row r="56207" customFormat="1" x14ac:dyDescent="0.25"/>
    <row r="56208" customFormat="1" x14ac:dyDescent="0.25"/>
    <row r="56209" customFormat="1" x14ac:dyDescent="0.25"/>
    <row r="56210" customFormat="1" x14ac:dyDescent="0.25"/>
    <row r="56211" customFormat="1" x14ac:dyDescent="0.25"/>
    <row r="56212" customFormat="1" x14ac:dyDescent="0.25"/>
    <row r="56213" customFormat="1" x14ac:dyDescent="0.25"/>
    <row r="56214" customFormat="1" x14ac:dyDescent="0.25"/>
    <row r="56215" customFormat="1" x14ac:dyDescent="0.25"/>
    <row r="56216" customFormat="1" x14ac:dyDescent="0.25"/>
    <row r="56217" customFormat="1" x14ac:dyDescent="0.25"/>
    <row r="56218" customFormat="1" x14ac:dyDescent="0.25"/>
    <row r="56219" customFormat="1" x14ac:dyDescent="0.25"/>
    <row r="56220" customFormat="1" x14ac:dyDescent="0.25"/>
    <row r="56221" customFormat="1" x14ac:dyDescent="0.25"/>
    <row r="56222" customFormat="1" x14ac:dyDescent="0.25"/>
    <row r="56223" customFormat="1" x14ac:dyDescent="0.25"/>
    <row r="56224" customFormat="1" x14ac:dyDescent="0.25"/>
    <row r="56225" customFormat="1" x14ac:dyDescent="0.25"/>
    <row r="56226" customFormat="1" x14ac:dyDescent="0.25"/>
    <row r="56227" customFormat="1" x14ac:dyDescent="0.25"/>
    <row r="56228" customFormat="1" x14ac:dyDescent="0.25"/>
    <row r="56229" customFormat="1" x14ac:dyDescent="0.25"/>
    <row r="56230" customFormat="1" x14ac:dyDescent="0.25"/>
    <row r="56231" customFormat="1" x14ac:dyDescent="0.25"/>
    <row r="56232" customFormat="1" x14ac:dyDescent="0.25"/>
    <row r="56233" customFormat="1" x14ac:dyDescent="0.25"/>
    <row r="56234" customFormat="1" x14ac:dyDescent="0.25"/>
    <row r="56235" customFormat="1" x14ac:dyDescent="0.25"/>
    <row r="56236" customFormat="1" x14ac:dyDescent="0.25"/>
    <row r="56237" customFormat="1" x14ac:dyDescent="0.25"/>
    <row r="56238" customFormat="1" x14ac:dyDescent="0.25"/>
    <row r="56239" customFormat="1" x14ac:dyDescent="0.25"/>
    <row r="56240" customFormat="1" x14ac:dyDescent="0.25"/>
    <row r="56241" customFormat="1" x14ac:dyDescent="0.25"/>
    <row r="56242" customFormat="1" x14ac:dyDescent="0.25"/>
    <row r="56243" customFormat="1" x14ac:dyDescent="0.25"/>
    <row r="56244" customFormat="1" x14ac:dyDescent="0.25"/>
    <row r="56245" customFormat="1" x14ac:dyDescent="0.25"/>
    <row r="56246" customFormat="1" x14ac:dyDescent="0.25"/>
    <row r="56247" customFormat="1" x14ac:dyDescent="0.25"/>
    <row r="56248" customFormat="1" x14ac:dyDescent="0.25"/>
    <row r="56249" customFormat="1" x14ac:dyDescent="0.25"/>
    <row r="56250" customFormat="1" x14ac:dyDescent="0.25"/>
    <row r="56251" customFormat="1" x14ac:dyDescent="0.25"/>
    <row r="56252" customFormat="1" x14ac:dyDescent="0.25"/>
    <row r="56253" customFormat="1" x14ac:dyDescent="0.25"/>
    <row r="56254" customFormat="1" x14ac:dyDescent="0.25"/>
    <row r="56255" customFormat="1" x14ac:dyDescent="0.25"/>
    <row r="56256" customFormat="1" x14ac:dyDescent="0.25"/>
    <row r="56257" customFormat="1" x14ac:dyDescent="0.25"/>
    <row r="56258" customFormat="1" x14ac:dyDescent="0.25"/>
    <row r="56259" customFormat="1" x14ac:dyDescent="0.25"/>
    <row r="56260" customFormat="1" x14ac:dyDescent="0.25"/>
    <row r="56261" customFormat="1" x14ac:dyDescent="0.25"/>
    <row r="56262" customFormat="1" x14ac:dyDescent="0.25"/>
    <row r="56263" customFormat="1" x14ac:dyDescent="0.25"/>
    <row r="56264" customFormat="1" x14ac:dyDescent="0.25"/>
    <row r="56265" customFormat="1" x14ac:dyDescent="0.25"/>
    <row r="56266" customFormat="1" x14ac:dyDescent="0.25"/>
    <row r="56267" customFormat="1" x14ac:dyDescent="0.25"/>
    <row r="56268" customFormat="1" x14ac:dyDescent="0.25"/>
    <row r="56269" customFormat="1" x14ac:dyDescent="0.25"/>
    <row r="56270" customFormat="1" x14ac:dyDescent="0.25"/>
    <row r="56271" customFormat="1" x14ac:dyDescent="0.25"/>
    <row r="56272" customFormat="1" x14ac:dyDescent="0.25"/>
    <row r="56273" customFormat="1" x14ac:dyDescent="0.25"/>
    <row r="56274" customFormat="1" x14ac:dyDescent="0.25"/>
    <row r="56275" customFormat="1" x14ac:dyDescent="0.25"/>
    <row r="56276" customFormat="1" x14ac:dyDescent="0.25"/>
    <row r="56277" customFormat="1" x14ac:dyDescent="0.25"/>
    <row r="56278" customFormat="1" x14ac:dyDescent="0.25"/>
    <row r="56279" customFormat="1" x14ac:dyDescent="0.25"/>
    <row r="56280" customFormat="1" x14ac:dyDescent="0.25"/>
    <row r="56281" customFormat="1" x14ac:dyDescent="0.25"/>
    <row r="56282" customFormat="1" x14ac:dyDescent="0.25"/>
    <row r="56283" customFormat="1" x14ac:dyDescent="0.25"/>
    <row r="56284" customFormat="1" x14ac:dyDescent="0.25"/>
    <row r="56285" customFormat="1" x14ac:dyDescent="0.25"/>
    <row r="56286" customFormat="1" x14ac:dyDescent="0.25"/>
    <row r="56287" customFormat="1" x14ac:dyDescent="0.25"/>
    <row r="56288" customFormat="1" x14ac:dyDescent="0.25"/>
    <row r="56289" customFormat="1" x14ac:dyDescent="0.25"/>
    <row r="56290" customFormat="1" x14ac:dyDescent="0.25"/>
    <row r="56291" customFormat="1" x14ac:dyDescent="0.25"/>
    <row r="56292" customFormat="1" x14ac:dyDescent="0.25"/>
    <row r="56293" customFormat="1" x14ac:dyDescent="0.25"/>
    <row r="56294" customFormat="1" x14ac:dyDescent="0.25"/>
    <row r="56295" customFormat="1" x14ac:dyDescent="0.25"/>
    <row r="56296" customFormat="1" x14ac:dyDescent="0.25"/>
    <row r="56297" customFormat="1" x14ac:dyDescent="0.25"/>
    <row r="56298" customFormat="1" x14ac:dyDescent="0.25"/>
    <row r="56299" customFormat="1" x14ac:dyDescent="0.25"/>
    <row r="56300" customFormat="1" x14ac:dyDescent="0.25"/>
    <row r="56301" customFormat="1" x14ac:dyDescent="0.25"/>
    <row r="56302" customFormat="1" x14ac:dyDescent="0.25"/>
    <row r="56303" customFormat="1" x14ac:dyDescent="0.25"/>
    <row r="56304" customFormat="1" x14ac:dyDescent="0.25"/>
    <row r="56305" customFormat="1" x14ac:dyDescent="0.25"/>
    <row r="56306" customFormat="1" x14ac:dyDescent="0.25"/>
    <row r="56307" customFormat="1" x14ac:dyDescent="0.25"/>
    <row r="56308" customFormat="1" x14ac:dyDescent="0.25"/>
    <row r="56309" customFormat="1" x14ac:dyDescent="0.25"/>
    <row r="56310" customFormat="1" x14ac:dyDescent="0.25"/>
    <row r="56311" customFormat="1" x14ac:dyDescent="0.25"/>
    <row r="56312" customFormat="1" x14ac:dyDescent="0.25"/>
    <row r="56313" customFormat="1" x14ac:dyDescent="0.25"/>
    <row r="56314" customFormat="1" x14ac:dyDescent="0.25"/>
    <row r="56315" customFormat="1" x14ac:dyDescent="0.25"/>
    <row r="56316" customFormat="1" x14ac:dyDescent="0.25"/>
    <row r="56317" customFormat="1" x14ac:dyDescent="0.25"/>
    <row r="56318" customFormat="1" x14ac:dyDescent="0.25"/>
    <row r="56319" customFormat="1" x14ac:dyDescent="0.25"/>
    <row r="56320" customFormat="1" x14ac:dyDescent="0.25"/>
    <row r="56321" customFormat="1" x14ac:dyDescent="0.25"/>
    <row r="56322" customFormat="1" x14ac:dyDescent="0.25"/>
    <row r="56323" customFormat="1" x14ac:dyDescent="0.25"/>
    <row r="56324" customFormat="1" x14ac:dyDescent="0.25"/>
    <row r="56325" customFormat="1" x14ac:dyDescent="0.25"/>
    <row r="56326" customFormat="1" x14ac:dyDescent="0.25"/>
    <row r="56327" customFormat="1" x14ac:dyDescent="0.25"/>
    <row r="56328" customFormat="1" x14ac:dyDescent="0.25"/>
    <row r="56329" customFormat="1" x14ac:dyDescent="0.25"/>
    <row r="56330" customFormat="1" x14ac:dyDescent="0.25"/>
    <row r="56331" customFormat="1" x14ac:dyDescent="0.25"/>
    <row r="56332" customFormat="1" x14ac:dyDescent="0.25"/>
    <row r="56333" customFormat="1" x14ac:dyDescent="0.25"/>
    <row r="56334" customFormat="1" x14ac:dyDescent="0.25"/>
    <row r="56335" customFormat="1" x14ac:dyDescent="0.25"/>
    <row r="56336" customFormat="1" x14ac:dyDescent="0.25"/>
    <row r="56337" customFormat="1" x14ac:dyDescent="0.25"/>
    <row r="56338" customFormat="1" x14ac:dyDescent="0.25"/>
    <row r="56339" customFormat="1" x14ac:dyDescent="0.25"/>
    <row r="56340" customFormat="1" x14ac:dyDescent="0.25"/>
    <row r="56341" customFormat="1" x14ac:dyDescent="0.25"/>
    <row r="56342" customFormat="1" x14ac:dyDescent="0.25"/>
    <row r="56343" customFormat="1" x14ac:dyDescent="0.25"/>
    <row r="56344" customFormat="1" x14ac:dyDescent="0.25"/>
    <row r="56345" customFormat="1" x14ac:dyDescent="0.25"/>
    <row r="56346" customFormat="1" x14ac:dyDescent="0.25"/>
    <row r="56347" customFormat="1" x14ac:dyDescent="0.25"/>
    <row r="56348" customFormat="1" x14ac:dyDescent="0.25"/>
    <row r="56349" customFormat="1" x14ac:dyDescent="0.25"/>
    <row r="56350" customFormat="1" x14ac:dyDescent="0.25"/>
    <row r="56351" customFormat="1" x14ac:dyDescent="0.25"/>
    <row r="56352" customFormat="1" x14ac:dyDescent="0.25"/>
    <row r="56353" customFormat="1" x14ac:dyDescent="0.25"/>
    <row r="56354" customFormat="1" x14ac:dyDescent="0.25"/>
    <row r="56355" customFormat="1" x14ac:dyDescent="0.25"/>
    <row r="56356" customFormat="1" x14ac:dyDescent="0.25"/>
    <row r="56357" customFormat="1" x14ac:dyDescent="0.25"/>
    <row r="56358" customFormat="1" x14ac:dyDescent="0.25"/>
    <row r="56359" customFormat="1" x14ac:dyDescent="0.25"/>
    <row r="56360" customFormat="1" x14ac:dyDescent="0.25"/>
    <row r="56361" customFormat="1" x14ac:dyDescent="0.25"/>
    <row r="56362" customFormat="1" x14ac:dyDescent="0.25"/>
    <row r="56363" customFormat="1" x14ac:dyDescent="0.25"/>
    <row r="56364" customFormat="1" x14ac:dyDescent="0.25"/>
    <row r="56365" customFormat="1" x14ac:dyDescent="0.25"/>
    <row r="56366" customFormat="1" x14ac:dyDescent="0.25"/>
    <row r="56367" customFormat="1" x14ac:dyDescent="0.25"/>
    <row r="56368" customFormat="1" x14ac:dyDescent="0.25"/>
    <row r="56369" customFormat="1" x14ac:dyDescent="0.25"/>
    <row r="56370" customFormat="1" x14ac:dyDescent="0.25"/>
    <row r="56371" customFormat="1" x14ac:dyDescent="0.25"/>
    <row r="56372" customFormat="1" x14ac:dyDescent="0.25"/>
    <row r="56373" customFormat="1" x14ac:dyDescent="0.25"/>
    <row r="56374" customFormat="1" x14ac:dyDescent="0.25"/>
    <row r="56375" customFormat="1" x14ac:dyDescent="0.25"/>
    <row r="56376" customFormat="1" x14ac:dyDescent="0.25"/>
    <row r="56377" customFormat="1" x14ac:dyDescent="0.25"/>
    <row r="56378" customFormat="1" x14ac:dyDescent="0.25"/>
    <row r="56379" customFormat="1" x14ac:dyDescent="0.25"/>
    <row r="56380" customFormat="1" x14ac:dyDescent="0.25"/>
    <row r="56381" customFormat="1" x14ac:dyDescent="0.25"/>
    <row r="56382" customFormat="1" x14ac:dyDescent="0.25"/>
    <row r="56383" customFormat="1" x14ac:dyDescent="0.25"/>
    <row r="56384" customFormat="1" x14ac:dyDescent="0.25"/>
    <row r="56385" customFormat="1" x14ac:dyDescent="0.25"/>
    <row r="56386" customFormat="1" x14ac:dyDescent="0.25"/>
    <row r="56387" customFormat="1" x14ac:dyDescent="0.25"/>
    <row r="56388" customFormat="1" x14ac:dyDescent="0.25"/>
    <row r="56389" customFormat="1" x14ac:dyDescent="0.25"/>
    <row r="56390" customFormat="1" x14ac:dyDescent="0.25"/>
    <row r="56391" customFormat="1" x14ac:dyDescent="0.25"/>
    <row r="56392" customFormat="1" x14ac:dyDescent="0.25"/>
    <row r="56393" customFormat="1" x14ac:dyDescent="0.25"/>
    <row r="56394" customFormat="1" x14ac:dyDescent="0.25"/>
    <row r="56395" customFormat="1" x14ac:dyDescent="0.25"/>
    <row r="56396" customFormat="1" x14ac:dyDescent="0.25"/>
    <row r="56397" customFormat="1" x14ac:dyDescent="0.25"/>
    <row r="56398" customFormat="1" x14ac:dyDescent="0.25"/>
    <row r="56399" customFormat="1" x14ac:dyDescent="0.25"/>
    <row r="56400" customFormat="1" x14ac:dyDescent="0.25"/>
    <row r="56401" customFormat="1" x14ac:dyDescent="0.25"/>
    <row r="56402" customFormat="1" x14ac:dyDescent="0.25"/>
    <row r="56403" customFormat="1" x14ac:dyDescent="0.25"/>
    <row r="56404" customFormat="1" x14ac:dyDescent="0.25"/>
    <row r="56405" customFormat="1" x14ac:dyDescent="0.25"/>
    <row r="56406" customFormat="1" x14ac:dyDescent="0.25"/>
    <row r="56407" customFormat="1" x14ac:dyDescent="0.25"/>
    <row r="56408" customFormat="1" x14ac:dyDescent="0.25"/>
    <row r="56409" customFormat="1" x14ac:dyDescent="0.25"/>
    <row r="56410" customFormat="1" x14ac:dyDescent="0.25"/>
    <row r="56411" customFormat="1" x14ac:dyDescent="0.25"/>
    <row r="56412" customFormat="1" x14ac:dyDescent="0.25"/>
    <row r="56413" customFormat="1" x14ac:dyDescent="0.25"/>
    <row r="56414" customFormat="1" x14ac:dyDescent="0.25"/>
    <row r="56415" customFormat="1" x14ac:dyDescent="0.25"/>
    <row r="56416" customFormat="1" x14ac:dyDescent="0.25"/>
    <row r="56417" customFormat="1" x14ac:dyDescent="0.25"/>
    <row r="56418" customFormat="1" x14ac:dyDescent="0.25"/>
    <row r="56419" customFormat="1" x14ac:dyDescent="0.25"/>
    <row r="56420" customFormat="1" x14ac:dyDescent="0.25"/>
    <row r="56421" customFormat="1" x14ac:dyDescent="0.25"/>
    <row r="56422" customFormat="1" x14ac:dyDescent="0.25"/>
    <row r="56423" customFormat="1" x14ac:dyDescent="0.25"/>
    <row r="56424" customFormat="1" x14ac:dyDescent="0.25"/>
    <row r="56425" customFormat="1" x14ac:dyDescent="0.25"/>
    <row r="56426" customFormat="1" x14ac:dyDescent="0.25"/>
    <row r="56427" customFormat="1" x14ac:dyDescent="0.25"/>
    <row r="56428" customFormat="1" x14ac:dyDescent="0.25"/>
    <row r="56429" customFormat="1" x14ac:dyDescent="0.25"/>
    <row r="56430" customFormat="1" x14ac:dyDescent="0.25"/>
    <row r="56431" customFormat="1" x14ac:dyDescent="0.25"/>
    <row r="56432" customFormat="1" x14ac:dyDescent="0.25"/>
    <row r="56433" customFormat="1" x14ac:dyDescent="0.25"/>
    <row r="56434" customFormat="1" x14ac:dyDescent="0.25"/>
    <row r="56435" customFormat="1" x14ac:dyDescent="0.25"/>
    <row r="56436" customFormat="1" x14ac:dyDescent="0.25"/>
    <row r="56437" customFormat="1" x14ac:dyDescent="0.25"/>
    <row r="56438" customFormat="1" x14ac:dyDescent="0.25"/>
    <row r="56439" customFormat="1" x14ac:dyDescent="0.25"/>
    <row r="56440" customFormat="1" x14ac:dyDescent="0.25"/>
    <row r="56441" customFormat="1" x14ac:dyDescent="0.25"/>
    <row r="56442" customFormat="1" x14ac:dyDescent="0.25"/>
    <row r="56443" customFormat="1" x14ac:dyDescent="0.25"/>
    <row r="56444" customFormat="1" x14ac:dyDescent="0.25"/>
    <row r="56445" customFormat="1" x14ac:dyDescent="0.25"/>
    <row r="56446" customFormat="1" x14ac:dyDescent="0.25"/>
    <row r="56447" customFormat="1" x14ac:dyDescent="0.25"/>
    <row r="56448" customFormat="1" x14ac:dyDescent="0.25"/>
    <row r="56449" customFormat="1" x14ac:dyDescent="0.25"/>
    <row r="56450" customFormat="1" x14ac:dyDescent="0.25"/>
    <row r="56451" customFormat="1" x14ac:dyDescent="0.25"/>
    <row r="56452" customFormat="1" x14ac:dyDescent="0.25"/>
    <row r="56453" customFormat="1" x14ac:dyDescent="0.25"/>
    <row r="56454" customFormat="1" x14ac:dyDescent="0.25"/>
    <row r="56455" customFormat="1" x14ac:dyDescent="0.25"/>
    <row r="56456" customFormat="1" x14ac:dyDescent="0.25"/>
    <row r="56457" customFormat="1" x14ac:dyDescent="0.25"/>
    <row r="56458" customFormat="1" x14ac:dyDescent="0.25"/>
    <row r="56459" customFormat="1" x14ac:dyDescent="0.25"/>
    <row r="56460" customFormat="1" x14ac:dyDescent="0.25"/>
    <row r="56461" customFormat="1" x14ac:dyDescent="0.25"/>
    <row r="56462" customFormat="1" x14ac:dyDescent="0.25"/>
    <row r="56463" customFormat="1" x14ac:dyDescent="0.25"/>
    <row r="56464" customFormat="1" x14ac:dyDescent="0.25"/>
    <row r="56465" customFormat="1" x14ac:dyDescent="0.25"/>
    <row r="56466" customFormat="1" x14ac:dyDescent="0.25"/>
    <row r="56467" customFormat="1" x14ac:dyDescent="0.25"/>
    <row r="56468" customFormat="1" x14ac:dyDescent="0.25"/>
    <row r="56469" customFormat="1" x14ac:dyDescent="0.25"/>
    <row r="56470" customFormat="1" x14ac:dyDescent="0.25"/>
    <row r="56471" customFormat="1" x14ac:dyDescent="0.25"/>
    <row r="56472" customFormat="1" x14ac:dyDescent="0.25"/>
    <row r="56473" customFormat="1" x14ac:dyDescent="0.25"/>
    <row r="56474" customFormat="1" x14ac:dyDescent="0.25"/>
    <row r="56475" customFormat="1" x14ac:dyDescent="0.25"/>
    <row r="56476" customFormat="1" x14ac:dyDescent="0.25"/>
    <row r="56477" customFormat="1" x14ac:dyDescent="0.25"/>
    <row r="56478" customFormat="1" x14ac:dyDescent="0.25"/>
    <row r="56479" customFormat="1" x14ac:dyDescent="0.25"/>
    <row r="56480" customFormat="1" x14ac:dyDescent="0.25"/>
    <row r="56481" customFormat="1" x14ac:dyDescent="0.25"/>
    <row r="56482" customFormat="1" x14ac:dyDescent="0.25"/>
    <row r="56483" customFormat="1" x14ac:dyDescent="0.25"/>
    <row r="56484" customFormat="1" x14ac:dyDescent="0.25"/>
    <row r="56485" customFormat="1" x14ac:dyDescent="0.25"/>
    <row r="56486" customFormat="1" x14ac:dyDescent="0.25"/>
    <row r="56487" customFormat="1" x14ac:dyDescent="0.25"/>
    <row r="56488" customFormat="1" x14ac:dyDescent="0.25"/>
    <row r="56489" customFormat="1" x14ac:dyDescent="0.25"/>
    <row r="56490" customFormat="1" x14ac:dyDescent="0.25"/>
    <row r="56491" customFormat="1" x14ac:dyDescent="0.25"/>
    <row r="56492" customFormat="1" x14ac:dyDescent="0.25"/>
    <row r="56493" customFormat="1" x14ac:dyDescent="0.25"/>
    <row r="56494" customFormat="1" x14ac:dyDescent="0.25"/>
    <row r="56495" customFormat="1" x14ac:dyDescent="0.25"/>
    <row r="56496" customFormat="1" x14ac:dyDescent="0.25"/>
    <row r="56497" customFormat="1" x14ac:dyDescent="0.25"/>
    <row r="56498" customFormat="1" x14ac:dyDescent="0.25"/>
    <row r="56499" customFormat="1" x14ac:dyDescent="0.25"/>
    <row r="56500" customFormat="1" x14ac:dyDescent="0.25"/>
    <row r="56501" customFormat="1" x14ac:dyDescent="0.25"/>
    <row r="56502" customFormat="1" x14ac:dyDescent="0.25"/>
    <row r="56503" customFormat="1" x14ac:dyDescent="0.25"/>
    <row r="56504" customFormat="1" x14ac:dyDescent="0.25"/>
    <row r="56505" customFormat="1" x14ac:dyDescent="0.25"/>
    <row r="56506" customFormat="1" x14ac:dyDescent="0.25"/>
    <row r="56507" customFormat="1" x14ac:dyDescent="0.25"/>
    <row r="56508" customFormat="1" x14ac:dyDescent="0.25"/>
    <row r="56509" customFormat="1" x14ac:dyDescent="0.25"/>
    <row r="56510" customFormat="1" x14ac:dyDescent="0.25"/>
    <row r="56511" customFormat="1" x14ac:dyDescent="0.25"/>
    <row r="56512" customFormat="1" x14ac:dyDescent="0.25"/>
    <row r="56513" customFormat="1" x14ac:dyDescent="0.25"/>
    <row r="56514" customFormat="1" x14ac:dyDescent="0.25"/>
    <row r="56515" customFormat="1" x14ac:dyDescent="0.25"/>
    <row r="56516" customFormat="1" x14ac:dyDescent="0.25"/>
    <row r="56517" customFormat="1" x14ac:dyDescent="0.25"/>
    <row r="56518" customFormat="1" x14ac:dyDescent="0.25"/>
    <row r="56519" customFormat="1" x14ac:dyDescent="0.25"/>
    <row r="56520" customFormat="1" x14ac:dyDescent="0.25"/>
    <row r="56521" customFormat="1" x14ac:dyDescent="0.25"/>
    <row r="56522" customFormat="1" x14ac:dyDescent="0.25"/>
    <row r="56523" customFormat="1" x14ac:dyDescent="0.25"/>
    <row r="56524" customFormat="1" x14ac:dyDescent="0.25"/>
    <row r="56525" customFormat="1" x14ac:dyDescent="0.25"/>
    <row r="56526" customFormat="1" x14ac:dyDescent="0.25"/>
    <row r="56527" customFormat="1" x14ac:dyDescent="0.25"/>
    <row r="56528" customFormat="1" x14ac:dyDescent="0.25"/>
    <row r="56529" customFormat="1" x14ac:dyDescent="0.25"/>
    <row r="56530" customFormat="1" x14ac:dyDescent="0.25"/>
    <row r="56531" customFormat="1" x14ac:dyDescent="0.25"/>
    <row r="56532" customFormat="1" x14ac:dyDescent="0.25"/>
    <row r="56533" customFormat="1" x14ac:dyDescent="0.25"/>
    <row r="56534" customFormat="1" x14ac:dyDescent="0.25"/>
    <row r="56535" customFormat="1" x14ac:dyDescent="0.25"/>
    <row r="56536" customFormat="1" x14ac:dyDescent="0.25"/>
    <row r="56537" customFormat="1" x14ac:dyDescent="0.25"/>
    <row r="56538" customFormat="1" x14ac:dyDescent="0.25"/>
    <row r="56539" customFormat="1" x14ac:dyDescent="0.25"/>
    <row r="56540" customFormat="1" x14ac:dyDescent="0.25"/>
    <row r="56541" customFormat="1" x14ac:dyDescent="0.25"/>
    <row r="56542" customFormat="1" x14ac:dyDescent="0.25"/>
    <row r="56543" customFormat="1" x14ac:dyDescent="0.25"/>
    <row r="56544" customFormat="1" x14ac:dyDescent="0.25"/>
    <row r="56545" customFormat="1" x14ac:dyDescent="0.25"/>
    <row r="56546" customFormat="1" x14ac:dyDescent="0.25"/>
    <row r="56547" customFormat="1" x14ac:dyDescent="0.25"/>
    <row r="56548" customFormat="1" x14ac:dyDescent="0.25"/>
    <row r="56549" customFormat="1" x14ac:dyDescent="0.25"/>
    <row r="56550" customFormat="1" x14ac:dyDescent="0.25"/>
    <row r="56551" customFormat="1" x14ac:dyDescent="0.25"/>
    <row r="56552" customFormat="1" x14ac:dyDescent="0.25"/>
    <row r="56553" customFormat="1" x14ac:dyDescent="0.25"/>
    <row r="56554" customFormat="1" x14ac:dyDescent="0.25"/>
    <row r="56555" customFormat="1" x14ac:dyDescent="0.25"/>
    <row r="56556" customFormat="1" x14ac:dyDescent="0.25"/>
    <row r="56557" customFormat="1" x14ac:dyDescent="0.25"/>
    <row r="56558" customFormat="1" x14ac:dyDescent="0.25"/>
    <row r="56559" customFormat="1" x14ac:dyDescent="0.25"/>
    <row r="56560" customFormat="1" x14ac:dyDescent="0.25"/>
    <row r="56561" customFormat="1" x14ac:dyDescent="0.25"/>
    <row r="56562" customFormat="1" x14ac:dyDescent="0.25"/>
    <row r="56563" customFormat="1" x14ac:dyDescent="0.25"/>
    <row r="56564" customFormat="1" x14ac:dyDescent="0.25"/>
    <row r="56565" customFormat="1" x14ac:dyDescent="0.25"/>
    <row r="56566" customFormat="1" x14ac:dyDescent="0.25"/>
    <row r="56567" customFormat="1" x14ac:dyDescent="0.25"/>
    <row r="56568" customFormat="1" x14ac:dyDescent="0.25"/>
    <row r="56569" customFormat="1" x14ac:dyDescent="0.25"/>
    <row r="56570" customFormat="1" x14ac:dyDescent="0.25"/>
    <row r="56571" customFormat="1" x14ac:dyDescent="0.25"/>
    <row r="56572" customFormat="1" x14ac:dyDescent="0.25"/>
    <row r="56573" customFormat="1" x14ac:dyDescent="0.25"/>
    <row r="56574" customFormat="1" x14ac:dyDescent="0.25"/>
    <row r="56575" customFormat="1" x14ac:dyDescent="0.25"/>
    <row r="56576" customFormat="1" x14ac:dyDescent="0.25"/>
    <row r="56577" customFormat="1" x14ac:dyDescent="0.25"/>
    <row r="56578" customFormat="1" x14ac:dyDescent="0.25"/>
    <row r="56579" customFormat="1" x14ac:dyDescent="0.25"/>
    <row r="56580" customFormat="1" x14ac:dyDescent="0.25"/>
    <row r="56581" customFormat="1" x14ac:dyDescent="0.25"/>
    <row r="56582" customFormat="1" x14ac:dyDescent="0.25"/>
    <row r="56583" customFormat="1" x14ac:dyDescent="0.25"/>
    <row r="56584" customFormat="1" x14ac:dyDescent="0.25"/>
    <row r="56585" customFormat="1" x14ac:dyDescent="0.25"/>
    <row r="56586" customFormat="1" x14ac:dyDescent="0.25"/>
    <row r="56587" customFormat="1" x14ac:dyDescent="0.25"/>
    <row r="56588" customFormat="1" x14ac:dyDescent="0.25"/>
    <row r="56589" customFormat="1" x14ac:dyDescent="0.25"/>
    <row r="56590" customFormat="1" x14ac:dyDescent="0.25"/>
    <row r="56591" customFormat="1" x14ac:dyDescent="0.25"/>
    <row r="56592" customFormat="1" x14ac:dyDescent="0.25"/>
    <row r="56593" customFormat="1" x14ac:dyDescent="0.25"/>
    <row r="56594" customFormat="1" x14ac:dyDescent="0.25"/>
    <row r="56595" customFormat="1" x14ac:dyDescent="0.25"/>
    <row r="56596" customFormat="1" x14ac:dyDescent="0.25"/>
    <row r="56597" customFormat="1" x14ac:dyDescent="0.25"/>
    <row r="56598" customFormat="1" x14ac:dyDescent="0.25"/>
    <row r="56599" customFormat="1" x14ac:dyDescent="0.25"/>
    <row r="56600" customFormat="1" x14ac:dyDescent="0.25"/>
    <row r="56601" customFormat="1" x14ac:dyDescent="0.25"/>
    <row r="56602" customFormat="1" x14ac:dyDescent="0.25"/>
    <row r="56603" customFormat="1" x14ac:dyDescent="0.25"/>
    <row r="56604" customFormat="1" x14ac:dyDescent="0.25"/>
    <row r="56605" customFormat="1" x14ac:dyDescent="0.25"/>
    <row r="56606" customFormat="1" x14ac:dyDescent="0.25"/>
    <row r="56607" customFormat="1" x14ac:dyDescent="0.25"/>
    <row r="56608" customFormat="1" x14ac:dyDescent="0.25"/>
    <row r="56609" customFormat="1" x14ac:dyDescent="0.25"/>
    <row r="56610" customFormat="1" x14ac:dyDescent="0.25"/>
    <row r="56611" customFormat="1" x14ac:dyDescent="0.25"/>
    <row r="56612" customFormat="1" x14ac:dyDescent="0.25"/>
    <row r="56613" customFormat="1" x14ac:dyDescent="0.25"/>
    <row r="56614" customFormat="1" x14ac:dyDescent="0.25"/>
    <row r="56615" customFormat="1" x14ac:dyDescent="0.25"/>
    <row r="56616" customFormat="1" x14ac:dyDescent="0.25"/>
    <row r="56617" customFormat="1" x14ac:dyDescent="0.25"/>
    <row r="56618" customFormat="1" x14ac:dyDescent="0.25"/>
    <row r="56619" customFormat="1" x14ac:dyDescent="0.25"/>
    <row r="56620" customFormat="1" x14ac:dyDescent="0.25"/>
    <row r="56621" customFormat="1" x14ac:dyDescent="0.25"/>
    <row r="56622" customFormat="1" x14ac:dyDescent="0.25"/>
    <row r="56623" customFormat="1" x14ac:dyDescent="0.25"/>
    <row r="56624" customFormat="1" x14ac:dyDescent="0.25"/>
    <row r="56625" customFormat="1" x14ac:dyDescent="0.25"/>
    <row r="56626" customFormat="1" x14ac:dyDescent="0.25"/>
    <row r="56627" customFormat="1" x14ac:dyDescent="0.25"/>
    <row r="56628" customFormat="1" x14ac:dyDescent="0.25"/>
    <row r="56629" customFormat="1" x14ac:dyDescent="0.25"/>
    <row r="56630" customFormat="1" x14ac:dyDescent="0.25"/>
    <row r="56631" customFormat="1" x14ac:dyDescent="0.25"/>
    <row r="56632" customFormat="1" x14ac:dyDescent="0.25"/>
    <row r="56633" customFormat="1" x14ac:dyDescent="0.25"/>
    <row r="56634" customFormat="1" x14ac:dyDescent="0.25"/>
    <row r="56635" customFormat="1" x14ac:dyDescent="0.25"/>
    <row r="56636" customFormat="1" x14ac:dyDescent="0.25"/>
    <row r="56637" customFormat="1" x14ac:dyDescent="0.25"/>
    <row r="56638" customFormat="1" x14ac:dyDescent="0.25"/>
    <row r="56639" customFormat="1" x14ac:dyDescent="0.25"/>
    <row r="56640" customFormat="1" x14ac:dyDescent="0.25"/>
    <row r="56641" customFormat="1" x14ac:dyDescent="0.25"/>
    <row r="56642" customFormat="1" x14ac:dyDescent="0.25"/>
    <row r="56643" customFormat="1" x14ac:dyDescent="0.25"/>
    <row r="56644" customFormat="1" x14ac:dyDescent="0.25"/>
    <row r="56645" customFormat="1" x14ac:dyDescent="0.25"/>
    <row r="56646" customFormat="1" x14ac:dyDescent="0.25"/>
    <row r="56647" customFormat="1" x14ac:dyDescent="0.25"/>
    <row r="56648" customFormat="1" x14ac:dyDescent="0.25"/>
    <row r="56649" customFormat="1" x14ac:dyDescent="0.25"/>
    <row r="56650" customFormat="1" x14ac:dyDescent="0.25"/>
    <row r="56651" customFormat="1" x14ac:dyDescent="0.25"/>
    <row r="56652" customFormat="1" x14ac:dyDescent="0.25"/>
    <row r="56653" customFormat="1" x14ac:dyDescent="0.25"/>
    <row r="56654" customFormat="1" x14ac:dyDescent="0.25"/>
    <row r="56655" customFormat="1" x14ac:dyDescent="0.25"/>
    <row r="56656" customFormat="1" x14ac:dyDescent="0.25"/>
    <row r="56657" customFormat="1" x14ac:dyDescent="0.25"/>
    <row r="56658" customFormat="1" x14ac:dyDescent="0.25"/>
    <row r="56659" customFormat="1" x14ac:dyDescent="0.25"/>
    <row r="56660" customFormat="1" x14ac:dyDescent="0.25"/>
    <row r="56661" customFormat="1" x14ac:dyDescent="0.25"/>
    <row r="56662" customFormat="1" x14ac:dyDescent="0.25"/>
    <row r="56663" customFormat="1" x14ac:dyDescent="0.25"/>
    <row r="56664" customFormat="1" x14ac:dyDescent="0.25"/>
    <row r="56665" customFormat="1" x14ac:dyDescent="0.25"/>
    <row r="56666" customFormat="1" x14ac:dyDescent="0.25"/>
    <row r="56667" customFormat="1" x14ac:dyDescent="0.25"/>
    <row r="56668" customFormat="1" x14ac:dyDescent="0.25"/>
    <row r="56669" customFormat="1" x14ac:dyDescent="0.25"/>
    <row r="56670" customFormat="1" x14ac:dyDescent="0.25"/>
    <row r="56671" customFormat="1" x14ac:dyDescent="0.25"/>
    <row r="56672" customFormat="1" x14ac:dyDescent="0.25"/>
    <row r="56673" customFormat="1" x14ac:dyDescent="0.25"/>
    <row r="56674" customFormat="1" x14ac:dyDescent="0.25"/>
    <row r="56675" customFormat="1" x14ac:dyDescent="0.25"/>
    <row r="56676" customFormat="1" x14ac:dyDescent="0.25"/>
    <row r="56677" customFormat="1" x14ac:dyDescent="0.25"/>
    <row r="56678" customFormat="1" x14ac:dyDescent="0.25"/>
    <row r="56679" customFormat="1" x14ac:dyDescent="0.25"/>
    <row r="56680" customFormat="1" x14ac:dyDescent="0.25"/>
    <row r="56681" customFormat="1" x14ac:dyDescent="0.25"/>
    <row r="56682" customFormat="1" x14ac:dyDescent="0.25"/>
    <row r="56683" customFormat="1" x14ac:dyDescent="0.25"/>
    <row r="56684" customFormat="1" x14ac:dyDescent="0.25"/>
    <row r="56685" customFormat="1" x14ac:dyDescent="0.25"/>
    <row r="56686" customFormat="1" x14ac:dyDescent="0.25"/>
    <row r="56687" customFormat="1" x14ac:dyDescent="0.25"/>
    <row r="56688" customFormat="1" x14ac:dyDescent="0.25"/>
    <row r="56689" customFormat="1" x14ac:dyDescent="0.25"/>
    <row r="56690" customFormat="1" x14ac:dyDescent="0.25"/>
    <row r="56691" customFormat="1" x14ac:dyDescent="0.25"/>
    <row r="56692" customFormat="1" x14ac:dyDescent="0.25"/>
    <row r="56693" customFormat="1" x14ac:dyDescent="0.25"/>
    <row r="56694" customFormat="1" x14ac:dyDescent="0.25"/>
    <row r="56695" customFormat="1" x14ac:dyDescent="0.25"/>
    <row r="56696" customFormat="1" x14ac:dyDescent="0.25"/>
    <row r="56697" customFormat="1" x14ac:dyDescent="0.25"/>
    <row r="56698" customFormat="1" x14ac:dyDescent="0.25"/>
    <row r="56699" customFormat="1" x14ac:dyDescent="0.25"/>
    <row r="56700" customFormat="1" x14ac:dyDescent="0.25"/>
    <row r="56701" customFormat="1" x14ac:dyDescent="0.25"/>
    <row r="56702" customFormat="1" x14ac:dyDescent="0.25"/>
    <row r="56703" customFormat="1" x14ac:dyDescent="0.25"/>
    <row r="56704" customFormat="1" x14ac:dyDescent="0.25"/>
    <row r="56705" customFormat="1" x14ac:dyDescent="0.25"/>
    <row r="56706" customFormat="1" x14ac:dyDescent="0.25"/>
    <row r="56707" customFormat="1" x14ac:dyDescent="0.25"/>
    <row r="56708" customFormat="1" x14ac:dyDescent="0.25"/>
    <row r="56709" customFormat="1" x14ac:dyDescent="0.25"/>
    <row r="56710" customFormat="1" x14ac:dyDescent="0.25"/>
    <row r="56711" customFormat="1" x14ac:dyDescent="0.25"/>
    <row r="56712" customFormat="1" x14ac:dyDescent="0.25"/>
    <row r="56713" customFormat="1" x14ac:dyDescent="0.25"/>
    <row r="56714" customFormat="1" x14ac:dyDescent="0.25"/>
    <row r="56715" customFormat="1" x14ac:dyDescent="0.25"/>
    <row r="56716" customFormat="1" x14ac:dyDescent="0.25"/>
    <row r="56717" customFormat="1" x14ac:dyDescent="0.25"/>
    <row r="56718" customFormat="1" x14ac:dyDescent="0.25"/>
    <row r="56719" customFormat="1" x14ac:dyDescent="0.25"/>
    <row r="56720" customFormat="1" x14ac:dyDescent="0.25"/>
    <row r="56721" customFormat="1" x14ac:dyDescent="0.25"/>
    <row r="56722" customFormat="1" x14ac:dyDescent="0.25"/>
    <row r="56723" customFormat="1" x14ac:dyDescent="0.25"/>
    <row r="56724" customFormat="1" x14ac:dyDescent="0.25"/>
    <row r="56725" customFormat="1" x14ac:dyDescent="0.25"/>
    <row r="56726" customFormat="1" x14ac:dyDescent="0.25"/>
    <row r="56727" customFormat="1" x14ac:dyDescent="0.25"/>
    <row r="56728" customFormat="1" x14ac:dyDescent="0.25"/>
    <row r="56729" customFormat="1" x14ac:dyDescent="0.25"/>
    <row r="56730" customFormat="1" x14ac:dyDescent="0.25"/>
    <row r="56731" customFormat="1" x14ac:dyDescent="0.25"/>
    <row r="56732" customFormat="1" x14ac:dyDescent="0.25"/>
    <row r="56733" customFormat="1" x14ac:dyDescent="0.25"/>
    <row r="56734" customFormat="1" x14ac:dyDescent="0.25"/>
    <row r="56735" customFormat="1" x14ac:dyDescent="0.25"/>
    <row r="56736" customFormat="1" x14ac:dyDescent="0.25"/>
    <row r="56737" customFormat="1" x14ac:dyDescent="0.25"/>
    <row r="56738" customFormat="1" x14ac:dyDescent="0.25"/>
    <row r="56739" customFormat="1" x14ac:dyDescent="0.25"/>
    <row r="56740" customFormat="1" x14ac:dyDescent="0.25"/>
    <row r="56741" customFormat="1" x14ac:dyDescent="0.25"/>
    <row r="56742" customFormat="1" x14ac:dyDescent="0.25"/>
    <row r="56743" customFormat="1" x14ac:dyDescent="0.25"/>
    <row r="56744" customFormat="1" x14ac:dyDescent="0.25"/>
    <row r="56745" customFormat="1" x14ac:dyDescent="0.25"/>
    <row r="56746" customFormat="1" x14ac:dyDescent="0.25"/>
    <row r="56747" customFormat="1" x14ac:dyDescent="0.25"/>
    <row r="56748" customFormat="1" x14ac:dyDescent="0.25"/>
    <row r="56749" customFormat="1" x14ac:dyDescent="0.25"/>
    <row r="56750" customFormat="1" x14ac:dyDescent="0.25"/>
    <row r="56751" customFormat="1" x14ac:dyDescent="0.25"/>
    <row r="56752" customFormat="1" x14ac:dyDescent="0.25"/>
    <row r="56753" customFormat="1" x14ac:dyDescent="0.25"/>
    <row r="56754" customFormat="1" x14ac:dyDescent="0.25"/>
    <row r="56755" customFormat="1" x14ac:dyDescent="0.25"/>
    <row r="56756" customFormat="1" x14ac:dyDescent="0.25"/>
    <row r="56757" customFormat="1" x14ac:dyDescent="0.25"/>
    <row r="56758" customFormat="1" x14ac:dyDescent="0.25"/>
    <row r="56759" customFormat="1" x14ac:dyDescent="0.25"/>
    <row r="56760" customFormat="1" x14ac:dyDescent="0.25"/>
    <row r="56761" customFormat="1" x14ac:dyDescent="0.25"/>
    <row r="56762" customFormat="1" x14ac:dyDescent="0.25"/>
    <row r="56763" customFormat="1" x14ac:dyDescent="0.25"/>
    <row r="56764" customFormat="1" x14ac:dyDescent="0.25"/>
    <row r="56765" customFormat="1" x14ac:dyDescent="0.25"/>
    <row r="56766" customFormat="1" x14ac:dyDescent="0.25"/>
    <row r="56767" customFormat="1" x14ac:dyDescent="0.25"/>
    <row r="56768" customFormat="1" x14ac:dyDescent="0.25"/>
    <row r="56769" customFormat="1" x14ac:dyDescent="0.25"/>
    <row r="56770" customFormat="1" x14ac:dyDescent="0.25"/>
    <row r="56771" customFormat="1" x14ac:dyDescent="0.25"/>
    <row r="56772" customFormat="1" x14ac:dyDescent="0.25"/>
    <row r="56773" customFormat="1" x14ac:dyDescent="0.25"/>
    <row r="56774" customFormat="1" x14ac:dyDescent="0.25"/>
    <row r="56775" customFormat="1" x14ac:dyDescent="0.25"/>
    <row r="56776" customFormat="1" x14ac:dyDescent="0.25"/>
    <row r="56777" customFormat="1" x14ac:dyDescent="0.25"/>
    <row r="56778" customFormat="1" x14ac:dyDescent="0.25"/>
    <row r="56779" customFormat="1" x14ac:dyDescent="0.25"/>
    <row r="56780" customFormat="1" x14ac:dyDescent="0.25"/>
    <row r="56781" customFormat="1" x14ac:dyDescent="0.25"/>
    <row r="56782" customFormat="1" x14ac:dyDescent="0.25"/>
    <row r="56783" customFormat="1" x14ac:dyDescent="0.25"/>
    <row r="56784" customFormat="1" x14ac:dyDescent="0.25"/>
    <row r="56785" customFormat="1" x14ac:dyDescent="0.25"/>
    <row r="56786" customFormat="1" x14ac:dyDescent="0.25"/>
    <row r="56787" customFormat="1" x14ac:dyDescent="0.25"/>
    <row r="56788" customFormat="1" x14ac:dyDescent="0.25"/>
    <row r="56789" customFormat="1" x14ac:dyDescent="0.25"/>
    <row r="56790" customFormat="1" x14ac:dyDescent="0.25"/>
    <row r="56791" customFormat="1" x14ac:dyDescent="0.25"/>
    <row r="56792" customFormat="1" x14ac:dyDescent="0.25"/>
    <row r="56793" customFormat="1" x14ac:dyDescent="0.25"/>
    <row r="56794" customFormat="1" x14ac:dyDescent="0.25"/>
    <row r="56795" customFormat="1" x14ac:dyDescent="0.25"/>
    <row r="56796" customFormat="1" x14ac:dyDescent="0.25"/>
    <row r="56797" customFormat="1" x14ac:dyDescent="0.25"/>
    <row r="56798" customFormat="1" x14ac:dyDescent="0.25"/>
    <row r="56799" customFormat="1" x14ac:dyDescent="0.25"/>
    <row r="56800" customFormat="1" x14ac:dyDescent="0.25"/>
    <row r="56801" customFormat="1" x14ac:dyDescent="0.25"/>
    <row r="56802" customFormat="1" x14ac:dyDescent="0.25"/>
    <row r="56803" customFormat="1" x14ac:dyDescent="0.25"/>
    <row r="56804" customFormat="1" x14ac:dyDescent="0.25"/>
    <row r="56805" customFormat="1" x14ac:dyDescent="0.25"/>
    <row r="56806" customFormat="1" x14ac:dyDescent="0.25"/>
    <row r="56807" customFormat="1" x14ac:dyDescent="0.25"/>
    <row r="56808" customFormat="1" x14ac:dyDescent="0.25"/>
    <row r="56809" customFormat="1" x14ac:dyDescent="0.25"/>
    <row r="56810" customFormat="1" x14ac:dyDescent="0.25"/>
    <row r="56811" customFormat="1" x14ac:dyDescent="0.25"/>
    <row r="56812" customFormat="1" x14ac:dyDescent="0.25"/>
    <row r="56813" customFormat="1" x14ac:dyDescent="0.25"/>
    <row r="56814" customFormat="1" x14ac:dyDescent="0.25"/>
    <row r="56815" customFormat="1" x14ac:dyDescent="0.25"/>
    <row r="56816" customFormat="1" x14ac:dyDescent="0.25"/>
    <row r="56817" customFormat="1" x14ac:dyDescent="0.25"/>
    <row r="56818" customFormat="1" x14ac:dyDescent="0.25"/>
    <row r="56819" customFormat="1" x14ac:dyDescent="0.25"/>
    <row r="56820" customFormat="1" x14ac:dyDescent="0.25"/>
    <row r="56821" customFormat="1" x14ac:dyDescent="0.25"/>
    <row r="56822" customFormat="1" x14ac:dyDescent="0.25"/>
    <row r="56823" customFormat="1" x14ac:dyDescent="0.25"/>
    <row r="56824" customFormat="1" x14ac:dyDescent="0.25"/>
    <row r="56825" customFormat="1" x14ac:dyDescent="0.25"/>
    <row r="56826" customFormat="1" x14ac:dyDescent="0.25"/>
    <row r="56827" customFormat="1" x14ac:dyDescent="0.25"/>
    <row r="56828" customFormat="1" x14ac:dyDescent="0.25"/>
    <row r="56829" customFormat="1" x14ac:dyDescent="0.25"/>
    <row r="56830" customFormat="1" x14ac:dyDescent="0.25"/>
    <row r="56831" customFormat="1" x14ac:dyDescent="0.25"/>
    <row r="56832" customFormat="1" x14ac:dyDescent="0.25"/>
    <row r="56833" customFormat="1" x14ac:dyDescent="0.25"/>
    <row r="56834" customFormat="1" x14ac:dyDescent="0.25"/>
    <row r="56835" customFormat="1" x14ac:dyDescent="0.25"/>
    <row r="56836" customFormat="1" x14ac:dyDescent="0.25"/>
    <row r="56837" customFormat="1" x14ac:dyDescent="0.25"/>
    <row r="56838" customFormat="1" x14ac:dyDescent="0.25"/>
    <row r="56839" customFormat="1" x14ac:dyDescent="0.25"/>
    <row r="56840" customFormat="1" x14ac:dyDescent="0.25"/>
    <row r="56841" customFormat="1" x14ac:dyDescent="0.25"/>
    <row r="56842" customFormat="1" x14ac:dyDescent="0.25"/>
    <row r="56843" customFormat="1" x14ac:dyDescent="0.25"/>
    <row r="56844" customFormat="1" x14ac:dyDescent="0.25"/>
    <row r="56845" customFormat="1" x14ac:dyDescent="0.25"/>
    <row r="56846" customFormat="1" x14ac:dyDescent="0.25"/>
    <row r="56847" customFormat="1" x14ac:dyDescent="0.25"/>
    <row r="56848" customFormat="1" x14ac:dyDescent="0.25"/>
    <row r="56849" customFormat="1" x14ac:dyDescent="0.25"/>
    <row r="56850" customFormat="1" x14ac:dyDescent="0.25"/>
    <row r="56851" customFormat="1" x14ac:dyDescent="0.25"/>
    <row r="56852" customFormat="1" x14ac:dyDescent="0.25"/>
    <row r="56853" customFormat="1" x14ac:dyDescent="0.25"/>
    <row r="56854" customFormat="1" x14ac:dyDescent="0.25"/>
    <row r="56855" customFormat="1" x14ac:dyDescent="0.25"/>
    <row r="56856" customFormat="1" x14ac:dyDescent="0.25"/>
    <row r="56857" customFormat="1" x14ac:dyDescent="0.25"/>
    <row r="56858" customFormat="1" x14ac:dyDescent="0.25"/>
    <row r="56859" customFormat="1" x14ac:dyDescent="0.25"/>
    <row r="56860" customFormat="1" x14ac:dyDescent="0.25"/>
    <row r="56861" customFormat="1" x14ac:dyDescent="0.25"/>
    <row r="56862" customFormat="1" x14ac:dyDescent="0.25"/>
    <row r="56863" customFormat="1" x14ac:dyDescent="0.25"/>
    <row r="56864" customFormat="1" x14ac:dyDescent="0.25"/>
    <row r="56865" customFormat="1" x14ac:dyDescent="0.25"/>
    <row r="56866" customFormat="1" x14ac:dyDescent="0.25"/>
    <row r="56867" customFormat="1" x14ac:dyDescent="0.25"/>
    <row r="56868" customFormat="1" x14ac:dyDescent="0.25"/>
    <row r="56869" customFormat="1" x14ac:dyDescent="0.25"/>
    <row r="56870" customFormat="1" x14ac:dyDescent="0.25"/>
    <row r="56871" customFormat="1" x14ac:dyDescent="0.25"/>
    <row r="56872" customFormat="1" x14ac:dyDescent="0.25"/>
    <row r="56873" customFormat="1" x14ac:dyDescent="0.25"/>
    <row r="56874" customFormat="1" x14ac:dyDescent="0.25"/>
    <row r="56875" customFormat="1" x14ac:dyDescent="0.25"/>
    <row r="56876" customFormat="1" x14ac:dyDescent="0.25"/>
    <row r="56877" customFormat="1" x14ac:dyDescent="0.25"/>
    <row r="56878" customFormat="1" x14ac:dyDescent="0.25"/>
    <row r="56879" customFormat="1" x14ac:dyDescent="0.25"/>
    <row r="56880" customFormat="1" x14ac:dyDescent="0.25"/>
    <row r="56881" customFormat="1" x14ac:dyDescent="0.25"/>
    <row r="56882" customFormat="1" x14ac:dyDescent="0.25"/>
    <row r="56883" customFormat="1" x14ac:dyDescent="0.25"/>
    <row r="56884" customFormat="1" x14ac:dyDescent="0.25"/>
    <row r="56885" customFormat="1" x14ac:dyDescent="0.25"/>
    <row r="56886" customFormat="1" x14ac:dyDescent="0.25"/>
    <row r="56887" customFormat="1" x14ac:dyDescent="0.25"/>
    <row r="56888" customFormat="1" x14ac:dyDescent="0.25"/>
    <row r="56889" customFormat="1" x14ac:dyDescent="0.25"/>
    <row r="56890" customFormat="1" x14ac:dyDescent="0.25"/>
    <row r="56891" customFormat="1" x14ac:dyDescent="0.25"/>
    <row r="56892" customFormat="1" x14ac:dyDescent="0.25"/>
    <row r="56893" customFormat="1" x14ac:dyDescent="0.25"/>
    <row r="56894" customFormat="1" x14ac:dyDescent="0.25"/>
    <row r="56895" customFormat="1" x14ac:dyDescent="0.25"/>
    <row r="56896" customFormat="1" x14ac:dyDescent="0.25"/>
    <row r="56897" customFormat="1" x14ac:dyDescent="0.25"/>
    <row r="56898" customFormat="1" x14ac:dyDescent="0.25"/>
    <row r="56899" customFormat="1" x14ac:dyDescent="0.25"/>
    <row r="56900" customFormat="1" x14ac:dyDescent="0.25"/>
    <row r="56901" customFormat="1" x14ac:dyDescent="0.25"/>
    <row r="56902" customFormat="1" x14ac:dyDescent="0.25"/>
    <row r="56903" customFormat="1" x14ac:dyDescent="0.25"/>
    <row r="56904" customFormat="1" x14ac:dyDescent="0.25"/>
    <row r="56905" customFormat="1" x14ac:dyDescent="0.25"/>
    <row r="56906" customFormat="1" x14ac:dyDescent="0.25"/>
    <row r="56907" customFormat="1" x14ac:dyDescent="0.25"/>
    <row r="56908" customFormat="1" x14ac:dyDescent="0.25"/>
    <row r="56909" customFormat="1" x14ac:dyDescent="0.25"/>
    <row r="56910" customFormat="1" x14ac:dyDescent="0.25"/>
    <row r="56911" customFormat="1" x14ac:dyDescent="0.25"/>
    <row r="56912" customFormat="1" x14ac:dyDescent="0.25"/>
    <row r="56913" customFormat="1" x14ac:dyDescent="0.25"/>
    <row r="56914" customFormat="1" x14ac:dyDescent="0.25"/>
    <row r="56915" customFormat="1" x14ac:dyDescent="0.25"/>
    <row r="56916" customFormat="1" x14ac:dyDescent="0.25"/>
    <row r="56917" customFormat="1" x14ac:dyDescent="0.25"/>
    <row r="56918" customFormat="1" x14ac:dyDescent="0.25"/>
    <row r="56919" customFormat="1" x14ac:dyDescent="0.25"/>
    <row r="56920" customFormat="1" x14ac:dyDescent="0.25"/>
    <row r="56921" customFormat="1" x14ac:dyDescent="0.25"/>
    <row r="56922" customFormat="1" x14ac:dyDescent="0.25"/>
    <row r="56923" customFormat="1" x14ac:dyDescent="0.25"/>
    <row r="56924" customFormat="1" x14ac:dyDescent="0.25"/>
    <row r="56925" customFormat="1" x14ac:dyDescent="0.25"/>
    <row r="56926" customFormat="1" x14ac:dyDescent="0.25"/>
    <row r="56927" customFormat="1" x14ac:dyDescent="0.25"/>
    <row r="56928" customFormat="1" x14ac:dyDescent="0.25"/>
    <row r="56929" customFormat="1" x14ac:dyDescent="0.25"/>
    <row r="56930" customFormat="1" x14ac:dyDescent="0.25"/>
    <row r="56931" customFormat="1" x14ac:dyDescent="0.25"/>
    <row r="56932" customFormat="1" x14ac:dyDescent="0.25"/>
    <row r="56933" customFormat="1" x14ac:dyDescent="0.25"/>
    <row r="56934" customFormat="1" x14ac:dyDescent="0.25"/>
    <row r="56935" customFormat="1" x14ac:dyDescent="0.25"/>
    <row r="56936" customFormat="1" x14ac:dyDescent="0.25"/>
    <row r="56937" customFormat="1" x14ac:dyDescent="0.25"/>
    <row r="56938" customFormat="1" x14ac:dyDescent="0.25"/>
    <row r="56939" customFormat="1" x14ac:dyDescent="0.25"/>
    <row r="56940" customFormat="1" x14ac:dyDescent="0.25"/>
    <row r="56941" customFormat="1" x14ac:dyDescent="0.25"/>
    <row r="56942" customFormat="1" x14ac:dyDescent="0.25"/>
    <row r="56943" customFormat="1" x14ac:dyDescent="0.25"/>
    <row r="56944" customFormat="1" x14ac:dyDescent="0.25"/>
    <row r="56945" customFormat="1" x14ac:dyDescent="0.25"/>
    <row r="56946" customFormat="1" x14ac:dyDescent="0.25"/>
    <row r="56947" customFormat="1" x14ac:dyDescent="0.25"/>
    <row r="56948" customFormat="1" x14ac:dyDescent="0.25"/>
    <row r="56949" customFormat="1" x14ac:dyDescent="0.25"/>
    <row r="56950" customFormat="1" x14ac:dyDescent="0.25"/>
    <row r="56951" customFormat="1" x14ac:dyDescent="0.25"/>
    <row r="56952" customFormat="1" x14ac:dyDescent="0.25"/>
    <row r="56953" customFormat="1" x14ac:dyDescent="0.25"/>
    <row r="56954" customFormat="1" x14ac:dyDescent="0.25"/>
    <row r="56955" customFormat="1" x14ac:dyDescent="0.25"/>
    <row r="56956" customFormat="1" x14ac:dyDescent="0.25"/>
    <row r="56957" customFormat="1" x14ac:dyDescent="0.25"/>
    <row r="56958" customFormat="1" x14ac:dyDescent="0.25"/>
    <row r="56959" customFormat="1" x14ac:dyDescent="0.25"/>
    <row r="56960" customFormat="1" x14ac:dyDescent="0.25"/>
    <row r="56961" customFormat="1" x14ac:dyDescent="0.25"/>
    <row r="56962" customFormat="1" x14ac:dyDescent="0.25"/>
    <row r="56963" customFormat="1" x14ac:dyDescent="0.25"/>
    <row r="56964" customFormat="1" x14ac:dyDescent="0.25"/>
    <row r="56965" customFormat="1" x14ac:dyDescent="0.25"/>
    <row r="56966" customFormat="1" x14ac:dyDescent="0.25"/>
    <row r="56967" customFormat="1" x14ac:dyDescent="0.25"/>
    <row r="56968" customFormat="1" x14ac:dyDescent="0.25"/>
    <row r="56969" customFormat="1" x14ac:dyDescent="0.25"/>
    <row r="56970" customFormat="1" x14ac:dyDescent="0.25"/>
    <row r="56971" customFormat="1" x14ac:dyDescent="0.25"/>
    <row r="56972" customFormat="1" x14ac:dyDescent="0.25"/>
    <row r="56973" customFormat="1" x14ac:dyDescent="0.25"/>
    <row r="56974" customFormat="1" x14ac:dyDescent="0.25"/>
    <row r="56975" customFormat="1" x14ac:dyDescent="0.25"/>
    <row r="56976" customFormat="1" x14ac:dyDescent="0.25"/>
    <row r="56977" customFormat="1" x14ac:dyDescent="0.25"/>
    <row r="56978" customFormat="1" x14ac:dyDescent="0.25"/>
    <row r="56979" customFormat="1" x14ac:dyDescent="0.25"/>
    <row r="56980" customFormat="1" x14ac:dyDescent="0.25"/>
    <row r="56981" customFormat="1" x14ac:dyDescent="0.25"/>
    <row r="56982" customFormat="1" x14ac:dyDescent="0.25"/>
    <row r="56983" customFormat="1" x14ac:dyDescent="0.25"/>
    <row r="56984" customFormat="1" x14ac:dyDescent="0.25"/>
    <row r="56985" customFormat="1" x14ac:dyDescent="0.25"/>
    <row r="56986" customFormat="1" x14ac:dyDescent="0.25"/>
    <row r="56987" customFormat="1" x14ac:dyDescent="0.25"/>
    <row r="56988" customFormat="1" x14ac:dyDescent="0.25"/>
    <row r="56989" customFormat="1" x14ac:dyDescent="0.25"/>
    <row r="56990" customFormat="1" x14ac:dyDescent="0.25"/>
    <row r="56991" customFormat="1" x14ac:dyDescent="0.25"/>
    <row r="56992" customFormat="1" x14ac:dyDescent="0.25"/>
    <row r="56993" customFormat="1" x14ac:dyDescent="0.25"/>
    <row r="56994" customFormat="1" x14ac:dyDescent="0.25"/>
    <row r="56995" customFormat="1" x14ac:dyDescent="0.25"/>
    <row r="56996" customFormat="1" x14ac:dyDescent="0.25"/>
    <row r="56997" customFormat="1" x14ac:dyDescent="0.25"/>
    <row r="56998" customFormat="1" x14ac:dyDescent="0.25"/>
    <row r="56999" customFormat="1" x14ac:dyDescent="0.25"/>
    <row r="57000" customFormat="1" x14ac:dyDescent="0.25"/>
    <row r="57001" customFormat="1" x14ac:dyDescent="0.25"/>
    <row r="57002" customFormat="1" x14ac:dyDescent="0.25"/>
    <row r="57003" customFormat="1" x14ac:dyDescent="0.25"/>
    <row r="57004" customFormat="1" x14ac:dyDescent="0.25"/>
    <row r="57005" customFormat="1" x14ac:dyDescent="0.25"/>
    <row r="57006" customFormat="1" x14ac:dyDescent="0.25"/>
    <row r="57007" customFormat="1" x14ac:dyDescent="0.25"/>
    <row r="57008" customFormat="1" x14ac:dyDescent="0.25"/>
    <row r="57009" customFormat="1" x14ac:dyDescent="0.25"/>
    <row r="57010" customFormat="1" x14ac:dyDescent="0.25"/>
    <row r="57011" customFormat="1" x14ac:dyDescent="0.25"/>
    <row r="57012" customFormat="1" x14ac:dyDescent="0.25"/>
    <row r="57013" customFormat="1" x14ac:dyDescent="0.25"/>
    <row r="57014" customFormat="1" x14ac:dyDescent="0.25"/>
    <row r="57015" customFormat="1" x14ac:dyDescent="0.25"/>
    <row r="57016" customFormat="1" x14ac:dyDescent="0.25"/>
    <row r="57017" customFormat="1" x14ac:dyDescent="0.25"/>
    <row r="57018" customFormat="1" x14ac:dyDescent="0.25"/>
    <row r="57019" customFormat="1" x14ac:dyDescent="0.25"/>
    <row r="57020" customFormat="1" x14ac:dyDescent="0.25"/>
    <row r="57021" customFormat="1" x14ac:dyDescent="0.25"/>
    <row r="57022" customFormat="1" x14ac:dyDescent="0.25"/>
    <row r="57023" customFormat="1" x14ac:dyDescent="0.25"/>
    <row r="57024" customFormat="1" x14ac:dyDescent="0.25"/>
    <row r="57025" customFormat="1" x14ac:dyDescent="0.25"/>
    <row r="57026" customFormat="1" x14ac:dyDescent="0.25"/>
    <row r="57027" customFormat="1" x14ac:dyDescent="0.25"/>
    <row r="57028" customFormat="1" x14ac:dyDescent="0.25"/>
    <row r="57029" customFormat="1" x14ac:dyDescent="0.25"/>
    <row r="57030" customFormat="1" x14ac:dyDescent="0.25"/>
    <row r="57031" customFormat="1" x14ac:dyDescent="0.25"/>
    <row r="57032" customFormat="1" x14ac:dyDescent="0.25"/>
    <row r="57033" customFormat="1" x14ac:dyDescent="0.25"/>
    <row r="57034" customFormat="1" x14ac:dyDescent="0.25"/>
    <row r="57035" customFormat="1" x14ac:dyDescent="0.25"/>
    <row r="57036" customFormat="1" x14ac:dyDescent="0.25"/>
    <row r="57037" customFormat="1" x14ac:dyDescent="0.25"/>
    <row r="57038" customFormat="1" x14ac:dyDescent="0.25"/>
    <row r="57039" customFormat="1" x14ac:dyDescent="0.25"/>
    <row r="57040" customFormat="1" x14ac:dyDescent="0.25"/>
    <row r="57041" customFormat="1" x14ac:dyDescent="0.25"/>
    <row r="57042" customFormat="1" x14ac:dyDescent="0.25"/>
    <row r="57043" customFormat="1" x14ac:dyDescent="0.25"/>
    <row r="57044" customFormat="1" x14ac:dyDescent="0.25"/>
    <row r="57045" customFormat="1" x14ac:dyDescent="0.25"/>
    <row r="57046" customFormat="1" x14ac:dyDescent="0.25"/>
    <row r="57047" customFormat="1" x14ac:dyDescent="0.25"/>
    <row r="57048" customFormat="1" x14ac:dyDescent="0.25"/>
    <row r="57049" customFormat="1" x14ac:dyDescent="0.25"/>
    <row r="57050" customFormat="1" x14ac:dyDescent="0.25"/>
    <row r="57051" customFormat="1" x14ac:dyDescent="0.25"/>
    <row r="57052" customFormat="1" x14ac:dyDescent="0.25"/>
    <row r="57053" customFormat="1" x14ac:dyDescent="0.25"/>
    <row r="57054" customFormat="1" x14ac:dyDescent="0.25"/>
    <row r="57055" customFormat="1" x14ac:dyDescent="0.25"/>
    <row r="57056" customFormat="1" x14ac:dyDescent="0.25"/>
    <row r="57057" customFormat="1" x14ac:dyDescent="0.25"/>
    <row r="57058" customFormat="1" x14ac:dyDescent="0.25"/>
    <row r="57059" customFormat="1" x14ac:dyDescent="0.25"/>
    <row r="57060" customFormat="1" x14ac:dyDescent="0.25"/>
    <row r="57061" customFormat="1" x14ac:dyDescent="0.25"/>
    <row r="57062" customFormat="1" x14ac:dyDescent="0.25"/>
    <row r="57063" customFormat="1" x14ac:dyDescent="0.25"/>
    <row r="57064" customFormat="1" x14ac:dyDescent="0.25"/>
    <row r="57065" customFormat="1" x14ac:dyDescent="0.25"/>
    <row r="57066" customFormat="1" x14ac:dyDescent="0.25"/>
    <row r="57067" customFormat="1" x14ac:dyDescent="0.25"/>
    <row r="57068" customFormat="1" x14ac:dyDescent="0.25"/>
    <row r="57069" customFormat="1" x14ac:dyDescent="0.25"/>
    <row r="57070" customFormat="1" x14ac:dyDescent="0.25"/>
    <row r="57071" customFormat="1" x14ac:dyDescent="0.25"/>
    <row r="57072" customFormat="1" x14ac:dyDescent="0.25"/>
    <row r="57073" customFormat="1" x14ac:dyDescent="0.25"/>
    <row r="57074" customFormat="1" x14ac:dyDescent="0.25"/>
    <row r="57075" customFormat="1" x14ac:dyDescent="0.25"/>
    <row r="57076" customFormat="1" x14ac:dyDescent="0.25"/>
    <row r="57077" customFormat="1" x14ac:dyDescent="0.25"/>
    <row r="57078" customFormat="1" x14ac:dyDescent="0.25"/>
    <row r="57079" customFormat="1" x14ac:dyDescent="0.25"/>
    <row r="57080" customFormat="1" x14ac:dyDescent="0.25"/>
    <row r="57081" customFormat="1" x14ac:dyDescent="0.25"/>
    <row r="57082" customFormat="1" x14ac:dyDescent="0.25"/>
    <row r="57083" customFormat="1" x14ac:dyDescent="0.25"/>
    <row r="57084" customFormat="1" x14ac:dyDescent="0.25"/>
    <row r="57085" customFormat="1" x14ac:dyDescent="0.25"/>
    <row r="57086" customFormat="1" x14ac:dyDescent="0.25"/>
    <row r="57087" customFormat="1" x14ac:dyDescent="0.25"/>
    <row r="57088" customFormat="1" x14ac:dyDescent="0.25"/>
    <row r="57089" customFormat="1" x14ac:dyDescent="0.25"/>
    <row r="57090" customFormat="1" x14ac:dyDescent="0.25"/>
    <row r="57091" customFormat="1" x14ac:dyDescent="0.25"/>
    <row r="57092" customFormat="1" x14ac:dyDescent="0.25"/>
    <row r="57093" customFormat="1" x14ac:dyDescent="0.25"/>
    <row r="57094" customFormat="1" x14ac:dyDescent="0.25"/>
    <row r="57095" customFormat="1" x14ac:dyDescent="0.25"/>
    <row r="57096" customFormat="1" x14ac:dyDescent="0.25"/>
    <row r="57097" customFormat="1" x14ac:dyDescent="0.25"/>
    <row r="57098" customFormat="1" x14ac:dyDescent="0.25"/>
    <row r="57099" customFormat="1" x14ac:dyDescent="0.25"/>
    <row r="57100" customFormat="1" x14ac:dyDescent="0.25"/>
    <row r="57101" customFormat="1" x14ac:dyDescent="0.25"/>
    <row r="57102" customFormat="1" x14ac:dyDescent="0.25"/>
    <row r="57103" customFormat="1" x14ac:dyDescent="0.25"/>
    <row r="57104" customFormat="1" x14ac:dyDescent="0.25"/>
    <row r="57105" customFormat="1" x14ac:dyDescent="0.25"/>
    <row r="57106" customFormat="1" x14ac:dyDescent="0.25"/>
    <row r="57107" customFormat="1" x14ac:dyDescent="0.25"/>
    <row r="57108" customFormat="1" x14ac:dyDescent="0.25"/>
    <row r="57109" customFormat="1" x14ac:dyDescent="0.25"/>
    <row r="57110" customFormat="1" x14ac:dyDescent="0.25"/>
    <row r="57111" customFormat="1" x14ac:dyDescent="0.25"/>
    <row r="57112" customFormat="1" x14ac:dyDescent="0.25"/>
    <row r="57113" customFormat="1" x14ac:dyDescent="0.25"/>
    <row r="57114" customFormat="1" x14ac:dyDescent="0.25"/>
    <row r="57115" customFormat="1" x14ac:dyDescent="0.25"/>
    <row r="57116" customFormat="1" x14ac:dyDescent="0.25"/>
    <row r="57117" customFormat="1" x14ac:dyDescent="0.25"/>
    <row r="57118" customFormat="1" x14ac:dyDescent="0.25"/>
    <row r="57119" customFormat="1" x14ac:dyDescent="0.25"/>
    <row r="57120" customFormat="1" x14ac:dyDescent="0.25"/>
    <row r="57121" customFormat="1" x14ac:dyDescent="0.25"/>
    <row r="57122" customFormat="1" x14ac:dyDescent="0.25"/>
    <row r="57123" customFormat="1" x14ac:dyDescent="0.25"/>
    <row r="57124" customFormat="1" x14ac:dyDescent="0.25"/>
    <row r="57125" customFormat="1" x14ac:dyDescent="0.25"/>
    <row r="57126" customFormat="1" x14ac:dyDescent="0.25"/>
    <row r="57127" customFormat="1" x14ac:dyDescent="0.25"/>
    <row r="57128" customFormat="1" x14ac:dyDescent="0.25"/>
    <row r="57129" customFormat="1" x14ac:dyDescent="0.25"/>
    <row r="57130" customFormat="1" x14ac:dyDescent="0.25"/>
    <row r="57131" customFormat="1" x14ac:dyDescent="0.25"/>
    <row r="57132" customFormat="1" x14ac:dyDescent="0.25"/>
    <row r="57133" customFormat="1" x14ac:dyDescent="0.25"/>
    <row r="57134" customFormat="1" x14ac:dyDescent="0.25"/>
    <row r="57135" customFormat="1" x14ac:dyDescent="0.25"/>
    <row r="57136" customFormat="1" x14ac:dyDescent="0.25"/>
    <row r="57137" customFormat="1" x14ac:dyDescent="0.25"/>
    <row r="57138" customFormat="1" x14ac:dyDescent="0.25"/>
    <row r="57139" customFormat="1" x14ac:dyDescent="0.25"/>
    <row r="57140" customFormat="1" x14ac:dyDescent="0.25"/>
    <row r="57141" customFormat="1" x14ac:dyDescent="0.25"/>
    <row r="57142" customFormat="1" x14ac:dyDescent="0.25"/>
    <row r="57143" customFormat="1" x14ac:dyDescent="0.25"/>
    <row r="57144" customFormat="1" x14ac:dyDescent="0.25"/>
    <row r="57145" customFormat="1" x14ac:dyDescent="0.25"/>
    <row r="57146" customFormat="1" x14ac:dyDescent="0.25"/>
    <row r="57147" customFormat="1" x14ac:dyDescent="0.25"/>
    <row r="57148" customFormat="1" x14ac:dyDescent="0.25"/>
    <row r="57149" customFormat="1" x14ac:dyDescent="0.25"/>
    <row r="57150" customFormat="1" x14ac:dyDescent="0.25"/>
    <row r="57151" customFormat="1" x14ac:dyDescent="0.25"/>
    <row r="57152" customFormat="1" x14ac:dyDescent="0.25"/>
    <row r="57153" customFormat="1" x14ac:dyDescent="0.25"/>
    <row r="57154" customFormat="1" x14ac:dyDescent="0.25"/>
    <row r="57155" customFormat="1" x14ac:dyDescent="0.25"/>
    <row r="57156" customFormat="1" x14ac:dyDescent="0.25"/>
    <row r="57157" customFormat="1" x14ac:dyDescent="0.25"/>
    <row r="57158" customFormat="1" x14ac:dyDescent="0.25"/>
    <row r="57159" customFormat="1" x14ac:dyDescent="0.25"/>
    <row r="57160" customFormat="1" x14ac:dyDescent="0.25"/>
    <row r="57161" customFormat="1" x14ac:dyDescent="0.25"/>
    <row r="57162" customFormat="1" x14ac:dyDescent="0.25"/>
    <row r="57163" customFormat="1" x14ac:dyDescent="0.25"/>
    <row r="57164" customFormat="1" x14ac:dyDescent="0.25"/>
    <row r="57165" customFormat="1" x14ac:dyDescent="0.25"/>
    <row r="57166" customFormat="1" x14ac:dyDescent="0.25"/>
    <row r="57167" customFormat="1" x14ac:dyDescent="0.25"/>
    <row r="57168" customFormat="1" x14ac:dyDescent="0.25"/>
    <row r="57169" customFormat="1" x14ac:dyDescent="0.25"/>
    <row r="57170" customFormat="1" x14ac:dyDescent="0.25"/>
    <row r="57171" customFormat="1" x14ac:dyDescent="0.25"/>
    <row r="57172" customFormat="1" x14ac:dyDescent="0.25"/>
    <row r="57173" customFormat="1" x14ac:dyDescent="0.25"/>
    <row r="57174" customFormat="1" x14ac:dyDescent="0.25"/>
    <row r="57175" customFormat="1" x14ac:dyDescent="0.25"/>
    <row r="57176" customFormat="1" x14ac:dyDescent="0.25"/>
    <row r="57177" customFormat="1" x14ac:dyDescent="0.25"/>
    <row r="57178" customFormat="1" x14ac:dyDescent="0.25"/>
    <row r="57179" customFormat="1" x14ac:dyDescent="0.25"/>
    <row r="57180" customFormat="1" x14ac:dyDescent="0.25"/>
    <row r="57181" customFormat="1" x14ac:dyDescent="0.25"/>
    <row r="57182" customFormat="1" x14ac:dyDescent="0.25"/>
    <row r="57183" customFormat="1" x14ac:dyDescent="0.25"/>
    <row r="57184" customFormat="1" x14ac:dyDescent="0.25"/>
    <row r="57185" customFormat="1" x14ac:dyDescent="0.25"/>
    <row r="57186" customFormat="1" x14ac:dyDescent="0.25"/>
    <row r="57187" customFormat="1" x14ac:dyDescent="0.25"/>
    <row r="57188" customFormat="1" x14ac:dyDescent="0.25"/>
    <row r="57189" customFormat="1" x14ac:dyDescent="0.25"/>
    <row r="57190" customFormat="1" x14ac:dyDescent="0.25"/>
    <row r="57191" customFormat="1" x14ac:dyDescent="0.25"/>
    <row r="57192" customFormat="1" x14ac:dyDescent="0.25"/>
    <row r="57193" customFormat="1" x14ac:dyDescent="0.25"/>
    <row r="57194" customFormat="1" x14ac:dyDescent="0.25"/>
    <row r="57195" customFormat="1" x14ac:dyDescent="0.25"/>
    <row r="57196" customFormat="1" x14ac:dyDescent="0.25"/>
    <row r="57197" customFormat="1" x14ac:dyDescent="0.25"/>
    <row r="57198" customFormat="1" x14ac:dyDescent="0.25"/>
    <row r="57199" customFormat="1" x14ac:dyDescent="0.25"/>
    <row r="57200" customFormat="1" x14ac:dyDescent="0.25"/>
    <row r="57201" customFormat="1" x14ac:dyDescent="0.25"/>
    <row r="57202" customFormat="1" x14ac:dyDescent="0.25"/>
    <row r="57203" customFormat="1" x14ac:dyDescent="0.25"/>
    <row r="57204" customFormat="1" x14ac:dyDescent="0.25"/>
    <row r="57205" customFormat="1" x14ac:dyDescent="0.25"/>
    <row r="57206" customFormat="1" x14ac:dyDescent="0.25"/>
    <row r="57207" customFormat="1" x14ac:dyDescent="0.25"/>
    <row r="57208" customFormat="1" x14ac:dyDescent="0.25"/>
    <row r="57209" customFormat="1" x14ac:dyDescent="0.25"/>
    <row r="57210" customFormat="1" x14ac:dyDescent="0.25"/>
    <row r="57211" customFormat="1" x14ac:dyDescent="0.25"/>
    <row r="57212" customFormat="1" x14ac:dyDescent="0.25"/>
    <row r="57213" customFormat="1" x14ac:dyDescent="0.25"/>
    <row r="57214" customFormat="1" x14ac:dyDescent="0.25"/>
    <row r="57215" customFormat="1" x14ac:dyDescent="0.25"/>
    <row r="57216" customFormat="1" x14ac:dyDescent="0.25"/>
    <row r="57217" customFormat="1" x14ac:dyDescent="0.25"/>
    <row r="57218" customFormat="1" x14ac:dyDescent="0.25"/>
    <row r="57219" customFormat="1" x14ac:dyDescent="0.25"/>
    <row r="57220" customFormat="1" x14ac:dyDescent="0.25"/>
    <row r="57221" customFormat="1" x14ac:dyDescent="0.25"/>
    <row r="57222" customFormat="1" x14ac:dyDescent="0.25"/>
    <row r="57223" customFormat="1" x14ac:dyDescent="0.25"/>
    <row r="57224" customFormat="1" x14ac:dyDescent="0.25"/>
    <row r="57225" customFormat="1" x14ac:dyDescent="0.25"/>
    <row r="57226" customFormat="1" x14ac:dyDescent="0.25"/>
    <row r="57227" customFormat="1" x14ac:dyDescent="0.25"/>
    <row r="57228" customFormat="1" x14ac:dyDescent="0.25"/>
    <row r="57229" customFormat="1" x14ac:dyDescent="0.25"/>
    <row r="57230" customFormat="1" x14ac:dyDescent="0.25"/>
    <row r="57231" customFormat="1" x14ac:dyDescent="0.25"/>
    <row r="57232" customFormat="1" x14ac:dyDescent="0.25"/>
    <row r="57233" customFormat="1" x14ac:dyDescent="0.25"/>
    <row r="57234" customFormat="1" x14ac:dyDescent="0.25"/>
    <row r="57235" customFormat="1" x14ac:dyDescent="0.25"/>
    <row r="57236" customFormat="1" x14ac:dyDescent="0.25"/>
    <row r="57237" customFormat="1" x14ac:dyDescent="0.25"/>
    <row r="57238" customFormat="1" x14ac:dyDescent="0.25"/>
    <row r="57239" customFormat="1" x14ac:dyDescent="0.25"/>
    <row r="57240" customFormat="1" x14ac:dyDescent="0.25"/>
    <row r="57241" customFormat="1" x14ac:dyDescent="0.25"/>
    <row r="57242" customFormat="1" x14ac:dyDescent="0.25"/>
    <row r="57243" customFormat="1" x14ac:dyDescent="0.25"/>
    <row r="57244" customFormat="1" x14ac:dyDescent="0.25"/>
    <row r="57245" customFormat="1" x14ac:dyDescent="0.25"/>
    <row r="57246" customFormat="1" x14ac:dyDescent="0.25"/>
    <row r="57247" customFormat="1" x14ac:dyDescent="0.25"/>
    <row r="57248" customFormat="1" x14ac:dyDescent="0.25"/>
    <row r="57249" customFormat="1" x14ac:dyDescent="0.25"/>
    <row r="57250" customFormat="1" x14ac:dyDescent="0.25"/>
    <row r="57251" customFormat="1" x14ac:dyDescent="0.25"/>
    <row r="57252" customFormat="1" x14ac:dyDescent="0.25"/>
    <row r="57253" customFormat="1" x14ac:dyDescent="0.25"/>
    <row r="57254" customFormat="1" x14ac:dyDescent="0.25"/>
    <row r="57255" customFormat="1" x14ac:dyDescent="0.25"/>
    <row r="57256" customFormat="1" x14ac:dyDescent="0.25"/>
    <row r="57257" customFormat="1" x14ac:dyDescent="0.25"/>
    <row r="57258" customFormat="1" x14ac:dyDescent="0.25"/>
    <row r="57259" customFormat="1" x14ac:dyDescent="0.25"/>
    <row r="57260" customFormat="1" x14ac:dyDescent="0.25"/>
    <row r="57261" customFormat="1" x14ac:dyDescent="0.25"/>
    <row r="57262" customFormat="1" x14ac:dyDescent="0.25"/>
    <row r="57263" customFormat="1" x14ac:dyDescent="0.25"/>
    <row r="57264" customFormat="1" x14ac:dyDescent="0.25"/>
    <row r="57265" customFormat="1" x14ac:dyDescent="0.25"/>
    <row r="57266" customFormat="1" x14ac:dyDescent="0.25"/>
    <row r="57267" customFormat="1" x14ac:dyDescent="0.25"/>
    <row r="57268" customFormat="1" x14ac:dyDescent="0.25"/>
    <row r="57269" customFormat="1" x14ac:dyDescent="0.25"/>
    <row r="57270" customFormat="1" x14ac:dyDescent="0.25"/>
    <row r="57271" customFormat="1" x14ac:dyDescent="0.25"/>
    <row r="57272" customFormat="1" x14ac:dyDescent="0.25"/>
    <row r="57273" customFormat="1" x14ac:dyDescent="0.25"/>
    <row r="57274" customFormat="1" x14ac:dyDescent="0.25"/>
    <row r="57275" customFormat="1" x14ac:dyDescent="0.25"/>
    <row r="57276" customFormat="1" x14ac:dyDescent="0.25"/>
    <row r="57277" customFormat="1" x14ac:dyDescent="0.25"/>
    <row r="57278" customFormat="1" x14ac:dyDescent="0.25"/>
    <row r="57279" customFormat="1" x14ac:dyDescent="0.25"/>
    <row r="57280" customFormat="1" x14ac:dyDescent="0.25"/>
    <row r="57281" customFormat="1" x14ac:dyDescent="0.25"/>
    <row r="57282" customFormat="1" x14ac:dyDescent="0.25"/>
    <row r="57283" customFormat="1" x14ac:dyDescent="0.25"/>
    <row r="57284" customFormat="1" x14ac:dyDescent="0.25"/>
    <row r="57285" customFormat="1" x14ac:dyDescent="0.25"/>
    <row r="57286" customFormat="1" x14ac:dyDescent="0.25"/>
    <row r="57287" customFormat="1" x14ac:dyDescent="0.25"/>
    <row r="57288" customFormat="1" x14ac:dyDescent="0.25"/>
    <row r="57289" customFormat="1" x14ac:dyDescent="0.25"/>
    <row r="57290" customFormat="1" x14ac:dyDescent="0.25"/>
    <row r="57291" customFormat="1" x14ac:dyDescent="0.25"/>
    <row r="57292" customFormat="1" x14ac:dyDescent="0.25"/>
    <row r="57293" customFormat="1" x14ac:dyDescent="0.25"/>
    <row r="57294" customFormat="1" x14ac:dyDescent="0.25"/>
    <row r="57295" customFormat="1" x14ac:dyDescent="0.25"/>
    <row r="57296" customFormat="1" x14ac:dyDescent="0.25"/>
    <row r="57297" customFormat="1" x14ac:dyDescent="0.25"/>
    <row r="57298" customFormat="1" x14ac:dyDescent="0.25"/>
    <row r="57299" customFormat="1" x14ac:dyDescent="0.25"/>
    <row r="57300" customFormat="1" x14ac:dyDescent="0.25"/>
    <row r="57301" customFormat="1" x14ac:dyDescent="0.25"/>
    <row r="57302" customFormat="1" x14ac:dyDescent="0.25"/>
    <row r="57303" customFormat="1" x14ac:dyDescent="0.25"/>
    <row r="57304" customFormat="1" x14ac:dyDescent="0.25"/>
    <row r="57305" customFormat="1" x14ac:dyDescent="0.25"/>
    <row r="57306" customFormat="1" x14ac:dyDescent="0.25"/>
    <row r="57307" customFormat="1" x14ac:dyDescent="0.25"/>
    <row r="57308" customFormat="1" x14ac:dyDescent="0.25"/>
    <row r="57309" customFormat="1" x14ac:dyDescent="0.25"/>
    <row r="57310" customFormat="1" x14ac:dyDescent="0.25"/>
    <row r="57311" customFormat="1" x14ac:dyDescent="0.25"/>
    <row r="57312" customFormat="1" x14ac:dyDescent="0.25"/>
    <row r="57313" customFormat="1" x14ac:dyDescent="0.25"/>
    <row r="57314" customFormat="1" x14ac:dyDescent="0.25"/>
    <row r="57315" customFormat="1" x14ac:dyDescent="0.25"/>
    <row r="57316" customFormat="1" x14ac:dyDescent="0.25"/>
    <row r="57317" customFormat="1" x14ac:dyDescent="0.25"/>
    <row r="57318" customFormat="1" x14ac:dyDescent="0.25"/>
    <row r="57319" customFormat="1" x14ac:dyDescent="0.25"/>
    <row r="57320" customFormat="1" x14ac:dyDescent="0.25"/>
    <row r="57321" customFormat="1" x14ac:dyDescent="0.25"/>
    <row r="57322" customFormat="1" x14ac:dyDescent="0.25"/>
    <row r="57323" customFormat="1" x14ac:dyDescent="0.25"/>
    <row r="57324" customFormat="1" x14ac:dyDescent="0.25"/>
    <row r="57325" customFormat="1" x14ac:dyDescent="0.25"/>
    <row r="57326" customFormat="1" x14ac:dyDescent="0.25"/>
    <row r="57327" customFormat="1" x14ac:dyDescent="0.25"/>
    <row r="57328" customFormat="1" x14ac:dyDescent="0.25"/>
    <row r="57329" customFormat="1" x14ac:dyDescent="0.25"/>
    <row r="57330" customFormat="1" x14ac:dyDescent="0.25"/>
    <row r="57331" customFormat="1" x14ac:dyDescent="0.25"/>
    <row r="57332" customFormat="1" x14ac:dyDescent="0.25"/>
    <row r="57333" customFormat="1" x14ac:dyDescent="0.25"/>
    <row r="57334" customFormat="1" x14ac:dyDescent="0.25"/>
    <row r="57335" customFormat="1" x14ac:dyDescent="0.25"/>
    <row r="57336" customFormat="1" x14ac:dyDescent="0.25"/>
    <row r="57337" customFormat="1" x14ac:dyDescent="0.25"/>
    <row r="57338" customFormat="1" x14ac:dyDescent="0.25"/>
    <row r="57339" customFormat="1" x14ac:dyDescent="0.25"/>
    <row r="57340" customFormat="1" x14ac:dyDescent="0.25"/>
    <row r="57341" customFormat="1" x14ac:dyDescent="0.25"/>
    <row r="57342" customFormat="1" x14ac:dyDescent="0.25"/>
    <row r="57343" customFormat="1" x14ac:dyDescent="0.25"/>
    <row r="57344" customFormat="1" x14ac:dyDescent="0.25"/>
    <row r="57345" customFormat="1" x14ac:dyDescent="0.25"/>
    <row r="57346" customFormat="1" x14ac:dyDescent="0.25"/>
    <row r="57347" customFormat="1" x14ac:dyDescent="0.25"/>
    <row r="57348" customFormat="1" x14ac:dyDescent="0.25"/>
    <row r="57349" customFormat="1" x14ac:dyDescent="0.25"/>
    <row r="57350" customFormat="1" x14ac:dyDescent="0.25"/>
    <row r="57351" customFormat="1" x14ac:dyDescent="0.25"/>
    <row r="57352" customFormat="1" x14ac:dyDescent="0.25"/>
    <row r="57353" customFormat="1" x14ac:dyDescent="0.25"/>
    <row r="57354" customFormat="1" x14ac:dyDescent="0.25"/>
    <row r="57355" customFormat="1" x14ac:dyDescent="0.25"/>
    <row r="57356" customFormat="1" x14ac:dyDescent="0.25"/>
    <row r="57357" customFormat="1" x14ac:dyDescent="0.25"/>
    <row r="57358" customFormat="1" x14ac:dyDescent="0.25"/>
    <row r="57359" customFormat="1" x14ac:dyDescent="0.25"/>
    <row r="57360" customFormat="1" x14ac:dyDescent="0.25"/>
    <row r="57361" customFormat="1" x14ac:dyDescent="0.25"/>
    <row r="57362" customFormat="1" x14ac:dyDescent="0.25"/>
    <row r="57363" customFormat="1" x14ac:dyDescent="0.25"/>
    <row r="57364" customFormat="1" x14ac:dyDescent="0.25"/>
    <row r="57365" customFormat="1" x14ac:dyDescent="0.25"/>
    <row r="57366" customFormat="1" x14ac:dyDescent="0.25"/>
    <row r="57367" customFormat="1" x14ac:dyDescent="0.25"/>
    <row r="57368" customFormat="1" x14ac:dyDescent="0.25"/>
    <row r="57369" customFormat="1" x14ac:dyDescent="0.25"/>
    <row r="57370" customFormat="1" x14ac:dyDescent="0.25"/>
    <row r="57371" customFormat="1" x14ac:dyDescent="0.25"/>
    <row r="57372" customFormat="1" x14ac:dyDescent="0.25"/>
    <row r="57373" customFormat="1" x14ac:dyDescent="0.25"/>
    <row r="57374" customFormat="1" x14ac:dyDescent="0.25"/>
    <row r="57375" customFormat="1" x14ac:dyDescent="0.25"/>
    <row r="57376" customFormat="1" x14ac:dyDescent="0.25"/>
    <row r="57377" customFormat="1" x14ac:dyDescent="0.25"/>
    <row r="57378" customFormat="1" x14ac:dyDescent="0.25"/>
    <row r="57379" customFormat="1" x14ac:dyDescent="0.25"/>
    <row r="57380" customFormat="1" x14ac:dyDescent="0.25"/>
    <row r="57381" customFormat="1" x14ac:dyDescent="0.25"/>
    <row r="57382" customFormat="1" x14ac:dyDescent="0.25"/>
    <row r="57383" customFormat="1" x14ac:dyDescent="0.25"/>
    <row r="57384" customFormat="1" x14ac:dyDescent="0.25"/>
    <row r="57385" customFormat="1" x14ac:dyDescent="0.25"/>
    <row r="57386" customFormat="1" x14ac:dyDescent="0.25"/>
    <row r="57387" customFormat="1" x14ac:dyDescent="0.25"/>
    <row r="57388" customFormat="1" x14ac:dyDescent="0.25"/>
    <row r="57389" customFormat="1" x14ac:dyDescent="0.25"/>
    <row r="57390" customFormat="1" x14ac:dyDescent="0.25"/>
    <row r="57391" customFormat="1" x14ac:dyDescent="0.25"/>
    <row r="57392" customFormat="1" x14ac:dyDescent="0.25"/>
    <row r="57393" customFormat="1" x14ac:dyDescent="0.25"/>
    <row r="57394" customFormat="1" x14ac:dyDescent="0.25"/>
    <row r="57395" customFormat="1" x14ac:dyDescent="0.25"/>
    <row r="57396" customFormat="1" x14ac:dyDescent="0.25"/>
    <row r="57397" customFormat="1" x14ac:dyDescent="0.25"/>
    <row r="57398" customFormat="1" x14ac:dyDescent="0.25"/>
    <row r="57399" customFormat="1" x14ac:dyDescent="0.25"/>
    <row r="57400" customFormat="1" x14ac:dyDescent="0.25"/>
    <row r="57401" customFormat="1" x14ac:dyDescent="0.25"/>
    <row r="57402" customFormat="1" x14ac:dyDescent="0.25"/>
    <row r="57403" customFormat="1" x14ac:dyDescent="0.25"/>
    <row r="57404" customFormat="1" x14ac:dyDescent="0.25"/>
    <row r="57405" customFormat="1" x14ac:dyDescent="0.25"/>
    <row r="57406" customFormat="1" x14ac:dyDescent="0.25"/>
    <row r="57407" customFormat="1" x14ac:dyDescent="0.25"/>
    <row r="57408" customFormat="1" x14ac:dyDescent="0.25"/>
    <row r="57409" customFormat="1" x14ac:dyDescent="0.25"/>
    <row r="57410" customFormat="1" x14ac:dyDescent="0.25"/>
    <row r="57411" customFormat="1" x14ac:dyDescent="0.25"/>
    <row r="57412" customFormat="1" x14ac:dyDescent="0.25"/>
    <row r="57413" customFormat="1" x14ac:dyDescent="0.25"/>
    <row r="57414" customFormat="1" x14ac:dyDescent="0.25"/>
    <row r="57415" customFormat="1" x14ac:dyDescent="0.25"/>
    <row r="57416" customFormat="1" x14ac:dyDescent="0.25"/>
    <row r="57417" customFormat="1" x14ac:dyDescent="0.25"/>
    <row r="57418" customFormat="1" x14ac:dyDescent="0.25"/>
    <row r="57419" customFormat="1" x14ac:dyDescent="0.25"/>
    <row r="57420" customFormat="1" x14ac:dyDescent="0.25"/>
    <row r="57421" customFormat="1" x14ac:dyDescent="0.25"/>
    <row r="57422" customFormat="1" x14ac:dyDescent="0.25"/>
    <row r="57423" customFormat="1" x14ac:dyDescent="0.25"/>
    <row r="57424" customFormat="1" x14ac:dyDescent="0.25"/>
    <row r="57425" customFormat="1" x14ac:dyDescent="0.25"/>
    <row r="57426" customFormat="1" x14ac:dyDescent="0.25"/>
    <row r="57427" customFormat="1" x14ac:dyDescent="0.25"/>
    <row r="57428" customFormat="1" x14ac:dyDescent="0.25"/>
    <row r="57429" customFormat="1" x14ac:dyDescent="0.25"/>
    <row r="57430" customFormat="1" x14ac:dyDescent="0.25"/>
    <row r="57431" customFormat="1" x14ac:dyDescent="0.25"/>
    <row r="57432" customFormat="1" x14ac:dyDescent="0.25"/>
    <row r="57433" customFormat="1" x14ac:dyDescent="0.25"/>
    <row r="57434" customFormat="1" x14ac:dyDescent="0.25"/>
    <row r="57435" customFormat="1" x14ac:dyDescent="0.25"/>
    <row r="57436" customFormat="1" x14ac:dyDescent="0.25"/>
    <row r="57437" customFormat="1" x14ac:dyDescent="0.25"/>
    <row r="57438" customFormat="1" x14ac:dyDescent="0.25"/>
    <row r="57439" customFormat="1" x14ac:dyDescent="0.25"/>
    <row r="57440" customFormat="1" x14ac:dyDescent="0.25"/>
    <row r="57441" customFormat="1" x14ac:dyDescent="0.25"/>
    <row r="57442" customFormat="1" x14ac:dyDescent="0.25"/>
    <row r="57443" customFormat="1" x14ac:dyDescent="0.25"/>
    <row r="57444" customFormat="1" x14ac:dyDescent="0.25"/>
    <row r="57445" customFormat="1" x14ac:dyDescent="0.25"/>
    <row r="57446" customFormat="1" x14ac:dyDescent="0.25"/>
    <row r="57447" customFormat="1" x14ac:dyDescent="0.25"/>
    <row r="57448" customFormat="1" x14ac:dyDescent="0.25"/>
    <row r="57449" customFormat="1" x14ac:dyDescent="0.25"/>
    <row r="57450" customFormat="1" x14ac:dyDescent="0.25"/>
    <row r="57451" customFormat="1" x14ac:dyDescent="0.25"/>
    <row r="57452" customFormat="1" x14ac:dyDescent="0.25"/>
    <row r="57453" customFormat="1" x14ac:dyDescent="0.25"/>
    <row r="57454" customFormat="1" x14ac:dyDescent="0.25"/>
    <row r="57455" customFormat="1" x14ac:dyDescent="0.25"/>
    <row r="57456" customFormat="1" x14ac:dyDescent="0.25"/>
    <row r="57457" customFormat="1" x14ac:dyDescent="0.25"/>
    <row r="57458" customFormat="1" x14ac:dyDescent="0.25"/>
    <row r="57459" customFormat="1" x14ac:dyDescent="0.25"/>
    <row r="57460" customFormat="1" x14ac:dyDescent="0.25"/>
    <row r="57461" customFormat="1" x14ac:dyDescent="0.25"/>
    <row r="57462" customFormat="1" x14ac:dyDescent="0.25"/>
    <row r="57463" customFormat="1" x14ac:dyDescent="0.25"/>
    <row r="57464" customFormat="1" x14ac:dyDescent="0.25"/>
    <row r="57465" customFormat="1" x14ac:dyDescent="0.25"/>
    <row r="57466" customFormat="1" x14ac:dyDescent="0.25"/>
    <row r="57467" customFormat="1" x14ac:dyDescent="0.25"/>
    <row r="57468" customFormat="1" x14ac:dyDescent="0.25"/>
    <row r="57469" customFormat="1" x14ac:dyDescent="0.25"/>
    <row r="57470" customFormat="1" x14ac:dyDescent="0.25"/>
    <row r="57471" customFormat="1" x14ac:dyDescent="0.25"/>
    <row r="57472" customFormat="1" x14ac:dyDescent="0.25"/>
    <row r="57473" customFormat="1" x14ac:dyDescent="0.25"/>
    <row r="57474" customFormat="1" x14ac:dyDescent="0.25"/>
    <row r="57475" customFormat="1" x14ac:dyDescent="0.25"/>
    <row r="57476" customFormat="1" x14ac:dyDescent="0.25"/>
    <row r="57477" customFormat="1" x14ac:dyDescent="0.25"/>
    <row r="57478" customFormat="1" x14ac:dyDescent="0.25"/>
    <row r="57479" customFormat="1" x14ac:dyDescent="0.25"/>
    <row r="57480" customFormat="1" x14ac:dyDescent="0.25"/>
    <row r="57481" customFormat="1" x14ac:dyDescent="0.25"/>
    <row r="57482" customFormat="1" x14ac:dyDescent="0.25"/>
    <row r="57483" customFormat="1" x14ac:dyDescent="0.25"/>
    <row r="57484" customFormat="1" x14ac:dyDescent="0.25"/>
    <row r="57485" customFormat="1" x14ac:dyDescent="0.25"/>
    <row r="57486" customFormat="1" x14ac:dyDescent="0.25"/>
    <row r="57487" customFormat="1" x14ac:dyDescent="0.25"/>
    <row r="57488" customFormat="1" x14ac:dyDescent="0.25"/>
    <row r="57489" customFormat="1" x14ac:dyDescent="0.25"/>
    <row r="57490" customFormat="1" x14ac:dyDescent="0.25"/>
    <row r="57491" customFormat="1" x14ac:dyDescent="0.25"/>
    <row r="57492" customFormat="1" x14ac:dyDescent="0.25"/>
    <row r="57493" customFormat="1" x14ac:dyDescent="0.25"/>
    <row r="57494" customFormat="1" x14ac:dyDescent="0.25"/>
    <row r="57495" customFormat="1" x14ac:dyDescent="0.25"/>
    <row r="57496" customFormat="1" x14ac:dyDescent="0.25"/>
    <row r="57497" customFormat="1" x14ac:dyDescent="0.25"/>
    <row r="57498" customFormat="1" x14ac:dyDescent="0.25"/>
    <row r="57499" customFormat="1" x14ac:dyDescent="0.25"/>
    <row r="57500" customFormat="1" x14ac:dyDescent="0.25"/>
    <row r="57501" customFormat="1" x14ac:dyDescent="0.25"/>
    <row r="57502" customFormat="1" x14ac:dyDescent="0.25"/>
    <row r="57503" customFormat="1" x14ac:dyDescent="0.25"/>
    <row r="57504" customFormat="1" x14ac:dyDescent="0.25"/>
    <row r="57505" customFormat="1" x14ac:dyDescent="0.25"/>
    <row r="57506" customFormat="1" x14ac:dyDescent="0.25"/>
    <row r="57507" customFormat="1" x14ac:dyDescent="0.25"/>
    <row r="57508" customFormat="1" x14ac:dyDescent="0.25"/>
    <row r="57509" customFormat="1" x14ac:dyDescent="0.25"/>
    <row r="57510" customFormat="1" x14ac:dyDescent="0.25"/>
    <row r="57511" customFormat="1" x14ac:dyDescent="0.25"/>
    <row r="57512" customFormat="1" x14ac:dyDescent="0.25"/>
    <row r="57513" customFormat="1" x14ac:dyDescent="0.25"/>
    <row r="57514" customFormat="1" x14ac:dyDescent="0.25"/>
    <row r="57515" customFormat="1" x14ac:dyDescent="0.25"/>
    <row r="57516" customFormat="1" x14ac:dyDescent="0.25"/>
    <row r="57517" customFormat="1" x14ac:dyDescent="0.25"/>
    <row r="57518" customFormat="1" x14ac:dyDescent="0.25"/>
    <row r="57519" customFormat="1" x14ac:dyDescent="0.25"/>
    <row r="57520" customFormat="1" x14ac:dyDescent="0.25"/>
    <row r="57521" customFormat="1" x14ac:dyDescent="0.25"/>
    <row r="57522" customFormat="1" x14ac:dyDescent="0.25"/>
    <row r="57523" customFormat="1" x14ac:dyDescent="0.25"/>
    <row r="57524" customFormat="1" x14ac:dyDescent="0.25"/>
    <row r="57525" customFormat="1" x14ac:dyDescent="0.25"/>
    <row r="57526" customFormat="1" x14ac:dyDescent="0.25"/>
    <row r="57527" customFormat="1" x14ac:dyDescent="0.25"/>
    <row r="57528" customFormat="1" x14ac:dyDescent="0.25"/>
    <row r="57529" customFormat="1" x14ac:dyDescent="0.25"/>
    <row r="57530" customFormat="1" x14ac:dyDescent="0.25"/>
    <row r="57531" customFormat="1" x14ac:dyDescent="0.25"/>
    <row r="57532" customFormat="1" x14ac:dyDescent="0.25"/>
    <row r="57533" customFormat="1" x14ac:dyDescent="0.25"/>
    <row r="57534" customFormat="1" x14ac:dyDescent="0.25"/>
    <row r="57535" customFormat="1" x14ac:dyDescent="0.25"/>
    <row r="57536" customFormat="1" x14ac:dyDescent="0.25"/>
    <row r="57537" customFormat="1" x14ac:dyDescent="0.25"/>
    <row r="57538" customFormat="1" x14ac:dyDescent="0.25"/>
    <row r="57539" customFormat="1" x14ac:dyDescent="0.25"/>
    <row r="57540" customFormat="1" x14ac:dyDescent="0.25"/>
    <row r="57541" customFormat="1" x14ac:dyDescent="0.25"/>
    <row r="57542" customFormat="1" x14ac:dyDescent="0.25"/>
    <row r="57543" customFormat="1" x14ac:dyDescent="0.25"/>
    <row r="57544" customFormat="1" x14ac:dyDescent="0.25"/>
    <row r="57545" customFormat="1" x14ac:dyDescent="0.25"/>
    <row r="57546" customFormat="1" x14ac:dyDescent="0.25"/>
    <row r="57547" customFormat="1" x14ac:dyDescent="0.25"/>
    <row r="57548" customFormat="1" x14ac:dyDescent="0.25"/>
    <row r="57549" customFormat="1" x14ac:dyDescent="0.25"/>
    <row r="57550" customFormat="1" x14ac:dyDescent="0.25"/>
    <row r="57551" customFormat="1" x14ac:dyDescent="0.25"/>
    <row r="57552" customFormat="1" x14ac:dyDescent="0.25"/>
    <row r="57553" customFormat="1" x14ac:dyDescent="0.25"/>
    <row r="57554" customFormat="1" x14ac:dyDescent="0.25"/>
    <row r="57555" customFormat="1" x14ac:dyDescent="0.25"/>
    <row r="57556" customFormat="1" x14ac:dyDescent="0.25"/>
    <row r="57557" customFormat="1" x14ac:dyDescent="0.25"/>
    <row r="57558" customFormat="1" x14ac:dyDescent="0.25"/>
    <row r="57559" customFormat="1" x14ac:dyDescent="0.25"/>
    <row r="57560" customFormat="1" x14ac:dyDescent="0.25"/>
    <row r="57561" customFormat="1" x14ac:dyDescent="0.25"/>
    <row r="57562" customFormat="1" x14ac:dyDescent="0.25"/>
    <row r="57563" customFormat="1" x14ac:dyDescent="0.25"/>
    <row r="57564" customFormat="1" x14ac:dyDescent="0.25"/>
    <row r="57565" customFormat="1" x14ac:dyDescent="0.25"/>
    <row r="57566" customFormat="1" x14ac:dyDescent="0.25"/>
    <row r="57567" customFormat="1" x14ac:dyDescent="0.25"/>
    <row r="57568" customFormat="1" x14ac:dyDescent="0.25"/>
    <row r="57569" customFormat="1" x14ac:dyDescent="0.25"/>
    <row r="57570" customFormat="1" x14ac:dyDescent="0.25"/>
    <row r="57571" customFormat="1" x14ac:dyDescent="0.25"/>
    <row r="57572" customFormat="1" x14ac:dyDescent="0.25"/>
    <row r="57573" customFormat="1" x14ac:dyDescent="0.25"/>
    <row r="57574" customFormat="1" x14ac:dyDescent="0.25"/>
    <row r="57575" customFormat="1" x14ac:dyDescent="0.25"/>
    <row r="57576" customFormat="1" x14ac:dyDescent="0.25"/>
    <row r="57577" customFormat="1" x14ac:dyDescent="0.25"/>
    <row r="57578" customFormat="1" x14ac:dyDescent="0.25"/>
    <row r="57579" customFormat="1" x14ac:dyDescent="0.25"/>
    <row r="57580" customFormat="1" x14ac:dyDescent="0.25"/>
    <row r="57581" customFormat="1" x14ac:dyDescent="0.25"/>
    <row r="57582" customFormat="1" x14ac:dyDescent="0.25"/>
    <row r="57583" customFormat="1" x14ac:dyDescent="0.25"/>
    <row r="57584" customFormat="1" x14ac:dyDescent="0.25"/>
    <row r="57585" customFormat="1" x14ac:dyDescent="0.25"/>
    <row r="57586" customFormat="1" x14ac:dyDescent="0.25"/>
    <row r="57587" customFormat="1" x14ac:dyDescent="0.25"/>
    <row r="57588" customFormat="1" x14ac:dyDescent="0.25"/>
    <row r="57589" customFormat="1" x14ac:dyDescent="0.25"/>
    <row r="57590" customFormat="1" x14ac:dyDescent="0.25"/>
    <row r="57591" customFormat="1" x14ac:dyDescent="0.25"/>
    <row r="57592" customFormat="1" x14ac:dyDescent="0.25"/>
    <row r="57593" customFormat="1" x14ac:dyDescent="0.25"/>
    <row r="57594" customFormat="1" x14ac:dyDescent="0.25"/>
    <row r="57595" customFormat="1" x14ac:dyDescent="0.25"/>
    <row r="57596" customFormat="1" x14ac:dyDescent="0.25"/>
    <row r="57597" customFormat="1" x14ac:dyDescent="0.25"/>
    <row r="57598" customFormat="1" x14ac:dyDescent="0.25"/>
    <row r="57599" customFormat="1" x14ac:dyDescent="0.25"/>
    <row r="57600" customFormat="1" x14ac:dyDescent="0.25"/>
    <row r="57601" customFormat="1" x14ac:dyDescent="0.25"/>
    <row r="57602" customFormat="1" x14ac:dyDescent="0.25"/>
    <row r="57603" customFormat="1" x14ac:dyDescent="0.25"/>
    <row r="57604" customFormat="1" x14ac:dyDescent="0.25"/>
    <row r="57605" customFormat="1" x14ac:dyDescent="0.25"/>
    <row r="57606" customFormat="1" x14ac:dyDescent="0.25"/>
    <row r="57607" customFormat="1" x14ac:dyDescent="0.25"/>
    <row r="57608" customFormat="1" x14ac:dyDescent="0.25"/>
    <row r="57609" customFormat="1" x14ac:dyDescent="0.25"/>
    <row r="57610" customFormat="1" x14ac:dyDescent="0.25"/>
    <row r="57611" customFormat="1" x14ac:dyDescent="0.25"/>
    <row r="57612" customFormat="1" x14ac:dyDescent="0.25"/>
    <row r="57613" customFormat="1" x14ac:dyDescent="0.25"/>
    <row r="57614" customFormat="1" x14ac:dyDescent="0.25"/>
    <row r="57615" customFormat="1" x14ac:dyDescent="0.25"/>
    <row r="57616" customFormat="1" x14ac:dyDescent="0.25"/>
    <row r="57617" customFormat="1" x14ac:dyDescent="0.25"/>
    <row r="57618" customFormat="1" x14ac:dyDescent="0.25"/>
    <row r="57619" customFormat="1" x14ac:dyDescent="0.25"/>
    <row r="57620" customFormat="1" x14ac:dyDescent="0.25"/>
    <row r="57621" customFormat="1" x14ac:dyDescent="0.25"/>
    <row r="57622" customFormat="1" x14ac:dyDescent="0.25"/>
    <row r="57623" customFormat="1" x14ac:dyDescent="0.25"/>
    <row r="57624" customFormat="1" x14ac:dyDescent="0.25"/>
    <row r="57625" customFormat="1" x14ac:dyDescent="0.25"/>
    <row r="57626" customFormat="1" x14ac:dyDescent="0.25"/>
    <row r="57627" customFormat="1" x14ac:dyDescent="0.25"/>
    <row r="57628" customFormat="1" x14ac:dyDescent="0.25"/>
    <row r="57629" customFormat="1" x14ac:dyDescent="0.25"/>
    <row r="57630" customFormat="1" x14ac:dyDescent="0.25"/>
    <row r="57631" customFormat="1" x14ac:dyDescent="0.25"/>
    <row r="57632" customFormat="1" x14ac:dyDescent="0.25"/>
    <row r="57633" customFormat="1" x14ac:dyDescent="0.25"/>
    <row r="57634" customFormat="1" x14ac:dyDescent="0.25"/>
    <row r="57635" customFormat="1" x14ac:dyDescent="0.25"/>
    <row r="57636" customFormat="1" x14ac:dyDescent="0.25"/>
    <row r="57637" customFormat="1" x14ac:dyDescent="0.25"/>
    <row r="57638" customFormat="1" x14ac:dyDescent="0.25"/>
    <row r="57639" customFormat="1" x14ac:dyDescent="0.25"/>
    <row r="57640" customFormat="1" x14ac:dyDescent="0.25"/>
    <row r="57641" customFormat="1" x14ac:dyDescent="0.25"/>
    <row r="57642" customFormat="1" x14ac:dyDescent="0.25"/>
    <row r="57643" customFormat="1" x14ac:dyDescent="0.25"/>
    <row r="57644" customFormat="1" x14ac:dyDescent="0.25"/>
    <row r="57645" customFormat="1" x14ac:dyDescent="0.25"/>
    <row r="57646" customFormat="1" x14ac:dyDescent="0.25"/>
    <row r="57647" customFormat="1" x14ac:dyDescent="0.25"/>
    <row r="57648" customFormat="1" x14ac:dyDescent="0.25"/>
    <row r="57649" customFormat="1" x14ac:dyDescent="0.25"/>
    <row r="57650" customFormat="1" x14ac:dyDescent="0.25"/>
    <row r="57651" customFormat="1" x14ac:dyDescent="0.25"/>
    <row r="57652" customFormat="1" x14ac:dyDescent="0.25"/>
    <row r="57653" customFormat="1" x14ac:dyDescent="0.25"/>
    <row r="57654" customFormat="1" x14ac:dyDescent="0.25"/>
    <row r="57655" customFormat="1" x14ac:dyDescent="0.25"/>
    <row r="57656" customFormat="1" x14ac:dyDescent="0.25"/>
    <row r="57657" customFormat="1" x14ac:dyDescent="0.25"/>
    <row r="57658" customFormat="1" x14ac:dyDescent="0.25"/>
    <row r="57659" customFormat="1" x14ac:dyDescent="0.25"/>
    <row r="57660" customFormat="1" x14ac:dyDescent="0.25"/>
    <row r="57661" customFormat="1" x14ac:dyDescent="0.25"/>
    <row r="57662" customFormat="1" x14ac:dyDescent="0.25"/>
    <row r="57663" customFormat="1" x14ac:dyDescent="0.25"/>
    <row r="57664" customFormat="1" x14ac:dyDescent="0.25"/>
    <row r="57665" customFormat="1" x14ac:dyDescent="0.25"/>
    <row r="57666" customFormat="1" x14ac:dyDescent="0.25"/>
    <row r="57667" customFormat="1" x14ac:dyDescent="0.25"/>
    <row r="57668" customFormat="1" x14ac:dyDescent="0.25"/>
    <row r="57669" customFormat="1" x14ac:dyDescent="0.25"/>
    <row r="57670" customFormat="1" x14ac:dyDescent="0.25"/>
    <row r="57671" customFormat="1" x14ac:dyDescent="0.25"/>
    <row r="57672" customFormat="1" x14ac:dyDescent="0.25"/>
    <row r="57673" customFormat="1" x14ac:dyDescent="0.25"/>
    <row r="57674" customFormat="1" x14ac:dyDescent="0.25"/>
    <row r="57675" customFormat="1" x14ac:dyDescent="0.25"/>
    <row r="57676" customFormat="1" x14ac:dyDescent="0.25"/>
    <row r="57677" customFormat="1" x14ac:dyDescent="0.25"/>
    <row r="57678" customFormat="1" x14ac:dyDescent="0.25"/>
    <row r="57679" customFormat="1" x14ac:dyDescent="0.25"/>
    <row r="57680" customFormat="1" x14ac:dyDescent="0.25"/>
    <row r="57681" customFormat="1" x14ac:dyDescent="0.25"/>
    <row r="57682" customFormat="1" x14ac:dyDescent="0.25"/>
    <row r="57683" customFormat="1" x14ac:dyDescent="0.25"/>
    <row r="57684" customFormat="1" x14ac:dyDescent="0.25"/>
    <row r="57685" customFormat="1" x14ac:dyDescent="0.25"/>
    <row r="57686" customFormat="1" x14ac:dyDescent="0.25"/>
    <row r="57687" customFormat="1" x14ac:dyDescent="0.25"/>
    <row r="57688" customFormat="1" x14ac:dyDescent="0.25"/>
    <row r="57689" customFormat="1" x14ac:dyDescent="0.25"/>
    <row r="57690" customFormat="1" x14ac:dyDescent="0.25"/>
    <row r="57691" customFormat="1" x14ac:dyDescent="0.25"/>
    <row r="57692" customFormat="1" x14ac:dyDescent="0.25"/>
    <row r="57693" customFormat="1" x14ac:dyDescent="0.25"/>
    <row r="57694" customFormat="1" x14ac:dyDescent="0.25"/>
    <row r="57695" customFormat="1" x14ac:dyDescent="0.25"/>
    <row r="57696" customFormat="1" x14ac:dyDescent="0.25"/>
    <row r="57697" customFormat="1" x14ac:dyDescent="0.25"/>
    <row r="57698" customFormat="1" x14ac:dyDescent="0.25"/>
    <row r="57699" customFormat="1" x14ac:dyDescent="0.25"/>
    <row r="57700" customFormat="1" x14ac:dyDescent="0.25"/>
    <row r="57701" customFormat="1" x14ac:dyDescent="0.25"/>
    <row r="57702" customFormat="1" x14ac:dyDescent="0.25"/>
    <row r="57703" customFormat="1" x14ac:dyDescent="0.25"/>
    <row r="57704" customFormat="1" x14ac:dyDescent="0.25"/>
    <row r="57705" customFormat="1" x14ac:dyDescent="0.25"/>
    <row r="57706" customFormat="1" x14ac:dyDescent="0.25"/>
    <row r="57707" customFormat="1" x14ac:dyDescent="0.25"/>
    <row r="57708" customFormat="1" x14ac:dyDescent="0.25"/>
    <row r="57709" customFormat="1" x14ac:dyDescent="0.25"/>
    <row r="57710" customFormat="1" x14ac:dyDescent="0.25"/>
    <row r="57711" customFormat="1" x14ac:dyDescent="0.25"/>
    <row r="57712" customFormat="1" x14ac:dyDescent="0.25"/>
    <row r="57713" customFormat="1" x14ac:dyDescent="0.25"/>
    <row r="57714" customFormat="1" x14ac:dyDescent="0.25"/>
    <row r="57715" customFormat="1" x14ac:dyDescent="0.25"/>
    <row r="57716" customFormat="1" x14ac:dyDescent="0.25"/>
    <row r="57717" customFormat="1" x14ac:dyDescent="0.25"/>
    <row r="57718" customFormat="1" x14ac:dyDescent="0.25"/>
    <row r="57719" customFormat="1" x14ac:dyDescent="0.25"/>
    <row r="57720" customFormat="1" x14ac:dyDescent="0.25"/>
    <row r="57721" customFormat="1" x14ac:dyDescent="0.25"/>
    <row r="57722" customFormat="1" x14ac:dyDescent="0.25"/>
    <row r="57723" customFormat="1" x14ac:dyDescent="0.25"/>
    <row r="57724" customFormat="1" x14ac:dyDescent="0.25"/>
    <row r="57725" customFormat="1" x14ac:dyDescent="0.25"/>
    <row r="57726" customFormat="1" x14ac:dyDescent="0.25"/>
    <row r="57727" customFormat="1" x14ac:dyDescent="0.25"/>
    <row r="57728" customFormat="1" x14ac:dyDescent="0.25"/>
    <row r="57729" customFormat="1" x14ac:dyDescent="0.25"/>
    <row r="57730" customFormat="1" x14ac:dyDescent="0.25"/>
    <row r="57731" customFormat="1" x14ac:dyDescent="0.25"/>
    <row r="57732" customFormat="1" x14ac:dyDescent="0.25"/>
    <row r="57733" customFormat="1" x14ac:dyDescent="0.25"/>
    <row r="57734" customFormat="1" x14ac:dyDescent="0.25"/>
    <row r="57735" customFormat="1" x14ac:dyDescent="0.25"/>
    <row r="57736" customFormat="1" x14ac:dyDescent="0.25"/>
    <row r="57737" customFormat="1" x14ac:dyDescent="0.25"/>
    <row r="57738" customFormat="1" x14ac:dyDescent="0.25"/>
    <row r="57739" customFormat="1" x14ac:dyDescent="0.25"/>
    <row r="57740" customFormat="1" x14ac:dyDescent="0.25"/>
    <row r="57741" customFormat="1" x14ac:dyDescent="0.25"/>
    <row r="57742" customFormat="1" x14ac:dyDescent="0.25"/>
    <row r="57743" customFormat="1" x14ac:dyDescent="0.25"/>
    <row r="57744" customFormat="1" x14ac:dyDescent="0.25"/>
    <row r="57745" customFormat="1" x14ac:dyDescent="0.25"/>
    <row r="57746" customFormat="1" x14ac:dyDescent="0.25"/>
    <row r="57747" customFormat="1" x14ac:dyDescent="0.25"/>
    <row r="57748" customFormat="1" x14ac:dyDescent="0.25"/>
    <row r="57749" customFormat="1" x14ac:dyDescent="0.25"/>
    <row r="57750" customFormat="1" x14ac:dyDescent="0.25"/>
    <row r="57751" customFormat="1" x14ac:dyDescent="0.25"/>
    <row r="57752" customFormat="1" x14ac:dyDescent="0.25"/>
    <row r="57753" customFormat="1" x14ac:dyDescent="0.25"/>
    <row r="57754" customFormat="1" x14ac:dyDescent="0.25"/>
    <row r="57755" customFormat="1" x14ac:dyDescent="0.25"/>
    <row r="57756" customFormat="1" x14ac:dyDescent="0.25"/>
    <row r="57757" customFormat="1" x14ac:dyDescent="0.25"/>
    <row r="57758" customFormat="1" x14ac:dyDescent="0.25"/>
    <row r="57759" customFormat="1" x14ac:dyDescent="0.25"/>
    <row r="57760" customFormat="1" x14ac:dyDescent="0.25"/>
    <row r="57761" customFormat="1" x14ac:dyDescent="0.25"/>
    <row r="57762" customFormat="1" x14ac:dyDescent="0.25"/>
    <row r="57763" customFormat="1" x14ac:dyDescent="0.25"/>
    <row r="57764" customFormat="1" x14ac:dyDescent="0.25"/>
    <row r="57765" customFormat="1" x14ac:dyDescent="0.25"/>
    <row r="57766" customFormat="1" x14ac:dyDescent="0.25"/>
    <row r="57767" customFormat="1" x14ac:dyDescent="0.25"/>
    <row r="57768" customFormat="1" x14ac:dyDescent="0.25"/>
    <row r="57769" customFormat="1" x14ac:dyDescent="0.25"/>
    <row r="57770" customFormat="1" x14ac:dyDescent="0.25"/>
    <row r="57771" customFormat="1" x14ac:dyDescent="0.25"/>
    <row r="57772" customFormat="1" x14ac:dyDescent="0.25"/>
    <row r="57773" customFormat="1" x14ac:dyDescent="0.25"/>
    <row r="57774" customFormat="1" x14ac:dyDescent="0.25"/>
    <row r="57775" customFormat="1" x14ac:dyDescent="0.25"/>
    <row r="57776" customFormat="1" x14ac:dyDescent="0.25"/>
    <row r="57777" customFormat="1" x14ac:dyDescent="0.25"/>
    <row r="57778" customFormat="1" x14ac:dyDescent="0.25"/>
    <row r="57779" customFormat="1" x14ac:dyDescent="0.25"/>
    <row r="57780" customFormat="1" x14ac:dyDescent="0.25"/>
    <row r="57781" customFormat="1" x14ac:dyDescent="0.25"/>
    <row r="57782" customFormat="1" x14ac:dyDescent="0.25"/>
    <row r="57783" customFormat="1" x14ac:dyDescent="0.25"/>
    <row r="57784" customFormat="1" x14ac:dyDescent="0.25"/>
    <row r="57785" customFormat="1" x14ac:dyDescent="0.25"/>
    <row r="57786" customFormat="1" x14ac:dyDescent="0.25"/>
    <row r="57787" customFormat="1" x14ac:dyDescent="0.25"/>
    <row r="57788" customFormat="1" x14ac:dyDescent="0.25"/>
    <row r="57789" customFormat="1" x14ac:dyDescent="0.25"/>
    <row r="57790" customFormat="1" x14ac:dyDescent="0.25"/>
    <row r="57791" customFormat="1" x14ac:dyDescent="0.25"/>
    <row r="57792" customFormat="1" x14ac:dyDescent="0.25"/>
    <row r="57793" customFormat="1" x14ac:dyDescent="0.25"/>
    <row r="57794" customFormat="1" x14ac:dyDescent="0.25"/>
    <row r="57795" customFormat="1" x14ac:dyDescent="0.25"/>
    <row r="57796" customFormat="1" x14ac:dyDescent="0.25"/>
    <row r="57797" customFormat="1" x14ac:dyDescent="0.25"/>
    <row r="57798" customFormat="1" x14ac:dyDescent="0.25"/>
    <row r="57799" customFormat="1" x14ac:dyDescent="0.25"/>
    <row r="57800" customFormat="1" x14ac:dyDescent="0.25"/>
    <row r="57801" customFormat="1" x14ac:dyDescent="0.25"/>
    <row r="57802" customFormat="1" x14ac:dyDescent="0.25"/>
    <row r="57803" customFormat="1" x14ac:dyDescent="0.25"/>
    <row r="57804" customFormat="1" x14ac:dyDescent="0.25"/>
    <row r="57805" customFormat="1" x14ac:dyDescent="0.25"/>
    <row r="57806" customFormat="1" x14ac:dyDescent="0.25"/>
    <row r="57807" customFormat="1" x14ac:dyDescent="0.25"/>
    <row r="57808" customFormat="1" x14ac:dyDescent="0.25"/>
    <row r="57809" customFormat="1" x14ac:dyDescent="0.25"/>
    <row r="57810" customFormat="1" x14ac:dyDescent="0.25"/>
    <row r="57811" customFormat="1" x14ac:dyDescent="0.25"/>
    <row r="57812" customFormat="1" x14ac:dyDescent="0.25"/>
    <row r="57813" customFormat="1" x14ac:dyDescent="0.25"/>
    <row r="57814" customFormat="1" x14ac:dyDescent="0.25"/>
    <row r="57815" customFormat="1" x14ac:dyDescent="0.25"/>
    <row r="57816" customFormat="1" x14ac:dyDescent="0.25"/>
    <row r="57817" customFormat="1" x14ac:dyDescent="0.25"/>
    <row r="57818" customFormat="1" x14ac:dyDescent="0.25"/>
    <row r="57819" customFormat="1" x14ac:dyDescent="0.25"/>
    <row r="57820" customFormat="1" x14ac:dyDescent="0.25"/>
    <row r="57821" customFormat="1" x14ac:dyDescent="0.25"/>
    <row r="57822" customFormat="1" x14ac:dyDescent="0.25"/>
    <row r="57823" customFormat="1" x14ac:dyDescent="0.25"/>
    <row r="57824" customFormat="1" x14ac:dyDescent="0.25"/>
    <row r="57825" customFormat="1" x14ac:dyDescent="0.25"/>
    <row r="57826" customFormat="1" x14ac:dyDescent="0.25"/>
    <row r="57827" customFormat="1" x14ac:dyDescent="0.25"/>
    <row r="57828" customFormat="1" x14ac:dyDescent="0.25"/>
    <row r="57829" customFormat="1" x14ac:dyDescent="0.25"/>
    <row r="57830" customFormat="1" x14ac:dyDescent="0.25"/>
    <row r="57831" customFormat="1" x14ac:dyDescent="0.25"/>
    <row r="57832" customFormat="1" x14ac:dyDescent="0.25"/>
    <row r="57833" customFormat="1" x14ac:dyDescent="0.25"/>
    <row r="57834" customFormat="1" x14ac:dyDescent="0.25"/>
    <row r="57835" customFormat="1" x14ac:dyDescent="0.25"/>
    <row r="57836" customFormat="1" x14ac:dyDescent="0.25"/>
    <row r="57837" customFormat="1" x14ac:dyDescent="0.25"/>
    <row r="57838" customFormat="1" x14ac:dyDescent="0.25"/>
    <row r="57839" customFormat="1" x14ac:dyDescent="0.25"/>
    <row r="57840" customFormat="1" x14ac:dyDescent="0.25"/>
    <row r="57841" customFormat="1" x14ac:dyDescent="0.25"/>
    <row r="57842" customFormat="1" x14ac:dyDescent="0.25"/>
    <row r="57843" customFormat="1" x14ac:dyDescent="0.25"/>
    <row r="57844" customFormat="1" x14ac:dyDescent="0.25"/>
    <row r="57845" customFormat="1" x14ac:dyDescent="0.25"/>
    <row r="57846" customFormat="1" x14ac:dyDescent="0.25"/>
    <row r="57847" customFormat="1" x14ac:dyDescent="0.25"/>
    <row r="57848" customFormat="1" x14ac:dyDescent="0.25"/>
    <row r="57849" customFormat="1" x14ac:dyDescent="0.25"/>
    <row r="57850" customFormat="1" x14ac:dyDescent="0.25"/>
    <row r="57851" customFormat="1" x14ac:dyDescent="0.25"/>
    <row r="57852" customFormat="1" x14ac:dyDescent="0.25"/>
    <row r="57853" customFormat="1" x14ac:dyDescent="0.25"/>
    <row r="57854" customFormat="1" x14ac:dyDescent="0.25"/>
    <row r="57855" customFormat="1" x14ac:dyDescent="0.25"/>
    <row r="57856" customFormat="1" x14ac:dyDescent="0.25"/>
    <row r="57857" customFormat="1" x14ac:dyDescent="0.25"/>
    <row r="57858" customFormat="1" x14ac:dyDescent="0.25"/>
    <row r="57859" customFormat="1" x14ac:dyDescent="0.25"/>
    <row r="57860" customFormat="1" x14ac:dyDescent="0.25"/>
    <row r="57861" customFormat="1" x14ac:dyDescent="0.25"/>
    <row r="57862" customFormat="1" x14ac:dyDescent="0.25"/>
    <row r="57863" customFormat="1" x14ac:dyDescent="0.25"/>
    <row r="57864" customFormat="1" x14ac:dyDescent="0.25"/>
    <row r="57865" customFormat="1" x14ac:dyDescent="0.25"/>
    <row r="57866" customFormat="1" x14ac:dyDescent="0.25"/>
    <row r="57867" customFormat="1" x14ac:dyDescent="0.25"/>
    <row r="57868" customFormat="1" x14ac:dyDescent="0.25"/>
    <row r="57869" customFormat="1" x14ac:dyDescent="0.25"/>
    <row r="57870" customFormat="1" x14ac:dyDescent="0.25"/>
    <row r="57871" customFormat="1" x14ac:dyDescent="0.25"/>
    <row r="57872" customFormat="1" x14ac:dyDescent="0.25"/>
    <row r="57873" customFormat="1" x14ac:dyDescent="0.25"/>
    <row r="57874" customFormat="1" x14ac:dyDescent="0.25"/>
    <row r="57875" customFormat="1" x14ac:dyDescent="0.25"/>
    <row r="57876" customFormat="1" x14ac:dyDescent="0.25"/>
    <row r="57877" customFormat="1" x14ac:dyDescent="0.25"/>
    <row r="57878" customFormat="1" x14ac:dyDescent="0.25"/>
    <row r="57879" customFormat="1" x14ac:dyDescent="0.25"/>
    <row r="57880" customFormat="1" x14ac:dyDescent="0.25"/>
    <row r="57881" customFormat="1" x14ac:dyDescent="0.25"/>
    <row r="57882" customFormat="1" x14ac:dyDescent="0.25"/>
    <row r="57883" customFormat="1" x14ac:dyDescent="0.25"/>
    <row r="57884" customFormat="1" x14ac:dyDescent="0.25"/>
    <row r="57885" customFormat="1" x14ac:dyDescent="0.25"/>
    <row r="57886" customFormat="1" x14ac:dyDescent="0.25"/>
    <row r="57887" customFormat="1" x14ac:dyDescent="0.25"/>
    <row r="57888" customFormat="1" x14ac:dyDescent="0.25"/>
    <row r="57889" customFormat="1" x14ac:dyDescent="0.25"/>
    <row r="57890" customFormat="1" x14ac:dyDescent="0.25"/>
    <row r="57891" customFormat="1" x14ac:dyDescent="0.25"/>
    <row r="57892" customFormat="1" x14ac:dyDescent="0.25"/>
    <row r="57893" customFormat="1" x14ac:dyDescent="0.25"/>
    <row r="57894" customFormat="1" x14ac:dyDescent="0.25"/>
    <row r="57895" customFormat="1" x14ac:dyDescent="0.25"/>
    <row r="57896" customFormat="1" x14ac:dyDescent="0.25"/>
    <row r="57897" customFormat="1" x14ac:dyDescent="0.25"/>
    <row r="57898" customFormat="1" x14ac:dyDescent="0.25"/>
    <row r="57899" customFormat="1" x14ac:dyDescent="0.25"/>
    <row r="57900" customFormat="1" x14ac:dyDescent="0.25"/>
    <row r="57901" customFormat="1" x14ac:dyDescent="0.25"/>
    <row r="57902" customFormat="1" x14ac:dyDescent="0.25"/>
    <row r="57903" customFormat="1" x14ac:dyDescent="0.25"/>
    <row r="57904" customFormat="1" x14ac:dyDescent="0.25"/>
    <row r="57905" customFormat="1" x14ac:dyDescent="0.25"/>
    <row r="57906" customFormat="1" x14ac:dyDescent="0.25"/>
    <row r="57907" customFormat="1" x14ac:dyDescent="0.25"/>
    <row r="57908" customFormat="1" x14ac:dyDescent="0.25"/>
    <row r="57909" customFormat="1" x14ac:dyDescent="0.25"/>
    <row r="57910" customFormat="1" x14ac:dyDescent="0.25"/>
    <row r="57911" customFormat="1" x14ac:dyDescent="0.25"/>
    <row r="57912" customFormat="1" x14ac:dyDescent="0.25"/>
    <row r="57913" customFormat="1" x14ac:dyDescent="0.25"/>
    <row r="57914" customFormat="1" x14ac:dyDescent="0.25"/>
    <row r="57915" customFormat="1" x14ac:dyDescent="0.25"/>
    <row r="57916" customFormat="1" x14ac:dyDescent="0.25"/>
    <row r="57917" customFormat="1" x14ac:dyDescent="0.25"/>
    <row r="57918" customFormat="1" x14ac:dyDescent="0.25"/>
    <row r="57919" customFormat="1" x14ac:dyDescent="0.25"/>
    <row r="57920" customFormat="1" x14ac:dyDescent="0.25"/>
    <row r="57921" customFormat="1" x14ac:dyDescent="0.25"/>
    <row r="57922" customFormat="1" x14ac:dyDescent="0.25"/>
    <row r="57923" customFormat="1" x14ac:dyDescent="0.25"/>
    <row r="57924" customFormat="1" x14ac:dyDescent="0.25"/>
    <row r="57925" customFormat="1" x14ac:dyDescent="0.25"/>
    <row r="57926" customFormat="1" x14ac:dyDescent="0.25"/>
    <row r="57927" customFormat="1" x14ac:dyDescent="0.25"/>
    <row r="57928" customFormat="1" x14ac:dyDescent="0.25"/>
    <row r="57929" customFormat="1" x14ac:dyDescent="0.25"/>
    <row r="57930" customFormat="1" x14ac:dyDescent="0.25"/>
    <row r="57931" customFormat="1" x14ac:dyDescent="0.25"/>
    <row r="57932" customFormat="1" x14ac:dyDescent="0.25"/>
    <row r="57933" customFormat="1" x14ac:dyDescent="0.25"/>
    <row r="57934" customFormat="1" x14ac:dyDescent="0.25"/>
    <row r="57935" customFormat="1" x14ac:dyDescent="0.25"/>
    <row r="57936" customFormat="1" x14ac:dyDescent="0.25"/>
    <row r="57937" customFormat="1" x14ac:dyDescent="0.25"/>
    <row r="57938" customFormat="1" x14ac:dyDescent="0.25"/>
    <row r="57939" customFormat="1" x14ac:dyDescent="0.25"/>
    <row r="57940" customFormat="1" x14ac:dyDescent="0.25"/>
    <row r="57941" customFormat="1" x14ac:dyDescent="0.25"/>
    <row r="57942" customFormat="1" x14ac:dyDescent="0.25"/>
    <row r="57943" customFormat="1" x14ac:dyDescent="0.25"/>
    <row r="57944" customFormat="1" x14ac:dyDescent="0.25"/>
    <row r="57945" customFormat="1" x14ac:dyDescent="0.25"/>
    <row r="57946" customFormat="1" x14ac:dyDescent="0.25"/>
    <row r="57947" customFormat="1" x14ac:dyDescent="0.25"/>
    <row r="57948" customFormat="1" x14ac:dyDescent="0.25"/>
    <row r="57949" customFormat="1" x14ac:dyDescent="0.25"/>
    <row r="57950" customFormat="1" x14ac:dyDescent="0.25"/>
    <row r="57951" customFormat="1" x14ac:dyDescent="0.25"/>
    <row r="57952" customFormat="1" x14ac:dyDescent="0.25"/>
    <row r="57953" customFormat="1" x14ac:dyDescent="0.25"/>
    <row r="57954" customFormat="1" x14ac:dyDescent="0.25"/>
    <row r="57955" customFormat="1" x14ac:dyDescent="0.25"/>
    <row r="57956" customFormat="1" x14ac:dyDescent="0.25"/>
    <row r="57957" customFormat="1" x14ac:dyDescent="0.25"/>
    <row r="57958" customFormat="1" x14ac:dyDescent="0.25"/>
    <row r="57959" customFormat="1" x14ac:dyDescent="0.25"/>
    <row r="57960" customFormat="1" x14ac:dyDescent="0.25"/>
    <row r="57961" customFormat="1" x14ac:dyDescent="0.25"/>
    <row r="57962" customFormat="1" x14ac:dyDescent="0.25"/>
    <row r="57963" customFormat="1" x14ac:dyDescent="0.25"/>
    <row r="57964" customFormat="1" x14ac:dyDescent="0.25"/>
    <row r="57965" customFormat="1" x14ac:dyDescent="0.25"/>
    <row r="57966" customFormat="1" x14ac:dyDescent="0.25"/>
    <row r="57967" customFormat="1" x14ac:dyDescent="0.25"/>
    <row r="57968" customFormat="1" x14ac:dyDescent="0.25"/>
    <row r="57969" customFormat="1" x14ac:dyDescent="0.25"/>
    <row r="57970" customFormat="1" x14ac:dyDescent="0.25"/>
    <row r="57971" customFormat="1" x14ac:dyDescent="0.25"/>
    <row r="57972" customFormat="1" x14ac:dyDescent="0.25"/>
    <row r="57973" customFormat="1" x14ac:dyDescent="0.25"/>
    <row r="57974" customFormat="1" x14ac:dyDescent="0.25"/>
    <row r="57975" customFormat="1" x14ac:dyDescent="0.25"/>
    <row r="57976" customFormat="1" x14ac:dyDescent="0.25"/>
    <row r="57977" customFormat="1" x14ac:dyDescent="0.25"/>
    <row r="57978" customFormat="1" x14ac:dyDescent="0.25"/>
    <row r="57979" customFormat="1" x14ac:dyDescent="0.25"/>
    <row r="57980" customFormat="1" x14ac:dyDescent="0.25"/>
    <row r="57981" customFormat="1" x14ac:dyDescent="0.25"/>
    <row r="57982" customFormat="1" x14ac:dyDescent="0.25"/>
    <row r="57983" customFormat="1" x14ac:dyDescent="0.25"/>
    <row r="57984" customFormat="1" x14ac:dyDescent="0.25"/>
    <row r="57985" customFormat="1" x14ac:dyDescent="0.25"/>
    <row r="57986" customFormat="1" x14ac:dyDescent="0.25"/>
    <row r="57987" customFormat="1" x14ac:dyDescent="0.25"/>
    <row r="57988" customFormat="1" x14ac:dyDescent="0.25"/>
    <row r="57989" customFormat="1" x14ac:dyDescent="0.25"/>
    <row r="57990" customFormat="1" x14ac:dyDescent="0.25"/>
    <row r="57991" customFormat="1" x14ac:dyDescent="0.25"/>
    <row r="57992" customFormat="1" x14ac:dyDescent="0.25"/>
    <row r="57993" customFormat="1" x14ac:dyDescent="0.25"/>
    <row r="57994" customFormat="1" x14ac:dyDescent="0.25"/>
    <row r="57995" customFormat="1" x14ac:dyDescent="0.25"/>
    <row r="57996" customFormat="1" x14ac:dyDescent="0.25"/>
    <row r="57997" customFormat="1" x14ac:dyDescent="0.25"/>
    <row r="57998" customFormat="1" x14ac:dyDescent="0.25"/>
    <row r="57999" customFormat="1" x14ac:dyDescent="0.25"/>
    <row r="58000" customFormat="1" x14ac:dyDescent="0.25"/>
    <row r="58001" customFormat="1" x14ac:dyDescent="0.25"/>
    <row r="58002" customFormat="1" x14ac:dyDescent="0.25"/>
    <row r="58003" customFormat="1" x14ac:dyDescent="0.25"/>
    <row r="58004" customFormat="1" x14ac:dyDescent="0.25"/>
    <row r="58005" customFormat="1" x14ac:dyDescent="0.25"/>
    <row r="58006" customFormat="1" x14ac:dyDescent="0.25"/>
    <row r="58007" customFormat="1" x14ac:dyDescent="0.25"/>
    <row r="58008" customFormat="1" x14ac:dyDescent="0.25"/>
    <row r="58009" customFormat="1" x14ac:dyDescent="0.25"/>
    <row r="58010" customFormat="1" x14ac:dyDescent="0.25"/>
    <row r="58011" customFormat="1" x14ac:dyDescent="0.25"/>
    <row r="58012" customFormat="1" x14ac:dyDescent="0.25"/>
    <row r="58013" customFormat="1" x14ac:dyDescent="0.25"/>
    <row r="58014" customFormat="1" x14ac:dyDescent="0.25"/>
    <row r="58015" customFormat="1" x14ac:dyDescent="0.25"/>
    <row r="58016" customFormat="1" x14ac:dyDescent="0.25"/>
    <row r="58017" customFormat="1" x14ac:dyDescent="0.25"/>
    <row r="58018" customFormat="1" x14ac:dyDescent="0.25"/>
    <row r="58019" customFormat="1" x14ac:dyDescent="0.25"/>
    <row r="58020" customFormat="1" x14ac:dyDescent="0.25"/>
    <row r="58021" customFormat="1" x14ac:dyDescent="0.25"/>
    <row r="58022" customFormat="1" x14ac:dyDescent="0.25"/>
    <row r="58023" customFormat="1" x14ac:dyDescent="0.25"/>
    <row r="58024" customFormat="1" x14ac:dyDescent="0.25"/>
    <row r="58025" customFormat="1" x14ac:dyDescent="0.25"/>
    <row r="58026" customFormat="1" x14ac:dyDescent="0.25"/>
    <row r="58027" customFormat="1" x14ac:dyDescent="0.25"/>
    <row r="58028" customFormat="1" x14ac:dyDescent="0.25"/>
    <row r="58029" customFormat="1" x14ac:dyDescent="0.25"/>
    <row r="58030" customFormat="1" x14ac:dyDescent="0.25"/>
    <row r="58031" customFormat="1" x14ac:dyDescent="0.25"/>
    <row r="58032" customFormat="1" x14ac:dyDescent="0.25"/>
    <row r="58033" customFormat="1" x14ac:dyDescent="0.25"/>
    <row r="58034" customFormat="1" x14ac:dyDescent="0.25"/>
    <row r="58035" customFormat="1" x14ac:dyDescent="0.25"/>
    <row r="58036" customFormat="1" x14ac:dyDescent="0.25"/>
    <row r="58037" customFormat="1" x14ac:dyDescent="0.25"/>
    <row r="58038" customFormat="1" x14ac:dyDescent="0.25"/>
    <row r="58039" customFormat="1" x14ac:dyDescent="0.25"/>
    <row r="58040" customFormat="1" x14ac:dyDescent="0.25"/>
    <row r="58041" customFormat="1" x14ac:dyDescent="0.25"/>
    <row r="58042" customFormat="1" x14ac:dyDescent="0.25"/>
    <row r="58043" customFormat="1" x14ac:dyDescent="0.25"/>
    <row r="58044" customFormat="1" x14ac:dyDescent="0.25"/>
    <row r="58045" customFormat="1" x14ac:dyDescent="0.25"/>
    <row r="58046" customFormat="1" x14ac:dyDescent="0.25"/>
    <row r="58047" customFormat="1" x14ac:dyDescent="0.25"/>
    <row r="58048" customFormat="1" x14ac:dyDescent="0.25"/>
    <row r="58049" customFormat="1" x14ac:dyDescent="0.25"/>
    <row r="58050" customFormat="1" x14ac:dyDescent="0.25"/>
    <row r="58051" customFormat="1" x14ac:dyDescent="0.25"/>
    <row r="58052" customFormat="1" x14ac:dyDescent="0.25"/>
    <row r="58053" customFormat="1" x14ac:dyDescent="0.25"/>
    <row r="58054" customFormat="1" x14ac:dyDescent="0.25"/>
    <row r="58055" customFormat="1" x14ac:dyDescent="0.25"/>
    <row r="58056" customFormat="1" x14ac:dyDescent="0.25"/>
    <row r="58057" customFormat="1" x14ac:dyDescent="0.25"/>
    <row r="58058" customFormat="1" x14ac:dyDescent="0.25"/>
    <row r="58059" customFormat="1" x14ac:dyDescent="0.25"/>
    <row r="58060" customFormat="1" x14ac:dyDescent="0.25"/>
    <row r="58061" customFormat="1" x14ac:dyDescent="0.25"/>
    <row r="58062" customFormat="1" x14ac:dyDescent="0.25"/>
    <row r="58063" customFormat="1" x14ac:dyDescent="0.25"/>
    <row r="58064" customFormat="1" x14ac:dyDescent="0.25"/>
    <row r="58065" customFormat="1" x14ac:dyDescent="0.25"/>
    <row r="58066" customFormat="1" x14ac:dyDescent="0.25"/>
    <row r="58067" customFormat="1" x14ac:dyDescent="0.25"/>
    <row r="58068" customFormat="1" x14ac:dyDescent="0.25"/>
    <row r="58069" customFormat="1" x14ac:dyDescent="0.25"/>
    <row r="58070" customFormat="1" x14ac:dyDescent="0.25"/>
    <row r="58071" customFormat="1" x14ac:dyDescent="0.25"/>
    <row r="58072" customFormat="1" x14ac:dyDescent="0.25"/>
    <row r="58073" customFormat="1" x14ac:dyDescent="0.25"/>
    <row r="58074" customFormat="1" x14ac:dyDescent="0.25"/>
    <row r="58075" customFormat="1" x14ac:dyDescent="0.25"/>
    <row r="58076" customFormat="1" x14ac:dyDescent="0.25"/>
    <row r="58077" customFormat="1" x14ac:dyDescent="0.25"/>
    <row r="58078" customFormat="1" x14ac:dyDescent="0.25"/>
    <row r="58079" customFormat="1" x14ac:dyDescent="0.25"/>
    <row r="58080" customFormat="1" x14ac:dyDescent="0.25"/>
    <row r="58081" customFormat="1" x14ac:dyDescent="0.25"/>
    <row r="58082" customFormat="1" x14ac:dyDescent="0.25"/>
    <row r="58083" customFormat="1" x14ac:dyDescent="0.25"/>
    <row r="58084" customFormat="1" x14ac:dyDescent="0.25"/>
    <row r="58085" customFormat="1" x14ac:dyDescent="0.25"/>
    <row r="58086" customFormat="1" x14ac:dyDescent="0.25"/>
    <row r="58087" customFormat="1" x14ac:dyDescent="0.25"/>
    <row r="58088" customFormat="1" x14ac:dyDescent="0.25"/>
    <row r="58089" customFormat="1" x14ac:dyDescent="0.25"/>
    <row r="58090" customFormat="1" x14ac:dyDescent="0.25"/>
    <row r="58091" customFormat="1" x14ac:dyDescent="0.25"/>
    <row r="58092" customFormat="1" x14ac:dyDescent="0.25"/>
    <row r="58093" customFormat="1" x14ac:dyDescent="0.25"/>
    <row r="58094" customFormat="1" x14ac:dyDescent="0.25"/>
    <row r="58095" customFormat="1" x14ac:dyDescent="0.25"/>
    <row r="58096" customFormat="1" x14ac:dyDescent="0.25"/>
    <row r="58097" customFormat="1" x14ac:dyDescent="0.25"/>
    <row r="58098" customFormat="1" x14ac:dyDescent="0.25"/>
    <row r="58099" customFormat="1" x14ac:dyDescent="0.25"/>
    <row r="58100" customFormat="1" x14ac:dyDescent="0.25"/>
    <row r="58101" customFormat="1" x14ac:dyDescent="0.25"/>
    <row r="58102" customFormat="1" x14ac:dyDescent="0.25"/>
    <row r="58103" customFormat="1" x14ac:dyDescent="0.25"/>
    <row r="58104" customFormat="1" x14ac:dyDescent="0.25"/>
    <row r="58105" customFormat="1" x14ac:dyDescent="0.25"/>
    <row r="58106" customFormat="1" x14ac:dyDescent="0.25"/>
    <row r="58107" customFormat="1" x14ac:dyDescent="0.25"/>
    <row r="58108" customFormat="1" x14ac:dyDescent="0.25"/>
    <row r="58109" customFormat="1" x14ac:dyDescent="0.25"/>
    <row r="58110" customFormat="1" x14ac:dyDescent="0.25"/>
    <row r="58111" customFormat="1" x14ac:dyDescent="0.25"/>
    <row r="58112" customFormat="1" x14ac:dyDescent="0.25"/>
    <row r="58113" customFormat="1" x14ac:dyDescent="0.25"/>
    <row r="58114" customFormat="1" x14ac:dyDescent="0.25"/>
    <row r="58115" customFormat="1" x14ac:dyDescent="0.25"/>
    <row r="58116" customFormat="1" x14ac:dyDescent="0.25"/>
    <row r="58117" customFormat="1" x14ac:dyDescent="0.25"/>
    <row r="58118" customFormat="1" x14ac:dyDescent="0.25"/>
    <row r="58119" customFormat="1" x14ac:dyDescent="0.25"/>
    <row r="58120" customFormat="1" x14ac:dyDescent="0.25"/>
    <row r="58121" customFormat="1" x14ac:dyDescent="0.25"/>
    <row r="58122" customFormat="1" x14ac:dyDescent="0.25"/>
    <row r="58123" customFormat="1" x14ac:dyDescent="0.25"/>
    <row r="58124" customFormat="1" x14ac:dyDescent="0.25"/>
    <row r="58125" customFormat="1" x14ac:dyDescent="0.25"/>
    <row r="58126" customFormat="1" x14ac:dyDescent="0.25"/>
    <row r="58127" customFormat="1" x14ac:dyDescent="0.25"/>
    <row r="58128" customFormat="1" x14ac:dyDescent="0.25"/>
    <row r="58129" customFormat="1" x14ac:dyDescent="0.25"/>
    <row r="58130" customFormat="1" x14ac:dyDescent="0.25"/>
    <row r="58131" customFormat="1" x14ac:dyDescent="0.25"/>
    <row r="58132" customFormat="1" x14ac:dyDescent="0.25"/>
    <row r="58133" customFormat="1" x14ac:dyDescent="0.25"/>
    <row r="58134" customFormat="1" x14ac:dyDescent="0.25"/>
    <row r="58135" customFormat="1" x14ac:dyDescent="0.25"/>
    <row r="58136" customFormat="1" x14ac:dyDescent="0.25"/>
    <row r="58137" customFormat="1" x14ac:dyDescent="0.25"/>
    <row r="58138" customFormat="1" x14ac:dyDescent="0.25"/>
    <row r="58139" customFormat="1" x14ac:dyDescent="0.25"/>
    <row r="58140" customFormat="1" x14ac:dyDescent="0.25"/>
    <row r="58141" customFormat="1" x14ac:dyDescent="0.25"/>
    <row r="58142" customFormat="1" x14ac:dyDescent="0.25"/>
    <row r="58143" customFormat="1" x14ac:dyDescent="0.25"/>
    <row r="58144" customFormat="1" x14ac:dyDescent="0.25"/>
    <row r="58145" customFormat="1" x14ac:dyDescent="0.25"/>
    <row r="58146" customFormat="1" x14ac:dyDescent="0.25"/>
    <row r="58147" customFormat="1" x14ac:dyDescent="0.25"/>
    <row r="58148" customFormat="1" x14ac:dyDescent="0.25"/>
    <row r="58149" customFormat="1" x14ac:dyDescent="0.25"/>
    <row r="58150" customFormat="1" x14ac:dyDescent="0.25"/>
    <row r="58151" customFormat="1" x14ac:dyDescent="0.25"/>
    <row r="58152" customFormat="1" x14ac:dyDescent="0.25"/>
    <row r="58153" customFormat="1" x14ac:dyDescent="0.25"/>
    <row r="58154" customFormat="1" x14ac:dyDescent="0.25"/>
    <row r="58155" customFormat="1" x14ac:dyDescent="0.25"/>
    <row r="58156" customFormat="1" x14ac:dyDescent="0.25"/>
    <row r="58157" customFormat="1" x14ac:dyDescent="0.25"/>
    <row r="58158" customFormat="1" x14ac:dyDescent="0.25"/>
    <row r="58159" customFormat="1" x14ac:dyDescent="0.25"/>
    <row r="58160" customFormat="1" x14ac:dyDescent="0.25"/>
    <row r="58161" customFormat="1" x14ac:dyDescent="0.25"/>
    <row r="58162" customFormat="1" x14ac:dyDescent="0.25"/>
    <row r="58163" customFormat="1" x14ac:dyDescent="0.25"/>
    <row r="58164" customFormat="1" x14ac:dyDescent="0.25"/>
    <row r="58165" customFormat="1" x14ac:dyDescent="0.25"/>
    <row r="58166" customFormat="1" x14ac:dyDescent="0.25"/>
    <row r="58167" customFormat="1" x14ac:dyDescent="0.25"/>
    <row r="58168" customFormat="1" x14ac:dyDescent="0.25"/>
    <row r="58169" customFormat="1" x14ac:dyDescent="0.25"/>
    <row r="58170" customFormat="1" x14ac:dyDescent="0.25"/>
    <row r="58171" customFormat="1" x14ac:dyDescent="0.25"/>
    <row r="58172" customFormat="1" x14ac:dyDescent="0.25"/>
    <row r="58173" customFormat="1" x14ac:dyDescent="0.25"/>
    <row r="58174" customFormat="1" x14ac:dyDescent="0.25"/>
    <row r="58175" customFormat="1" x14ac:dyDescent="0.25"/>
    <row r="58176" customFormat="1" x14ac:dyDescent="0.25"/>
    <row r="58177" customFormat="1" x14ac:dyDescent="0.25"/>
    <row r="58178" customFormat="1" x14ac:dyDescent="0.25"/>
    <row r="58179" customFormat="1" x14ac:dyDescent="0.25"/>
    <row r="58180" customFormat="1" x14ac:dyDescent="0.25"/>
    <row r="58181" customFormat="1" x14ac:dyDescent="0.25"/>
    <row r="58182" customFormat="1" x14ac:dyDescent="0.25"/>
    <row r="58183" customFormat="1" x14ac:dyDescent="0.25"/>
    <row r="58184" customFormat="1" x14ac:dyDescent="0.25"/>
    <row r="58185" customFormat="1" x14ac:dyDescent="0.25"/>
    <row r="58186" customFormat="1" x14ac:dyDescent="0.25"/>
    <row r="58187" customFormat="1" x14ac:dyDescent="0.25"/>
    <row r="58188" customFormat="1" x14ac:dyDescent="0.25"/>
    <row r="58189" customFormat="1" x14ac:dyDescent="0.25"/>
    <row r="58190" customFormat="1" x14ac:dyDescent="0.25"/>
    <row r="58191" customFormat="1" x14ac:dyDescent="0.25"/>
    <row r="58192" customFormat="1" x14ac:dyDescent="0.25"/>
    <row r="58193" customFormat="1" x14ac:dyDescent="0.25"/>
    <row r="58194" customFormat="1" x14ac:dyDescent="0.25"/>
    <row r="58195" customFormat="1" x14ac:dyDescent="0.25"/>
    <row r="58196" customFormat="1" x14ac:dyDescent="0.25"/>
    <row r="58197" customFormat="1" x14ac:dyDescent="0.25"/>
    <row r="58198" customFormat="1" x14ac:dyDescent="0.25"/>
    <row r="58199" customFormat="1" x14ac:dyDescent="0.25"/>
    <row r="58200" customFormat="1" x14ac:dyDescent="0.25"/>
    <row r="58201" customFormat="1" x14ac:dyDescent="0.25"/>
    <row r="58202" customFormat="1" x14ac:dyDescent="0.25"/>
    <row r="58203" customFormat="1" x14ac:dyDescent="0.25"/>
    <row r="58204" customFormat="1" x14ac:dyDescent="0.25"/>
    <row r="58205" customFormat="1" x14ac:dyDescent="0.25"/>
    <row r="58206" customFormat="1" x14ac:dyDescent="0.25"/>
    <row r="58207" customFormat="1" x14ac:dyDescent="0.25"/>
    <row r="58208" customFormat="1" x14ac:dyDescent="0.25"/>
    <row r="58209" customFormat="1" x14ac:dyDescent="0.25"/>
    <row r="58210" customFormat="1" x14ac:dyDescent="0.25"/>
    <row r="58211" customFormat="1" x14ac:dyDescent="0.25"/>
    <row r="58212" customFormat="1" x14ac:dyDescent="0.25"/>
    <row r="58213" customFormat="1" x14ac:dyDescent="0.25"/>
    <row r="58214" customFormat="1" x14ac:dyDescent="0.25"/>
    <row r="58215" customFormat="1" x14ac:dyDescent="0.25"/>
    <row r="58216" customFormat="1" x14ac:dyDescent="0.25"/>
    <row r="58217" customFormat="1" x14ac:dyDescent="0.25"/>
    <row r="58218" customFormat="1" x14ac:dyDescent="0.25"/>
    <row r="58219" customFormat="1" x14ac:dyDescent="0.25"/>
    <row r="58220" customFormat="1" x14ac:dyDescent="0.25"/>
    <row r="58221" customFormat="1" x14ac:dyDescent="0.25"/>
    <row r="58222" customFormat="1" x14ac:dyDescent="0.25"/>
    <row r="58223" customFormat="1" x14ac:dyDescent="0.25"/>
    <row r="58224" customFormat="1" x14ac:dyDescent="0.25"/>
    <row r="58225" customFormat="1" x14ac:dyDescent="0.25"/>
    <row r="58226" customFormat="1" x14ac:dyDescent="0.25"/>
    <row r="58227" customFormat="1" x14ac:dyDescent="0.25"/>
    <row r="58228" customFormat="1" x14ac:dyDescent="0.25"/>
    <row r="58229" customFormat="1" x14ac:dyDescent="0.25"/>
    <row r="58230" customFormat="1" x14ac:dyDescent="0.25"/>
    <row r="58231" customFormat="1" x14ac:dyDescent="0.25"/>
    <row r="58232" customFormat="1" x14ac:dyDescent="0.25"/>
    <row r="58233" customFormat="1" x14ac:dyDescent="0.25"/>
    <row r="58234" customFormat="1" x14ac:dyDescent="0.25"/>
    <row r="58235" customFormat="1" x14ac:dyDescent="0.25"/>
    <row r="58236" customFormat="1" x14ac:dyDescent="0.25"/>
    <row r="58237" customFormat="1" x14ac:dyDescent="0.25"/>
    <row r="58238" customFormat="1" x14ac:dyDescent="0.25"/>
    <row r="58239" customFormat="1" x14ac:dyDescent="0.25"/>
    <row r="58240" customFormat="1" x14ac:dyDescent="0.25"/>
    <row r="58241" customFormat="1" x14ac:dyDescent="0.25"/>
    <row r="58242" customFormat="1" x14ac:dyDescent="0.25"/>
    <row r="58243" customFormat="1" x14ac:dyDescent="0.25"/>
    <row r="58244" customFormat="1" x14ac:dyDescent="0.25"/>
    <row r="58245" customFormat="1" x14ac:dyDescent="0.25"/>
    <row r="58246" customFormat="1" x14ac:dyDescent="0.25"/>
    <row r="58247" customFormat="1" x14ac:dyDescent="0.25"/>
    <row r="58248" customFormat="1" x14ac:dyDescent="0.25"/>
    <row r="58249" customFormat="1" x14ac:dyDescent="0.25"/>
    <row r="58250" customFormat="1" x14ac:dyDescent="0.25"/>
    <row r="58251" customFormat="1" x14ac:dyDescent="0.25"/>
    <row r="58252" customFormat="1" x14ac:dyDescent="0.25"/>
    <row r="58253" customFormat="1" x14ac:dyDescent="0.25"/>
    <row r="58254" customFormat="1" x14ac:dyDescent="0.25"/>
    <row r="58255" customFormat="1" x14ac:dyDescent="0.25"/>
    <row r="58256" customFormat="1" x14ac:dyDescent="0.25"/>
    <row r="58257" customFormat="1" x14ac:dyDescent="0.25"/>
    <row r="58258" customFormat="1" x14ac:dyDescent="0.25"/>
    <row r="58259" customFormat="1" x14ac:dyDescent="0.25"/>
    <row r="58260" customFormat="1" x14ac:dyDescent="0.25"/>
    <row r="58261" customFormat="1" x14ac:dyDescent="0.25"/>
    <row r="58262" customFormat="1" x14ac:dyDescent="0.25"/>
    <row r="58263" customFormat="1" x14ac:dyDescent="0.25"/>
    <row r="58264" customFormat="1" x14ac:dyDescent="0.25"/>
    <row r="58265" customFormat="1" x14ac:dyDescent="0.25"/>
    <row r="58266" customFormat="1" x14ac:dyDescent="0.25"/>
    <row r="58267" customFormat="1" x14ac:dyDescent="0.25"/>
    <row r="58268" customFormat="1" x14ac:dyDescent="0.25"/>
    <row r="58269" customFormat="1" x14ac:dyDescent="0.25"/>
    <row r="58270" customFormat="1" x14ac:dyDescent="0.25"/>
    <row r="58271" customFormat="1" x14ac:dyDescent="0.25"/>
    <row r="58272" customFormat="1" x14ac:dyDescent="0.25"/>
    <row r="58273" customFormat="1" x14ac:dyDescent="0.25"/>
    <row r="58274" customFormat="1" x14ac:dyDescent="0.25"/>
    <row r="58275" customFormat="1" x14ac:dyDescent="0.25"/>
    <row r="58276" customFormat="1" x14ac:dyDescent="0.25"/>
    <row r="58277" customFormat="1" x14ac:dyDescent="0.25"/>
    <row r="58278" customFormat="1" x14ac:dyDescent="0.25"/>
    <row r="58279" customFormat="1" x14ac:dyDescent="0.25"/>
    <row r="58280" customFormat="1" x14ac:dyDescent="0.25"/>
    <row r="58281" customFormat="1" x14ac:dyDescent="0.25"/>
    <row r="58282" customFormat="1" x14ac:dyDescent="0.25"/>
    <row r="58283" customFormat="1" x14ac:dyDescent="0.25"/>
    <row r="58284" customFormat="1" x14ac:dyDescent="0.25"/>
    <row r="58285" customFormat="1" x14ac:dyDescent="0.25"/>
    <row r="58286" customFormat="1" x14ac:dyDescent="0.25"/>
    <row r="58287" customFormat="1" x14ac:dyDescent="0.25"/>
    <row r="58288" customFormat="1" x14ac:dyDescent="0.25"/>
    <row r="58289" customFormat="1" x14ac:dyDescent="0.25"/>
    <row r="58290" customFormat="1" x14ac:dyDescent="0.25"/>
    <row r="58291" customFormat="1" x14ac:dyDescent="0.25"/>
    <row r="58292" customFormat="1" x14ac:dyDescent="0.25"/>
    <row r="58293" customFormat="1" x14ac:dyDescent="0.25"/>
    <row r="58294" customFormat="1" x14ac:dyDescent="0.25"/>
    <row r="58295" customFormat="1" x14ac:dyDescent="0.25"/>
    <row r="58296" customFormat="1" x14ac:dyDescent="0.25"/>
    <row r="58297" customFormat="1" x14ac:dyDescent="0.25"/>
    <row r="58298" customFormat="1" x14ac:dyDescent="0.25"/>
    <row r="58299" customFormat="1" x14ac:dyDescent="0.25"/>
    <row r="58300" customFormat="1" x14ac:dyDescent="0.25"/>
    <row r="58301" customFormat="1" x14ac:dyDescent="0.25"/>
    <row r="58302" customFormat="1" x14ac:dyDescent="0.25"/>
    <row r="58303" customFormat="1" x14ac:dyDescent="0.25"/>
    <row r="58304" customFormat="1" x14ac:dyDescent="0.25"/>
    <row r="58305" customFormat="1" x14ac:dyDescent="0.25"/>
    <row r="58306" customFormat="1" x14ac:dyDescent="0.25"/>
    <row r="58307" customFormat="1" x14ac:dyDescent="0.25"/>
    <row r="58308" customFormat="1" x14ac:dyDescent="0.25"/>
    <row r="58309" customFormat="1" x14ac:dyDescent="0.25"/>
    <row r="58310" customFormat="1" x14ac:dyDescent="0.25"/>
    <row r="58311" customFormat="1" x14ac:dyDescent="0.25"/>
    <row r="58312" customFormat="1" x14ac:dyDescent="0.25"/>
    <row r="58313" customFormat="1" x14ac:dyDescent="0.25"/>
    <row r="58314" customFormat="1" x14ac:dyDescent="0.25"/>
    <row r="58315" customFormat="1" x14ac:dyDescent="0.25"/>
    <row r="58316" customFormat="1" x14ac:dyDescent="0.25"/>
    <row r="58317" customFormat="1" x14ac:dyDescent="0.25"/>
    <row r="58318" customFormat="1" x14ac:dyDescent="0.25"/>
    <row r="58319" customFormat="1" x14ac:dyDescent="0.25"/>
    <row r="58320" customFormat="1" x14ac:dyDescent="0.25"/>
    <row r="58321" customFormat="1" x14ac:dyDescent="0.25"/>
    <row r="58322" customFormat="1" x14ac:dyDescent="0.25"/>
    <row r="58323" customFormat="1" x14ac:dyDescent="0.25"/>
    <row r="58324" customFormat="1" x14ac:dyDescent="0.25"/>
    <row r="58325" customFormat="1" x14ac:dyDescent="0.25"/>
    <row r="58326" customFormat="1" x14ac:dyDescent="0.25"/>
    <row r="58327" customFormat="1" x14ac:dyDescent="0.25"/>
    <row r="58328" customFormat="1" x14ac:dyDescent="0.25"/>
    <row r="58329" customFormat="1" x14ac:dyDescent="0.25"/>
    <row r="58330" customFormat="1" x14ac:dyDescent="0.25"/>
    <row r="58331" customFormat="1" x14ac:dyDescent="0.25"/>
    <row r="58332" customFormat="1" x14ac:dyDescent="0.25"/>
    <row r="58333" customFormat="1" x14ac:dyDescent="0.25"/>
    <row r="58334" customFormat="1" x14ac:dyDescent="0.25"/>
    <row r="58335" customFormat="1" x14ac:dyDescent="0.25"/>
    <row r="58336" customFormat="1" x14ac:dyDescent="0.25"/>
    <row r="58337" customFormat="1" x14ac:dyDescent="0.25"/>
    <row r="58338" customFormat="1" x14ac:dyDescent="0.25"/>
    <row r="58339" customFormat="1" x14ac:dyDescent="0.25"/>
    <row r="58340" customFormat="1" x14ac:dyDescent="0.25"/>
    <row r="58341" customFormat="1" x14ac:dyDescent="0.25"/>
    <row r="58342" customFormat="1" x14ac:dyDescent="0.25"/>
    <row r="58343" customFormat="1" x14ac:dyDescent="0.25"/>
    <row r="58344" customFormat="1" x14ac:dyDescent="0.25"/>
    <row r="58345" customFormat="1" x14ac:dyDescent="0.25"/>
    <row r="58346" customFormat="1" x14ac:dyDescent="0.25"/>
    <row r="58347" customFormat="1" x14ac:dyDescent="0.25"/>
    <row r="58348" customFormat="1" x14ac:dyDescent="0.25"/>
    <row r="58349" customFormat="1" x14ac:dyDescent="0.25"/>
    <row r="58350" customFormat="1" x14ac:dyDescent="0.25"/>
    <row r="58351" customFormat="1" x14ac:dyDescent="0.25"/>
    <row r="58352" customFormat="1" x14ac:dyDescent="0.25"/>
    <row r="58353" customFormat="1" x14ac:dyDescent="0.25"/>
    <row r="58354" customFormat="1" x14ac:dyDescent="0.25"/>
    <row r="58355" customFormat="1" x14ac:dyDescent="0.25"/>
    <row r="58356" customFormat="1" x14ac:dyDescent="0.25"/>
    <row r="58357" customFormat="1" x14ac:dyDescent="0.25"/>
    <row r="58358" customFormat="1" x14ac:dyDescent="0.25"/>
    <row r="58359" customFormat="1" x14ac:dyDescent="0.25"/>
    <row r="58360" customFormat="1" x14ac:dyDescent="0.25"/>
    <row r="58361" customFormat="1" x14ac:dyDescent="0.25"/>
    <row r="58362" customFormat="1" x14ac:dyDescent="0.25"/>
    <row r="58363" customFormat="1" x14ac:dyDescent="0.25"/>
    <row r="58364" customFormat="1" x14ac:dyDescent="0.25"/>
    <row r="58365" customFormat="1" x14ac:dyDescent="0.25"/>
    <row r="58366" customFormat="1" x14ac:dyDescent="0.25"/>
    <row r="58367" customFormat="1" x14ac:dyDescent="0.25"/>
    <row r="58368" customFormat="1" x14ac:dyDescent="0.25"/>
    <row r="58369" customFormat="1" x14ac:dyDescent="0.25"/>
    <row r="58370" customFormat="1" x14ac:dyDescent="0.25"/>
    <row r="58371" customFormat="1" x14ac:dyDescent="0.25"/>
    <row r="58372" customFormat="1" x14ac:dyDescent="0.25"/>
    <row r="58373" customFormat="1" x14ac:dyDescent="0.25"/>
    <row r="58374" customFormat="1" x14ac:dyDescent="0.25"/>
    <row r="58375" customFormat="1" x14ac:dyDescent="0.25"/>
    <row r="58376" customFormat="1" x14ac:dyDescent="0.25"/>
    <row r="58377" customFormat="1" x14ac:dyDescent="0.25"/>
    <row r="58378" customFormat="1" x14ac:dyDescent="0.25"/>
    <row r="58379" customFormat="1" x14ac:dyDescent="0.25"/>
    <row r="58380" customFormat="1" x14ac:dyDescent="0.25"/>
    <row r="58381" customFormat="1" x14ac:dyDescent="0.25"/>
    <row r="58382" customFormat="1" x14ac:dyDescent="0.25"/>
    <row r="58383" customFormat="1" x14ac:dyDescent="0.25"/>
    <row r="58384" customFormat="1" x14ac:dyDescent="0.25"/>
    <row r="58385" customFormat="1" x14ac:dyDescent="0.25"/>
    <row r="58386" customFormat="1" x14ac:dyDescent="0.25"/>
    <row r="58387" customFormat="1" x14ac:dyDescent="0.25"/>
    <row r="58388" customFormat="1" x14ac:dyDescent="0.25"/>
    <row r="58389" customFormat="1" x14ac:dyDescent="0.25"/>
    <row r="58390" customFormat="1" x14ac:dyDescent="0.25"/>
    <row r="58391" customFormat="1" x14ac:dyDescent="0.25"/>
    <row r="58392" customFormat="1" x14ac:dyDescent="0.25"/>
    <row r="58393" customFormat="1" x14ac:dyDescent="0.25"/>
    <row r="58394" customFormat="1" x14ac:dyDescent="0.25"/>
    <row r="58395" customFormat="1" x14ac:dyDescent="0.25"/>
    <row r="58396" customFormat="1" x14ac:dyDescent="0.25"/>
    <row r="58397" customFormat="1" x14ac:dyDescent="0.25"/>
    <row r="58398" customFormat="1" x14ac:dyDescent="0.25"/>
    <row r="58399" customFormat="1" x14ac:dyDescent="0.25"/>
    <row r="58400" customFormat="1" x14ac:dyDescent="0.25"/>
    <row r="58401" customFormat="1" x14ac:dyDescent="0.25"/>
    <row r="58402" customFormat="1" x14ac:dyDescent="0.25"/>
    <row r="58403" customFormat="1" x14ac:dyDescent="0.25"/>
    <row r="58404" customFormat="1" x14ac:dyDescent="0.25"/>
    <row r="58405" customFormat="1" x14ac:dyDescent="0.25"/>
    <row r="58406" customFormat="1" x14ac:dyDescent="0.25"/>
    <row r="58407" customFormat="1" x14ac:dyDescent="0.25"/>
    <row r="58408" customFormat="1" x14ac:dyDescent="0.25"/>
    <row r="58409" customFormat="1" x14ac:dyDescent="0.25"/>
    <row r="58410" customFormat="1" x14ac:dyDescent="0.25"/>
    <row r="58411" customFormat="1" x14ac:dyDescent="0.25"/>
    <row r="58412" customFormat="1" x14ac:dyDescent="0.25"/>
    <row r="58413" customFormat="1" x14ac:dyDescent="0.25"/>
    <row r="58414" customFormat="1" x14ac:dyDescent="0.25"/>
    <row r="58415" customFormat="1" x14ac:dyDescent="0.25"/>
    <row r="58416" customFormat="1" x14ac:dyDescent="0.25"/>
    <row r="58417" customFormat="1" x14ac:dyDescent="0.25"/>
    <row r="58418" customFormat="1" x14ac:dyDescent="0.25"/>
    <row r="58419" customFormat="1" x14ac:dyDescent="0.25"/>
    <row r="58420" customFormat="1" x14ac:dyDescent="0.25"/>
    <row r="58421" customFormat="1" x14ac:dyDescent="0.25"/>
    <row r="58422" customFormat="1" x14ac:dyDescent="0.25"/>
    <row r="58423" customFormat="1" x14ac:dyDescent="0.25"/>
    <row r="58424" customFormat="1" x14ac:dyDescent="0.25"/>
    <row r="58425" customFormat="1" x14ac:dyDescent="0.25"/>
    <row r="58426" customFormat="1" x14ac:dyDescent="0.25"/>
    <row r="58427" customFormat="1" x14ac:dyDescent="0.25"/>
    <row r="58428" customFormat="1" x14ac:dyDescent="0.25"/>
    <row r="58429" customFormat="1" x14ac:dyDescent="0.25"/>
    <row r="58430" customFormat="1" x14ac:dyDescent="0.25"/>
    <row r="58431" customFormat="1" x14ac:dyDescent="0.25"/>
    <row r="58432" customFormat="1" x14ac:dyDescent="0.25"/>
    <row r="58433" customFormat="1" x14ac:dyDescent="0.25"/>
    <row r="58434" customFormat="1" x14ac:dyDescent="0.25"/>
    <row r="58435" customFormat="1" x14ac:dyDescent="0.25"/>
    <row r="58436" customFormat="1" x14ac:dyDescent="0.25"/>
    <row r="58437" customFormat="1" x14ac:dyDescent="0.25"/>
    <row r="58438" customFormat="1" x14ac:dyDescent="0.25"/>
    <row r="58439" customFormat="1" x14ac:dyDescent="0.25"/>
    <row r="58440" customFormat="1" x14ac:dyDescent="0.25"/>
    <row r="58441" customFormat="1" x14ac:dyDescent="0.25"/>
    <row r="58442" customFormat="1" x14ac:dyDescent="0.25"/>
    <row r="58443" customFormat="1" x14ac:dyDescent="0.25"/>
    <row r="58444" customFormat="1" x14ac:dyDescent="0.25"/>
    <row r="58445" customFormat="1" x14ac:dyDescent="0.25"/>
    <row r="58446" customFormat="1" x14ac:dyDescent="0.25"/>
    <row r="58447" customFormat="1" x14ac:dyDescent="0.25"/>
    <row r="58448" customFormat="1" x14ac:dyDescent="0.25"/>
    <row r="58449" customFormat="1" x14ac:dyDescent="0.25"/>
    <row r="58450" customFormat="1" x14ac:dyDescent="0.25"/>
    <row r="58451" customFormat="1" x14ac:dyDescent="0.25"/>
    <row r="58452" customFormat="1" x14ac:dyDescent="0.25"/>
    <row r="58453" customFormat="1" x14ac:dyDescent="0.25"/>
    <row r="58454" customFormat="1" x14ac:dyDescent="0.25"/>
    <row r="58455" customFormat="1" x14ac:dyDescent="0.25"/>
    <row r="58456" customFormat="1" x14ac:dyDescent="0.25"/>
    <row r="58457" customFormat="1" x14ac:dyDescent="0.25"/>
    <row r="58458" customFormat="1" x14ac:dyDescent="0.25"/>
    <row r="58459" customFormat="1" x14ac:dyDescent="0.25"/>
    <row r="58460" customFormat="1" x14ac:dyDescent="0.25"/>
    <row r="58461" customFormat="1" x14ac:dyDescent="0.25"/>
    <row r="58462" customFormat="1" x14ac:dyDescent="0.25"/>
    <row r="58463" customFormat="1" x14ac:dyDescent="0.25"/>
    <row r="58464" customFormat="1" x14ac:dyDescent="0.25"/>
    <row r="58465" customFormat="1" x14ac:dyDescent="0.25"/>
    <row r="58466" customFormat="1" x14ac:dyDescent="0.25"/>
    <row r="58467" customFormat="1" x14ac:dyDescent="0.25"/>
    <row r="58468" customFormat="1" x14ac:dyDescent="0.25"/>
    <row r="58469" customFormat="1" x14ac:dyDescent="0.25"/>
    <row r="58470" customFormat="1" x14ac:dyDescent="0.25"/>
    <row r="58471" customFormat="1" x14ac:dyDescent="0.25"/>
    <row r="58472" customFormat="1" x14ac:dyDescent="0.25"/>
    <row r="58473" customFormat="1" x14ac:dyDescent="0.25"/>
    <row r="58474" customFormat="1" x14ac:dyDescent="0.25"/>
    <row r="58475" customFormat="1" x14ac:dyDescent="0.25"/>
    <row r="58476" customFormat="1" x14ac:dyDescent="0.25"/>
    <row r="58477" customFormat="1" x14ac:dyDescent="0.25"/>
    <row r="58478" customFormat="1" x14ac:dyDescent="0.25"/>
    <row r="58479" customFormat="1" x14ac:dyDescent="0.25"/>
    <row r="58480" customFormat="1" x14ac:dyDescent="0.25"/>
    <row r="58481" customFormat="1" x14ac:dyDescent="0.25"/>
    <row r="58482" customFormat="1" x14ac:dyDescent="0.25"/>
    <row r="58483" customFormat="1" x14ac:dyDescent="0.25"/>
    <row r="58484" customFormat="1" x14ac:dyDescent="0.25"/>
    <row r="58485" customFormat="1" x14ac:dyDescent="0.25"/>
    <row r="58486" customFormat="1" x14ac:dyDescent="0.25"/>
    <row r="58487" customFormat="1" x14ac:dyDescent="0.25"/>
    <row r="58488" customFormat="1" x14ac:dyDescent="0.25"/>
    <row r="58489" customFormat="1" x14ac:dyDescent="0.25"/>
    <row r="58490" customFormat="1" x14ac:dyDescent="0.25"/>
    <row r="58491" customFormat="1" x14ac:dyDescent="0.25"/>
    <row r="58492" customFormat="1" x14ac:dyDescent="0.25"/>
    <row r="58493" customFormat="1" x14ac:dyDescent="0.25"/>
    <row r="58494" customFormat="1" x14ac:dyDescent="0.25"/>
    <row r="58495" customFormat="1" x14ac:dyDescent="0.25"/>
    <row r="58496" customFormat="1" x14ac:dyDescent="0.25"/>
    <row r="58497" customFormat="1" x14ac:dyDescent="0.25"/>
    <row r="58498" customFormat="1" x14ac:dyDescent="0.25"/>
    <row r="58499" customFormat="1" x14ac:dyDescent="0.25"/>
    <row r="58500" customFormat="1" x14ac:dyDescent="0.25"/>
    <row r="58501" customFormat="1" x14ac:dyDescent="0.25"/>
    <row r="58502" customFormat="1" x14ac:dyDescent="0.25"/>
    <row r="58503" customFormat="1" x14ac:dyDescent="0.25"/>
    <row r="58504" customFormat="1" x14ac:dyDescent="0.25"/>
    <row r="58505" customFormat="1" x14ac:dyDescent="0.25"/>
    <row r="58506" customFormat="1" x14ac:dyDescent="0.25"/>
    <row r="58507" customFormat="1" x14ac:dyDescent="0.25"/>
    <row r="58508" customFormat="1" x14ac:dyDescent="0.25"/>
    <row r="58509" customFormat="1" x14ac:dyDescent="0.25"/>
    <row r="58510" customFormat="1" x14ac:dyDescent="0.25"/>
    <row r="58511" customFormat="1" x14ac:dyDescent="0.25"/>
    <row r="58512" customFormat="1" x14ac:dyDescent="0.25"/>
    <row r="58513" customFormat="1" x14ac:dyDescent="0.25"/>
    <row r="58514" customFormat="1" x14ac:dyDescent="0.25"/>
    <row r="58515" customFormat="1" x14ac:dyDescent="0.25"/>
    <row r="58516" customFormat="1" x14ac:dyDescent="0.25"/>
    <row r="58517" customFormat="1" x14ac:dyDescent="0.25"/>
    <row r="58518" customFormat="1" x14ac:dyDescent="0.25"/>
    <row r="58519" customFormat="1" x14ac:dyDescent="0.25"/>
    <row r="58520" customFormat="1" x14ac:dyDescent="0.25"/>
    <row r="58521" customFormat="1" x14ac:dyDescent="0.25"/>
    <row r="58522" customFormat="1" x14ac:dyDescent="0.25"/>
    <row r="58523" customFormat="1" x14ac:dyDescent="0.25"/>
    <row r="58524" customFormat="1" x14ac:dyDescent="0.25"/>
    <row r="58525" customFormat="1" x14ac:dyDescent="0.25"/>
    <row r="58526" customFormat="1" x14ac:dyDescent="0.25"/>
    <row r="58527" customFormat="1" x14ac:dyDescent="0.25"/>
    <row r="58528" customFormat="1" x14ac:dyDescent="0.25"/>
    <row r="58529" customFormat="1" x14ac:dyDescent="0.25"/>
    <row r="58530" customFormat="1" x14ac:dyDescent="0.25"/>
    <row r="58531" customFormat="1" x14ac:dyDescent="0.25"/>
    <row r="58532" customFormat="1" x14ac:dyDescent="0.25"/>
    <row r="58533" customFormat="1" x14ac:dyDescent="0.25"/>
    <row r="58534" customFormat="1" x14ac:dyDescent="0.25"/>
    <row r="58535" customFormat="1" x14ac:dyDescent="0.25"/>
    <row r="58536" customFormat="1" x14ac:dyDescent="0.25"/>
    <row r="58537" customFormat="1" x14ac:dyDescent="0.25"/>
    <row r="58538" customFormat="1" x14ac:dyDescent="0.25"/>
    <row r="58539" customFormat="1" x14ac:dyDescent="0.25"/>
    <row r="58540" customFormat="1" x14ac:dyDescent="0.25"/>
    <row r="58541" customFormat="1" x14ac:dyDescent="0.25"/>
    <row r="58542" customFormat="1" x14ac:dyDescent="0.25"/>
    <row r="58543" customFormat="1" x14ac:dyDescent="0.25"/>
    <row r="58544" customFormat="1" x14ac:dyDescent="0.25"/>
    <row r="58545" customFormat="1" x14ac:dyDescent="0.25"/>
    <row r="58546" customFormat="1" x14ac:dyDescent="0.25"/>
    <row r="58547" customFormat="1" x14ac:dyDescent="0.25"/>
    <row r="58548" customFormat="1" x14ac:dyDescent="0.25"/>
    <row r="58549" customFormat="1" x14ac:dyDescent="0.25"/>
    <row r="58550" customFormat="1" x14ac:dyDescent="0.25"/>
    <row r="58551" customFormat="1" x14ac:dyDescent="0.25"/>
    <row r="58552" customFormat="1" x14ac:dyDescent="0.25"/>
    <row r="58553" customFormat="1" x14ac:dyDescent="0.25"/>
    <row r="58554" customFormat="1" x14ac:dyDescent="0.25"/>
    <row r="58555" customFormat="1" x14ac:dyDescent="0.25"/>
    <row r="58556" customFormat="1" x14ac:dyDescent="0.25"/>
    <row r="58557" customFormat="1" x14ac:dyDescent="0.25"/>
    <row r="58558" customFormat="1" x14ac:dyDescent="0.25"/>
    <row r="58559" customFormat="1" x14ac:dyDescent="0.25"/>
    <row r="58560" customFormat="1" x14ac:dyDescent="0.25"/>
    <row r="58561" customFormat="1" x14ac:dyDescent="0.25"/>
    <row r="58562" customFormat="1" x14ac:dyDescent="0.25"/>
    <row r="58563" customFormat="1" x14ac:dyDescent="0.25"/>
    <row r="58564" customFormat="1" x14ac:dyDescent="0.25"/>
    <row r="58565" customFormat="1" x14ac:dyDescent="0.25"/>
    <row r="58566" customFormat="1" x14ac:dyDescent="0.25"/>
    <row r="58567" customFormat="1" x14ac:dyDescent="0.25"/>
    <row r="58568" customFormat="1" x14ac:dyDescent="0.25"/>
    <row r="58569" customFormat="1" x14ac:dyDescent="0.25"/>
    <row r="58570" customFormat="1" x14ac:dyDescent="0.25"/>
    <row r="58571" customFormat="1" x14ac:dyDescent="0.25"/>
    <row r="58572" customFormat="1" x14ac:dyDescent="0.25"/>
    <row r="58573" customFormat="1" x14ac:dyDescent="0.25"/>
    <row r="58574" customFormat="1" x14ac:dyDescent="0.25"/>
    <row r="58575" customFormat="1" x14ac:dyDescent="0.25"/>
    <row r="58576" customFormat="1" x14ac:dyDescent="0.25"/>
    <row r="58577" customFormat="1" x14ac:dyDescent="0.25"/>
    <row r="58578" customFormat="1" x14ac:dyDescent="0.25"/>
    <row r="58579" customFormat="1" x14ac:dyDescent="0.25"/>
    <row r="58580" customFormat="1" x14ac:dyDescent="0.25"/>
    <row r="58581" customFormat="1" x14ac:dyDescent="0.25"/>
    <row r="58582" customFormat="1" x14ac:dyDescent="0.25"/>
    <row r="58583" customFormat="1" x14ac:dyDescent="0.25"/>
    <row r="58584" customFormat="1" x14ac:dyDescent="0.25"/>
    <row r="58585" customFormat="1" x14ac:dyDescent="0.25"/>
    <row r="58586" customFormat="1" x14ac:dyDescent="0.25"/>
    <row r="58587" customFormat="1" x14ac:dyDescent="0.25"/>
    <row r="58588" customFormat="1" x14ac:dyDescent="0.25"/>
    <row r="58589" customFormat="1" x14ac:dyDescent="0.25"/>
    <row r="58590" customFormat="1" x14ac:dyDescent="0.25"/>
    <row r="58591" customFormat="1" x14ac:dyDescent="0.25"/>
    <row r="58592" customFormat="1" x14ac:dyDescent="0.25"/>
    <row r="58593" customFormat="1" x14ac:dyDescent="0.25"/>
    <row r="58594" customFormat="1" x14ac:dyDescent="0.25"/>
    <row r="58595" customFormat="1" x14ac:dyDescent="0.25"/>
    <row r="58596" customFormat="1" x14ac:dyDescent="0.25"/>
    <row r="58597" customFormat="1" x14ac:dyDescent="0.25"/>
    <row r="58598" customFormat="1" x14ac:dyDescent="0.25"/>
    <row r="58599" customFormat="1" x14ac:dyDescent="0.25"/>
    <row r="58600" customFormat="1" x14ac:dyDescent="0.25"/>
    <row r="58601" customFormat="1" x14ac:dyDescent="0.25"/>
    <row r="58602" customFormat="1" x14ac:dyDescent="0.25"/>
    <row r="58603" customFormat="1" x14ac:dyDescent="0.25"/>
    <row r="58604" customFormat="1" x14ac:dyDescent="0.25"/>
    <row r="58605" customFormat="1" x14ac:dyDescent="0.25"/>
    <row r="58606" customFormat="1" x14ac:dyDescent="0.25"/>
    <row r="58607" customFormat="1" x14ac:dyDescent="0.25"/>
    <row r="58608" customFormat="1" x14ac:dyDescent="0.25"/>
    <row r="58609" customFormat="1" x14ac:dyDescent="0.25"/>
    <row r="58610" customFormat="1" x14ac:dyDescent="0.25"/>
    <row r="58611" customFormat="1" x14ac:dyDescent="0.25"/>
    <row r="58612" customFormat="1" x14ac:dyDescent="0.25"/>
    <row r="58613" customFormat="1" x14ac:dyDescent="0.25"/>
    <row r="58614" customFormat="1" x14ac:dyDescent="0.25"/>
    <row r="58615" customFormat="1" x14ac:dyDescent="0.25"/>
    <row r="58616" customFormat="1" x14ac:dyDescent="0.25"/>
    <row r="58617" customFormat="1" x14ac:dyDescent="0.25"/>
    <row r="58618" customFormat="1" x14ac:dyDescent="0.25"/>
    <row r="58619" customFormat="1" x14ac:dyDescent="0.25"/>
    <row r="58620" customFormat="1" x14ac:dyDescent="0.25"/>
    <row r="58621" customFormat="1" x14ac:dyDescent="0.25"/>
    <row r="58622" customFormat="1" x14ac:dyDescent="0.25"/>
    <row r="58623" customFormat="1" x14ac:dyDescent="0.25"/>
    <row r="58624" customFormat="1" x14ac:dyDescent="0.25"/>
    <row r="58625" customFormat="1" x14ac:dyDescent="0.25"/>
    <row r="58626" customFormat="1" x14ac:dyDescent="0.25"/>
    <row r="58627" customFormat="1" x14ac:dyDescent="0.25"/>
    <row r="58628" customFormat="1" x14ac:dyDescent="0.25"/>
    <row r="58629" customFormat="1" x14ac:dyDescent="0.25"/>
    <row r="58630" customFormat="1" x14ac:dyDescent="0.25"/>
    <row r="58631" customFormat="1" x14ac:dyDescent="0.25"/>
    <row r="58632" customFormat="1" x14ac:dyDescent="0.25"/>
    <row r="58633" customFormat="1" x14ac:dyDescent="0.25"/>
    <row r="58634" customFormat="1" x14ac:dyDescent="0.25"/>
    <row r="58635" customFormat="1" x14ac:dyDescent="0.25"/>
    <row r="58636" customFormat="1" x14ac:dyDescent="0.25"/>
    <row r="58637" customFormat="1" x14ac:dyDescent="0.25"/>
    <row r="58638" customFormat="1" x14ac:dyDescent="0.25"/>
    <row r="58639" customFormat="1" x14ac:dyDescent="0.25"/>
    <row r="58640" customFormat="1" x14ac:dyDescent="0.25"/>
    <row r="58641" customFormat="1" x14ac:dyDescent="0.25"/>
    <row r="58642" customFormat="1" x14ac:dyDescent="0.25"/>
    <row r="58643" customFormat="1" x14ac:dyDescent="0.25"/>
    <row r="58644" customFormat="1" x14ac:dyDescent="0.25"/>
    <row r="58645" customFormat="1" x14ac:dyDescent="0.25"/>
    <row r="58646" customFormat="1" x14ac:dyDescent="0.25"/>
    <row r="58647" customFormat="1" x14ac:dyDescent="0.25"/>
    <row r="58648" customFormat="1" x14ac:dyDescent="0.25"/>
    <row r="58649" customFormat="1" x14ac:dyDescent="0.25"/>
    <row r="58650" customFormat="1" x14ac:dyDescent="0.25"/>
    <row r="58651" customFormat="1" x14ac:dyDescent="0.25"/>
    <row r="58652" customFormat="1" x14ac:dyDescent="0.25"/>
    <row r="58653" customFormat="1" x14ac:dyDescent="0.25"/>
    <row r="58654" customFormat="1" x14ac:dyDescent="0.25"/>
    <row r="58655" customFormat="1" x14ac:dyDescent="0.25"/>
    <row r="58656" customFormat="1" x14ac:dyDescent="0.25"/>
    <row r="58657" customFormat="1" x14ac:dyDescent="0.25"/>
    <row r="58658" customFormat="1" x14ac:dyDescent="0.25"/>
    <row r="58659" customFormat="1" x14ac:dyDescent="0.25"/>
    <row r="58660" customFormat="1" x14ac:dyDescent="0.25"/>
    <row r="58661" customFormat="1" x14ac:dyDescent="0.25"/>
    <row r="58662" customFormat="1" x14ac:dyDescent="0.25"/>
    <row r="58663" customFormat="1" x14ac:dyDescent="0.25"/>
    <row r="58664" customFormat="1" x14ac:dyDescent="0.25"/>
    <row r="58665" customFormat="1" x14ac:dyDescent="0.25"/>
    <row r="58666" customFormat="1" x14ac:dyDescent="0.25"/>
    <row r="58667" customFormat="1" x14ac:dyDescent="0.25"/>
    <row r="58668" customFormat="1" x14ac:dyDescent="0.25"/>
    <row r="58669" customFormat="1" x14ac:dyDescent="0.25"/>
    <row r="58670" customFormat="1" x14ac:dyDescent="0.25"/>
    <row r="58671" customFormat="1" x14ac:dyDescent="0.25"/>
    <row r="58672" customFormat="1" x14ac:dyDescent="0.25"/>
    <row r="58673" customFormat="1" x14ac:dyDescent="0.25"/>
    <row r="58674" customFormat="1" x14ac:dyDescent="0.25"/>
    <row r="58675" customFormat="1" x14ac:dyDescent="0.25"/>
    <row r="58676" customFormat="1" x14ac:dyDescent="0.25"/>
    <row r="58677" customFormat="1" x14ac:dyDescent="0.25"/>
    <row r="58678" customFormat="1" x14ac:dyDescent="0.25"/>
    <row r="58679" customFormat="1" x14ac:dyDescent="0.25"/>
    <row r="58680" customFormat="1" x14ac:dyDescent="0.25"/>
    <row r="58681" customFormat="1" x14ac:dyDescent="0.25"/>
    <row r="58682" customFormat="1" x14ac:dyDescent="0.25"/>
    <row r="58683" customFormat="1" x14ac:dyDescent="0.25"/>
    <row r="58684" customFormat="1" x14ac:dyDescent="0.25"/>
    <row r="58685" customFormat="1" x14ac:dyDescent="0.25"/>
    <row r="58686" customFormat="1" x14ac:dyDescent="0.25"/>
    <row r="58687" customFormat="1" x14ac:dyDescent="0.25"/>
    <row r="58688" customFormat="1" x14ac:dyDescent="0.25"/>
    <row r="58689" customFormat="1" x14ac:dyDescent="0.25"/>
    <row r="58690" customFormat="1" x14ac:dyDescent="0.25"/>
    <row r="58691" customFormat="1" x14ac:dyDescent="0.25"/>
    <row r="58692" customFormat="1" x14ac:dyDescent="0.25"/>
    <row r="58693" customFormat="1" x14ac:dyDescent="0.25"/>
    <row r="58694" customFormat="1" x14ac:dyDescent="0.25"/>
    <row r="58695" customFormat="1" x14ac:dyDescent="0.25"/>
    <row r="58696" customFormat="1" x14ac:dyDescent="0.25"/>
    <row r="58697" customFormat="1" x14ac:dyDescent="0.25"/>
    <row r="58698" customFormat="1" x14ac:dyDescent="0.25"/>
    <row r="58699" customFormat="1" x14ac:dyDescent="0.25"/>
    <row r="58700" customFormat="1" x14ac:dyDescent="0.25"/>
    <row r="58701" customFormat="1" x14ac:dyDescent="0.25"/>
    <row r="58702" customFormat="1" x14ac:dyDescent="0.25"/>
    <row r="58703" customFormat="1" x14ac:dyDescent="0.25"/>
    <row r="58704" customFormat="1" x14ac:dyDescent="0.25"/>
    <row r="58705" customFormat="1" x14ac:dyDescent="0.25"/>
    <row r="58706" customFormat="1" x14ac:dyDescent="0.25"/>
    <row r="58707" customFormat="1" x14ac:dyDescent="0.25"/>
    <row r="58708" customFormat="1" x14ac:dyDescent="0.25"/>
    <row r="58709" customFormat="1" x14ac:dyDescent="0.25"/>
    <row r="58710" customFormat="1" x14ac:dyDescent="0.25"/>
    <row r="58711" customFormat="1" x14ac:dyDescent="0.25"/>
    <row r="58712" customFormat="1" x14ac:dyDescent="0.25"/>
    <row r="58713" customFormat="1" x14ac:dyDescent="0.25"/>
    <row r="58714" customFormat="1" x14ac:dyDescent="0.25"/>
    <row r="58715" customFormat="1" x14ac:dyDescent="0.25"/>
    <row r="58716" customFormat="1" x14ac:dyDescent="0.25"/>
    <row r="58717" customFormat="1" x14ac:dyDescent="0.25"/>
    <row r="58718" customFormat="1" x14ac:dyDescent="0.25"/>
    <row r="58719" customFormat="1" x14ac:dyDescent="0.25"/>
    <row r="58720" customFormat="1" x14ac:dyDescent="0.25"/>
    <row r="58721" customFormat="1" x14ac:dyDescent="0.25"/>
    <row r="58722" customFormat="1" x14ac:dyDescent="0.25"/>
    <row r="58723" customFormat="1" x14ac:dyDescent="0.25"/>
    <row r="58724" customFormat="1" x14ac:dyDescent="0.25"/>
    <row r="58725" customFormat="1" x14ac:dyDescent="0.25"/>
    <row r="58726" customFormat="1" x14ac:dyDescent="0.25"/>
    <row r="58727" customFormat="1" x14ac:dyDescent="0.25"/>
    <row r="58728" customFormat="1" x14ac:dyDescent="0.25"/>
    <row r="58729" customFormat="1" x14ac:dyDescent="0.25"/>
    <row r="58730" customFormat="1" x14ac:dyDescent="0.25"/>
    <row r="58731" customFormat="1" x14ac:dyDescent="0.25"/>
    <row r="58732" customFormat="1" x14ac:dyDescent="0.25"/>
    <row r="58733" customFormat="1" x14ac:dyDescent="0.25"/>
    <row r="58734" customFormat="1" x14ac:dyDescent="0.25"/>
    <row r="58735" customFormat="1" x14ac:dyDescent="0.25"/>
    <row r="58736" customFormat="1" x14ac:dyDescent="0.25"/>
    <row r="58737" customFormat="1" x14ac:dyDescent="0.25"/>
    <row r="58738" customFormat="1" x14ac:dyDescent="0.25"/>
    <row r="58739" customFormat="1" x14ac:dyDescent="0.25"/>
    <row r="58740" customFormat="1" x14ac:dyDescent="0.25"/>
    <row r="58741" customFormat="1" x14ac:dyDescent="0.25"/>
    <row r="58742" customFormat="1" x14ac:dyDescent="0.25"/>
    <row r="58743" customFormat="1" x14ac:dyDescent="0.25"/>
    <row r="58744" customFormat="1" x14ac:dyDescent="0.25"/>
    <row r="58745" customFormat="1" x14ac:dyDescent="0.25"/>
    <row r="58746" customFormat="1" x14ac:dyDescent="0.25"/>
    <row r="58747" customFormat="1" x14ac:dyDescent="0.25"/>
    <row r="58748" customFormat="1" x14ac:dyDescent="0.25"/>
    <row r="58749" customFormat="1" x14ac:dyDescent="0.25"/>
    <row r="58750" customFormat="1" x14ac:dyDescent="0.25"/>
    <row r="58751" customFormat="1" x14ac:dyDescent="0.25"/>
    <row r="58752" customFormat="1" x14ac:dyDescent="0.25"/>
    <row r="58753" customFormat="1" x14ac:dyDescent="0.25"/>
    <row r="58754" customFormat="1" x14ac:dyDescent="0.25"/>
    <row r="58755" customFormat="1" x14ac:dyDescent="0.25"/>
    <row r="58756" customFormat="1" x14ac:dyDescent="0.25"/>
    <row r="58757" customFormat="1" x14ac:dyDescent="0.25"/>
    <row r="58758" customFormat="1" x14ac:dyDescent="0.25"/>
    <row r="58759" customFormat="1" x14ac:dyDescent="0.25"/>
    <row r="58760" customFormat="1" x14ac:dyDescent="0.25"/>
    <row r="58761" customFormat="1" x14ac:dyDescent="0.25"/>
    <row r="58762" customFormat="1" x14ac:dyDescent="0.25"/>
    <row r="58763" customFormat="1" x14ac:dyDescent="0.25"/>
    <row r="58764" customFormat="1" x14ac:dyDescent="0.25"/>
    <row r="58765" customFormat="1" x14ac:dyDescent="0.25"/>
    <row r="58766" customFormat="1" x14ac:dyDescent="0.25"/>
    <row r="58767" customFormat="1" x14ac:dyDescent="0.25"/>
    <row r="58768" customFormat="1" x14ac:dyDescent="0.25"/>
    <row r="58769" customFormat="1" x14ac:dyDescent="0.25"/>
    <row r="58770" customFormat="1" x14ac:dyDescent="0.25"/>
    <row r="58771" customFormat="1" x14ac:dyDescent="0.25"/>
    <row r="58772" customFormat="1" x14ac:dyDescent="0.25"/>
    <row r="58773" customFormat="1" x14ac:dyDescent="0.25"/>
    <row r="58774" customFormat="1" x14ac:dyDescent="0.25"/>
    <row r="58775" customFormat="1" x14ac:dyDescent="0.25"/>
    <row r="58776" customFormat="1" x14ac:dyDescent="0.25"/>
    <row r="58777" customFormat="1" x14ac:dyDescent="0.25"/>
    <row r="58778" customFormat="1" x14ac:dyDescent="0.25"/>
    <row r="58779" customFormat="1" x14ac:dyDescent="0.25"/>
    <row r="58780" customFormat="1" x14ac:dyDescent="0.25"/>
    <row r="58781" customFormat="1" x14ac:dyDescent="0.25"/>
    <row r="58782" customFormat="1" x14ac:dyDescent="0.25"/>
    <row r="58783" customFormat="1" x14ac:dyDescent="0.25"/>
    <row r="58784" customFormat="1" x14ac:dyDescent="0.25"/>
    <row r="58785" customFormat="1" x14ac:dyDescent="0.25"/>
    <row r="58786" customFormat="1" x14ac:dyDescent="0.25"/>
    <row r="58787" customFormat="1" x14ac:dyDescent="0.25"/>
    <row r="58788" customFormat="1" x14ac:dyDescent="0.25"/>
    <row r="58789" customFormat="1" x14ac:dyDescent="0.25"/>
    <row r="58790" customFormat="1" x14ac:dyDescent="0.25"/>
    <row r="58791" customFormat="1" x14ac:dyDescent="0.25"/>
    <row r="58792" customFormat="1" x14ac:dyDescent="0.25"/>
    <row r="58793" customFormat="1" x14ac:dyDescent="0.25"/>
    <row r="58794" customFormat="1" x14ac:dyDescent="0.25"/>
    <row r="58795" customFormat="1" x14ac:dyDescent="0.25"/>
    <row r="58796" customFormat="1" x14ac:dyDescent="0.25"/>
    <row r="58797" customFormat="1" x14ac:dyDescent="0.25"/>
    <row r="58798" customFormat="1" x14ac:dyDescent="0.25"/>
    <row r="58799" customFormat="1" x14ac:dyDescent="0.25"/>
    <row r="58800" customFormat="1" x14ac:dyDescent="0.25"/>
    <row r="58801" customFormat="1" x14ac:dyDescent="0.25"/>
    <row r="58802" customFormat="1" x14ac:dyDescent="0.25"/>
    <row r="58803" customFormat="1" x14ac:dyDescent="0.25"/>
    <row r="58804" customFormat="1" x14ac:dyDescent="0.25"/>
    <row r="58805" customFormat="1" x14ac:dyDescent="0.25"/>
    <row r="58806" customFormat="1" x14ac:dyDescent="0.25"/>
    <row r="58807" customFormat="1" x14ac:dyDescent="0.25"/>
    <row r="58808" customFormat="1" x14ac:dyDescent="0.25"/>
    <row r="58809" customFormat="1" x14ac:dyDescent="0.25"/>
    <row r="58810" customFormat="1" x14ac:dyDescent="0.25"/>
    <row r="58811" customFormat="1" x14ac:dyDescent="0.25"/>
    <row r="58812" customFormat="1" x14ac:dyDescent="0.25"/>
    <row r="58813" customFormat="1" x14ac:dyDescent="0.25"/>
    <row r="58814" customFormat="1" x14ac:dyDescent="0.25"/>
    <row r="58815" customFormat="1" x14ac:dyDescent="0.25"/>
    <row r="58816" customFormat="1" x14ac:dyDescent="0.25"/>
    <row r="58817" customFormat="1" x14ac:dyDescent="0.25"/>
    <row r="58818" customFormat="1" x14ac:dyDescent="0.25"/>
    <row r="58819" customFormat="1" x14ac:dyDescent="0.25"/>
    <row r="58820" customFormat="1" x14ac:dyDescent="0.25"/>
    <row r="58821" customFormat="1" x14ac:dyDescent="0.25"/>
    <row r="58822" customFormat="1" x14ac:dyDescent="0.25"/>
    <row r="58823" customFormat="1" x14ac:dyDescent="0.25"/>
    <row r="58824" customFormat="1" x14ac:dyDescent="0.25"/>
    <row r="58825" customFormat="1" x14ac:dyDescent="0.25"/>
    <row r="58826" customFormat="1" x14ac:dyDescent="0.25"/>
    <row r="58827" customFormat="1" x14ac:dyDescent="0.25"/>
    <row r="58828" customFormat="1" x14ac:dyDescent="0.25"/>
    <row r="58829" customFormat="1" x14ac:dyDescent="0.25"/>
    <row r="58830" customFormat="1" x14ac:dyDescent="0.25"/>
    <row r="58831" customFormat="1" x14ac:dyDescent="0.25"/>
    <row r="58832" customFormat="1" x14ac:dyDescent="0.25"/>
    <row r="58833" customFormat="1" x14ac:dyDescent="0.25"/>
    <row r="58834" customFormat="1" x14ac:dyDescent="0.25"/>
    <row r="58835" customFormat="1" x14ac:dyDescent="0.25"/>
    <row r="58836" customFormat="1" x14ac:dyDescent="0.25"/>
    <row r="58837" customFormat="1" x14ac:dyDescent="0.25"/>
    <row r="58838" customFormat="1" x14ac:dyDescent="0.25"/>
    <row r="58839" customFormat="1" x14ac:dyDescent="0.25"/>
    <row r="58840" customFormat="1" x14ac:dyDescent="0.25"/>
    <row r="58841" customFormat="1" x14ac:dyDescent="0.25"/>
    <row r="58842" customFormat="1" x14ac:dyDescent="0.25"/>
    <row r="58843" customFormat="1" x14ac:dyDescent="0.25"/>
    <row r="58844" customFormat="1" x14ac:dyDescent="0.25"/>
    <row r="58845" customFormat="1" x14ac:dyDescent="0.25"/>
    <row r="58846" customFormat="1" x14ac:dyDescent="0.25"/>
    <row r="58847" customFormat="1" x14ac:dyDescent="0.25"/>
    <row r="58848" customFormat="1" x14ac:dyDescent="0.25"/>
    <row r="58849" customFormat="1" x14ac:dyDescent="0.25"/>
    <row r="58850" customFormat="1" x14ac:dyDescent="0.25"/>
    <row r="58851" customFormat="1" x14ac:dyDescent="0.25"/>
    <row r="58852" customFormat="1" x14ac:dyDescent="0.25"/>
    <row r="58853" customFormat="1" x14ac:dyDescent="0.25"/>
    <row r="58854" customFormat="1" x14ac:dyDescent="0.25"/>
    <row r="58855" customFormat="1" x14ac:dyDescent="0.25"/>
    <row r="58856" customFormat="1" x14ac:dyDescent="0.25"/>
    <row r="58857" customFormat="1" x14ac:dyDescent="0.25"/>
    <row r="58858" customFormat="1" x14ac:dyDescent="0.25"/>
    <row r="58859" customFormat="1" x14ac:dyDescent="0.25"/>
    <row r="58860" customFormat="1" x14ac:dyDescent="0.25"/>
    <row r="58861" customFormat="1" x14ac:dyDescent="0.25"/>
    <row r="58862" customFormat="1" x14ac:dyDescent="0.25"/>
    <row r="58863" customFormat="1" x14ac:dyDescent="0.25"/>
    <row r="58864" customFormat="1" x14ac:dyDescent="0.25"/>
    <row r="58865" customFormat="1" x14ac:dyDescent="0.25"/>
    <row r="58866" customFormat="1" x14ac:dyDescent="0.25"/>
    <row r="58867" customFormat="1" x14ac:dyDescent="0.25"/>
    <row r="58868" customFormat="1" x14ac:dyDescent="0.25"/>
    <row r="58869" customFormat="1" x14ac:dyDescent="0.25"/>
    <row r="58870" customFormat="1" x14ac:dyDescent="0.25"/>
    <row r="58871" customFormat="1" x14ac:dyDescent="0.25"/>
    <row r="58872" customFormat="1" x14ac:dyDescent="0.25"/>
    <row r="58873" customFormat="1" x14ac:dyDescent="0.25"/>
    <row r="58874" customFormat="1" x14ac:dyDescent="0.25"/>
    <row r="58875" customFormat="1" x14ac:dyDescent="0.25"/>
    <row r="58876" customFormat="1" x14ac:dyDescent="0.25"/>
    <row r="58877" customFormat="1" x14ac:dyDescent="0.25"/>
    <row r="58878" customFormat="1" x14ac:dyDescent="0.25"/>
    <row r="58879" customFormat="1" x14ac:dyDescent="0.25"/>
    <row r="58880" customFormat="1" x14ac:dyDescent="0.25"/>
    <row r="58881" customFormat="1" x14ac:dyDescent="0.25"/>
    <row r="58882" customFormat="1" x14ac:dyDescent="0.25"/>
    <row r="58883" customFormat="1" x14ac:dyDescent="0.25"/>
    <row r="58884" customFormat="1" x14ac:dyDescent="0.25"/>
    <row r="58885" customFormat="1" x14ac:dyDescent="0.25"/>
    <row r="58886" customFormat="1" x14ac:dyDescent="0.25"/>
    <row r="58887" customFormat="1" x14ac:dyDescent="0.25"/>
    <row r="58888" customFormat="1" x14ac:dyDescent="0.25"/>
    <row r="58889" customFormat="1" x14ac:dyDescent="0.25"/>
    <row r="58890" customFormat="1" x14ac:dyDescent="0.25"/>
    <row r="58891" customFormat="1" x14ac:dyDescent="0.25"/>
    <row r="58892" customFormat="1" x14ac:dyDescent="0.25"/>
    <row r="58893" customFormat="1" x14ac:dyDescent="0.25"/>
    <row r="58894" customFormat="1" x14ac:dyDescent="0.25"/>
    <row r="58895" customFormat="1" x14ac:dyDescent="0.25"/>
    <row r="58896" customFormat="1" x14ac:dyDescent="0.25"/>
    <row r="58897" customFormat="1" x14ac:dyDescent="0.25"/>
    <row r="58898" customFormat="1" x14ac:dyDescent="0.25"/>
    <row r="58899" customFormat="1" x14ac:dyDescent="0.25"/>
    <row r="58900" customFormat="1" x14ac:dyDescent="0.25"/>
    <row r="58901" customFormat="1" x14ac:dyDescent="0.25"/>
    <row r="58902" customFormat="1" x14ac:dyDescent="0.25"/>
    <row r="58903" customFormat="1" x14ac:dyDescent="0.25"/>
    <row r="58904" customFormat="1" x14ac:dyDescent="0.25"/>
    <row r="58905" customFormat="1" x14ac:dyDescent="0.25"/>
    <row r="58906" customFormat="1" x14ac:dyDescent="0.25"/>
    <row r="58907" customFormat="1" x14ac:dyDescent="0.25"/>
    <row r="58908" customFormat="1" x14ac:dyDescent="0.25"/>
    <row r="58909" customFormat="1" x14ac:dyDescent="0.25"/>
    <row r="58910" customFormat="1" x14ac:dyDescent="0.25"/>
    <row r="58911" customFormat="1" x14ac:dyDescent="0.25"/>
    <row r="58912" customFormat="1" x14ac:dyDescent="0.25"/>
    <row r="58913" customFormat="1" x14ac:dyDescent="0.25"/>
    <row r="58914" customFormat="1" x14ac:dyDescent="0.25"/>
    <row r="58915" customFormat="1" x14ac:dyDescent="0.25"/>
    <row r="58916" customFormat="1" x14ac:dyDescent="0.25"/>
    <row r="58917" customFormat="1" x14ac:dyDescent="0.25"/>
    <row r="58918" customFormat="1" x14ac:dyDescent="0.25"/>
    <row r="58919" customFormat="1" x14ac:dyDescent="0.25"/>
    <row r="58920" customFormat="1" x14ac:dyDescent="0.25"/>
    <row r="58921" customFormat="1" x14ac:dyDescent="0.25"/>
    <row r="58922" customFormat="1" x14ac:dyDescent="0.25"/>
    <row r="58923" customFormat="1" x14ac:dyDescent="0.25"/>
    <row r="58924" customFormat="1" x14ac:dyDescent="0.25"/>
    <row r="58925" customFormat="1" x14ac:dyDescent="0.25"/>
    <row r="58926" customFormat="1" x14ac:dyDescent="0.25"/>
    <row r="58927" customFormat="1" x14ac:dyDescent="0.25"/>
    <row r="58928" customFormat="1" x14ac:dyDescent="0.25"/>
    <row r="58929" customFormat="1" x14ac:dyDescent="0.25"/>
    <row r="58930" customFormat="1" x14ac:dyDescent="0.25"/>
    <row r="58931" customFormat="1" x14ac:dyDescent="0.25"/>
    <row r="58932" customFormat="1" x14ac:dyDescent="0.25"/>
    <row r="58933" customFormat="1" x14ac:dyDescent="0.25"/>
    <row r="58934" customFormat="1" x14ac:dyDescent="0.25"/>
    <row r="58935" customFormat="1" x14ac:dyDescent="0.25"/>
    <row r="58936" customFormat="1" x14ac:dyDescent="0.25"/>
    <row r="58937" customFormat="1" x14ac:dyDescent="0.25"/>
    <row r="58938" customFormat="1" x14ac:dyDescent="0.25"/>
    <row r="58939" customFormat="1" x14ac:dyDescent="0.25"/>
    <row r="58940" customFormat="1" x14ac:dyDescent="0.25"/>
    <row r="58941" customFormat="1" x14ac:dyDescent="0.25"/>
    <row r="58942" customFormat="1" x14ac:dyDescent="0.25"/>
    <row r="58943" customFormat="1" x14ac:dyDescent="0.25"/>
    <row r="58944" customFormat="1" x14ac:dyDescent="0.25"/>
    <row r="58945" customFormat="1" x14ac:dyDescent="0.25"/>
    <row r="58946" customFormat="1" x14ac:dyDescent="0.25"/>
    <row r="58947" customFormat="1" x14ac:dyDescent="0.25"/>
    <row r="58948" customFormat="1" x14ac:dyDescent="0.25"/>
    <row r="58949" customFormat="1" x14ac:dyDescent="0.25"/>
    <row r="58950" customFormat="1" x14ac:dyDescent="0.25"/>
    <row r="58951" customFormat="1" x14ac:dyDescent="0.25"/>
    <row r="58952" customFormat="1" x14ac:dyDescent="0.25"/>
    <row r="58953" customFormat="1" x14ac:dyDescent="0.25"/>
    <row r="58954" customFormat="1" x14ac:dyDescent="0.25"/>
    <row r="58955" customFormat="1" x14ac:dyDescent="0.25"/>
    <row r="58956" customFormat="1" x14ac:dyDescent="0.25"/>
    <row r="58957" customFormat="1" x14ac:dyDescent="0.25"/>
    <row r="58958" customFormat="1" x14ac:dyDescent="0.25"/>
    <row r="58959" customFormat="1" x14ac:dyDescent="0.25"/>
    <row r="58960" customFormat="1" x14ac:dyDescent="0.25"/>
    <row r="58961" customFormat="1" x14ac:dyDescent="0.25"/>
    <row r="58962" customFormat="1" x14ac:dyDescent="0.25"/>
    <row r="58963" customFormat="1" x14ac:dyDescent="0.25"/>
    <row r="58964" customFormat="1" x14ac:dyDescent="0.25"/>
    <row r="58965" customFormat="1" x14ac:dyDescent="0.25"/>
    <row r="58966" customFormat="1" x14ac:dyDescent="0.25"/>
    <row r="58967" customFormat="1" x14ac:dyDescent="0.25"/>
    <row r="58968" customFormat="1" x14ac:dyDescent="0.25"/>
    <row r="58969" customFormat="1" x14ac:dyDescent="0.25"/>
    <row r="58970" customFormat="1" x14ac:dyDescent="0.25"/>
    <row r="58971" customFormat="1" x14ac:dyDescent="0.25"/>
    <row r="58972" customFormat="1" x14ac:dyDescent="0.25"/>
    <row r="58973" customFormat="1" x14ac:dyDescent="0.25"/>
    <row r="58974" customFormat="1" x14ac:dyDescent="0.25"/>
    <row r="58975" customFormat="1" x14ac:dyDescent="0.25"/>
    <row r="58976" customFormat="1" x14ac:dyDescent="0.25"/>
    <row r="58977" customFormat="1" x14ac:dyDescent="0.25"/>
    <row r="58978" customFormat="1" x14ac:dyDescent="0.25"/>
    <row r="58979" customFormat="1" x14ac:dyDescent="0.25"/>
    <row r="58980" customFormat="1" x14ac:dyDescent="0.25"/>
    <row r="58981" customFormat="1" x14ac:dyDescent="0.25"/>
    <row r="58982" customFormat="1" x14ac:dyDescent="0.25"/>
    <row r="58983" customFormat="1" x14ac:dyDescent="0.25"/>
    <row r="58984" customFormat="1" x14ac:dyDescent="0.25"/>
    <row r="58985" customFormat="1" x14ac:dyDescent="0.25"/>
    <row r="58986" customFormat="1" x14ac:dyDescent="0.25"/>
    <row r="58987" customFormat="1" x14ac:dyDescent="0.25"/>
    <row r="58988" customFormat="1" x14ac:dyDescent="0.25"/>
    <row r="58989" customFormat="1" x14ac:dyDescent="0.25"/>
    <row r="58990" customFormat="1" x14ac:dyDescent="0.25"/>
    <row r="58991" customFormat="1" x14ac:dyDescent="0.25"/>
    <row r="58992" customFormat="1" x14ac:dyDescent="0.25"/>
    <row r="58993" customFormat="1" x14ac:dyDescent="0.25"/>
    <row r="58994" customFormat="1" x14ac:dyDescent="0.25"/>
    <row r="58995" customFormat="1" x14ac:dyDescent="0.25"/>
    <row r="58996" customFormat="1" x14ac:dyDescent="0.25"/>
    <row r="58997" customFormat="1" x14ac:dyDescent="0.25"/>
    <row r="58998" customFormat="1" x14ac:dyDescent="0.25"/>
    <row r="58999" customFormat="1" x14ac:dyDescent="0.25"/>
    <row r="59000" customFormat="1" x14ac:dyDescent="0.25"/>
    <row r="59001" customFormat="1" x14ac:dyDescent="0.25"/>
    <row r="59002" customFormat="1" x14ac:dyDescent="0.25"/>
    <row r="59003" customFormat="1" x14ac:dyDescent="0.25"/>
    <row r="59004" customFormat="1" x14ac:dyDescent="0.25"/>
    <row r="59005" customFormat="1" x14ac:dyDescent="0.25"/>
    <row r="59006" customFormat="1" x14ac:dyDescent="0.25"/>
    <row r="59007" customFormat="1" x14ac:dyDescent="0.25"/>
    <row r="59008" customFormat="1" x14ac:dyDescent="0.25"/>
    <row r="59009" customFormat="1" x14ac:dyDescent="0.25"/>
    <row r="59010" customFormat="1" x14ac:dyDescent="0.25"/>
    <row r="59011" customFormat="1" x14ac:dyDescent="0.25"/>
    <row r="59012" customFormat="1" x14ac:dyDescent="0.25"/>
    <row r="59013" customFormat="1" x14ac:dyDescent="0.25"/>
    <row r="59014" customFormat="1" x14ac:dyDescent="0.25"/>
    <row r="59015" customFormat="1" x14ac:dyDescent="0.25"/>
    <row r="59016" customFormat="1" x14ac:dyDescent="0.25"/>
    <row r="59017" customFormat="1" x14ac:dyDescent="0.25"/>
    <row r="59018" customFormat="1" x14ac:dyDescent="0.25"/>
    <row r="59019" customFormat="1" x14ac:dyDescent="0.25"/>
    <row r="59020" customFormat="1" x14ac:dyDescent="0.25"/>
    <row r="59021" customFormat="1" x14ac:dyDescent="0.25"/>
    <row r="59022" customFormat="1" x14ac:dyDescent="0.25"/>
    <row r="59023" customFormat="1" x14ac:dyDescent="0.25"/>
    <row r="59024" customFormat="1" x14ac:dyDescent="0.25"/>
    <row r="59025" customFormat="1" x14ac:dyDescent="0.25"/>
    <row r="59026" customFormat="1" x14ac:dyDescent="0.25"/>
    <row r="59027" customFormat="1" x14ac:dyDescent="0.25"/>
    <row r="59028" customFormat="1" x14ac:dyDescent="0.25"/>
    <row r="59029" customFormat="1" x14ac:dyDescent="0.25"/>
    <row r="59030" customFormat="1" x14ac:dyDescent="0.25"/>
    <row r="59031" customFormat="1" x14ac:dyDescent="0.25"/>
    <row r="59032" customFormat="1" x14ac:dyDescent="0.25"/>
    <row r="59033" customFormat="1" x14ac:dyDescent="0.25"/>
    <row r="59034" customFormat="1" x14ac:dyDescent="0.25"/>
    <row r="59035" customFormat="1" x14ac:dyDescent="0.25"/>
    <row r="59036" customFormat="1" x14ac:dyDescent="0.25"/>
    <row r="59037" customFormat="1" x14ac:dyDescent="0.25"/>
    <row r="59038" customFormat="1" x14ac:dyDescent="0.25"/>
    <row r="59039" customFormat="1" x14ac:dyDescent="0.25"/>
    <row r="59040" customFormat="1" x14ac:dyDescent="0.25"/>
    <row r="59041" customFormat="1" x14ac:dyDescent="0.25"/>
    <row r="59042" customFormat="1" x14ac:dyDescent="0.25"/>
    <row r="59043" customFormat="1" x14ac:dyDescent="0.25"/>
    <row r="59044" customFormat="1" x14ac:dyDescent="0.25"/>
    <row r="59045" customFormat="1" x14ac:dyDescent="0.25"/>
    <row r="59046" customFormat="1" x14ac:dyDescent="0.25"/>
    <row r="59047" customFormat="1" x14ac:dyDescent="0.25"/>
    <row r="59048" customFormat="1" x14ac:dyDescent="0.25"/>
    <row r="59049" customFormat="1" x14ac:dyDescent="0.25"/>
    <row r="59050" customFormat="1" x14ac:dyDescent="0.25"/>
    <row r="59051" customFormat="1" x14ac:dyDescent="0.25"/>
    <row r="59052" customFormat="1" x14ac:dyDescent="0.25"/>
    <row r="59053" customFormat="1" x14ac:dyDescent="0.25"/>
    <row r="59054" customFormat="1" x14ac:dyDescent="0.25"/>
    <row r="59055" customFormat="1" x14ac:dyDescent="0.25"/>
    <row r="59056" customFormat="1" x14ac:dyDescent="0.25"/>
    <row r="59057" customFormat="1" x14ac:dyDescent="0.25"/>
    <row r="59058" customFormat="1" x14ac:dyDescent="0.25"/>
    <row r="59059" customFormat="1" x14ac:dyDescent="0.25"/>
    <row r="59060" customFormat="1" x14ac:dyDescent="0.25"/>
    <row r="59061" customFormat="1" x14ac:dyDescent="0.25"/>
    <row r="59062" customFormat="1" x14ac:dyDescent="0.25"/>
    <row r="59063" customFormat="1" x14ac:dyDescent="0.25"/>
    <row r="59064" customFormat="1" x14ac:dyDescent="0.25"/>
    <row r="59065" customFormat="1" x14ac:dyDescent="0.25"/>
    <row r="59066" customFormat="1" x14ac:dyDescent="0.25"/>
    <row r="59067" customFormat="1" x14ac:dyDescent="0.25"/>
    <row r="59068" customFormat="1" x14ac:dyDescent="0.25"/>
    <row r="59069" customFormat="1" x14ac:dyDescent="0.25"/>
    <row r="59070" customFormat="1" x14ac:dyDescent="0.25"/>
    <row r="59071" customFormat="1" x14ac:dyDescent="0.25"/>
    <row r="59072" customFormat="1" x14ac:dyDescent="0.25"/>
    <row r="59073" customFormat="1" x14ac:dyDescent="0.25"/>
    <row r="59074" customFormat="1" x14ac:dyDescent="0.25"/>
    <row r="59075" customFormat="1" x14ac:dyDescent="0.25"/>
    <row r="59076" customFormat="1" x14ac:dyDescent="0.25"/>
    <row r="59077" customFormat="1" x14ac:dyDescent="0.25"/>
    <row r="59078" customFormat="1" x14ac:dyDescent="0.25"/>
    <row r="59079" customFormat="1" x14ac:dyDescent="0.25"/>
    <row r="59080" customFormat="1" x14ac:dyDescent="0.25"/>
    <row r="59081" customFormat="1" x14ac:dyDescent="0.25"/>
    <row r="59082" customFormat="1" x14ac:dyDescent="0.25"/>
    <row r="59083" customFormat="1" x14ac:dyDescent="0.25"/>
    <row r="59084" customFormat="1" x14ac:dyDescent="0.25"/>
    <row r="59085" customFormat="1" x14ac:dyDescent="0.25"/>
    <row r="59086" customFormat="1" x14ac:dyDescent="0.25"/>
    <row r="59087" customFormat="1" x14ac:dyDescent="0.25"/>
    <row r="59088" customFormat="1" x14ac:dyDescent="0.25"/>
    <row r="59089" customFormat="1" x14ac:dyDescent="0.25"/>
    <row r="59090" customFormat="1" x14ac:dyDescent="0.25"/>
    <row r="59091" customFormat="1" x14ac:dyDescent="0.25"/>
    <row r="59092" customFormat="1" x14ac:dyDescent="0.25"/>
    <row r="59093" customFormat="1" x14ac:dyDescent="0.25"/>
    <row r="59094" customFormat="1" x14ac:dyDescent="0.25"/>
    <row r="59095" customFormat="1" x14ac:dyDescent="0.25"/>
    <row r="59096" customFormat="1" x14ac:dyDescent="0.25"/>
    <row r="59097" customFormat="1" x14ac:dyDescent="0.25"/>
    <row r="59098" customFormat="1" x14ac:dyDescent="0.25"/>
    <row r="59099" customFormat="1" x14ac:dyDescent="0.25"/>
    <row r="59100" customFormat="1" x14ac:dyDescent="0.25"/>
    <row r="59101" customFormat="1" x14ac:dyDescent="0.25"/>
    <row r="59102" customFormat="1" x14ac:dyDescent="0.25"/>
    <row r="59103" customFormat="1" x14ac:dyDescent="0.25"/>
    <row r="59104" customFormat="1" x14ac:dyDescent="0.25"/>
    <row r="59105" customFormat="1" x14ac:dyDescent="0.25"/>
    <row r="59106" customFormat="1" x14ac:dyDescent="0.25"/>
    <row r="59107" customFormat="1" x14ac:dyDescent="0.25"/>
    <row r="59108" customFormat="1" x14ac:dyDescent="0.25"/>
    <row r="59109" customFormat="1" x14ac:dyDescent="0.25"/>
    <row r="59110" customFormat="1" x14ac:dyDescent="0.25"/>
    <row r="59111" customFormat="1" x14ac:dyDescent="0.25"/>
    <row r="59112" customFormat="1" x14ac:dyDescent="0.25"/>
    <row r="59113" customFormat="1" x14ac:dyDescent="0.25"/>
    <row r="59114" customFormat="1" x14ac:dyDescent="0.25"/>
    <row r="59115" customFormat="1" x14ac:dyDescent="0.25"/>
    <row r="59116" customFormat="1" x14ac:dyDescent="0.25"/>
    <row r="59117" customFormat="1" x14ac:dyDescent="0.25"/>
    <row r="59118" customFormat="1" x14ac:dyDescent="0.25"/>
    <row r="59119" customFormat="1" x14ac:dyDescent="0.25"/>
    <row r="59120" customFormat="1" x14ac:dyDescent="0.25"/>
    <row r="59121" customFormat="1" x14ac:dyDescent="0.25"/>
    <row r="59122" customFormat="1" x14ac:dyDescent="0.25"/>
    <row r="59123" customFormat="1" x14ac:dyDescent="0.25"/>
    <row r="59124" customFormat="1" x14ac:dyDescent="0.25"/>
    <row r="59125" customFormat="1" x14ac:dyDescent="0.25"/>
    <row r="59126" customFormat="1" x14ac:dyDescent="0.25"/>
    <row r="59127" customFormat="1" x14ac:dyDescent="0.25"/>
    <row r="59128" customFormat="1" x14ac:dyDescent="0.25"/>
    <row r="59129" customFormat="1" x14ac:dyDescent="0.25"/>
    <row r="59130" customFormat="1" x14ac:dyDescent="0.25"/>
    <row r="59131" customFormat="1" x14ac:dyDescent="0.25"/>
    <row r="59132" customFormat="1" x14ac:dyDescent="0.25"/>
    <row r="59133" customFormat="1" x14ac:dyDescent="0.25"/>
    <row r="59134" customFormat="1" x14ac:dyDescent="0.25"/>
    <row r="59135" customFormat="1" x14ac:dyDescent="0.25"/>
    <row r="59136" customFormat="1" x14ac:dyDescent="0.25"/>
    <row r="59137" customFormat="1" x14ac:dyDescent="0.25"/>
    <row r="59138" customFormat="1" x14ac:dyDescent="0.25"/>
    <row r="59139" customFormat="1" x14ac:dyDescent="0.25"/>
    <row r="59140" customFormat="1" x14ac:dyDescent="0.25"/>
    <row r="59141" customFormat="1" x14ac:dyDescent="0.25"/>
    <row r="59142" customFormat="1" x14ac:dyDescent="0.25"/>
    <row r="59143" customFormat="1" x14ac:dyDescent="0.25"/>
    <row r="59144" customFormat="1" x14ac:dyDescent="0.25"/>
    <row r="59145" customFormat="1" x14ac:dyDescent="0.25"/>
    <row r="59146" customFormat="1" x14ac:dyDescent="0.25"/>
    <row r="59147" customFormat="1" x14ac:dyDescent="0.25"/>
    <row r="59148" customFormat="1" x14ac:dyDescent="0.25"/>
    <row r="59149" customFormat="1" x14ac:dyDescent="0.25"/>
    <row r="59150" customFormat="1" x14ac:dyDescent="0.25"/>
    <row r="59151" customFormat="1" x14ac:dyDescent="0.25"/>
    <row r="59152" customFormat="1" x14ac:dyDescent="0.25"/>
    <row r="59153" customFormat="1" x14ac:dyDescent="0.25"/>
    <row r="59154" customFormat="1" x14ac:dyDescent="0.25"/>
    <row r="59155" customFormat="1" x14ac:dyDescent="0.25"/>
    <row r="59156" customFormat="1" x14ac:dyDescent="0.25"/>
    <row r="59157" customFormat="1" x14ac:dyDescent="0.25"/>
    <row r="59158" customFormat="1" x14ac:dyDescent="0.25"/>
    <row r="59159" customFormat="1" x14ac:dyDescent="0.25"/>
    <row r="59160" customFormat="1" x14ac:dyDescent="0.25"/>
    <row r="59161" customFormat="1" x14ac:dyDescent="0.25"/>
    <row r="59162" customFormat="1" x14ac:dyDescent="0.25"/>
    <row r="59163" customFormat="1" x14ac:dyDescent="0.25"/>
    <row r="59164" customFormat="1" x14ac:dyDescent="0.25"/>
    <row r="59165" customFormat="1" x14ac:dyDescent="0.25"/>
    <row r="59166" customFormat="1" x14ac:dyDescent="0.25"/>
    <row r="59167" customFormat="1" x14ac:dyDescent="0.25"/>
    <row r="59168" customFormat="1" x14ac:dyDescent="0.25"/>
    <row r="59169" customFormat="1" x14ac:dyDescent="0.25"/>
    <row r="59170" customFormat="1" x14ac:dyDescent="0.25"/>
    <row r="59171" customFormat="1" x14ac:dyDescent="0.25"/>
    <row r="59172" customFormat="1" x14ac:dyDescent="0.25"/>
    <row r="59173" customFormat="1" x14ac:dyDescent="0.25"/>
    <row r="59174" customFormat="1" x14ac:dyDescent="0.25"/>
    <row r="59175" customFormat="1" x14ac:dyDescent="0.25"/>
    <row r="59176" customFormat="1" x14ac:dyDescent="0.25"/>
    <row r="59177" customFormat="1" x14ac:dyDescent="0.25"/>
    <row r="59178" customFormat="1" x14ac:dyDescent="0.25"/>
    <row r="59179" customFormat="1" x14ac:dyDescent="0.25"/>
    <row r="59180" customFormat="1" x14ac:dyDescent="0.25"/>
    <row r="59181" customFormat="1" x14ac:dyDescent="0.25"/>
    <row r="59182" customFormat="1" x14ac:dyDescent="0.25"/>
    <row r="59183" customFormat="1" x14ac:dyDescent="0.25"/>
    <row r="59184" customFormat="1" x14ac:dyDescent="0.25"/>
    <row r="59185" customFormat="1" x14ac:dyDescent="0.25"/>
    <row r="59186" customFormat="1" x14ac:dyDescent="0.25"/>
    <row r="59187" customFormat="1" x14ac:dyDescent="0.25"/>
    <row r="59188" customFormat="1" x14ac:dyDescent="0.25"/>
    <row r="59189" customFormat="1" x14ac:dyDescent="0.25"/>
    <row r="59190" customFormat="1" x14ac:dyDescent="0.25"/>
    <row r="59191" customFormat="1" x14ac:dyDescent="0.25"/>
    <row r="59192" customFormat="1" x14ac:dyDescent="0.25"/>
    <row r="59193" customFormat="1" x14ac:dyDescent="0.25"/>
    <row r="59194" customFormat="1" x14ac:dyDescent="0.25"/>
    <row r="59195" customFormat="1" x14ac:dyDescent="0.25"/>
    <row r="59196" customFormat="1" x14ac:dyDescent="0.25"/>
    <row r="59197" customFormat="1" x14ac:dyDescent="0.25"/>
    <row r="59198" customFormat="1" x14ac:dyDescent="0.25"/>
    <row r="59199" customFormat="1" x14ac:dyDescent="0.25"/>
    <row r="59200" customFormat="1" x14ac:dyDescent="0.25"/>
    <row r="59201" customFormat="1" x14ac:dyDescent="0.25"/>
    <row r="59202" customFormat="1" x14ac:dyDescent="0.25"/>
    <row r="59203" customFormat="1" x14ac:dyDescent="0.25"/>
    <row r="59204" customFormat="1" x14ac:dyDescent="0.25"/>
    <row r="59205" customFormat="1" x14ac:dyDescent="0.25"/>
    <row r="59206" customFormat="1" x14ac:dyDescent="0.25"/>
    <row r="59207" customFormat="1" x14ac:dyDescent="0.25"/>
    <row r="59208" customFormat="1" x14ac:dyDescent="0.25"/>
    <row r="59209" customFormat="1" x14ac:dyDescent="0.25"/>
    <row r="59210" customFormat="1" x14ac:dyDescent="0.25"/>
    <row r="59211" customFormat="1" x14ac:dyDescent="0.25"/>
    <row r="59212" customFormat="1" x14ac:dyDescent="0.25"/>
    <row r="59213" customFormat="1" x14ac:dyDescent="0.25"/>
    <row r="59214" customFormat="1" x14ac:dyDescent="0.25"/>
    <row r="59215" customFormat="1" x14ac:dyDescent="0.25"/>
    <row r="59216" customFormat="1" x14ac:dyDescent="0.25"/>
    <row r="59217" customFormat="1" x14ac:dyDescent="0.25"/>
    <row r="59218" customFormat="1" x14ac:dyDescent="0.25"/>
    <row r="59219" customFormat="1" x14ac:dyDescent="0.25"/>
    <row r="59220" customFormat="1" x14ac:dyDescent="0.25"/>
    <row r="59221" customFormat="1" x14ac:dyDescent="0.25"/>
    <row r="59222" customFormat="1" x14ac:dyDescent="0.25"/>
    <row r="59223" customFormat="1" x14ac:dyDescent="0.25"/>
    <row r="59224" customFormat="1" x14ac:dyDescent="0.25"/>
    <row r="59225" customFormat="1" x14ac:dyDescent="0.25"/>
    <row r="59226" customFormat="1" x14ac:dyDescent="0.25"/>
    <row r="59227" customFormat="1" x14ac:dyDescent="0.25"/>
    <row r="59228" customFormat="1" x14ac:dyDescent="0.25"/>
    <row r="59229" customFormat="1" x14ac:dyDescent="0.25"/>
    <row r="59230" customFormat="1" x14ac:dyDescent="0.25"/>
    <row r="59231" customFormat="1" x14ac:dyDescent="0.25"/>
    <row r="59232" customFormat="1" x14ac:dyDescent="0.25"/>
    <row r="59233" customFormat="1" x14ac:dyDescent="0.25"/>
    <row r="59234" customFormat="1" x14ac:dyDescent="0.25"/>
    <row r="59235" customFormat="1" x14ac:dyDescent="0.25"/>
    <row r="59236" customFormat="1" x14ac:dyDescent="0.25"/>
    <row r="59237" customFormat="1" x14ac:dyDescent="0.25"/>
    <row r="59238" customFormat="1" x14ac:dyDescent="0.25"/>
    <row r="59239" customFormat="1" x14ac:dyDescent="0.25"/>
    <row r="59240" customFormat="1" x14ac:dyDescent="0.25"/>
    <row r="59241" customFormat="1" x14ac:dyDescent="0.25"/>
    <row r="59242" customFormat="1" x14ac:dyDescent="0.25"/>
    <row r="59243" customFormat="1" x14ac:dyDescent="0.25"/>
    <row r="59244" customFormat="1" x14ac:dyDescent="0.25"/>
    <row r="59245" customFormat="1" x14ac:dyDescent="0.25"/>
    <row r="59246" customFormat="1" x14ac:dyDescent="0.25"/>
    <row r="59247" customFormat="1" x14ac:dyDescent="0.25"/>
    <row r="59248" customFormat="1" x14ac:dyDescent="0.25"/>
    <row r="59249" customFormat="1" x14ac:dyDescent="0.25"/>
    <row r="59250" customFormat="1" x14ac:dyDescent="0.25"/>
    <row r="59251" customFormat="1" x14ac:dyDescent="0.25"/>
    <row r="59252" customFormat="1" x14ac:dyDescent="0.25"/>
    <row r="59253" customFormat="1" x14ac:dyDescent="0.25"/>
    <row r="59254" customFormat="1" x14ac:dyDescent="0.25"/>
    <row r="59255" customFormat="1" x14ac:dyDescent="0.25"/>
    <row r="59256" customFormat="1" x14ac:dyDescent="0.25"/>
    <row r="59257" customFormat="1" x14ac:dyDescent="0.25"/>
    <row r="59258" customFormat="1" x14ac:dyDescent="0.25"/>
    <row r="59259" customFormat="1" x14ac:dyDescent="0.25"/>
    <row r="59260" customFormat="1" x14ac:dyDescent="0.25"/>
    <row r="59261" customFormat="1" x14ac:dyDescent="0.25"/>
    <row r="59262" customFormat="1" x14ac:dyDescent="0.25"/>
    <row r="59263" customFormat="1" x14ac:dyDescent="0.25"/>
    <row r="59264" customFormat="1" x14ac:dyDescent="0.25"/>
    <row r="59265" customFormat="1" x14ac:dyDescent="0.25"/>
    <row r="59266" customFormat="1" x14ac:dyDescent="0.25"/>
    <row r="59267" customFormat="1" x14ac:dyDescent="0.25"/>
    <row r="59268" customFormat="1" x14ac:dyDescent="0.25"/>
    <row r="59269" customFormat="1" x14ac:dyDescent="0.25"/>
    <row r="59270" customFormat="1" x14ac:dyDescent="0.25"/>
    <row r="59271" customFormat="1" x14ac:dyDescent="0.25"/>
    <row r="59272" customFormat="1" x14ac:dyDescent="0.25"/>
    <row r="59273" customFormat="1" x14ac:dyDescent="0.25"/>
    <row r="59274" customFormat="1" x14ac:dyDescent="0.25"/>
    <row r="59275" customFormat="1" x14ac:dyDescent="0.25"/>
    <row r="59276" customFormat="1" x14ac:dyDescent="0.25"/>
    <row r="59277" customFormat="1" x14ac:dyDescent="0.25"/>
    <row r="59278" customFormat="1" x14ac:dyDescent="0.25"/>
    <row r="59279" customFormat="1" x14ac:dyDescent="0.25"/>
    <row r="59280" customFormat="1" x14ac:dyDescent="0.25"/>
    <row r="59281" customFormat="1" x14ac:dyDescent="0.25"/>
    <row r="59282" customFormat="1" x14ac:dyDescent="0.25"/>
    <row r="59283" customFormat="1" x14ac:dyDescent="0.25"/>
    <row r="59284" customFormat="1" x14ac:dyDescent="0.25"/>
    <row r="59285" customFormat="1" x14ac:dyDescent="0.25"/>
    <row r="59286" customFormat="1" x14ac:dyDescent="0.25"/>
    <row r="59287" customFormat="1" x14ac:dyDescent="0.25"/>
    <row r="59288" customFormat="1" x14ac:dyDescent="0.25"/>
    <row r="59289" customFormat="1" x14ac:dyDescent="0.25"/>
    <row r="59290" customFormat="1" x14ac:dyDescent="0.25"/>
    <row r="59291" customFormat="1" x14ac:dyDescent="0.25"/>
    <row r="59292" customFormat="1" x14ac:dyDescent="0.25"/>
    <row r="59293" customFormat="1" x14ac:dyDescent="0.25"/>
    <row r="59294" customFormat="1" x14ac:dyDescent="0.25"/>
    <row r="59295" customFormat="1" x14ac:dyDescent="0.25"/>
    <row r="59296" customFormat="1" x14ac:dyDescent="0.25"/>
    <row r="59297" customFormat="1" x14ac:dyDescent="0.25"/>
    <row r="59298" customFormat="1" x14ac:dyDescent="0.25"/>
    <row r="59299" customFormat="1" x14ac:dyDescent="0.25"/>
    <row r="59300" customFormat="1" x14ac:dyDescent="0.25"/>
    <row r="59301" customFormat="1" x14ac:dyDescent="0.25"/>
    <row r="59302" customFormat="1" x14ac:dyDescent="0.25"/>
    <row r="59303" customFormat="1" x14ac:dyDescent="0.25"/>
    <row r="59304" customFormat="1" x14ac:dyDescent="0.25"/>
    <row r="59305" customFormat="1" x14ac:dyDescent="0.25"/>
    <row r="59306" customFormat="1" x14ac:dyDescent="0.25"/>
    <row r="59307" customFormat="1" x14ac:dyDescent="0.25"/>
    <row r="59308" customFormat="1" x14ac:dyDescent="0.25"/>
    <row r="59309" customFormat="1" x14ac:dyDescent="0.25"/>
    <row r="59310" customFormat="1" x14ac:dyDescent="0.25"/>
    <row r="59311" customFormat="1" x14ac:dyDescent="0.25"/>
    <row r="59312" customFormat="1" x14ac:dyDescent="0.25"/>
    <row r="59313" customFormat="1" x14ac:dyDescent="0.25"/>
    <row r="59314" customFormat="1" x14ac:dyDescent="0.25"/>
    <row r="59315" customFormat="1" x14ac:dyDescent="0.25"/>
    <row r="59316" customFormat="1" x14ac:dyDescent="0.25"/>
    <row r="59317" customFormat="1" x14ac:dyDescent="0.25"/>
    <row r="59318" customFormat="1" x14ac:dyDescent="0.25"/>
    <row r="59319" customFormat="1" x14ac:dyDescent="0.25"/>
    <row r="59320" customFormat="1" x14ac:dyDescent="0.25"/>
    <row r="59321" customFormat="1" x14ac:dyDescent="0.25"/>
    <row r="59322" customFormat="1" x14ac:dyDescent="0.25"/>
    <row r="59323" customFormat="1" x14ac:dyDescent="0.25"/>
    <row r="59324" customFormat="1" x14ac:dyDescent="0.25"/>
    <row r="59325" customFormat="1" x14ac:dyDescent="0.25"/>
    <row r="59326" customFormat="1" x14ac:dyDescent="0.25"/>
    <row r="59327" customFormat="1" x14ac:dyDescent="0.25"/>
    <row r="59328" customFormat="1" x14ac:dyDescent="0.25"/>
    <row r="59329" customFormat="1" x14ac:dyDescent="0.25"/>
    <row r="59330" customFormat="1" x14ac:dyDescent="0.25"/>
    <row r="59331" customFormat="1" x14ac:dyDescent="0.25"/>
    <row r="59332" customFormat="1" x14ac:dyDescent="0.25"/>
    <row r="59333" customFormat="1" x14ac:dyDescent="0.25"/>
    <row r="59334" customFormat="1" x14ac:dyDescent="0.25"/>
    <row r="59335" customFormat="1" x14ac:dyDescent="0.25"/>
    <row r="59336" customFormat="1" x14ac:dyDescent="0.25"/>
    <row r="59337" customFormat="1" x14ac:dyDescent="0.25"/>
    <row r="59338" customFormat="1" x14ac:dyDescent="0.25"/>
    <row r="59339" customFormat="1" x14ac:dyDescent="0.25"/>
    <row r="59340" customFormat="1" x14ac:dyDescent="0.25"/>
    <row r="59341" customFormat="1" x14ac:dyDescent="0.25"/>
    <row r="59342" customFormat="1" x14ac:dyDescent="0.25"/>
    <row r="59343" customFormat="1" x14ac:dyDescent="0.25"/>
    <row r="59344" customFormat="1" x14ac:dyDescent="0.25"/>
    <row r="59345" customFormat="1" x14ac:dyDescent="0.25"/>
    <row r="59346" customFormat="1" x14ac:dyDescent="0.25"/>
    <row r="59347" customFormat="1" x14ac:dyDescent="0.25"/>
    <row r="59348" customFormat="1" x14ac:dyDescent="0.25"/>
    <row r="59349" customFormat="1" x14ac:dyDescent="0.25"/>
    <row r="59350" customFormat="1" x14ac:dyDescent="0.25"/>
    <row r="59351" customFormat="1" x14ac:dyDescent="0.25"/>
    <row r="59352" customFormat="1" x14ac:dyDescent="0.25"/>
    <row r="59353" customFormat="1" x14ac:dyDescent="0.25"/>
    <row r="59354" customFormat="1" x14ac:dyDescent="0.25"/>
    <row r="59355" customFormat="1" x14ac:dyDescent="0.25"/>
    <row r="59356" customFormat="1" x14ac:dyDescent="0.25"/>
    <row r="59357" customFormat="1" x14ac:dyDescent="0.25"/>
    <row r="59358" customFormat="1" x14ac:dyDescent="0.25"/>
    <row r="59359" customFormat="1" x14ac:dyDescent="0.25"/>
    <row r="59360" customFormat="1" x14ac:dyDescent="0.25"/>
    <row r="59361" customFormat="1" x14ac:dyDescent="0.25"/>
    <row r="59362" customFormat="1" x14ac:dyDescent="0.25"/>
    <row r="59363" customFormat="1" x14ac:dyDescent="0.25"/>
    <row r="59364" customFormat="1" x14ac:dyDescent="0.25"/>
    <row r="59365" customFormat="1" x14ac:dyDescent="0.25"/>
    <row r="59366" customFormat="1" x14ac:dyDescent="0.25"/>
    <row r="59367" customFormat="1" x14ac:dyDescent="0.25"/>
    <row r="59368" customFormat="1" x14ac:dyDescent="0.25"/>
    <row r="59369" customFormat="1" x14ac:dyDescent="0.25"/>
    <row r="59370" customFormat="1" x14ac:dyDescent="0.25"/>
    <row r="59371" customFormat="1" x14ac:dyDescent="0.25"/>
    <row r="59372" customFormat="1" x14ac:dyDescent="0.25"/>
    <row r="59373" customFormat="1" x14ac:dyDescent="0.25"/>
    <row r="59374" customFormat="1" x14ac:dyDescent="0.25"/>
    <row r="59375" customFormat="1" x14ac:dyDescent="0.25"/>
    <row r="59376" customFormat="1" x14ac:dyDescent="0.25"/>
    <row r="59377" customFormat="1" x14ac:dyDescent="0.25"/>
    <row r="59378" customFormat="1" x14ac:dyDescent="0.25"/>
    <row r="59379" customFormat="1" x14ac:dyDescent="0.25"/>
    <row r="59380" customFormat="1" x14ac:dyDescent="0.25"/>
    <row r="59381" customFormat="1" x14ac:dyDescent="0.25"/>
    <row r="59382" customFormat="1" x14ac:dyDescent="0.25"/>
    <row r="59383" customFormat="1" x14ac:dyDescent="0.25"/>
    <row r="59384" customFormat="1" x14ac:dyDescent="0.25"/>
    <row r="59385" customFormat="1" x14ac:dyDescent="0.25"/>
    <row r="59386" customFormat="1" x14ac:dyDescent="0.25"/>
    <row r="59387" customFormat="1" x14ac:dyDescent="0.25"/>
    <row r="59388" customFormat="1" x14ac:dyDescent="0.25"/>
    <row r="59389" customFormat="1" x14ac:dyDescent="0.25"/>
    <row r="59390" customFormat="1" x14ac:dyDescent="0.25"/>
    <row r="59391" customFormat="1" x14ac:dyDescent="0.25"/>
    <row r="59392" customFormat="1" x14ac:dyDescent="0.25"/>
    <row r="59393" customFormat="1" x14ac:dyDescent="0.25"/>
    <row r="59394" customFormat="1" x14ac:dyDescent="0.25"/>
    <row r="59395" customFormat="1" x14ac:dyDescent="0.25"/>
    <row r="59396" customFormat="1" x14ac:dyDescent="0.25"/>
    <row r="59397" customFormat="1" x14ac:dyDescent="0.25"/>
    <row r="59398" customFormat="1" x14ac:dyDescent="0.25"/>
    <row r="59399" customFormat="1" x14ac:dyDescent="0.25"/>
    <row r="59400" customFormat="1" x14ac:dyDescent="0.25"/>
    <row r="59401" customFormat="1" x14ac:dyDescent="0.25"/>
    <row r="59402" customFormat="1" x14ac:dyDescent="0.25"/>
    <row r="59403" customFormat="1" x14ac:dyDescent="0.25"/>
    <row r="59404" customFormat="1" x14ac:dyDescent="0.25"/>
    <row r="59405" customFormat="1" x14ac:dyDescent="0.25"/>
    <row r="59406" customFormat="1" x14ac:dyDescent="0.25"/>
    <row r="59407" customFormat="1" x14ac:dyDescent="0.25"/>
    <row r="59408" customFormat="1" x14ac:dyDescent="0.25"/>
    <row r="59409" customFormat="1" x14ac:dyDescent="0.25"/>
    <row r="59410" customFormat="1" x14ac:dyDescent="0.25"/>
    <row r="59411" customFormat="1" x14ac:dyDescent="0.25"/>
    <row r="59412" customFormat="1" x14ac:dyDescent="0.25"/>
    <row r="59413" customFormat="1" x14ac:dyDescent="0.25"/>
    <row r="59414" customFormat="1" x14ac:dyDescent="0.25"/>
    <row r="59415" customFormat="1" x14ac:dyDescent="0.25"/>
    <row r="59416" customFormat="1" x14ac:dyDescent="0.25"/>
    <row r="59417" customFormat="1" x14ac:dyDescent="0.25"/>
    <row r="59418" customFormat="1" x14ac:dyDescent="0.25"/>
    <row r="59419" customFormat="1" x14ac:dyDescent="0.25"/>
    <row r="59420" customFormat="1" x14ac:dyDescent="0.25"/>
    <row r="59421" customFormat="1" x14ac:dyDescent="0.25"/>
    <row r="59422" customFormat="1" x14ac:dyDescent="0.25"/>
    <row r="59423" customFormat="1" x14ac:dyDescent="0.25"/>
    <row r="59424" customFormat="1" x14ac:dyDescent="0.25"/>
    <row r="59425" customFormat="1" x14ac:dyDescent="0.25"/>
    <row r="59426" customFormat="1" x14ac:dyDescent="0.25"/>
    <row r="59427" customFormat="1" x14ac:dyDescent="0.25"/>
    <row r="59428" customFormat="1" x14ac:dyDescent="0.25"/>
    <row r="59429" customFormat="1" x14ac:dyDescent="0.25"/>
    <row r="59430" customFormat="1" x14ac:dyDescent="0.25"/>
    <row r="59431" customFormat="1" x14ac:dyDescent="0.25"/>
    <row r="59432" customFormat="1" x14ac:dyDescent="0.25"/>
    <row r="59433" customFormat="1" x14ac:dyDescent="0.25"/>
    <row r="59434" customFormat="1" x14ac:dyDescent="0.25"/>
    <row r="59435" customFormat="1" x14ac:dyDescent="0.25"/>
    <row r="59436" customFormat="1" x14ac:dyDescent="0.25"/>
    <row r="59437" customFormat="1" x14ac:dyDescent="0.25"/>
    <row r="59438" customFormat="1" x14ac:dyDescent="0.25"/>
    <row r="59439" customFormat="1" x14ac:dyDescent="0.25"/>
    <row r="59440" customFormat="1" x14ac:dyDescent="0.25"/>
    <row r="59441" customFormat="1" x14ac:dyDescent="0.25"/>
    <row r="59442" customFormat="1" x14ac:dyDescent="0.25"/>
    <row r="59443" customFormat="1" x14ac:dyDescent="0.25"/>
    <row r="59444" customFormat="1" x14ac:dyDescent="0.25"/>
    <row r="59445" customFormat="1" x14ac:dyDescent="0.25"/>
    <row r="59446" customFormat="1" x14ac:dyDescent="0.25"/>
    <row r="59447" customFormat="1" x14ac:dyDescent="0.25"/>
    <row r="59448" customFormat="1" x14ac:dyDescent="0.25"/>
    <row r="59449" customFormat="1" x14ac:dyDescent="0.25"/>
    <row r="59450" customFormat="1" x14ac:dyDescent="0.25"/>
    <row r="59451" customFormat="1" x14ac:dyDescent="0.25"/>
    <row r="59452" customFormat="1" x14ac:dyDescent="0.25"/>
    <row r="59453" customFormat="1" x14ac:dyDescent="0.25"/>
    <row r="59454" customFormat="1" x14ac:dyDescent="0.25"/>
    <row r="59455" customFormat="1" x14ac:dyDescent="0.25"/>
    <row r="59456" customFormat="1" x14ac:dyDescent="0.25"/>
    <row r="59457" customFormat="1" x14ac:dyDescent="0.25"/>
    <row r="59458" customFormat="1" x14ac:dyDescent="0.25"/>
    <row r="59459" customFormat="1" x14ac:dyDescent="0.25"/>
    <row r="59460" customFormat="1" x14ac:dyDescent="0.25"/>
    <row r="59461" customFormat="1" x14ac:dyDescent="0.25"/>
    <row r="59462" customFormat="1" x14ac:dyDescent="0.25"/>
    <row r="59463" customFormat="1" x14ac:dyDescent="0.25"/>
    <row r="59464" customFormat="1" x14ac:dyDescent="0.25"/>
    <row r="59465" customFormat="1" x14ac:dyDescent="0.25"/>
    <row r="59466" customFormat="1" x14ac:dyDescent="0.25"/>
    <row r="59467" customFormat="1" x14ac:dyDescent="0.25"/>
    <row r="59468" customFormat="1" x14ac:dyDescent="0.25"/>
    <row r="59469" customFormat="1" x14ac:dyDescent="0.25"/>
    <row r="59470" customFormat="1" x14ac:dyDescent="0.25"/>
    <row r="59471" customFormat="1" x14ac:dyDescent="0.25"/>
    <row r="59472" customFormat="1" x14ac:dyDescent="0.25"/>
    <row r="59473" customFormat="1" x14ac:dyDescent="0.25"/>
    <row r="59474" customFormat="1" x14ac:dyDescent="0.25"/>
    <row r="59475" customFormat="1" x14ac:dyDescent="0.25"/>
    <row r="59476" customFormat="1" x14ac:dyDescent="0.25"/>
    <row r="59477" customFormat="1" x14ac:dyDescent="0.25"/>
    <row r="59478" customFormat="1" x14ac:dyDescent="0.25"/>
    <row r="59479" customFormat="1" x14ac:dyDescent="0.25"/>
    <row r="59480" customFormat="1" x14ac:dyDescent="0.25"/>
    <row r="59481" customFormat="1" x14ac:dyDescent="0.25"/>
    <row r="59482" customFormat="1" x14ac:dyDescent="0.25"/>
    <row r="59483" customFormat="1" x14ac:dyDescent="0.25"/>
    <row r="59484" customFormat="1" x14ac:dyDescent="0.25"/>
    <row r="59485" customFormat="1" x14ac:dyDescent="0.25"/>
    <row r="59486" customFormat="1" x14ac:dyDescent="0.25"/>
    <row r="59487" customFormat="1" x14ac:dyDescent="0.25"/>
    <row r="59488" customFormat="1" x14ac:dyDescent="0.25"/>
    <row r="59489" customFormat="1" x14ac:dyDescent="0.25"/>
    <row r="59490" customFormat="1" x14ac:dyDescent="0.25"/>
    <row r="59491" customFormat="1" x14ac:dyDescent="0.25"/>
    <row r="59492" customFormat="1" x14ac:dyDescent="0.25"/>
    <row r="59493" customFormat="1" x14ac:dyDescent="0.25"/>
    <row r="59494" customFormat="1" x14ac:dyDescent="0.25"/>
    <row r="59495" customFormat="1" x14ac:dyDescent="0.25"/>
    <row r="59496" customFormat="1" x14ac:dyDescent="0.25"/>
    <row r="59497" customFormat="1" x14ac:dyDescent="0.25"/>
    <row r="59498" customFormat="1" x14ac:dyDescent="0.25"/>
    <row r="59499" customFormat="1" x14ac:dyDescent="0.25"/>
    <row r="59500" customFormat="1" x14ac:dyDescent="0.25"/>
    <row r="59501" customFormat="1" x14ac:dyDescent="0.25"/>
    <row r="59502" customFormat="1" x14ac:dyDescent="0.25"/>
    <row r="59503" customFormat="1" x14ac:dyDescent="0.25"/>
    <row r="59504" customFormat="1" x14ac:dyDescent="0.25"/>
    <row r="59505" customFormat="1" x14ac:dyDescent="0.25"/>
    <row r="59506" customFormat="1" x14ac:dyDescent="0.25"/>
    <row r="59507" customFormat="1" x14ac:dyDescent="0.25"/>
    <row r="59508" customFormat="1" x14ac:dyDescent="0.25"/>
    <row r="59509" customFormat="1" x14ac:dyDescent="0.25"/>
    <row r="59510" customFormat="1" x14ac:dyDescent="0.25"/>
    <row r="59511" customFormat="1" x14ac:dyDescent="0.25"/>
    <row r="59512" customFormat="1" x14ac:dyDescent="0.25"/>
    <row r="59513" customFormat="1" x14ac:dyDescent="0.25"/>
    <row r="59514" customFormat="1" x14ac:dyDescent="0.25"/>
    <row r="59515" customFormat="1" x14ac:dyDescent="0.25"/>
    <row r="59516" customFormat="1" x14ac:dyDescent="0.25"/>
    <row r="59517" customFormat="1" x14ac:dyDescent="0.25"/>
    <row r="59518" customFormat="1" x14ac:dyDescent="0.25"/>
    <row r="59519" customFormat="1" x14ac:dyDescent="0.25"/>
    <row r="59520" customFormat="1" x14ac:dyDescent="0.25"/>
    <row r="59521" customFormat="1" x14ac:dyDescent="0.25"/>
    <row r="59522" customFormat="1" x14ac:dyDescent="0.25"/>
    <row r="59523" customFormat="1" x14ac:dyDescent="0.25"/>
    <row r="59524" customFormat="1" x14ac:dyDescent="0.25"/>
    <row r="59525" customFormat="1" x14ac:dyDescent="0.25"/>
    <row r="59526" customFormat="1" x14ac:dyDescent="0.25"/>
    <row r="59527" customFormat="1" x14ac:dyDescent="0.25"/>
    <row r="59528" customFormat="1" x14ac:dyDescent="0.25"/>
    <row r="59529" customFormat="1" x14ac:dyDescent="0.25"/>
    <row r="59530" customFormat="1" x14ac:dyDescent="0.25"/>
    <row r="59531" customFormat="1" x14ac:dyDescent="0.25"/>
    <row r="59532" customFormat="1" x14ac:dyDescent="0.25"/>
    <row r="59533" customFormat="1" x14ac:dyDescent="0.25"/>
    <row r="59534" customFormat="1" x14ac:dyDescent="0.25"/>
    <row r="59535" customFormat="1" x14ac:dyDescent="0.25"/>
    <row r="59536" customFormat="1" x14ac:dyDescent="0.25"/>
    <row r="59537" customFormat="1" x14ac:dyDescent="0.25"/>
    <row r="59538" customFormat="1" x14ac:dyDescent="0.25"/>
    <row r="59539" customFormat="1" x14ac:dyDescent="0.25"/>
    <row r="59540" customFormat="1" x14ac:dyDescent="0.25"/>
    <row r="59541" customFormat="1" x14ac:dyDescent="0.25"/>
    <row r="59542" customFormat="1" x14ac:dyDescent="0.25"/>
    <row r="59543" customFormat="1" x14ac:dyDescent="0.25"/>
    <row r="59544" customFormat="1" x14ac:dyDescent="0.25"/>
    <row r="59545" customFormat="1" x14ac:dyDescent="0.25"/>
    <row r="59546" customFormat="1" x14ac:dyDescent="0.25"/>
    <row r="59547" customFormat="1" x14ac:dyDescent="0.25"/>
    <row r="59548" customFormat="1" x14ac:dyDescent="0.25"/>
    <row r="59549" customFormat="1" x14ac:dyDescent="0.25"/>
    <row r="59550" customFormat="1" x14ac:dyDescent="0.25"/>
    <row r="59551" customFormat="1" x14ac:dyDescent="0.25"/>
    <row r="59552" customFormat="1" x14ac:dyDescent="0.25"/>
    <row r="59553" customFormat="1" x14ac:dyDescent="0.25"/>
    <row r="59554" customFormat="1" x14ac:dyDescent="0.25"/>
    <row r="59555" customFormat="1" x14ac:dyDescent="0.25"/>
    <row r="59556" customFormat="1" x14ac:dyDescent="0.25"/>
    <row r="59557" customFormat="1" x14ac:dyDescent="0.25"/>
    <row r="59558" customFormat="1" x14ac:dyDescent="0.25"/>
    <row r="59559" customFormat="1" x14ac:dyDescent="0.25"/>
    <row r="59560" customFormat="1" x14ac:dyDescent="0.25"/>
    <row r="59561" customFormat="1" x14ac:dyDescent="0.25"/>
    <row r="59562" customFormat="1" x14ac:dyDescent="0.25"/>
    <row r="59563" customFormat="1" x14ac:dyDescent="0.25"/>
    <row r="59564" customFormat="1" x14ac:dyDescent="0.25"/>
    <row r="59565" customFormat="1" x14ac:dyDescent="0.25"/>
    <row r="59566" customFormat="1" x14ac:dyDescent="0.25"/>
    <row r="59567" customFormat="1" x14ac:dyDescent="0.25"/>
    <row r="59568" customFormat="1" x14ac:dyDescent="0.25"/>
    <row r="59569" customFormat="1" x14ac:dyDescent="0.25"/>
    <row r="59570" customFormat="1" x14ac:dyDescent="0.25"/>
    <row r="59571" customFormat="1" x14ac:dyDescent="0.25"/>
    <row r="59572" customFormat="1" x14ac:dyDescent="0.25"/>
    <row r="59573" customFormat="1" x14ac:dyDescent="0.25"/>
    <row r="59574" customFormat="1" x14ac:dyDescent="0.25"/>
    <row r="59575" customFormat="1" x14ac:dyDescent="0.25"/>
    <row r="59576" customFormat="1" x14ac:dyDescent="0.25"/>
    <row r="59577" customFormat="1" x14ac:dyDescent="0.25"/>
    <row r="59578" customFormat="1" x14ac:dyDescent="0.25"/>
    <row r="59579" customFormat="1" x14ac:dyDescent="0.25"/>
    <row r="59580" customFormat="1" x14ac:dyDescent="0.25"/>
    <row r="59581" customFormat="1" x14ac:dyDescent="0.25"/>
    <row r="59582" customFormat="1" x14ac:dyDescent="0.25"/>
    <row r="59583" customFormat="1" x14ac:dyDescent="0.25"/>
    <row r="59584" customFormat="1" x14ac:dyDescent="0.25"/>
    <row r="59585" customFormat="1" x14ac:dyDescent="0.25"/>
    <row r="59586" customFormat="1" x14ac:dyDescent="0.25"/>
    <row r="59587" customFormat="1" x14ac:dyDescent="0.25"/>
    <row r="59588" customFormat="1" x14ac:dyDescent="0.25"/>
    <row r="59589" customFormat="1" x14ac:dyDescent="0.25"/>
    <row r="59590" customFormat="1" x14ac:dyDescent="0.25"/>
    <row r="59591" customFormat="1" x14ac:dyDescent="0.25"/>
    <row r="59592" customFormat="1" x14ac:dyDescent="0.25"/>
    <row r="59593" customFormat="1" x14ac:dyDescent="0.25"/>
    <row r="59594" customFormat="1" x14ac:dyDescent="0.25"/>
    <row r="59595" customFormat="1" x14ac:dyDescent="0.25"/>
    <row r="59596" customFormat="1" x14ac:dyDescent="0.25"/>
    <row r="59597" customFormat="1" x14ac:dyDescent="0.25"/>
    <row r="59598" customFormat="1" x14ac:dyDescent="0.25"/>
    <row r="59599" customFormat="1" x14ac:dyDescent="0.25"/>
    <row r="59600" customFormat="1" x14ac:dyDescent="0.25"/>
    <row r="59601" customFormat="1" x14ac:dyDescent="0.25"/>
    <row r="59602" customFormat="1" x14ac:dyDescent="0.25"/>
    <row r="59603" customFormat="1" x14ac:dyDescent="0.25"/>
    <row r="59604" customFormat="1" x14ac:dyDescent="0.25"/>
    <row r="59605" customFormat="1" x14ac:dyDescent="0.25"/>
    <row r="59606" customFormat="1" x14ac:dyDescent="0.25"/>
    <row r="59607" customFormat="1" x14ac:dyDescent="0.25"/>
    <row r="59608" customFormat="1" x14ac:dyDescent="0.25"/>
    <row r="59609" customFormat="1" x14ac:dyDescent="0.25"/>
    <row r="59610" customFormat="1" x14ac:dyDescent="0.25"/>
    <row r="59611" customFormat="1" x14ac:dyDescent="0.25"/>
    <row r="59612" customFormat="1" x14ac:dyDescent="0.25"/>
    <row r="59613" customFormat="1" x14ac:dyDescent="0.25"/>
    <row r="59614" customFormat="1" x14ac:dyDescent="0.25"/>
    <row r="59615" customFormat="1" x14ac:dyDescent="0.25"/>
    <row r="59616" customFormat="1" x14ac:dyDescent="0.25"/>
    <row r="59617" customFormat="1" x14ac:dyDescent="0.25"/>
    <row r="59618" customFormat="1" x14ac:dyDescent="0.25"/>
    <row r="59619" customFormat="1" x14ac:dyDescent="0.25"/>
    <row r="59620" customFormat="1" x14ac:dyDescent="0.25"/>
    <row r="59621" customFormat="1" x14ac:dyDescent="0.25"/>
    <row r="59622" customFormat="1" x14ac:dyDescent="0.25"/>
    <row r="59623" customFormat="1" x14ac:dyDescent="0.25"/>
    <row r="59624" customFormat="1" x14ac:dyDescent="0.25"/>
    <row r="59625" customFormat="1" x14ac:dyDescent="0.25"/>
    <row r="59626" customFormat="1" x14ac:dyDescent="0.25"/>
    <row r="59627" customFormat="1" x14ac:dyDescent="0.25"/>
    <row r="59628" customFormat="1" x14ac:dyDescent="0.25"/>
    <row r="59629" customFormat="1" x14ac:dyDescent="0.25"/>
    <row r="59630" customFormat="1" x14ac:dyDescent="0.25"/>
    <row r="59631" customFormat="1" x14ac:dyDescent="0.25"/>
    <row r="59632" customFormat="1" x14ac:dyDescent="0.25"/>
    <row r="59633" customFormat="1" x14ac:dyDescent="0.25"/>
    <row r="59634" customFormat="1" x14ac:dyDescent="0.25"/>
    <row r="59635" customFormat="1" x14ac:dyDescent="0.25"/>
    <row r="59636" customFormat="1" x14ac:dyDescent="0.25"/>
    <row r="59637" customFormat="1" x14ac:dyDescent="0.25"/>
    <row r="59638" customFormat="1" x14ac:dyDescent="0.25"/>
    <row r="59639" customFormat="1" x14ac:dyDescent="0.25"/>
    <row r="59640" customFormat="1" x14ac:dyDescent="0.25"/>
    <row r="59641" customFormat="1" x14ac:dyDescent="0.25"/>
    <row r="59642" customFormat="1" x14ac:dyDescent="0.25"/>
    <row r="59643" customFormat="1" x14ac:dyDescent="0.25"/>
    <row r="59644" customFormat="1" x14ac:dyDescent="0.25"/>
    <row r="59645" customFormat="1" x14ac:dyDescent="0.25"/>
    <row r="59646" customFormat="1" x14ac:dyDescent="0.25"/>
    <row r="59647" customFormat="1" x14ac:dyDescent="0.25"/>
    <row r="59648" customFormat="1" x14ac:dyDescent="0.25"/>
    <row r="59649" customFormat="1" x14ac:dyDescent="0.25"/>
    <row r="59650" customFormat="1" x14ac:dyDescent="0.25"/>
    <row r="59651" customFormat="1" x14ac:dyDescent="0.25"/>
    <row r="59652" customFormat="1" x14ac:dyDescent="0.25"/>
    <row r="59653" customFormat="1" x14ac:dyDescent="0.25"/>
    <row r="59654" customFormat="1" x14ac:dyDescent="0.25"/>
    <row r="59655" customFormat="1" x14ac:dyDescent="0.25"/>
    <row r="59656" customFormat="1" x14ac:dyDescent="0.25"/>
    <row r="59657" customFormat="1" x14ac:dyDescent="0.25"/>
    <row r="59658" customFormat="1" x14ac:dyDescent="0.25"/>
    <row r="59659" customFormat="1" x14ac:dyDescent="0.25"/>
    <row r="59660" customFormat="1" x14ac:dyDescent="0.25"/>
    <row r="59661" customFormat="1" x14ac:dyDescent="0.25"/>
    <row r="59662" customFormat="1" x14ac:dyDescent="0.25"/>
    <row r="59663" customFormat="1" x14ac:dyDescent="0.25"/>
    <row r="59664" customFormat="1" x14ac:dyDescent="0.25"/>
    <row r="59665" customFormat="1" x14ac:dyDescent="0.25"/>
    <row r="59666" customFormat="1" x14ac:dyDescent="0.25"/>
    <row r="59667" customFormat="1" x14ac:dyDescent="0.25"/>
    <row r="59668" customFormat="1" x14ac:dyDescent="0.25"/>
    <row r="59669" customFormat="1" x14ac:dyDescent="0.25"/>
    <row r="59670" customFormat="1" x14ac:dyDescent="0.25"/>
    <row r="59671" customFormat="1" x14ac:dyDescent="0.25"/>
    <row r="59672" customFormat="1" x14ac:dyDescent="0.25"/>
    <row r="59673" customFormat="1" x14ac:dyDescent="0.25"/>
    <row r="59674" customFormat="1" x14ac:dyDescent="0.25"/>
    <row r="59675" customFormat="1" x14ac:dyDescent="0.25"/>
    <row r="59676" customFormat="1" x14ac:dyDescent="0.25"/>
    <row r="59677" customFormat="1" x14ac:dyDescent="0.25"/>
    <row r="59678" customFormat="1" x14ac:dyDescent="0.25"/>
    <row r="59679" customFormat="1" x14ac:dyDescent="0.25"/>
    <row r="59680" customFormat="1" x14ac:dyDescent="0.25"/>
    <row r="59681" customFormat="1" x14ac:dyDescent="0.25"/>
    <row r="59682" customFormat="1" x14ac:dyDescent="0.25"/>
    <row r="59683" customFormat="1" x14ac:dyDescent="0.25"/>
    <row r="59684" customFormat="1" x14ac:dyDescent="0.25"/>
    <row r="59685" customFormat="1" x14ac:dyDescent="0.25"/>
    <row r="59686" customFormat="1" x14ac:dyDescent="0.25"/>
    <row r="59687" customFormat="1" x14ac:dyDescent="0.25"/>
    <row r="59688" customFormat="1" x14ac:dyDescent="0.25"/>
    <row r="59689" customFormat="1" x14ac:dyDescent="0.25"/>
    <row r="59690" customFormat="1" x14ac:dyDescent="0.25"/>
    <row r="59691" customFormat="1" x14ac:dyDescent="0.25"/>
    <row r="59692" customFormat="1" x14ac:dyDescent="0.25"/>
    <row r="59693" customFormat="1" x14ac:dyDescent="0.25"/>
    <row r="59694" customFormat="1" x14ac:dyDescent="0.25"/>
    <row r="59695" customFormat="1" x14ac:dyDescent="0.25"/>
    <row r="59696" customFormat="1" x14ac:dyDescent="0.25"/>
    <row r="59697" customFormat="1" x14ac:dyDescent="0.25"/>
    <row r="59698" customFormat="1" x14ac:dyDescent="0.25"/>
    <row r="59699" customFormat="1" x14ac:dyDescent="0.25"/>
    <row r="59700" customFormat="1" x14ac:dyDescent="0.25"/>
    <row r="59701" customFormat="1" x14ac:dyDescent="0.25"/>
    <row r="59702" customFormat="1" x14ac:dyDescent="0.25"/>
    <row r="59703" customFormat="1" x14ac:dyDescent="0.25"/>
    <row r="59704" customFormat="1" x14ac:dyDescent="0.25"/>
    <row r="59705" customFormat="1" x14ac:dyDescent="0.25"/>
    <row r="59706" customFormat="1" x14ac:dyDescent="0.25"/>
    <row r="59707" customFormat="1" x14ac:dyDescent="0.25"/>
    <row r="59708" customFormat="1" x14ac:dyDescent="0.25"/>
    <row r="59709" customFormat="1" x14ac:dyDescent="0.25"/>
    <row r="59710" customFormat="1" x14ac:dyDescent="0.25"/>
    <row r="59711" customFormat="1" x14ac:dyDescent="0.25"/>
    <row r="59712" customFormat="1" x14ac:dyDescent="0.25"/>
    <row r="59713" customFormat="1" x14ac:dyDescent="0.25"/>
    <row r="59714" customFormat="1" x14ac:dyDescent="0.25"/>
    <row r="59715" customFormat="1" x14ac:dyDescent="0.25"/>
    <row r="59716" customFormat="1" x14ac:dyDescent="0.25"/>
    <row r="59717" customFormat="1" x14ac:dyDescent="0.25"/>
    <row r="59718" customFormat="1" x14ac:dyDescent="0.25"/>
    <row r="59719" customFormat="1" x14ac:dyDescent="0.25"/>
    <row r="59720" customFormat="1" x14ac:dyDescent="0.25"/>
    <row r="59721" customFormat="1" x14ac:dyDescent="0.25"/>
    <row r="59722" customFormat="1" x14ac:dyDescent="0.25"/>
    <row r="59723" customFormat="1" x14ac:dyDescent="0.25"/>
    <row r="59724" customFormat="1" x14ac:dyDescent="0.25"/>
    <row r="59725" customFormat="1" x14ac:dyDescent="0.25"/>
    <row r="59726" customFormat="1" x14ac:dyDescent="0.25"/>
    <row r="59727" customFormat="1" x14ac:dyDescent="0.25"/>
    <row r="59728" customFormat="1" x14ac:dyDescent="0.25"/>
    <row r="59729" customFormat="1" x14ac:dyDescent="0.25"/>
    <row r="59730" customFormat="1" x14ac:dyDescent="0.25"/>
    <row r="59731" customFormat="1" x14ac:dyDescent="0.25"/>
    <row r="59732" customFormat="1" x14ac:dyDescent="0.25"/>
    <row r="59733" customFormat="1" x14ac:dyDescent="0.25"/>
    <row r="59734" customFormat="1" x14ac:dyDescent="0.25"/>
    <row r="59735" customFormat="1" x14ac:dyDescent="0.25"/>
    <row r="59736" customFormat="1" x14ac:dyDescent="0.25"/>
    <row r="59737" customFormat="1" x14ac:dyDescent="0.25"/>
    <row r="59738" customFormat="1" x14ac:dyDescent="0.25"/>
    <row r="59739" customFormat="1" x14ac:dyDescent="0.25"/>
    <row r="59740" customFormat="1" x14ac:dyDescent="0.25"/>
    <row r="59741" customFormat="1" x14ac:dyDescent="0.25"/>
    <row r="59742" customFormat="1" x14ac:dyDescent="0.25"/>
    <row r="59743" customFormat="1" x14ac:dyDescent="0.25"/>
    <row r="59744" customFormat="1" x14ac:dyDescent="0.25"/>
    <row r="59745" customFormat="1" x14ac:dyDescent="0.25"/>
    <row r="59746" customFormat="1" x14ac:dyDescent="0.25"/>
    <row r="59747" customFormat="1" x14ac:dyDescent="0.25"/>
    <row r="59748" customFormat="1" x14ac:dyDescent="0.25"/>
    <row r="59749" customFormat="1" x14ac:dyDescent="0.25"/>
    <row r="59750" customFormat="1" x14ac:dyDescent="0.25"/>
    <row r="59751" customFormat="1" x14ac:dyDescent="0.25"/>
    <row r="59752" customFormat="1" x14ac:dyDescent="0.25"/>
    <row r="59753" customFormat="1" x14ac:dyDescent="0.25"/>
    <row r="59754" customFormat="1" x14ac:dyDescent="0.25"/>
    <row r="59755" customFormat="1" x14ac:dyDescent="0.25"/>
    <row r="59756" customFormat="1" x14ac:dyDescent="0.25"/>
    <row r="59757" customFormat="1" x14ac:dyDescent="0.25"/>
    <row r="59758" customFormat="1" x14ac:dyDescent="0.25"/>
    <row r="59759" customFormat="1" x14ac:dyDescent="0.25"/>
    <row r="59760" customFormat="1" x14ac:dyDescent="0.25"/>
    <row r="59761" customFormat="1" x14ac:dyDescent="0.25"/>
    <row r="59762" customFormat="1" x14ac:dyDescent="0.25"/>
    <row r="59763" customFormat="1" x14ac:dyDescent="0.25"/>
    <row r="59764" customFormat="1" x14ac:dyDescent="0.25"/>
    <row r="59765" customFormat="1" x14ac:dyDescent="0.25"/>
    <row r="59766" customFormat="1" x14ac:dyDescent="0.25"/>
    <row r="59767" customFormat="1" x14ac:dyDescent="0.25"/>
    <row r="59768" customFormat="1" x14ac:dyDescent="0.25"/>
    <row r="59769" customFormat="1" x14ac:dyDescent="0.25"/>
    <row r="59770" customFormat="1" x14ac:dyDescent="0.25"/>
    <row r="59771" customFormat="1" x14ac:dyDescent="0.25"/>
    <row r="59772" customFormat="1" x14ac:dyDescent="0.25"/>
    <row r="59773" customFormat="1" x14ac:dyDescent="0.25"/>
    <row r="59774" customFormat="1" x14ac:dyDescent="0.25"/>
    <row r="59775" customFormat="1" x14ac:dyDescent="0.25"/>
    <row r="59776" customFormat="1" x14ac:dyDescent="0.25"/>
    <row r="59777" customFormat="1" x14ac:dyDescent="0.25"/>
    <row r="59778" customFormat="1" x14ac:dyDescent="0.25"/>
    <row r="59779" customFormat="1" x14ac:dyDescent="0.25"/>
    <row r="59780" customFormat="1" x14ac:dyDescent="0.25"/>
    <row r="59781" customFormat="1" x14ac:dyDescent="0.25"/>
    <row r="59782" customFormat="1" x14ac:dyDescent="0.25"/>
    <row r="59783" customFormat="1" x14ac:dyDescent="0.25"/>
    <row r="59784" customFormat="1" x14ac:dyDescent="0.25"/>
    <row r="59785" customFormat="1" x14ac:dyDescent="0.25"/>
    <row r="59786" customFormat="1" x14ac:dyDescent="0.25"/>
    <row r="59787" customFormat="1" x14ac:dyDescent="0.25"/>
    <row r="59788" customFormat="1" x14ac:dyDescent="0.25"/>
    <row r="59789" customFormat="1" x14ac:dyDescent="0.25"/>
    <row r="59790" customFormat="1" x14ac:dyDescent="0.25"/>
    <row r="59791" customFormat="1" x14ac:dyDescent="0.25"/>
    <row r="59792" customFormat="1" x14ac:dyDescent="0.25"/>
    <row r="59793" customFormat="1" x14ac:dyDescent="0.25"/>
    <row r="59794" customFormat="1" x14ac:dyDescent="0.25"/>
    <row r="59795" customFormat="1" x14ac:dyDescent="0.25"/>
    <row r="59796" customFormat="1" x14ac:dyDescent="0.25"/>
    <row r="59797" customFormat="1" x14ac:dyDescent="0.25"/>
    <row r="59798" customFormat="1" x14ac:dyDescent="0.25"/>
    <row r="59799" customFormat="1" x14ac:dyDescent="0.25"/>
    <row r="59800" customFormat="1" x14ac:dyDescent="0.25"/>
    <row r="59801" customFormat="1" x14ac:dyDescent="0.25"/>
    <row r="59802" customFormat="1" x14ac:dyDescent="0.25"/>
    <row r="59803" customFormat="1" x14ac:dyDescent="0.25"/>
    <row r="59804" customFormat="1" x14ac:dyDescent="0.25"/>
    <row r="59805" customFormat="1" x14ac:dyDescent="0.25"/>
    <row r="59806" customFormat="1" x14ac:dyDescent="0.25"/>
    <row r="59807" customFormat="1" x14ac:dyDescent="0.25"/>
    <row r="59808" customFormat="1" x14ac:dyDescent="0.25"/>
    <row r="59809" customFormat="1" x14ac:dyDescent="0.25"/>
    <row r="59810" customFormat="1" x14ac:dyDescent="0.25"/>
    <row r="59811" customFormat="1" x14ac:dyDescent="0.25"/>
    <row r="59812" customFormat="1" x14ac:dyDescent="0.25"/>
    <row r="59813" customFormat="1" x14ac:dyDescent="0.25"/>
    <row r="59814" customFormat="1" x14ac:dyDescent="0.25"/>
    <row r="59815" customFormat="1" x14ac:dyDescent="0.25"/>
    <row r="59816" customFormat="1" x14ac:dyDescent="0.25"/>
    <row r="59817" customFormat="1" x14ac:dyDescent="0.25"/>
    <row r="59818" customFormat="1" x14ac:dyDescent="0.25"/>
    <row r="59819" customFormat="1" x14ac:dyDescent="0.25"/>
    <row r="59820" customFormat="1" x14ac:dyDescent="0.25"/>
    <row r="59821" customFormat="1" x14ac:dyDescent="0.25"/>
    <row r="59822" customFormat="1" x14ac:dyDescent="0.25"/>
    <row r="59823" customFormat="1" x14ac:dyDescent="0.25"/>
    <row r="59824" customFormat="1" x14ac:dyDescent="0.25"/>
    <row r="59825" customFormat="1" x14ac:dyDescent="0.25"/>
    <row r="59826" customFormat="1" x14ac:dyDescent="0.25"/>
    <row r="59827" customFormat="1" x14ac:dyDescent="0.25"/>
    <row r="59828" customFormat="1" x14ac:dyDescent="0.25"/>
    <row r="59829" customFormat="1" x14ac:dyDescent="0.25"/>
    <row r="59830" customFormat="1" x14ac:dyDescent="0.25"/>
    <row r="59831" customFormat="1" x14ac:dyDescent="0.25"/>
    <row r="59832" customFormat="1" x14ac:dyDescent="0.25"/>
    <row r="59833" customFormat="1" x14ac:dyDescent="0.25"/>
    <row r="59834" customFormat="1" x14ac:dyDescent="0.25"/>
    <row r="59835" customFormat="1" x14ac:dyDescent="0.25"/>
    <row r="59836" customFormat="1" x14ac:dyDescent="0.25"/>
    <row r="59837" customFormat="1" x14ac:dyDescent="0.25"/>
    <row r="59838" customFormat="1" x14ac:dyDescent="0.25"/>
    <row r="59839" customFormat="1" x14ac:dyDescent="0.25"/>
    <row r="59840" customFormat="1" x14ac:dyDescent="0.25"/>
    <row r="59841" customFormat="1" x14ac:dyDescent="0.25"/>
    <row r="59842" customFormat="1" x14ac:dyDescent="0.25"/>
    <row r="59843" customFormat="1" x14ac:dyDescent="0.25"/>
    <row r="59844" customFormat="1" x14ac:dyDescent="0.25"/>
    <row r="59845" customFormat="1" x14ac:dyDescent="0.25"/>
    <row r="59846" customFormat="1" x14ac:dyDescent="0.25"/>
    <row r="59847" customFormat="1" x14ac:dyDescent="0.25"/>
    <row r="59848" customFormat="1" x14ac:dyDescent="0.25"/>
    <row r="59849" customFormat="1" x14ac:dyDescent="0.25"/>
    <row r="59850" customFormat="1" x14ac:dyDescent="0.25"/>
    <row r="59851" customFormat="1" x14ac:dyDescent="0.25"/>
    <row r="59852" customFormat="1" x14ac:dyDescent="0.25"/>
    <row r="59853" customFormat="1" x14ac:dyDescent="0.25"/>
    <row r="59854" customFormat="1" x14ac:dyDescent="0.25"/>
    <row r="59855" customFormat="1" x14ac:dyDescent="0.25"/>
    <row r="59856" customFormat="1" x14ac:dyDescent="0.25"/>
    <row r="59857" customFormat="1" x14ac:dyDescent="0.25"/>
    <row r="59858" customFormat="1" x14ac:dyDescent="0.25"/>
    <row r="59859" customFormat="1" x14ac:dyDescent="0.25"/>
    <row r="59860" customFormat="1" x14ac:dyDescent="0.25"/>
    <row r="59861" customFormat="1" x14ac:dyDescent="0.25"/>
    <row r="59862" customFormat="1" x14ac:dyDescent="0.25"/>
    <row r="59863" customFormat="1" x14ac:dyDescent="0.25"/>
    <row r="59864" customFormat="1" x14ac:dyDescent="0.25"/>
    <row r="59865" customFormat="1" x14ac:dyDescent="0.25"/>
    <row r="59866" customFormat="1" x14ac:dyDescent="0.25"/>
    <row r="59867" customFormat="1" x14ac:dyDescent="0.25"/>
    <row r="59868" customFormat="1" x14ac:dyDescent="0.25"/>
    <row r="59869" customFormat="1" x14ac:dyDescent="0.25"/>
    <row r="59870" customFormat="1" x14ac:dyDescent="0.25"/>
    <row r="59871" customFormat="1" x14ac:dyDescent="0.25"/>
    <row r="59872" customFormat="1" x14ac:dyDescent="0.25"/>
    <row r="59873" customFormat="1" x14ac:dyDescent="0.25"/>
    <row r="59874" customFormat="1" x14ac:dyDescent="0.25"/>
    <row r="59875" customFormat="1" x14ac:dyDescent="0.25"/>
    <row r="59876" customFormat="1" x14ac:dyDescent="0.25"/>
    <row r="59877" customFormat="1" x14ac:dyDescent="0.25"/>
    <row r="59878" customFormat="1" x14ac:dyDescent="0.25"/>
    <row r="59879" customFormat="1" x14ac:dyDescent="0.25"/>
    <row r="59880" customFormat="1" x14ac:dyDescent="0.25"/>
    <row r="59881" customFormat="1" x14ac:dyDescent="0.25"/>
    <row r="59882" customFormat="1" x14ac:dyDescent="0.25"/>
    <row r="59883" customFormat="1" x14ac:dyDescent="0.25"/>
    <row r="59884" customFormat="1" x14ac:dyDescent="0.25"/>
    <row r="59885" customFormat="1" x14ac:dyDescent="0.25"/>
    <row r="59886" customFormat="1" x14ac:dyDescent="0.25"/>
    <row r="59887" customFormat="1" x14ac:dyDescent="0.25"/>
    <row r="59888" customFormat="1" x14ac:dyDescent="0.25"/>
    <row r="59889" customFormat="1" x14ac:dyDescent="0.25"/>
    <row r="59890" customFormat="1" x14ac:dyDescent="0.25"/>
    <row r="59891" customFormat="1" x14ac:dyDescent="0.25"/>
    <row r="59892" customFormat="1" x14ac:dyDescent="0.25"/>
    <row r="59893" customFormat="1" x14ac:dyDescent="0.25"/>
    <row r="59894" customFormat="1" x14ac:dyDescent="0.25"/>
    <row r="59895" customFormat="1" x14ac:dyDescent="0.25"/>
    <row r="59896" customFormat="1" x14ac:dyDescent="0.25"/>
    <row r="59897" customFormat="1" x14ac:dyDescent="0.25"/>
    <row r="59898" customFormat="1" x14ac:dyDescent="0.25"/>
    <row r="59899" customFormat="1" x14ac:dyDescent="0.25"/>
    <row r="59900" customFormat="1" x14ac:dyDescent="0.25"/>
    <row r="59901" customFormat="1" x14ac:dyDescent="0.25"/>
    <row r="59902" customFormat="1" x14ac:dyDescent="0.25"/>
    <row r="59903" customFormat="1" x14ac:dyDescent="0.25"/>
    <row r="59904" customFormat="1" x14ac:dyDescent="0.25"/>
    <row r="59905" customFormat="1" x14ac:dyDescent="0.25"/>
    <row r="59906" customFormat="1" x14ac:dyDescent="0.25"/>
    <row r="59907" customFormat="1" x14ac:dyDescent="0.25"/>
    <row r="59908" customFormat="1" x14ac:dyDescent="0.25"/>
    <row r="59909" customFormat="1" x14ac:dyDescent="0.25"/>
    <row r="59910" customFormat="1" x14ac:dyDescent="0.25"/>
    <row r="59911" customFormat="1" x14ac:dyDescent="0.25"/>
    <row r="59912" customFormat="1" x14ac:dyDescent="0.25"/>
    <row r="59913" customFormat="1" x14ac:dyDescent="0.25"/>
    <row r="59914" customFormat="1" x14ac:dyDescent="0.25"/>
    <row r="59915" customFormat="1" x14ac:dyDescent="0.25"/>
    <row r="59916" customFormat="1" x14ac:dyDescent="0.25"/>
    <row r="59917" customFormat="1" x14ac:dyDescent="0.25"/>
    <row r="59918" customFormat="1" x14ac:dyDescent="0.25"/>
    <row r="59919" customFormat="1" x14ac:dyDescent="0.25"/>
    <row r="59920" customFormat="1" x14ac:dyDescent="0.25"/>
    <row r="59921" customFormat="1" x14ac:dyDescent="0.25"/>
    <row r="59922" customFormat="1" x14ac:dyDescent="0.25"/>
    <row r="59923" customFormat="1" x14ac:dyDescent="0.25"/>
    <row r="59924" customFormat="1" x14ac:dyDescent="0.25"/>
    <row r="59925" customFormat="1" x14ac:dyDescent="0.25"/>
    <row r="59926" customFormat="1" x14ac:dyDescent="0.25"/>
    <row r="59927" customFormat="1" x14ac:dyDescent="0.25"/>
    <row r="59928" customFormat="1" x14ac:dyDescent="0.25"/>
    <row r="59929" customFormat="1" x14ac:dyDescent="0.25"/>
    <row r="59930" customFormat="1" x14ac:dyDescent="0.25"/>
    <row r="59931" customFormat="1" x14ac:dyDescent="0.25"/>
    <row r="59932" customFormat="1" x14ac:dyDescent="0.25"/>
    <row r="59933" customFormat="1" x14ac:dyDescent="0.25"/>
    <row r="59934" customFormat="1" x14ac:dyDescent="0.25"/>
    <row r="59935" customFormat="1" x14ac:dyDescent="0.25"/>
    <row r="59936" customFormat="1" x14ac:dyDescent="0.25"/>
    <row r="59937" customFormat="1" x14ac:dyDescent="0.25"/>
    <row r="59938" customFormat="1" x14ac:dyDescent="0.25"/>
    <row r="59939" customFormat="1" x14ac:dyDescent="0.25"/>
    <row r="59940" customFormat="1" x14ac:dyDescent="0.25"/>
    <row r="59941" customFormat="1" x14ac:dyDescent="0.25"/>
    <row r="59942" customFormat="1" x14ac:dyDescent="0.25"/>
    <row r="59943" customFormat="1" x14ac:dyDescent="0.25"/>
    <row r="59944" customFormat="1" x14ac:dyDescent="0.25"/>
    <row r="59945" customFormat="1" x14ac:dyDescent="0.25"/>
    <row r="59946" customFormat="1" x14ac:dyDescent="0.25"/>
    <row r="59947" customFormat="1" x14ac:dyDescent="0.25"/>
    <row r="59948" customFormat="1" x14ac:dyDescent="0.25"/>
    <row r="59949" customFormat="1" x14ac:dyDescent="0.25"/>
    <row r="59950" customFormat="1" x14ac:dyDescent="0.25"/>
    <row r="59951" customFormat="1" x14ac:dyDescent="0.25"/>
    <row r="59952" customFormat="1" x14ac:dyDescent="0.25"/>
    <row r="59953" customFormat="1" x14ac:dyDescent="0.25"/>
    <row r="59954" customFormat="1" x14ac:dyDescent="0.25"/>
    <row r="59955" customFormat="1" x14ac:dyDescent="0.25"/>
    <row r="59956" customFormat="1" x14ac:dyDescent="0.25"/>
    <row r="59957" customFormat="1" x14ac:dyDescent="0.25"/>
    <row r="59958" customFormat="1" x14ac:dyDescent="0.25"/>
    <row r="59959" customFormat="1" x14ac:dyDescent="0.25"/>
    <row r="59960" customFormat="1" x14ac:dyDescent="0.25"/>
    <row r="59961" customFormat="1" x14ac:dyDescent="0.25"/>
    <row r="59962" customFormat="1" x14ac:dyDescent="0.25"/>
    <row r="59963" customFormat="1" x14ac:dyDescent="0.25"/>
    <row r="59964" customFormat="1" x14ac:dyDescent="0.25"/>
    <row r="59965" customFormat="1" x14ac:dyDescent="0.25"/>
    <row r="59966" customFormat="1" x14ac:dyDescent="0.25"/>
    <row r="59967" customFormat="1" x14ac:dyDescent="0.25"/>
    <row r="59968" customFormat="1" x14ac:dyDescent="0.25"/>
    <row r="59969" customFormat="1" x14ac:dyDescent="0.25"/>
    <row r="59970" customFormat="1" x14ac:dyDescent="0.25"/>
    <row r="59971" customFormat="1" x14ac:dyDescent="0.25"/>
    <row r="59972" customFormat="1" x14ac:dyDescent="0.25"/>
    <row r="59973" customFormat="1" x14ac:dyDescent="0.25"/>
    <row r="59974" customFormat="1" x14ac:dyDescent="0.25"/>
    <row r="59975" customFormat="1" x14ac:dyDescent="0.25"/>
    <row r="59976" customFormat="1" x14ac:dyDescent="0.25"/>
    <row r="59977" customFormat="1" x14ac:dyDescent="0.25"/>
    <row r="59978" customFormat="1" x14ac:dyDescent="0.25"/>
    <row r="59979" customFormat="1" x14ac:dyDescent="0.25"/>
    <row r="59980" customFormat="1" x14ac:dyDescent="0.25"/>
    <row r="59981" customFormat="1" x14ac:dyDescent="0.25"/>
    <row r="59982" customFormat="1" x14ac:dyDescent="0.25"/>
    <row r="59983" customFormat="1" x14ac:dyDescent="0.25"/>
    <row r="59984" customFormat="1" x14ac:dyDescent="0.25"/>
    <row r="59985" customFormat="1" x14ac:dyDescent="0.25"/>
    <row r="59986" customFormat="1" x14ac:dyDescent="0.25"/>
    <row r="59987" customFormat="1" x14ac:dyDescent="0.25"/>
    <row r="59988" customFormat="1" x14ac:dyDescent="0.25"/>
    <row r="59989" customFormat="1" x14ac:dyDescent="0.25"/>
    <row r="59990" customFormat="1" x14ac:dyDescent="0.25"/>
    <row r="59991" customFormat="1" x14ac:dyDescent="0.25"/>
    <row r="59992" customFormat="1" x14ac:dyDescent="0.25"/>
    <row r="59993" customFormat="1" x14ac:dyDescent="0.25"/>
    <row r="59994" customFormat="1" x14ac:dyDescent="0.25"/>
    <row r="59995" customFormat="1" x14ac:dyDescent="0.25"/>
    <row r="59996" customFormat="1" x14ac:dyDescent="0.25"/>
    <row r="59997" customFormat="1" x14ac:dyDescent="0.25"/>
    <row r="59998" customFormat="1" x14ac:dyDescent="0.25"/>
    <row r="59999" customFormat="1" x14ac:dyDescent="0.25"/>
    <row r="60000" customFormat="1" x14ac:dyDescent="0.25"/>
    <row r="60001" customFormat="1" x14ac:dyDescent="0.25"/>
    <row r="60002" customFormat="1" x14ac:dyDescent="0.25"/>
    <row r="60003" customFormat="1" x14ac:dyDescent="0.25"/>
    <row r="60004" customFormat="1" x14ac:dyDescent="0.25"/>
    <row r="60005" customFormat="1" x14ac:dyDescent="0.25"/>
    <row r="60006" customFormat="1" x14ac:dyDescent="0.25"/>
    <row r="60007" customFormat="1" x14ac:dyDescent="0.25"/>
    <row r="60008" customFormat="1" x14ac:dyDescent="0.25"/>
    <row r="60009" customFormat="1" x14ac:dyDescent="0.25"/>
    <row r="60010" customFormat="1" x14ac:dyDescent="0.25"/>
    <row r="60011" customFormat="1" x14ac:dyDescent="0.25"/>
    <row r="60012" customFormat="1" x14ac:dyDescent="0.25"/>
    <row r="60013" customFormat="1" x14ac:dyDescent="0.25"/>
    <row r="60014" customFormat="1" x14ac:dyDescent="0.25"/>
    <row r="60015" customFormat="1" x14ac:dyDescent="0.25"/>
    <row r="60016" customFormat="1" x14ac:dyDescent="0.25"/>
    <row r="60017" customFormat="1" x14ac:dyDescent="0.25"/>
    <row r="60018" customFormat="1" x14ac:dyDescent="0.25"/>
    <row r="60019" customFormat="1" x14ac:dyDescent="0.25"/>
    <row r="60020" customFormat="1" x14ac:dyDescent="0.25"/>
    <row r="60021" customFormat="1" x14ac:dyDescent="0.25"/>
    <row r="60022" customFormat="1" x14ac:dyDescent="0.25"/>
    <row r="60023" customFormat="1" x14ac:dyDescent="0.25"/>
    <row r="60024" customFormat="1" x14ac:dyDescent="0.25"/>
    <row r="60025" customFormat="1" x14ac:dyDescent="0.25"/>
    <row r="60026" customFormat="1" x14ac:dyDescent="0.25"/>
    <row r="60027" customFormat="1" x14ac:dyDescent="0.25"/>
    <row r="60028" customFormat="1" x14ac:dyDescent="0.25"/>
    <row r="60029" customFormat="1" x14ac:dyDescent="0.25"/>
    <row r="60030" customFormat="1" x14ac:dyDescent="0.25"/>
    <row r="60031" customFormat="1" x14ac:dyDescent="0.25"/>
    <row r="60032" customFormat="1" x14ac:dyDescent="0.25"/>
    <row r="60033" customFormat="1" x14ac:dyDescent="0.25"/>
    <row r="60034" customFormat="1" x14ac:dyDescent="0.25"/>
    <row r="60035" customFormat="1" x14ac:dyDescent="0.25"/>
    <row r="60036" customFormat="1" x14ac:dyDescent="0.25"/>
    <row r="60037" customFormat="1" x14ac:dyDescent="0.25"/>
    <row r="60038" customFormat="1" x14ac:dyDescent="0.25"/>
    <row r="60039" customFormat="1" x14ac:dyDescent="0.25"/>
    <row r="60040" customFormat="1" x14ac:dyDescent="0.25"/>
    <row r="60041" customFormat="1" x14ac:dyDescent="0.25"/>
    <row r="60042" customFormat="1" x14ac:dyDescent="0.25"/>
    <row r="60043" customFormat="1" x14ac:dyDescent="0.25"/>
    <row r="60044" customFormat="1" x14ac:dyDescent="0.25"/>
    <row r="60045" customFormat="1" x14ac:dyDescent="0.25"/>
    <row r="60046" customFormat="1" x14ac:dyDescent="0.25"/>
    <row r="60047" customFormat="1" x14ac:dyDescent="0.25"/>
    <row r="60048" customFormat="1" x14ac:dyDescent="0.25"/>
    <row r="60049" customFormat="1" x14ac:dyDescent="0.25"/>
    <row r="60050" customFormat="1" x14ac:dyDescent="0.25"/>
    <row r="60051" customFormat="1" x14ac:dyDescent="0.25"/>
    <row r="60052" customFormat="1" x14ac:dyDescent="0.25"/>
    <row r="60053" customFormat="1" x14ac:dyDescent="0.25"/>
    <row r="60054" customFormat="1" x14ac:dyDescent="0.25"/>
    <row r="60055" customFormat="1" x14ac:dyDescent="0.25"/>
    <row r="60056" customFormat="1" x14ac:dyDescent="0.25"/>
    <row r="60057" customFormat="1" x14ac:dyDescent="0.25"/>
    <row r="60058" customFormat="1" x14ac:dyDescent="0.25"/>
    <row r="60059" customFormat="1" x14ac:dyDescent="0.25"/>
    <row r="60060" customFormat="1" x14ac:dyDescent="0.25"/>
    <row r="60061" customFormat="1" x14ac:dyDescent="0.25"/>
    <row r="60062" customFormat="1" x14ac:dyDescent="0.25"/>
    <row r="60063" customFormat="1" x14ac:dyDescent="0.25"/>
    <row r="60064" customFormat="1" x14ac:dyDescent="0.25"/>
    <row r="60065" customFormat="1" x14ac:dyDescent="0.25"/>
    <row r="60066" customFormat="1" x14ac:dyDescent="0.25"/>
    <row r="60067" customFormat="1" x14ac:dyDescent="0.25"/>
    <row r="60068" customFormat="1" x14ac:dyDescent="0.25"/>
    <row r="60069" customFormat="1" x14ac:dyDescent="0.25"/>
    <row r="60070" customFormat="1" x14ac:dyDescent="0.25"/>
    <row r="60071" customFormat="1" x14ac:dyDescent="0.25"/>
    <row r="60072" customFormat="1" x14ac:dyDescent="0.25"/>
    <row r="60073" customFormat="1" x14ac:dyDescent="0.25"/>
    <row r="60074" customFormat="1" x14ac:dyDescent="0.25"/>
    <row r="60075" customFormat="1" x14ac:dyDescent="0.25"/>
    <row r="60076" customFormat="1" x14ac:dyDescent="0.25"/>
    <row r="60077" customFormat="1" x14ac:dyDescent="0.25"/>
    <row r="60078" customFormat="1" x14ac:dyDescent="0.25"/>
    <row r="60079" customFormat="1" x14ac:dyDescent="0.25"/>
    <row r="60080" customFormat="1" x14ac:dyDescent="0.25"/>
    <row r="60081" customFormat="1" x14ac:dyDescent="0.25"/>
    <row r="60082" customFormat="1" x14ac:dyDescent="0.25"/>
    <row r="60083" customFormat="1" x14ac:dyDescent="0.25"/>
    <row r="60084" customFormat="1" x14ac:dyDescent="0.25"/>
    <row r="60085" customFormat="1" x14ac:dyDescent="0.25"/>
    <row r="60086" customFormat="1" x14ac:dyDescent="0.25"/>
    <row r="60087" customFormat="1" x14ac:dyDescent="0.25"/>
    <row r="60088" customFormat="1" x14ac:dyDescent="0.25"/>
    <row r="60089" customFormat="1" x14ac:dyDescent="0.25"/>
    <row r="60090" customFormat="1" x14ac:dyDescent="0.25"/>
    <row r="60091" customFormat="1" x14ac:dyDescent="0.25"/>
    <row r="60092" customFormat="1" x14ac:dyDescent="0.25"/>
    <row r="60093" customFormat="1" x14ac:dyDescent="0.25"/>
    <row r="60094" customFormat="1" x14ac:dyDescent="0.25"/>
    <row r="60095" customFormat="1" x14ac:dyDescent="0.25"/>
    <row r="60096" customFormat="1" x14ac:dyDescent="0.25"/>
    <row r="60097" customFormat="1" x14ac:dyDescent="0.25"/>
    <row r="60098" customFormat="1" x14ac:dyDescent="0.25"/>
    <row r="60099" customFormat="1" x14ac:dyDescent="0.25"/>
    <row r="60100" customFormat="1" x14ac:dyDescent="0.25"/>
    <row r="60101" customFormat="1" x14ac:dyDescent="0.25"/>
    <row r="60102" customFormat="1" x14ac:dyDescent="0.25"/>
    <row r="60103" customFormat="1" x14ac:dyDescent="0.25"/>
    <row r="60104" customFormat="1" x14ac:dyDescent="0.25"/>
    <row r="60105" customFormat="1" x14ac:dyDescent="0.25"/>
    <row r="60106" customFormat="1" x14ac:dyDescent="0.25"/>
    <row r="60107" customFormat="1" x14ac:dyDescent="0.25"/>
    <row r="60108" customFormat="1" x14ac:dyDescent="0.25"/>
    <row r="60109" customFormat="1" x14ac:dyDescent="0.25"/>
    <row r="60110" customFormat="1" x14ac:dyDescent="0.25"/>
    <row r="60111" customFormat="1" x14ac:dyDescent="0.25"/>
    <row r="60112" customFormat="1" x14ac:dyDescent="0.25"/>
    <row r="60113" customFormat="1" x14ac:dyDescent="0.25"/>
    <row r="60114" customFormat="1" x14ac:dyDescent="0.25"/>
    <row r="60115" customFormat="1" x14ac:dyDescent="0.25"/>
    <row r="60116" customFormat="1" x14ac:dyDescent="0.25"/>
    <row r="60117" customFormat="1" x14ac:dyDescent="0.25"/>
    <row r="60118" customFormat="1" x14ac:dyDescent="0.25"/>
    <row r="60119" customFormat="1" x14ac:dyDescent="0.25"/>
    <row r="60120" customFormat="1" x14ac:dyDescent="0.25"/>
    <row r="60121" customFormat="1" x14ac:dyDescent="0.25"/>
    <row r="60122" customFormat="1" x14ac:dyDescent="0.25"/>
    <row r="60123" customFormat="1" x14ac:dyDescent="0.25"/>
    <row r="60124" customFormat="1" x14ac:dyDescent="0.25"/>
    <row r="60125" customFormat="1" x14ac:dyDescent="0.25"/>
    <row r="60126" customFormat="1" x14ac:dyDescent="0.25"/>
    <row r="60127" customFormat="1" x14ac:dyDescent="0.25"/>
    <row r="60128" customFormat="1" x14ac:dyDescent="0.25"/>
    <row r="60129" customFormat="1" x14ac:dyDescent="0.25"/>
    <row r="60130" customFormat="1" x14ac:dyDescent="0.25"/>
    <row r="60131" customFormat="1" x14ac:dyDescent="0.25"/>
    <row r="60132" customFormat="1" x14ac:dyDescent="0.25"/>
    <row r="60133" customFormat="1" x14ac:dyDescent="0.25"/>
    <row r="60134" customFormat="1" x14ac:dyDescent="0.25"/>
    <row r="60135" customFormat="1" x14ac:dyDescent="0.25"/>
    <row r="60136" customFormat="1" x14ac:dyDescent="0.25"/>
    <row r="60137" customFormat="1" x14ac:dyDescent="0.25"/>
    <row r="60138" customFormat="1" x14ac:dyDescent="0.25"/>
    <row r="60139" customFormat="1" x14ac:dyDescent="0.25"/>
    <row r="60140" customFormat="1" x14ac:dyDescent="0.25"/>
    <row r="60141" customFormat="1" x14ac:dyDescent="0.25"/>
    <row r="60142" customFormat="1" x14ac:dyDescent="0.25"/>
    <row r="60143" customFormat="1" x14ac:dyDescent="0.25"/>
    <row r="60144" customFormat="1" x14ac:dyDescent="0.25"/>
    <row r="60145" customFormat="1" x14ac:dyDescent="0.25"/>
    <row r="60146" customFormat="1" x14ac:dyDescent="0.25"/>
    <row r="60147" customFormat="1" x14ac:dyDescent="0.25"/>
    <row r="60148" customFormat="1" x14ac:dyDescent="0.25"/>
    <row r="60149" customFormat="1" x14ac:dyDescent="0.25"/>
    <row r="60150" customFormat="1" x14ac:dyDescent="0.25"/>
    <row r="60151" customFormat="1" x14ac:dyDescent="0.25"/>
    <row r="60152" customFormat="1" x14ac:dyDescent="0.25"/>
    <row r="60153" customFormat="1" x14ac:dyDescent="0.25"/>
    <row r="60154" customFormat="1" x14ac:dyDescent="0.25"/>
    <row r="60155" customFormat="1" x14ac:dyDescent="0.25"/>
    <row r="60156" customFormat="1" x14ac:dyDescent="0.25"/>
    <row r="60157" customFormat="1" x14ac:dyDescent="0.25"/>
    <row r="60158" customFormat="1" x14ac:dyDescent="0.25"/>
    <row r="60159" customFormat="1" x14ac:dyDescent="0.25"/>
    <row r="60160" customFormat="1" x14ac:dyDescent="0.25"/>
    <row r="60161" customFormat="1" x14ac:dyDescent="0.25"/>
    <row r="60162" customFormat="1" x14ac:dyDescent="0.25"/>
    <row r="60163" customFormat="1" x14ac:dyDescent="0.25"/>
    <row r="60164" customFormat="1" x14ac:dyDescent="0.25"/>
    <row r="60165" customFormat="1" x14ac:dyDescent="0.25"/>
    <row r="60166" customFormat="1" x14ac:dyDescent="0.25"/>
    <row r="60167" customFormat="1" x14ac:dyDescent="0.25"/>
    <row r="60168" customFormat="1" x14ac:dyDescent="0.25"/>
    <row r="60169" customFormat="1" x14ac:dyDescent="0.25"/>
    <row r="60170" customFormat="1" x14ac:dyDescent="0.25"/>
    <row r="60171" customFormat="1" x14ac:dyDescent="0.25"/>
    <row r="60172" customFormat="1" x14ac:dyDescent="0.25"/>
    <row r="60173" customFormat="1" x14ac:dyDescent="0.25"/>
    <row r="60174" customFormat="1" x14ac:dyDescent="0.25"/>
    <row r="60175" customFormat="1" x14ac:dyDescent="0.25"/>
    <row r="60176" customFormat="1" x14ac:dyDescent="0.25"/>
    <row r="60177" customFormat="1" x14ac:dyDescent="0.25"/>
    <row r="60178" customFormat="1" x14ac:dyDescent="0.25"/>
    <row r="60179" customFormat="1" x14ac:dyDescent="0.25"/>
    <row r="60180" customFormat="1" x14ac:dyDescent="0.25"/>
    <row r="60181" customFormat="1" x14ac:dyDescent="0.25"/>
    <row r="60182" customFormat="1" x14ac:dyDescent="0.25"/>
    <row r="60183" customFormat="1" x14ac:dyDescent="0.25"/>
    <row r="60184" customFormat="1" x14ac:dyDescent="0.25"/>
    <row r="60185" customFormat="1" x14ac:dyDescent="0.25"/>
    <row r="60186" customFormat="1" x14ac:dyDescent="0.25"/>
    <row r="60187" customFormat="1" x14ac:dyDescent="0.25"/>
    <row r="60188" customFormat="1" x14ac:dyDescent="0.25"/>
    <row r="60189" customFormat="1" x14ac:dyDescent="0.25"/>
    <row r="60190" customFormat="1" x14ac:dyDescent="0.25"/>
    <row r="60191" customFormat="1" x14ac:dyDescent="0.25"/>
    <row r="60192" customFormat="1" x14ac:dyDescent="0.25"/>
    <row r="60193" customFormat="1" x14ac:dyDescent="0.25"/>
    <row r="60194" customFormat="1" x14ac:dyDescent="0.25"/>
    <row r="60195" customFormat="1" x14ac:dyDescent="0.25"/>
    <row r="60196" customFormat="1" x14ac:dyDescent="0.25"/>
    <row r="60197" customFormat="1" x14ac:dyDescent="0.25"/>
    <row r="60198" customFormat="1" x14ac:dyDescent="0.25"/>
    <row r="60199" customFormat="1" x14ac:dyDescent="0.25"/>
    <row r="60200" customFormat="1" x14ac:dyDescent="0.25"/>
    <row r="60201" customFormat="1" x14ac:dyDescent="0.25"/>
    <row r="60202" customFormat="1" x14ac:dyDescent="0.25"/>
    <row r="60203" customFormat="1" x14ac:dyDescent="0.25"/>
    <row r="60204" customFormat="1" x14ac:dyDescent="0.25"/>
    <row r="60205" customFormat="1" x14ac:dyDescent="0.25"/>
    <row r="60206" customFormat="1" x14ac:dyDescent="0.25"/>
    <row r="60207" customFormat="1" x14ac:dyDescent="0.25"/>
    <row r="60208" customFormat="1" x14ac:dyDescent="0.25"/>
    <row r="60209" customFormat="1" x14ac:dyDescent="0.25"/>
    <row r="60210" customFormat="1" x14ac:dyDescent="0.25"/>
    <row r="60211" customFormat="1" x14ac:dyDescent="0.25"/>
    <row r="60212" customFormat="1" x14ac:dyDescent="0.25"/>
    <row r="60213" customFormat="1" x14ac:dyDescent="0.25"/>
    <row r="60214" customFormat="1" x14ac:dyDescent="0.25"/>
    <row r="60215" customFormat="1" x14ac:dyDescent="0.25"/>
    <row r="60216" customFormat="1" x14ac:dyDescent="0.25"/>
    <row r="60217" customFormat="1" x14ac:dyDescent="0.25"/>
    <row r="60218" customFormat="1" x14ac:dyDescent="0.25"/>
    <row r="60219" customFormat="1" x14ac:dyDescent="0.25"/>
    <row r="60220" customFormat="1" x14ac:dyDescent="0.25"/>
    <row r="60221" customFormat="1" x14ac:dyDescent="0.25"/>
    <row r="60222" customFormat="1" x14ac:dyDescent="0.25"/>
    <row r="60223" customFormat="1" x14ac:dyDescent="0.25"/>
    <row r="60224" customFormat="1" x14ac:dyDescent="0.25"/>
    <row r="60225" customFormat="1" x14ac:dyDescent="0.25"/>
    <row r="60226" customFormat="1" x14ac:dyDescent="0.25"/>
    <row r="60227" customFormat="1" x14ac:dyDescent="0.25"/>
    <row r="60228" customFormat="1" x14ac:dyDescent="0.25"/>
    <row r="60229" customFormat="1" x14ac:dyDescent="0.25"/>
    <row r="60230" customFormat="1" x14ac:dyDescent="0.25"/>
    <row r="60231" customFormat="1" x14ac:dyDescent="0.25"/>
    <row r="60232" customFormat="1" x14ac:dyDescent="0.25"/>
    <row r="60233" customFormat="1" x14ac:dyDescent="0.25"/>
    <row r="60234" customFormat="1" x14ac:dyDescent="0.25"/>
    <row r="60235" customFormat="1" x14ac:dyDescent="0.25"/>
    <row r="60236" customFormat="1" x14ac:dyDescent="0.25"/>
    <row r="60237" customFormat="1" x14ac:dyDescent="0.25"/>
    <row r="60238" customFormat="1" x14ac:dyDescent="0.25"/>
    <row r="60239" customFormat="1" x14ac:dyDescent="0.25"/>
    <row r="60240" customFormat="1" x14ac:dyDescent="0.25"/>
    <row r="60241" customFormat="1" x14ac:dyDescent="0.25"/>
    <row r="60242" customFormat="1" x14ac:dyDescent="0.25"/>
    <row r="60243" customFormat="1" x14ac:dyDescent="0.25"/>
    <row r="60244" customFormat="1" x14ac:dyDescent="0.25"/>
    <row r="60245" customFormat="1" x14ac:dyDescent="0.25"/>
    <row r="60246" customFormat="1" x14ac:dyDescent="0.25"/>
    <row r="60247" customFormat="1" x14ac:dyDescent="0.25"/>
    <row r="60248" customFormat="1" x14ac:dyDescent="0.25"/>
    <row r="60249" customFormat="1" x14ac:dyDescent="0.25"/>
    <row r="60250" customFormat="1" x14ac:dyDescent="0.25"/>
    <row r="60251" customFormat="1" x14ac:dyDescent="0.25"/>
    <row r="60252" customFormat="1" x14ac:dyDescent="0.25"/>
    <row r="60253" customFormat="1" x14ac:dyDescent="0.25"/>
    <row r="60254" customFormat="1" x14ac:dyDescent="0.25"/>
    <row r="60255" customFormat="1" x14ac:dyDescent="0.25"/>
    <row r="60256" customFormat="1" x14ac:dyDescent="0.25"/>
    <row r="60257" customFormat="1" x14ac:dyDescent="0.25"/>
    <row r="60258" customFormat="1" x14ac:dyDescent="0.25"/>
    <row r="60259" customFormat="1" x14ac:dyDescent="0.25"/>
    <row r="60260" customFormat="1" x14ac:dyDescent="0.25"/>
    <row r="60261" customFormat="1" x14ac:dyDescent="0.25"/>
    <row r="60262" customFormat="1" x14ac:dyDescent="0.25"/>
    <row r="60263" customFormat="1" x14ac:dyDescent="0.25"/>
    <row r="60264" customFormat="1" x14ac:dyDescent="0.25"/>
    <row r="60265" customFormat="1" x14ac:dyDescent="0.25"/>
    <row r="60266" customFormat="1" x14ac:dyDescent="0.25"/>
    <row r="60267" customFormat="1" x14ac:dyDescent="0.25"/>
    <row r="60268" customFormat="1" x14ac:dyDescent="0.25"/>
    <row r="60269" customFormat="1" x14ac:dyDescent="0.25"/>
    <row r="60270" customFormat="1" x14ac:dyDescent="0.25"/>
    <row r="60271" customFormat="1" x14ac:dyDescent="0.25"/>
    <row r="60272" customFormat="1" x14ac:dyDescent="0.25"/>
    <row r="60273" customFormat="1" x14ac:dyDescent="0.25"/>
    <row r="60274" customFormat="1" x14ac:dyDescent="0.25"/>
    <row r="60275" customFormat="1" x14ac:dyDescent="0.25"/>
    <row r="60276" customFormat="1" x14ac:dyDescent="0.25"/>
    <row r="60277" customFormat="1" x14ac:dyDescent="0.25"/>
    <row r="60278" customFormat="1" x14ac:dyDescent="0.25"/>
    <row r="60279" customFormat="1" x14ac:dyDescent="0.25"/>
    <row r="60280" customFormat="1" x14ac:dyDescent="0.25"/>
    <row r="60281" customFormat="1" x14ac:dyDescent="0.25"/>
    <row r="60282" customFormat="1" x14ac:dyDescent="0.25"/>
    <row r="60283" customFormat="1" x14ac:dyDescent="0.25"/>
    <row r="60284" customFormat="1" x14ac:dyDescent="0.25"/>
    <row r="60285" customFormat="1" x14ac:dyDescent="0.25"/>
    <row r="60286" customFormat="1" x14ac:dyDescent="0.25"/>
    <row r="60287" customFormat="1" x14ac:dyDescent="0.25"/>
    <row r="60288" customFormat="1" x14ac:dyDescent="0.25"/>
    <row r="60289" customFormat="1" x14ac:dyDescent="0.25"/>
    <row r="60290" customFormat="1" x14ac:dyDescent="0.25"/>
    <row r="60291" customFormat="1" x14ac:dyDescent="0.25"/>
    <row r="60292" customFormat="1" x14ac:dyDescent="0.25"/>
    <row r="60293" customFormat="1" x14ac:dyDescent="0.25"/>
    <row r="60294" customFormat="1" x14ac:dyDescent="0.25"/>
    <row r="60295" customFormat="1" x14ac:dyDescent="0.25"/>
    <row r="60296" customFormat="1" x14ac:dyDescent="0.25"/>
    <row r="60297" customFormat="1" x14ac:dyDescent="0.25"/>
    <row r="60298" customFormat="1" x14ac:dyDescent="0.25"/>
    <row r="60299" customFormat="1" x14ac:dyDescent="0.25"/>
    <row r="60300" customFormat="1" x14ac:dyDescent="0.25"/>
    <row r="60301" customFormat="1" x14ac:dyDescent="0.25"/>
    <row r="60302" customFormat="1" x14ac:dyDescent="0.25"/>
    <row r="60303" customFormat="1" x14ac:dyDescent="0.25"/>
    <row r="60304" customFormat="1" x14ac:dyDescent="0.25"/>
    <row r="60305" customFormat="1" x14ac:dyDescent="0.25"/>
    <row r="60306" customFormat="1" x14ac:dyDescent="0.25"/>
    <row r="60307" customFormat="1" x14ac:dyDescent="0.25"/>
    <row r="60308" customFormat="1" x14ac:dyDescent="0.25"/>
    <row r="60309" customFormat="1" x14ac:dyDescent="0.25"/>
    <row r="60310" customFormat="1" x14ac:dyDescent="0.25"/>
    <row r="60311" customFormat="1" x14ac:dyDescent="0.25"/>
    <row r="60312" customFormat="1" x14ac:dyDescent="0.25"/>
    <row r="60313" customFormat="1" x14ac:dyDescent="0.25"/>
    <row r="60314" customFormat="1" x14ac:dyDescent="0.25"/>
    <row r="60315" customFormat="1" x14ac:dyDescent="0.25"/>
    <row r="60316" customFormat="1" x14ac:dyDescent="0.25"/>
    <row r="60317" customFormat="1" x14ac:dyDescent="0.25"/>
    <row r="60318" customFormat="1" x14ac:dyDescent="0.25"/>
    <row r="60319" customFormat="1" x14ac:dyDescent="0.25"/>
    <row r="60320" customFormat="1" x14ac:dyDescent="0.25"/>
    <row r="60321" customFormat="1" x14ac:dyDescent="0.25"/>
    <row r="60322" customFormat="1" x14ac:dyDescent="0.25"/>
    <row r="60323" customFormat="1" x14ac:dyDescent="0.25"/>
    <row r="60324" customFormat="1" x14ac:dyDescent="0.25"/>
    <row r="60325" customFormat="1" x14ac:dyDescent="0.25"/>
    <row r="60326" customFormat="1" x14ac:dyDescent="0.25"/>
    <row r="60327" customFormat="1" x14ac:dyDescent="0.25"/>
    <row r="60328" customFormat="1" x14ac:dyDescent="0.25"/>
    <row r="60329" customFormat="1" x14ac:dyDescent="0.25"/>
    <row r="60330" customFormat="1" x14ac:dyDescent="0.25"/>
    <row r="60331" customFormat="1" x14ac:dyDescent="0.25"/>
    <row r="60332" customFormat="1" x14ac:dyDescent="0.25"/>
    <row r="60333" customFormat="1" x14ac:dyDescent="0.25"/>
    <row r="60334" customFormat="1" x14ac:dyDescent="0.25"/>
    <row r="60335" customFormat="1" x14ac:dyDescent="0.25"/>
    <row r="60336" customFormat="1" x14ac:dyDescent="0.25"/>
    <row r="60337" customFormat="1" x14ac:dyDescent="0.25"/>
    <row r="60338" customFormat="1" x14ac:dyDescent="0.25"/>
    <row r="60339" customFormat="1" x14ac:dyDescent="0.25"/>
    <row r="60340" customFormat="1" x14ac:dyDescent="0.25"/>
    <row r="60341" customFormat="1" x14ac:dyDescent="0.25"/>
    <row r="60342" customFormat="1" x14ac:dyDescent="0.25"/>
    <row r="60343" customFormat="1" x14ac:dyDescent="0.25"/>
    <row r="60344" customFormat="1" x14ac:dyDescent="0.25"/>
    <row r="60345" customFormat="1" x14ac:dyDescent="0.25"/>
    <row r="60346" customFormat="1" x14ac:dyDescent="0.25"/>
    <row r="60347" customFormat="1" x14ac:dyDescent="0.25"/>
    <row r="60348" customFormat="1" x14ac:dyDescent="0.25"/>
    <row r="60349" customFormat="1" x14ac:dyDescent="0.25"/>
    <row r="60350" customFormat="1" x14ac:dyDescent="0.25"/>
    <row r="60351" customFormat="1" x14ac:dyDescent="0.25"/>
    <row r="60352" customFormat="1" x14ac:dyDescent="0.25"/>
    <row r="60353" customFormat="1" x14ac:dyDescent="0.25"/>
    <row r="60354" customFormat="1" x14ac:dyDescent="0.25"/>
    <row r="60355" customFormat="1" x14ac:dyDescent="0.25"/>
    <row r="60356" customFormat="1" x14ac:dyDescent="0.25"/>
    <row r="60357" customFormat="1" x14ac:dyDescent="0.25"/>
    <row r="60358" customFormat="1" x14ac:dyDescent="0.25"/>
    <row r="60359" customFormat="1" x14ac:dyDescent="0.25"/>
    <row r="60360" customFormat="1" x14ac:dyDescent="0.25"/>
    <row r="60361" customFormat="1" x14ac:dyDescent="0.25"/>
    <row r="60362" customFormat="1" x14ac:dyDescent="0.25"/>
    <row r="60363" customFormat="1" x14ac:dyDescent="0.25"/>
    <row r="60364" customFormat="1" x14ac:dyDescent="0.25"/>
    <row r="60365" customFormat="1" x14ac:dyDescent="0.25"/>
    <row r="60366" customFormat="1" x14ac:dyDescent="0.25"/>
    <row r="60367" customFormat="1" x14ac:dyDescent="0.25"/>
    <row r="60368" customFormat="1" x14ac:dyDescent="0.25"/>
    <row r="60369" customFormat="1" x14ac:dyDescent="0.25"/>
    <row r="60370" customFormat="1" x14ac:dyDescent="0.25"/>
    <row r="60371" customFormat="1" x14ac:dyDescent="0.25"/>
    <row r="60372" customFormat="1" x14ac:dyDescent="0.25"/>
    <row r="60373" customFormat="1" x14ac:dyDescent="0.25"/>
    <row r="60374" customFormat="1" x14ac:dyDescent="0.25"/>
    <row r="60375" customFormat="1" x14ac:dyDescent="0.25"/>
    <row r="60376" customFormat="1" x14ac:dyDescent="0.25"/>
    <row r="60377" customFormat="1" x14ac:dyDescent="0.25"/>
    <row r="60378" customFormat="1" x14ac:dyDescent="0.25"/>
    <row r="60379" customFormat="1" x14ac:dyDescent="0.25"/>
    <row r="60380" customFormat="1" x14ac:dyDescent="0.25"/>
    <row r="60381" customFormat="1" x14ac:dyDescent="0.25"/>
    <row r="60382" customFormat="1" x14ac:dyDescent="0.25"/>
    <row r="60383" customFormat="1" x14ac:dyDescent="0.25"/>
    <row r="60384" customFormat="1" x14ac:dyDescent="0.25"/>
    <row r="60385" customFormat="1" x14ac:dyDescent="0.25"/>
    <row r="60386" customFormat="1" x14ac:dyDescent="0.25"/>
    <row r="60387" customFormat="1" x14ac:dyDescent="0.25"/>
    <row r="60388" customFormat="1" x14ac:dyDescent="0.25"/>
    <row r="60389" customFormat="1" x14ac:dyDescent="0.25"/>
    <row r="60390" customFormat="1" x14ac:dyDescent="0.25"/>
    <row r="60391" customFormat="1" x14ac:dyDescent="0.25"/>
    <row r="60392" customFormat="1" x14ac:dyDescent="0.25"/>
    <row r="60393" customFormat="1" x14ac:dyDescent="0.25"/>
    <row r="60394" customFormat="1" x14ac:dyDescent="0.25"/>
    <row r="60395" customFormat="1" x14ac:dyDescent="0.25"/>
    <row r="60396" customFormat="1" x14ac:dyDescent="0.25"/>
    <row r="60397" customFormat="1" x14ac:dyDescent="0.25"/>
    <row r="60398" customFormat="1" x14ac:dyDescent="0.25"/>
    <row r="60399" customFormat="1" x14ac:dyDescent="0.25"/>
    <row r="60400" customFormat="1" x14ac:dyDescent="0.25"/>
    <row r="60401" customFormat="1" x14ac:dyDescent="0.25"/>
    <row r="60402" customFormat="1" x14ac:dyDescent="0.25"/>
    <row r="60403" customFormat="1" x14ac:dyDescent="0.25"/>
    <row r="60404" customFormat="1" x14ac:dyDescent="0.25"/>
    <row r="60405" customFormat="1" x14ac:dyDescent="0.25"/>
    <row r="60406" customFormat="1" x14ac:dyDescent="0.25"/>
    <row r="60407" customFormat="1" x14ac:dyDescent="0.25"/>
    <row r="60408" customFormat="1" x14ac:dyDescent="0.25"/>
    <row r="60409" customFormat="1" x14ac:dyDescent="0.25"/>
    <row r="60410" customFormat="1" x14ac:dyDescent="0.25"/>
    <row r="60411" customFormat="1" x14ac:dyDescent="0.25"/>
    <row r="60412" customFormat="1" x14ac:dyDescent="0.25"/>
    <row r="60413" customFormat="1" x14ac:dyDescent="0.25"/>
    <row r="60414" customFormat="1" x14ac:dyDescent="0.25"/>
    <row r="60415" customFormat="1" x14ac:dyDescent="0.25"/>
    <row r="60416" customFormat="1" x14ac:dyDescent="0.25"/>
    <row r="60417" customFormat="1" x14ac:dyDescent="0.25"/>
    <row r="60418" customFormat="1" x14ac:dyDescent="0.25"/>
    <row r="60419" customFormat="1" x14ac:dyDescent="0.25"/>
    <row r="60420" customFormat="1" x14ac:dyDescent="0.25"/>
    <row r="60421" customFormat="1" x14ac:dyDescent="0.25"/>
    <row r="60422" customFormat="1" x14ac:dyDescent="0.25"/>
    <row r="60423" customFormat="1" x14ac:dyDescent="0.25"/>
    <row r="60424" customFormat="1" x14ac:dyDescent="0.25"/>
    <row r="60425" customFormat="1" x14ac:dyDescent="0.25"/>
    <row r="60426" customFormat="1" x14ac:dyDescent="0.25"/>
    <row r="60427" customFormat="1" x14ac:dyDescent="0.25"/>
    <row r="60428" customFormat="1" x14ac:dyDescent="0.25"/>
    <row r="60429" customFormat="1" x14ac:dyDescent="0.25"/>
    <row r="60430" customFormat="1" x14ac:dyDescent="0.25"/>
    <row r="60431" customFormat="1" x14ac:dyDescent="0.25"/>
    <row r="60432" customFormat="1" x14ac:dyDescent="0.25"/>
    <row r="60433" customFormat="1" x14ac:dyDescent="0.25"/>
    <row r="60434" customFormat="1" x14ac:dyDescent="0.25"/>
    <row r="60435" customFormat="1" x14ac:dyDescent="0.25"/>
    <row r="60436" customFormat="1" x14ac:dyDescent="0.25"/>
    <row r="60437" customFormat="1" x14ac:dyDescent="0.25"/>
    <row r="60438" customFormat="1" x14ac:dyDescent="0.25"/>
    <row r="60439" customFormat="1" x14ac:dyDescent="0.25"/>
    <row r="60440" customFormat="1" x14ac:dyDescent="0.25"/>
    <row r="60441" customFormat="1" x14ac:dyDescent="0.25"/>
    <row r="60442" customFormat="1" x14ac:dyDescent="0.25"/>
    <row r="60443" customFormat="1" x14ac:dyDescent="0.25"/>
    <row r="60444" customFormat="1" x14ac:dyDescent="0.25"/>
    <row r="60445" customFormat="1" x14ac:dyDescent="0.25"/>
    <row r="60446" customFormat="1" x14ac:dyDescent="0.25"/>
    <row r="60447" customFormat="1" x14ac:dyDescent="0.25"/>
    <row r="60448" customFormat="1" x14ac:dyDescent="0.25"/>
    <row r="60449" customFormat="1" x14ac:dyDescent="0.25"/>
    <row r="60450" customFormat="1" x14ac:dyDescent="0.25"/>
    <row r="60451" customFormat="1" x14ac:dyDescent="0.25"/>
    <row r="60452" customFormat="1" x14ac:dyDescent="0.25"/>
    <row r="60453" customFormat="1" x14ac:dyDescent="0.25"/>
    <row r="60454" customFormat="1" x14ac:dyDescent="0.25"/>
    <row r="60455" customFormat="1" x14ac:dyDescent="0.25"/>
    <row r="60456" customFormat="1" x14ac:dyDescent="0.25"/>
    <row r="60457" customFormat="1" x14ac:dyDescent="0.25"/>
    <row r="60458" customFormat="1" x14ac:dyDescent="0.25"/>
    <row r="60459" customFormat="1" x14ac:dyDescent="0.25"/>
    <row r="60460" customFormat="1" x14ac:dyDescent="0.25"/>
    <row r="60461" customFormat="1" x14ac:dyDescent="0.25"/>
    <row r="60462" customFormat="1" x14ac:dyDescent="0.25"/>
    <row r="60463" customFormat="1" x14ac:dyDescent="0.25"/>
    <row r="60464" customFormat="1" x14ac:dyDescent="0.25"/>
    <row r="60465" customFormat="1" x14ac:dyDescent="0.25"/>
    <row r="60466" customFormat="1" x14ac:dyDescent="0.25"/>
    <row r="60467" customFormat="1" x14ac:dyDescent="0.25"/>
    <row r="60468" customFormat="1" x14ac:dyDescent="0.25"/>
    <row r="60469" customFormat="1" x14ac:dyDescent="0.25"/>
    <row r="60470" customFormat="1" x14ac:dyDescent="0.25"/>
    <row r="60471" customFormat="1" x14ac:dyDescent="0.25"/>
    <row r="60472" customFormat="1" x14ac:dyDescent="0.25"/>
    <row r="60473" customFormat="1" x14ac:dyDescent="0.25"/>
    <row r="60474" customFormat="1" x14ac:dyDescent="0.25"/>
    <row r="60475" customFormat="1" x14ac:dyDescent="0.25"/>
    <row r="60476" customFormat="1" x14ac:dyDescent="0.25"/>
    <row r="60477" customFormat="1" x14ac:dyDescent="0.25"/>
    <row r="60478" customFormat="1" x14ac:dyDescent="0.25"/>
    <row r="60479" customFormat="1" x14ac:dyDescent="0.25"/>
    <row r="60480" customFormat="1" x14ac:dyDescent="0.25"/>
    <row r="60481" customFormat="1" x14ac:dyDescent="0.25"/>
    <row r="60482" customFormat="1" x14ac:dyDescent="0.25"/>
    <row r="60483" customFormat="1" x14ac:dyDescent="0.25"/>
    <row r="60484" customFormat="1" x14ac:dyDescent="0.25"/>
    <row r="60485" customFormat="1" x14ac:dyDescent="0.25"/>
    <row r="60486" customFormat="1" x14ac:dyDescent="0.25"/>
    <row r="60487" customFormat="1" x14ac:dyDescent="0.25"/>
    <row r="60488" customFormat="1" x14ac:dyDescent="0.25"/>
    <row r="60489" customFormat="1" x14ac:dyDescent="0.25"/>
    <row r="60490" customFormat="1" x14ac:dyDescent="0.25"/>
    <row r="60491" customFormat="1" x14ac:dyDescent="0.25"/>
    <row r="60492" customFormat="1" x14ac:dyDescent="0.25"/>
    <row r="60493" customFormat="1" x14ac:dyDescent="0.25"/>
    <row r="60494" customFormat="1" x14ac:dyDescent="0.25"/>
    <row r="60495" customFormat="1" x14ac:dyDescent="0.25"/>
    <row r="60496" customFormat="1" x14ac:dyDescent="0.25"/>
    <row r="60497" customFormat="1" x14ac:dyDescent="0.25"/>
    <row r="60498" customFormat="1" x14ac:dyDescent="0.25"/>
    <row r="60499" customFormat="1" x14ac:dyDescent="0.25"/>
    <row r="60500" customFormat="1" x14ac:dyDescent="0.25"/>
    <row r="60501" customFormat="1" x14ac:dyDescent="0.25"/>
    <row r="60502" customFormat="1" x14ac:dyDescent="0.25"/>
    <row r="60503" customFormat="1" x14ac:dyDescent="0.25"/>
    <row r="60504" customFormat="1" x14ac:dyDescent="0.25"/>
    <row r="60505" customFormat="1" x14ac:dyDescent="0.25"/>
    <row r="60506" customFormat="1" x14ac:dyDescent="0.25"/>
    <row r="60507" customFormat="1" x14ac:dyDescent="0.25"/>
    <row r="60508" customFormat="1" x14ac:dyDescent="0.25"/>
    <row r="60509" customFormat="1" x14ac:dyDescent="0.25"/>
    <row r="60510" customFormat="1" x14ac:dyDescent="0.25"/>
    <row r="60511" customFormat="1" x14ac:dyDescent="0.25"/>
    <row r="60512" customFormat="1" x14ac:dyDescent="0.25"/>
    <row r="60513" customFormat="1" x14ac:dyDescent="0.25"/>
    <row r="60514" customFormat="1" x14ac:dyDescent="0.25"/>
    <row r="60515" customFormat="1" x14ac:dyDescent="0.25"/>
    <row r="60516" customFormat="1" x14ac:dyDescent="0.25"/>
    <row r="60517" customFormat="1" x14ac:dyDescent="0.25"/>
    <row r="60518" customFormat="1" x14ac:dyDescent="0.25"/>
    <row r="60519" customFormat="1" x14ac:dyDescent="0.25"/>
    <row r="60520" customFormat="1" x14ac:dyDescent="0.25"/>
    <row r="60521" customFormat="1" x14ac:dyDescent="0.25"/>
    <row r="60522" customFormat="1" x14ac:dyDescent="0.25"/>
    <row r="60523" customFormat="1" x14ac:dyDescent="0.25"/>
    <row r="60524" customFormat="1" x14ac:dyDescent="0.25"/>
    <row r="60525" customFormat="1" x14ac:dyDescent="0.25"/>
    <row r="60526" customFormat="1" x14ac:dyDescent="0.25"/>
    <row r="60527" customFormat="1" x14ac:dyDescent="0.25"/>
    <row r="60528" customFormat="1" x14ac:dyDescent="0.25"/>
    <row r="60529" customFormat="1" x14ac:dyDescent="0.25"/>
    <row r="60530" customFormat="1" x14ac:dyDescent="0.25"/>
    <row r="60531" customFormat="1" x14ac:dyDescent="0.25"/>
    <row r="60532" customFormat="1" x14ac:dyDescent="0.25"/>
    <row r="60533" customFormat="1" x14ac:dyDescent="0.25"/>
    <row r="60534" customFormat="1" x14ac:dyDescent="0.25"/>
    <row r="60535" customFormat="1" x14ac:dyDescent="0.25"/>
    <row r="60536" customFormat="1" x14ac:dyDescent="0.25"/>
    <row r="60537" customFormat="1" x14ac:dyDescent="0.25"/>
    <row r="60538" customFormat="1" x14ac:dyDescent="0.25"/>
    <row r="60539" customFormat="1" x14ac:dyDescent="0.25"/>
    <row r="60540" customFormat="1" x14ac:dyDescent="0.25"/>
    <row r="60541" customFormat="1" x14ac:dyDescent="0.25"/>
    <row r="60542" customFormat="1" x14ac:dyDescent="0.25"/>
    <row r="60543" customFormat="1" x14ac:dyDescent="0.25"/>
    <row r="60544" customFormat="1" x14ac:dyDescent="0.25"/>
    <row r="60545" customFormat="1" x14ac:dyDescent="0.25"/>
    <row r="60546" customFormat="1" x14ac:dyDescent="0.25"/>
    <row r="60547" customFormat="1" x14ac:dyDescent="0.25"/>
    <row r="60548" customFormat="1" x14ac:dyDescent="0.25"/>
    <row r="60549" customFormat="1" x14ac:dyDescent="0.25"/>
    <row r="60550" customFormat="1" x14ac:dyDescent="0.25"/>
    <row r="60551" customFormat="1" x14ac:dyDescent="0.25"/>
    <row r="60552" customFormat="1" x14ac:dyDescent="0.25"/>
    <row r="60553" customFormat="1" x14ac:dyDescent="0.25"/>
    <row r="60554" customFormat="1" x14ac:dyDescent="0.25"/>
    <row r="60555" customFormat="1" x14ac:dyDescent="0.25"/>
    <row r="60556" customFormat="1" x14ac:dyDescent="0.25"/>
    <row r="60557" customFormat="1" x14ac:dyDescent="0.25"/>
    <row r="60558" customFormat="1" x14ac:dyDescent="0.25"/>
    <row r="60559" customFormat="1" x14ac:dyDescent="0.25"/>
    <row r="60560" customFormat="1" x14ac:dyDescent="0.25"/>
    <row r="60561" customFormat="1" x14ac:dyDescent="0.25"/>
    <row r="60562" customFormat="1" x14ac:dyDescent="0.25"/>
    <row r="60563" customFormat="1" x14ac:dyDescent="0.25"/>
    <row r="60564" customFormat="1" x14ac:dyDescent="0.25"/>
    <row r="60565" customFormat="1" x14ac:dyDescent="0.25"/>
    <row r="60566" customFormat="1" x14ac:dyDescent="0.25"/>
    <row r="60567" customFormat="1" x14ac:dyDescent="0.25"/>
    <row r="60568" customFormat="1" x14ac:dyDescent="0.25"/>
    <row r="60569" customFormat="1" x14ac:dyDescent="0.25"/>
    <row r="60570" customFormat="1" x14ac:dyDescent="0.25"/>
    <row r="60571" customFormat="1" x14ac:dyDescent="0.25"/>
    <row r="60572" customFormat="1" x14ac:dyDescent="0.25"/>
    <row r="60573" customFormat="1" x14ac:dyDescent="0.25"/>
    <row r="60574" customFormat="1" x14ac:dyDescent="0.25"/>
    <row r="60575" customFormat="1" x14ac:dyDescent="0.25"/>
    <row r="60576" customFormat="1" x14ac:dyDescent="0.25"/>
    <row r="60577" customFormat="1" x14ac:dyDescent="0.25"/>
    <row r="60578" customFormat="1" x14ac:dyDescent="0.25"/>
    <row r="60579" customFormat="1" x14ac:dyDescent="0.25"/>
    <row r="60580" customFormat="1" x14ac:dyDescent="0.25"/>
    <row r="60581" customFormat="1" x14ac:dyDescent="0.25"/>
    <row r="60582" customFormat="1" x14ac:dyDescent="0.25"/>
    <row r="60583" customFormat="1" x14ac:dyDescent="0.25"/>
    <row r="60584" customFormat="1" x14ac:dyDescent="0.25"/>
    <row r="60585" customFormat="1" x14ac:dyDescent="0.25"/>
    <row r="60586" customFormat="1" x14ac:dyDescent="0.25"/>
    <row r="60587" customFormat="1" x14ac:dyDescent="0.25"/>
    <row r="60588" customFormat="1" x14ac:dyDescent="0.25"/>
    <row r="60589" customFormat="1" x14ac:dyDescent="0.25"/>
    <row r="60590" customFormat="1" x14ac:dyDescent="0.25"/>
    <row r="60591" customFormat="1" x14ac:dyDescent="0.25"/>
    <row r="60592" customFormat="1" x14ac:dyDescent="0.25"/>
    <row r="60593" customFormat="1" x14ac:dyDescent="0.25"/>
    <row r="60594" customFormat="1" x14ac:dyDescent="0.25"/>
    <row r="60595" customFormat="1" x14ac:dyDescent="0.25"/>
    <row r="60596" customFormat="1" x14ac:dyDescent="0.25"/>
    <row r="60597" customFormat="1" x14ac:dyDescent="0.25"/>
    <row r="60598" customFormat="1" x14ac:dyDescent="0.25"/>
    <row r="60599" customFormat="1" x14ac:dyDescent="0.25"/>
    <row r="60600" customFormat="1" x14ac:dyDescent="0.25"/>
    <row r="60601" customFormat="1" x14ac:dyDescent="0.25"/>
    <row r="60602" customFormat="1" x14ac:dyDescent="0.25"/>
    <row r="60603" customFormat="1" x14ac:dyDescent="0.25"/>
    <row r="60604" customFormat="1" x14ac:dyDescent="0.25"/>
    <row r="60605" customFormat="1" x14ac:dyDescent="0.25"/>
    <row r="60606" customFormat="1" x14ac:dyDescent="0.25"/>
    <row r="60607" customFormat="1" x14ac:dyDescent="0.25"/>
    <row r="60608" customFormat="1" x14ac:dyDescent="0.25"/>
    <row r="60609" customFormat="1" x14ac:dyDescent="0.25"/>
    <row r="60610" customFormat="1" x14ac:dyDescent="0.25"/>
    <row r="60611" customFormat="1" x14ac:dyDescent="0.25"/>
    <row r="60612" customFormat="1" x14ac:dyDescent="0.25"/>
    <row r="60613" customFormat="1" x14ac:dyDescent="0.25"/>
    <row r="60614" customFormat="1" x14ac:dyDescent="0.25"/>
    <row r="60615" customFormat="1" x14ac:dyDescent="0.25"/>
    <row r="60616" customFormat="1" x14ac:dyDescent="0.25"/>
    <row r="60617" customFormat="1" x14ac:dyDescent="0.25"/>
    <row r="60618" customFormat="1" x14ac:dyDescent="0.25"/>
    <row r="60619" customFormat="1" x14ac:dyDescent="0.25"/>
    <row r="60620" customFormat="1" x14ac:dyDescent="0.25"/>
    <row r="60621" customFormat="1" x14ac:dyDescent="0.25"/>
    <row r="60622" customFormat="1" x14ac:dyDescent="0.25"/>
    <row r="60623" customFormat="1" x14ac:dyDescent="0.25"/>
    <row r="60624" customFormat="1" x14ac:dyDescent="0.25"/>
    <row r="60625" customFormat="1" x14ac:dyDescent="0.25"/>
    <row r="60626" customFormat="1" x14ac:dyDescent="0.25"/>
    <row r="60627" customFormat="1" x14ac:dyDescent="0.25"/>
    <row r="60628" customFormat="1" x14ac:dyDescent="0.25"/>
    <row r="60629" customFormat="1" x14ac:dyDescent="0.25"/>
    <row r="60630" customFormat="1" x14ac:dyDescent="0.25"/>
    <row r="60631" customFormat="1" x14ac:dyDescent="0.25"/>
    <row r="60632" customFormat="1" x14ac:dyDescent="0.25"/>
    <row r="60633" customFormat="1" x14ac:dyDescent="0.25"/>
    <row r="60634" customFormat="1" x14ac:dyDescent="0.25"/>
    <row r="60635" customFormat="1" x14ac:dyDescent="0.25"/>
    <row r="60636" customFormat="1" x14ac:dyDescent="0.25"/>
    <row r="60637" customFormat="1" x14ac:dyDescent="0.25"/>
    <row r="60638" customFormat="1" x14ac:dyDescent="0.25"/>
    <row r="60639" customFormat="1" x14ac:dyDescent="0.25"/>
    <row r="60640" customFormat="1" x14ac:dyDescent="0.25"/>
    <row r="60641" customFormat="1" x14ac:dyDescent="0.25"/>
    <row r="60642" customFormat="1" x14ac:dyDescent="0.25"/>
    <row r="60643" customFormat="1" x14ac:dyDescent="0.25"/>
    <row r="60644" customFormat="1" x14ac:dyDescent="0.25"/>
    <row r="60645" customFormat="1" x14ac:dyDescent="0.25"/>
    <row r="60646" customFormat="1" x14ac:dyDescent="0.25"/>
    <row r="60647" customFormat="1" x14ac:dyDescent="0.25"/>
    <row r="60648" customFormat="1" x14ac:dyDescent="0.25"/>
    <row r="60649" customFormat="1" x14ac:dyDescent="0.25"/>
    <row r="60650" customFormat="1" x14ac:dyDescent="0.25"/>
    <row r="60651" customFormat="1" x14ac:dyDescent="0.25"/>
    <row r="60652" customFormat="1" x14ac:dyDescent="0.25"/>
    <row r="60653" customFormat="1" x14ac:dyDescent="0.25"/>
    <row r="60654" customFormat="1" x14ac:dyDescent="0.25"/>
    <row r="60655" customFormat="1" x14ac:dyDescent="0.25"/>
    <row r="60656" customFormat="1" x14ac:dyDescent="0.25"/>
    <row r="60657" customFormat="1" x14ac:dyDescent="0.25"/>
    <row r="60658" customFormat="1" x14ac:dyDescent="0.25"/>
    <row r="60659" customFormat="1" x14ac:dyDescent="0.25"/>
    <row r="60660" customFormat="1" x14ac:dyDescent="0.25"/>
    <row r="60661" customFormat="1" x14ac:dyDescent="0.25"/>
    <row r="60662" customFormat="1" x14ac:dyDescent="0.25"/>
    <row r="60663" customFormat="1" x14ac:dyDescent="0.25"/>
    <row r="60664" customFormat="1" x14ac:dyDescent="0.25"/>
    <row r="60665" customFormat="1" x14ac:dyDescent="0.25"/>
    <row r="60666" customFormat="1" x14ac:dyDescent="0.25"/>
    <row r="60667" customFormat="1" x14ac:dyDescent="0.25"/>
    <row r="60668" customFormat="1" x14ac:dyDescent="0.25"/>
    <row r="60669" customFormat="1" x14ac:dyDescent="0.25"/>
    <row r="60670" customFormat="1" x14ac:dyDescent="0.25"/>
    <row r="60671" customFormat="1" x14ac:dyDescent="0.25"/>
    <row r="60672" customFormat="1" x14ac:dyDescent="0.25"/>
    <row r="60673" customFormat="1" x14ac:dyDescent="0.25"/>
    <row r="60674" customFormat="1" x14ac:dyDescent="0.25"/>
    <row r="60675" customFormat="1" x14ac:dyDescent="0.25"/>
    <row r="60676" customFormat="1" x14ac:dyDescent="0.25"/>
    <row r="60677" customFormat="1" x14ac:dyDescent="0.25"/>
    <row r="60678" customFormat="1" x14ac:dyDescent="0.25"/>
    <row r="60679" customFormat="1" x14ac:dyDescent="0.25"/>
    <row r="60680" customFormat="1" x14ac:dyDescent="0.25"/>
    <row r="60681" customFormat="1" x14ac:dyDescent="0.25"/>
    <row r="60682" customFormat="1" x14ac:dyDescent="0.25"/>
    <row r="60683" customFormat="1" x14ac:dyDescent="0.25"/>
    <row r="60684" customFormat="1" x14ac:dyDescent="0.25"/>
    <row r="60685" customFormat="1" x14ac:dyDescent="0.25"/>
    <row r="60686" customFormat="1" x14ac:dyDescent="0.25"/>
    <row r="60687" customFormat="1" x14ac:dyDescent="0.25"/>
    <row r="60688" customFormat="1" x14ac:dyDescent="0.25"/>
    <row r="60689" customFormat="1" x14ac:dyDescent="0.25"/>
    <row r="60690" customFormat="1" x14ac:dyDescent="0.25"/>
    <row r="60691" customFormat="1" x14ac:dyDescent="0.25"/>
    <row r="60692" customFormat="1" x14ac:dyDescent="0.25"/>
    <row r="60693" customFormat="1" x14ac:dyDescent="0.25"/>
    <row r="60694" customFormat="1" x14ac:dyDescent="0.25"/>
    <row r="60695" customFormat="1" x14ac:dyDescent="0.25"/>
    <row r="60696" customFormat="1" x14ac:dyDescent="0.25"/>
    <row r="60697" customFormat="1" x14ac:dyDescent="0.25"/>
    <row r="60698" customFormat="1" x14ac:dyDescent="0.25"/>
    <row r="60699" customFormat="1" x14ac:dyDescent="0.25"/>
    <row r="60700" customFormat="1" x14ac:dyDescent="0.25"/>
    <row r="60701" customFormat="1" x14ac:dyDescent="0.25"/>
    <row r="60702" customFormat="1" x14ac:dyDescent="0.25"/>
    <row r="60703" customFormat="1" x14ac:dyDescent="0.25"/>
    <row r="60704" customFormat="1" x14ac:dyDescent="0.25"/>
    <row r="60705" customFormat="1" x14ac:dyDescent="0.25"/>
    <row r="60706" customFormat="1" x14ac:dyDescent="0.25"/>
    <row r="60707" customFormat="1" x14ac:dyDescent="0.25"/>
    <row r="60708" customFormat="1" x14ac:dyDescent="0.25"/>
    <row r="60709" customFormat="1" x14ac:dyDescent="0.25"/>
    <row r="60710" customFormat="1" x14ac:dyDescent="0.25"/>
    <row r="60711" customFormat="1" x14ac:dyDescent="0.25"/>
    <row r="60712" customFormat="1" x14ac:dyDescent="0.25"/>
    <row r="60713" customFormat="1" x14ac:dyDescent="0.25"/>
    <row r="60714" customFormat="1" x14ac:dyDescent="0.25"/>
    <row r="60715" customFormat="1" x14ac:dyDescent="0.25"/>
    <row r="60716" customFormat="1" x14ac:dyDescent="0.25"/>
    <row r="60717" customFormat="1" x14ac:dyDescent="0.25"/>
    <row r="60718" customFormat="1" x14ac:dyDescent="0.25"/>
    <row r="60719" customFormat="1" x14ac:dyDescent="0.25"/>
    <row r="60720" customFormat="1" x14ac:dyDescent="0.25"/>
    <row r="60721" customFormat="1" x14ac:dyDescent="0.25"/>
    <row r="60722" customFormat="1" x14ac:dyDescent="0.25"/>
    <row r="60723" customFormat="1" x14ac:dyDescent="0.25"/>
    <row r="60724" customFormat="1" x14ac:dyDescent="0.25"/>
    <row r="60725" customFormat="1" x14ac:dyDescent="0.25"/>
    <row r="60726" customFormat="1" x14ac:dyDescent="0.25"/>
    <row r="60727" customFormat="1" x14ac:dyDescent="0.25"/>
    <row r="60728" customFormat="1" x14ac:dyDescent="0.25"/>
    <row r="60729" customFormat="1" x14ac:dyDescent="0.25"/>
    <row r="60730" customFormat="1" x14ac:dyDescent="0.25"/>
    <row r="60731" customFormat="1" x14ac:dyDescent="0.25"/>
    <row r="60732" customFormat="1" x14ac:dyDescent="0.25"/>
    <row r="60733" customFormat="1" x14ac:dyDescent="0.25"/>
    <row r="60734" customFormat="1" x14ac:dyDescent="0.25"/>
    <row r="60735" customFormat="1" x14ac:dyDescent="0.25"/>
    <row r="60736" customFormat="1" x14ac:dyDescent="0.25"/>
    <row r="60737" customFormat="1" x14ac:dyDescent="0.25"/>
    <row r="60738" customFormat="1" x14ac:dyDescent="0.25"/>
    <row r="60739" customFormat="1" x14ac:dyDescent="0.25"/>
    <row r="60740" customFormat="1" x14ac:dyDescent="0.25"/>
    <row r="60741" customFormat="1" x14ac:dyDescent="0.25"/>
    <row r="60742" customFormat="1" x14ac:dyDescent="0.25"/>
    <row r="60743" customFormat="1" x14ac:dyDescent="0.25"/>
    <row r="60744" customFormat="1" x14ac:dyDescent="0.25"/>
    <row r="60745" customFormat="1" x14ac:dyDescent="0.25"/>
    <row r="60746" customFormat="1" x14ac:dyDescent="0.25"/>
    <row r="60747" customFormat="1" x14ac:dyDescent="0.25"/>
    <row r="60748" customFormat="1" x14ac:dyDescent="0.25"/>
    <row r="60749" customFormat="1" x14ac:dyDescent="0.25"/>
    <row r="60750" customFormat="1" x14ac:dyDescent="0.25"/>
    <row r="60751" customFormat="1" x14ac:dyDescent="0.25"/>
    <row r="60752" customFormat="1" x14ac:dyDescent="0.25"/>
    <row r="60753" customFormat="1" x14ac:dyDescent="0.25"/>
    <row r="60754" customFormat="1" x14ac:dyDescent="0.25"/>
    <row r="60755" customFormat="1" x14ac:dyDescent="0.25"/>
    <row r="60756" customFormat="1" x14ac:dyDescent="0.25"/>
    <row r="60757" customFormat="1" x14ac:dyDescent="0.25"/>
    <row r="60758" customFormat="1" x14ac:dyDescent="0.25"/>
    <row r="60759" customFormat="1" x14ac:dyDescent="0.25"/>
    <row r="60760" customFormat="1" x14ac:dyDescent="0.25"/>
    <row r="60761" customFormat="1" x14ac:dyDescent="0.25"/>
    <row r="60762" customFormat="1" x14ac:dyDescent="0.25"/>
    <row r="60763" customFormat="1" x14ac:dyDescent="0.25"/>
    <row r="60764" customFormat="1" x14ac:dyDescent="0.25"/>
    <row r="60765" customFormat="1" x14ac:dyDescent="0.25"/>
    <row r="60766" customFormat="1" x14ac:dyDescent="0.25"/>
    <row r="60767" customFormat="1" x14ac:dyDescent="0.25"/>
    <row r="60768" customFormat="1" x14ac:dyDescent="0.25"/>
    <row r="60769" customFormat="1" x14ac:dyDescent="0.25"/>
    <row r="60770" customFormat="1" x14ac:dyDescent="0.25"/>
    <row r="60771" customFormat="1" x14ac:dyDescent="0.25"/>
    <row r="60772" customFormat="1" x14ac:dyDescent="0.25"/>
    <row r="60773" customFormat="1" x14ac:dyDescent="0.25"/>
    <row r="60774" customFormat="1" x14ac:dyDescent="0.25"/>
    <row r="60775" customFormat="1" x14ac:dyDescent="0.25"/>
    <row r="60776" customFormat="1" x14ac:dyDescent="0.25"/>
    <row r="60777" customFormat="1" x14ac:dyDescent="0.25"/>
    <row r="60778" customFormat="1" x14ac:dyDescent="0.25"/>
    <row r="60779" customFormat="1" x14ac:dyDescent="0.25"/>
    <row r="60780" customFormat="1" x14ac:dyDescent="0.25"/>
    <row r="60781" customFormat="1" x14ac:dyDescent="0.25"/>
    <row r="60782" customFormat="1" x14ac:dyDescent="0.25"/>
    <row r="60783" customFormat="1" x14ac:dyDescent="0.25"/>
    <row r="60784" customFormat="1" x14ac:dyDescent="0.25"/>
    <row r="60785" customFormat="1" x14ac:dyDescent="0.25"/>
    <row r="60786" customFormat="1" x14ac:dyDescent="0.25"/>
    <row r="60787" customFormat="1" x14ac:dyDescent="0.25"/>
    <row r="60788" customFormat="1" x14ac:dyDescent="0.25"/>
    <row r="60789" customFormat="1" x14ac:dyDescent="0.25"/>
    <row r="60790" customFormat="1" x14ac:dyDescent="0.25"/>
    <row r="60791" customFormat="1" x14ac:dyDescent="0.25"/>
    <row r="60792" customFormat="1" x14ac:dyDescent="0.25"/>
    <row r="60793" customFormat="1" x14ac:dyDescent="0.25"/>
    <row r="60794" customFormat="1" x14ac:dyDescent="0.25"/>
    <row r="60795" customFormat="1" x14ac:dyDescent="0.25"/>
    <row r="60796" customFormat="1" x14ac:dyDescent="0.25"/>
    <row r="60797" customFormat="1" x14ac:dyDescent="0.25"/>
    <row r="60798" customFormat="1" x14ac:dyDescent="0.25"/>
    <row r="60799" customFormat="1" x14ac:dyDescent="0.25"/>
    <row r="60800" customFormat="1" x14ac:dyDescent="0.25"/>
    <row r="60801" customFormat="1" x14ac:dyDescent="0.25"/>
    <row r="60802" customFormat="1" x14ac:dyDescent="0.25"/>
    <row r="60803" customFormat="1" x14ac:dyDescent="0.25"/>
    <row r="60804" customFormat="1" x14ac:dyDescent="0.25"/>
    <row r="60805" customFormat="1" x14ac:dyDescent="0.25"/>
    <row r="60806" customFormat="1" x14ac:dyDescent="0.25"/>
    <row r="60807" customFormat="1" x14ac:dyDescent="0.25"/>
    <row r="60808" customFormat="1" x14ac:dyDescent="0.25"/>
    <row r="60809" customFormat="1" x14ac:dyDescent="0.25"/>
    <row r="60810" customFormat="1" x14ac:dyDescent="0.25"/>
    <row r="60811" customFormat="1" x14ac:dyDescent="0.25"/>
    <row r="60812" customFormat="1" x14ac:dyDescent="0.25"/>
    <row r="60813" customFormat="1" x14ac:dyDescent="0.25"/>
    <row r="60814" customFormat="1" x14ac:dyDescent="0.25"/>
    <row r="60815" customFormat="1" x14ac:dyDescent="0.25"/>
    <row r="60816" customFormat="1" x14ac:dyDescent="0.25"/>
    <row r="60817" customFormat="1" x14ac:dyDescent="0.25"/>
    <row r="60818" customFormat="1" x14ac:dyDescent="0.25"/>
    <row r="60819" customFormat="1" x14ac:dyDescent="0.25"/>
    <row r="60820" customFormat="1" x14ac:dyDescent="0.25"/>
    <row r="60821" customFormat="1" x14ac:dyDescent="0.25"/>
    <row r="60822" customFormat="1" x14ac:dyDescent="0.25"/>
    <row r="60823" customFormat="1" x14ac:dyDescent="0.25"/>
    <row r="60824" customFormat="1" x14ac:dyDescent="0.25"/>
    <row r="60825" customFormat="1" x14ac:dyDescent="0.25"/>
    <row r="60826" customFormat="1" x14ac:dyDescent="0.25"/>
    <row r="60827" customFormat="1" x14ac:dyDescent="0.25"/>
    <row r="60828" customFormat="1" x14ac:dyDescent="0.25"/>
    <row r="60829" customFormat="1" x14ac:dyDescent="0.25"/>
    <row r="60830" customFormat="1" x14ac:dyDescent="0.25"/>
    <row r="60831" customFormat="1" x14ac:dyDescent="0.25"/>
    <row r="60832" customFormat="1" x14ac:dyDescent="0.25"/>
    <row r="60833" customFormat="1" x14ac:dyDescent="0.25"/>
    <row r="60834" customFormat="1" x14ac:dyDescent="0.25"/>
    <row r="60835" customFormat="1" x14ac:dyDescent="0.25"/>
    <row r="60836" customFormat="1" x14ac:dyDescent="0.25"/>
    <row r="60837" customFormat="1" x14ac:dyDescent="0.25"/>
    <row r="60838" customFormat="1" x14ac:dyDescent="0.25"/>
    <row r="60839" customFormat="1" x14ac:dyDescent="0.25"/>
    <row r="60840" customFormat="1" x14ac:dyDescent="0.25"/>
    <row r="60841" customFormat="1" x14ac:dyDescent="0.25"/>
    <row r="60842" customFormat="1" x14ac:dyDescent="0.25"/>
    <row r="60843" customFormat="1" x14ac:dyDescent="0.25"/>
    <row r="60844" customFormat="1" x14ac:dyDescent="0.25"/>
    <row r="60845" customFormat="1" x14ac:dyDescent="0.25"/>
    <row r="60846" customFormat="1" x14ac:dyDescent="0.25"/>
    <row r="60847" customFormat="1" x14ac:dyDescent="0.25"/>
    <row r="60848" customFormat="1" x14ac:dyDescent="0.25"/>
    <row r="60849" customFormat="1" x14ac:dyDescent="0.25"/>
    <row r="60850" customFormat="1" x14ac:dyDescent="0.25"/>
    <row r="60851" customFormat="1" x14ac:dyDescent="0.25"/>
    <row r="60852" customFormat="1" x14ac:dyDescent="0.25"/>
    <row r="60853" customFormat="1" x14ac:dyDescent="0.25"/>
    <row r="60854" customFormat="1" x14ac:dyDescent="0.25"/>
    <row r="60855" customFormat="1" x14ac:dyDescent="0.25"/>
    <row r="60856" customFormat="1" x14ac:dyDescent="0.25"/>
    <row r="60857" customFormat="1" x14ac:dyDescent="0.25"/>
    <row r="60858" customFormat="1" x14ac:dyDescent="0.25"/>
    <row r="60859" customFormat="1" x14ac:dyDescent="0.25"/>
    <row r="60860" customFormat="1" x14ac:dyDescent="0.25"/>
    <row r="60861" customFormat="1" x14ac:dyDescent="0.25"/>
    <row r="60862" customFormat="1" x14ac:dyDescent="0.25"/>
    <row r="60863" customFormat="1" x14ac:dyDescent="0.25"/>
    <row r="60864" customFormat="1" x14ac:dyDescent="0.25"/>
    <row r="60865" customFormat="1" x14ac:dyDescent="0.25"/>
    <row r="60866" customFormat="1" x14ac:dyDescent="0.25"/>
    <row r="60867" customFormat="1" x14ac:dyDescent="0.25"/>
    <row r="60868" customFormat="1" x14ac:dyDescent="0.25"/>
    <row r="60869" customFormat="1" x14ac:dyDescent="0.25"/>
    <row r="60870" customFormat="1" x14ac:dyDescent="0.25"/>
    <row r="60871" customFormat="1" x14ac:dyDescent="0.25"/>
    <row r="60872" customFormat="1" x14ac:dyDescent="0.25"/>
    <row r="60873" customFormat="1" x14ac:dyDescent="0.25"/>
    <row r="60874" customFormat="1" x14ac:dyDescent="0.25"/>
    <row r="60875" customFormat="1" x14ac:dyDescent="0.25"/>
    <row r="60876" customFormat="1" x14ac:dyDescent="0.25"/>
    <row r="60877" customFormat="1" x14ac:dyDescent="0.25"/>
    <row r="60878" customFormat="1" x14ac:dyDescent="0.25"/>
    <row r="60879" customFormat="1" x14ac:dyDescent="0.25"/>
    <row r="60880" customFormat="1" x14ac:dyDescent="0.25"/>
    <row r="60881" customFormat="1" x14ac:dyDescent="0.25"/>
    <row r="60882" customFormat="1" x14ac:dyDescent="0.25"/>
    <row r="60883" customFormat="1" x14ac:dyDescent="0.25"/>
    <row r="60884" customFormat="1" x14ac:dyDescent="0.25"/>
    <row r="60885" customFormat="1" x14ac:dyDescent="0.25"/>
    <row r="60886" customFormat="1" x14ac:dyDescent="0.25"/>
    <row r="60887" customFormat="1" x14ac:dyDescent="0.25"/>
    <row r="60888" customFormat="1" x14ac:dyDescent="0.25"/>
    <row r="60889" customFormat="1" x14ac:dyDescent="0.25"/>
    <row r="60890" customFormat="1" x14ac:dyDescent="0.25"/>
    <row r="60891" customFormat="1" x14ac:dyDescent="0.25"/>
    <row r="60892" customFormat="1" x14ac:dyDescent="0.25"/>
    <row r="60893" customFormat="1" x14ac:dyDescent="0.25"/>
    <row r="60894" customFormat="1" x14ac:dyDescent="0.25"/>
    <row r="60895" customFormat="1" x14ac:dyDescent="0.25"/>
    <row r="60896" customFormat="1" x14ac:dyDescent="0.25"/>
    <row r="60897" customFormat="1" x14ac:dyDescent="0.25"/>
    <row r="60898" customFormat="1" x14ac:dyDescent="0.25"/>
    <row r="60899" customFormat="1" x14ac:dyDescent="0.25"/>
    <row r="60900" customFormat="1" x14ac:dyDescent="0.25"/>
    <row r="60901" customFormat="1" x14ac:dyDescent="0.25"/>
    <row r="60902" customFormat="1" x14ac:dyDescent="0.25"/>
    <row r="60903" customFormat="1" x14ac:dyDescent="0.25"/>
    <row r="60904" customFormat="1" x14ac:dyDescent="0.25"/>
    <row r="60905" customFormat="1" x14ac:dyDescent="0.25"/>
    <row r="60906" customFormat="1" x14ac:dyDescent="0.25"/>
    <row r="60907" customFormat="1" x14ac:dyDescent="0.25"/>
    <row r="60908" customFormat="1" x14ac:dyDescent="0.25"/>
    <row r="60909" customFormat="1" x14ac:dyDescent="0.25"/>
    <row r="60910" customFormat="1" x14ac:dyDescent="0.25"/>
    <row r="60911" customFormat="1" x14ac:dyDescent="0.25"/>
    <row r="60912" customFormat="1" x14ac:dyDescent="0.25"/>
    <row r="60913" customFormat="1" x14ac:dyDescent="0.25"/>
    <row r="60914" customFormat="1" x14ac:dyDescent="0.25"/>
    <row r="60915" customFormat="1" x14ac:dyDescent="0.25"/>
    <row r="60916" customFormat="1" x14ac:dyDescent="0.25"/>
    <row r="60917" customFormat="1" x14ac:dyDescent="0.25"/>
    <row r="60918" customFormat="1" x14ac:dyDescent="0.25"/>
    <row r="60919" customFormat="1" x14ac:dyDescent="0.25"/>
    <row r="60920" customFormat="1" x14ac:dyDescent="0.25"/>
    <row r="60921" customFormat="1" x14ac:dyDescent="0.25"/>
    <row r="60922" customFormat="1" x14ac:dyDescent="0.25"/>
    <row r="60923" customFormat="1" x14ac:dyDescent="0.25"/>
    <row r="60924" customFormat="1" x14ac:dyDescent="0.25"/>
    <row r="60925" customFormat="1" x14ac:dyDescent="0.25"/>
    <row r="60926" customFormat="1" x14ac:dyDescent="0.25"/>
    <row r="60927" customFormat="1" x14ac:dyDescent="0.25"/>
    <row r="60928" customFormat="1" x14ac:dyDescent="0.25"/>
    <row r="60929" customFormat="1" x14ac:dyDescent="0.25"/>
    <row r="60930" customFormat="1" x14ac:dyDescent="0.25"/>
    <row r="60931" customFormat="1" x14ac:dyDescent="0.25"/>
    <row r="60932" customFormat="1" x14ac:dyDescent="0.25"/>
    <row r="60933" customFormat="1" x14ac:dyDescent="0.25"/>
    <row r="60934" customFormat="1" x14ac:dyDescent="0.25"/>
    <row r="60935" customFormat="1" x14ac:dyDescent="0.25"/>
    <row r="60936" customFormat="1" x14ac:dyDescent="0.25"/>
    <row r="60937" customFormat="1" x14ac:dyDescent="0.25"/>
    <row r="60938" customFormat="1" x14ac:dyDescent="0.25"/>
    <row r="60939" customFormat="1" x14ac:dyDescent="0.25"/>
    <row r="60940" customFormat="1" x14ac:dyDescent="0.25"/>
    <row r="60941" customFormat="1" x14ac:dyDescent="0.25"/>
    <row r="60942" customFormat="1" x14ac:dyDescent="0.25"/>
    <row r="60943" customFormat="1" x14ac:dyDescent="0.25"/>
    <row r="60944" customFormat="1" x14ac:dyDescent="0.25"/>
    <row r="60945" customFormat="1" x14ac:dyDescent="0.25"/>
    <row r="60946" customFormat="1" x14ac:dyDescent="0.25"/>
    <row r="60947" customFormat="1" x14ac:dyDescent="0.25"/>
    <row r="60948" customFormat="1" x14ac:dyDescent="0.25"/>
    <row r="60949" customFormat="1" x14ac:dyDescent="0.25"/>
    <row r="60950" customFormat="1" x14ac:dyDescent="0.25"/>
    <row r="60951" customFormat="1" x14ac:dyDescent="0.25"/>
    <row r="60952" customFormat="1" x14ac:dyDescent="0.25"/>
    <row r="60953" customFormat="1" x14ac:dyDescent="0.25"/>
    <row r="60954" customFormat="1" x14ac:dyDescent="0.25"/>
    <row r="60955" customFormat="1" x14ac:dyDescent="0.25"/>
    <row r="60956" customFormat="1" x14ac:dyDescent="0.25"/>
    <row r="60957" customFormat="1" x14ac:dyDescent="0.25"/>
    <row r="60958" customFormat="1" x14ac:dyDescent="0.25"/>
    <row r="60959" customFormat="1" x14ac:dyDescent="0.25"/>
    <row r="60960" customFormat="1" x14ac:dyDescent="0.25"/>
    <row r="60961" customFormat="1" x14ac:dyDescent="0.25"/>
    <row r="60962" customFormat="1" x14ac:dyDescent="0.25"/>
    <row r="60963" customFormat="1" x14ac:dyDescent="0.25"/>
    <row r="60964" customFormat="1" x14ac:dyDescent="0.25"/>
    <row r="60965" customFormat="1" x14ac:dyDescent="0.25"/>
    <row r="60966" customFormat="1" x14ac:dyDescent="0.25"/>
    <row r="60967" customFormat="1" x14ac:dyDescent="0.25"/>
    <row r="60968" customFormat="1" x14ac:dyDescent="0.25"/>
    <row r="60969" customFormat="1" x14ac:dyDescent="0.25"/>
    <row r="60970" customFormat="1" x14ac:dyDescent="0.25"/>
    <row r="60971" customFormat="1" x14ac:dyDescent="0.25"/>
    <row r="60972" customFormat="1" x14ac:dyDescent="0.25"/>
    <row r="60973" customFormat="1" x14ac:dyDescent="0.25"/>
    <row r="60974" customFormat="1" x14ac:dyDescent="0.25"/>
    <row r="60975" customFormat="1" x14ac:dyDescent="0.25"/>
    <row r="60976" customFormat="1" x14ac:dyDescent="0.25"/>
    <row r="60977" customFormat="1" x14ac:dyDescent="0.25"/>
    <row r="60978" customFormat="1" x14ac:dyDescent="0.25"/>
    <row r="60979" customFormat="1" x14ac:dyDescent="0.25"/>
    <row r="60980" customFormat="1" x14ac:dyDescent="0.25"/>
    <row r="60981" customFormat="1" x14ac:dyDescent="0.25"/>
    <row r="60982" customFormat="1" x14ac:dyDescent="0.25"/>
    <row r="60983" customFormat="1" x14ac:dyDescent="0.25"/>
    <row r="60984" customFormat="1" x14ac:dyDescent="0.25"/>
    <row r="60985" customFormat="1" x14ac:dyDescent="0.25"/>
    <row r="60986" customFormat="1" x14ac:dyDescent="0.25"/>
    <row r="60987" customFormat="1" x14ac:dyDescent="0.25"/>
    <row r="60988" customFormat="1" x14ac:dyDescent="0.25"/>
    <row r="60989" customFormat="1" x14ac:dyDescent="0.25"/>
    <row r="60990" customFormat="1" x14ac:dyDescent="0.25"/>
    <row r="60991" customFormat="1" x14ac:dyDescent="0.25"/>
    <row r="60992" customFormat="1" x14ac:dyDescent="0.25"/>
    <row r="60993" customFormat="1" x14ac:dyDescent="0.25"/>
    <row r="60994" customFormat="1" x14ac:dyDescent="0.25"/>
    <row r="60995" customFormat="1" x14ac:dyDescent="0.25"/>
    <row r="60996" customFormat="1" x14ac:dyDescent="0.25"/>
    <row r="60997" customFormat="1" x14ac:dyDescent="0.25"/>
    <row r="60998" customFormat="1" x14ac:dyDescent="0.25"/>
    <row r="60999" customFormat="1" x14ac:dyDescent="0.25"/>
    <row r="61000" customFormat="1" x14ac:dyDescent="0.25"/>
    <row r="61001" customFormat="1" x14ac:dyDescent="0.25"/>
    <row r="61002" customFormat="1" x14ac:dyDescent="0.25"/>
    <row r="61003" customFormat="1" x14ac:dyDescent="0.25"/>
    <row r="61004" customFormat="1" x14ac:dyDescent="0.25"/>
    <row r="61005" customFormat="1" x14ac:dyDescent="0.25"/>
    <row r="61006" customFormat="1" x14ac:dyDescent="0.25"/>
    <row r="61007" customFormat="1" x14ac:dyDescent="0.25"/>
    <row r="61008" customFormat="1" x14ac:dyDescent="0.25"/>
    <row r="61009" customFormat="1" x14ac:dyDescent="0.25"/>
    <row r="61010" customFormat="1" x14ac:dyDescent="0.25"/>
    <row r="61011" customFormat="1" x14ac:dyDescent="0.25"/>
    <row r="61012" customFormat="1" x14ac:dyDescent="0.25"/>
    <row r="61013" customFormat="1" x14ac:dyDescent="0.25"/>
    <row r="61014" customFormat="1" x14ac:dyDescent="0.25"/>
    <row r="61015" customFormat="1" x14ac:dyDescent="0.25"/>
    <row r="61016" customFormat="1" x14ac:dyDescent="0.25"/>
    <row r="61017" customFormat="1" x14ac:dyDescent="0.25"/>
    <row r="61018" customFormat="1" x14ac:dyDescent="0.25"/>
    <row r="61019" customFormat="1" x14ac:dyDescent="0.25"/>
    <row r="61020" customFormat="1" x14ac:dyDescent="0.25"/>
    <row r="61021" customFormat="1" x14ac:dyDescent="0.25"/>
    <row r="61022" customFormat="1" x14ac:dyDescent="0.25"/>
    <row r="61023" customFormat="1" x14ac:dyDescent="0.25"/>
    <row r="61024" customFormat="1" x14ac:dyDescent="0.25"/>
    <row r="61025" customFormat="1" x14ac:dyDescent="0.25"/>
    <row r="61026" customFormat="1" x14ac:dyDescent="0.25"/>
    <row r="61027" customFormat="1" x14ac:dyDescent="0.25"/>
    <row r="61028" customFormat="1" x14ac:dyDescent="0.25"/>
    <row r="61029" customFormat="1" x14ac:dyDescent="0.25"/>
    <row r="61030" customFormat="1" x14ac:dyDescent="0.25"/>
    <row r="61031" customFormat="1" x14ac:dyDescent="0.25"/>
    <row r="61032" customFormat="1" x14ac:dyDescent="0.25"/>
    <row r="61033" customFormat="1" x14ac:dyDescent="0.25"/>
    <row r="61034" customFormat="1" x14ac:dyDescent="0.25"/>
    <row r="61035" customFormat="1" x14ac:dyDescent="0.25"/>
    <row r="61036" customFormat="1" x14ac:dyDescent="0.25"/>
    <row r="61037" customFormat="1" x14ac:dyDescent="0.25"/>
    <row r="61038" customFormat="1" x14ac:dyDescent="0.25"/>
    <row r="61039" customFormat="1" x14ac:dyDescent="0.25"/>
    <row r="61040" customFormat="1" x14ac:dyDescent="0.25"/>
    <row r="61041" customFormat="1" x14ac:dyDescent="0.25"/>
    <row r="61042" customFormat="1" x14ac:dyDescent="0.25"/>
    <row r="61043" customFormat="1" x14ac:dyDescent="0.25"/>
    <row r="61044" customFormat="1" x14ac:dyDescent="0.25"/>
    <row r="61045" customFormat="1" x14ac:dyDescent="0.25"/>
    <row r="61046" customFormat="1" x14ac:dyDescent="0.25"/>
    <row r="61047" customFormat="1" x14ac:dyDescent="0.25"/>
    <row r="61048" customFormat="1" x14ac:dyDescent="0.25"/>
    <row r="61049" customFormat="1" x14ac:dyDescent="0.25"/>
    <row r="61050" customFormat="1" x14ac:dyDescent="0.25"/>
    <row r="61051" customFormat="1" x14ac:dyDescent="0.25"/>
    <row r="61052" customFormat="1" x14ac:dyDescent="0.25"/>
    <row r="61053" customFormat="1" x14ac:dyDescent="0.25"/>
    <row r="61054" customFormat="1" x14ac:dyDescent="0.25"/>
    <row r="61055" customFormat="1" x14ac:dyDescent="0.25"/>
    <row r="61056" customFormat="1" x14ac:dyDescent="0.25"/>
    <row r="61057" customFormat="1" x14ac:dyDescent="0.25"/>
    <row r="61058" customFormat="1" x14ac:dyDescent="0.25"/>
    <row r="61059" customFormat="1" x14ac:dyDescent="0.25"/>
    <row r="61060" customFormat="1" x14ac:dyDescent="0.25"/>
    <row r="61061" customFormat="1" x14ac:dyDescent="0.25"/>
    <row r="61062" customFormat="1" x14ac:dyDescent="0.25"/>
    <row r="61063" customFormat="1" x14ac:dyDescent="0.25"/>
    <row r="61064" customFormat="1" x14ac:dyDescent="0.25"/>
    <row r="61065" customFormat="1" x14ac:dyDescent="0.25"/>
    <row r="61066" customFormat="1" x14ac:dyDescent="0.25"/>
    <row r="61067" customFormat="1" x14ac:dyDescent="0.25"/>
    <row r="61068" customFormat="1" x14ac:dyDescent="0.25"/>
    <row r="61069" customFormat="1" x14ac:dyDescent="0.25"/>
    <row r="61070" customFormat="1" x14ac:dyDescent="0.25"/>
    <row r="61071" customFormat="1" x14ac:dyDescent="0.25"/>
    <row r="61072" customFormat="1" x14ac:dyDescent="0.25"/>
    <row r="61073" customFormat="1" x14ac:dyDescent="0.25"/>
    <row r="61074" customFormat="1" x14ac:dyDescent="0.25"/>
    <row r="61075" customFormat="1" x14ac:dyDescent="0.25"/>
    <row r="61076" customFormat="1" x14ac:dyDescent="0.25"/>
    <row r="61077" customFormat="1" x14ac:dyDescent="0.25"/>
    <row r="61078" customFormat="1" x14ac:dyDescent="0.25"/>
    <row r="61079" customFormat="1" x14ac:dyDescent="0.25"/>
    <row r="61080" customFormat="1" x14ac:dyDescent="0.25"/>
    <row r="61081" customFormat="1" x14ac:dyDescent="0.25"/>
    <row r="61082" customFormat="1" x14ac:dyDescent="0.25"/>
    <row r="61083" customFormat="1" x14ac:dyDescent="0.25"/>
    <row r="61084" customFormat="1" x14ac:dyDescent="0.25"/>
    <row r="61085" customFormat="1" x14ac:dyDescent="0.25"/>
    <row r="61086" customFormat="1" x14ac:dyDescent="0.25"/>
    <row r="61087" customFormat="1" x14ac:dyDescent="0.25"/>
    <row r="61088" customFormat="1" x14ac:dyDescent="0.25"/>
    <row r="61089" customFormat="1" x14ac:dyDescent="0.25"/>
    <row r="61090" customFormat="1" x14ac:dyDescent="0.25"/>
    <row r="61091" customFormat="1" x14ac:dyDescent="0.25"/>
    <row r="61092" customFormat="1" x14ac:dyDescent="0.25"/>
    <row r="61093" customFormat="1" x14ac:dyDescent="0.25"/>
    <row r="61094" customFormat="1" x14ac:dyDescent="0.25"/>
    <row r="61095" customFormat="1" x14ac:dyDescent="0.25"/>
    <row r="61096" customFormat="1" x14ac:dyDescent="0.25"/>
    <row r="61097" customFormat="1" x14ac:dyDescent="0.25"/>
    <row r="61098" customFormat="1" x14ac:dyDescent="0.25"/>
    <row r="61099" customFormat="1" x14ac:dyDescent="0.25"/>
    <row r="61100" customFormat="1" x14ac:dyDescent="0.25"/>
    <row r="61101" customFormat="1" x14ac:dyDescent="0.25"/>
    <row r="61102" customFormat="1" x14ac:dyDescent="0.25"/>
    <row r="61103" customFormat="1" x14ac:dyDescent="0.25"/>
    <row r="61104" customFormat="1" x14ac:dyDescent="0.25"/>
    <row r="61105" customFormat="1" x14ac:dyDescent="0.25"/>
    <row r="61106" customFormat="1" x14ac:dyDescent="0.25"/>
    <row r="61107" customFormat="1" x14ac:dyDescent="0.25"/>
    <row r="61108" customFormat="1" x14ac:dyDescent="0.25"/>
    <row r="61109" customFormat="1" x14ac:dyDescent="0.25"/>
    <row r="61110" customFormat="1" x14ac:dyDescent="0.25"/>
    <row r="61111" customFormat="1" x14ac:dyDescent="0.25"/>
    <row r="61112" customFormat="1" x14ac:dyDescent="0.25"/>
    <row r="61113" customFormat="1" x14ac:dyDescent="0.25"/>
    <row r="61114" customFormat="1" x14ac:dyDescent="0.25"/>
    <row r="61115" customFormat="1" x14ac:dyDescent="0.25"/>
    <row r="61116" customFormat="1" x14ac:dyDescent="0.25"/>
    <row r="61117" customFormat="1" x14ac:dyDescent="0.25"/>
    <row r="61118" customFormat="1" x14ac:dyDescent="0.25"/>
    <row r="61119" customFormat="1" x14ac:dyDescent="0.25"/>
    <row r="61120" customFormat="1" x14ac:dyDescent="0.25"/>
    <row r="61121" customFormat="1" x14ac:dyDescent="0.25"/>
    <row r="61122" customFormat="1" x14ac:dyDescent="0.25"/>
    <row r="61123" customFormat="1" x14ac:dyDescent="0.25"/>
    <row r="61124" customFormat="1" x14ac:dyDescent="0.25"/>
    <row r="61125" customFormat="1" x14ac:dyDescent="0.25"/>
    <row r="61126" customFormat="1" x14ac:dyDescent="0.25"/>
    <row r="61127" customFormat="1" x14ac:dyDescent="0.25"/>
    <row r="61128" customFormat="1" x14ac:dyDescent="0.25"/>
    <row r="61129" customFormat="1" x14ac:dyDescent="0.25"/>
    <row r="61130" customFormat="1" x14ac:dyDescent="0.25"/>
    <row r="61131" customFormat="1" x14ac:dyDescent="0.25"/>
    <row r="61132" customFormat="1" x14ac:dyDescent="0.25"/>
    <row r="61133" customFormat="1" x14ac:dyDescent="0.25"/>
    <row r="61134" customFormat="1" x14ac:dyDescent="0.25"/>
    <row r="61135" customFormat="1" x14ac:dyDescent="0.25"/>
    <row r="61136" customFormat="1" x14ac:dyDescent="0.25"/>
    <row r="61137" customFormat="1" x14ac:dyDescent="0.25"/>
    <row r="61138" customFormat="1" x14ac:dyDescent="0.25"/>
    <row r="61139" customFormat="1" x14ac:dyDescent="0.25"/>
    <row r="61140" customFormat="1" x14ac:dyDescent="0.25"/>
    <row r="61141" customFormat="1" x14ac:dyDescent="0.25"/>
    <row r="61142" customFormat="1" x14ac:dyDescent="0.25"/>
    <row r="61143" customFormat="1" x14ac:dyDescent="0.25"/>
    <row r="61144" customFormat="1" x14ac:dyDescent="0.25"/>
    <row r="61145" customFormat="1" x14ac:dyDescent="0.25"/>
    <row r="61146" customFormat="1" x14ac:dyDescent="0.25"/>
    <row r="61147" customFormat="1" x14ac:dyDescent="0.25"/>
    <row r="61148" customFormat="1" x14ac:dyDescent="0.25"/>
    <row r="61149" customFormat="1" x14ac:dyDescent="0.25"/>
    <row r="61150" customFormat="1" x14ac:dyDescent="0.25"/>
    <row r="61151" customFormat="1" x14ac:dyDescent="0.25"/>
    <row r="61152" customFormat="1" x14ac:dyDescent="0.25"/>
    <row r="61153" customFormat="1" x14ac:dyDescent="0.25"/>
    <row r="61154" customFormat="1" x14ac:dyDescent="0.25"/>
    <row r="61155" customFormat="1" x14ac:dyDescent="0.25"/>
    <row r="61156" customFormat="1" x14ac:dyDescent="0.25"/>
    <row r="61157" customFormat="1" x14ac:dyDescent="0.25"/>
    <row r="61158" customFormat="1" x14ac:dyDescent="0.25"/>
    <row r="61159" customFormat="1" x14ac:dyDescent="0.25"/>
    <row r="61160" customFormat="1" x14ac:dyDescent="0.25"/>
    <row r="61161" customFormat="1" x14ac:dyDescent="0.25"/>
    <row r="61162" customFormat="1" x14ac:dyDescent="0.25"/>
    <row r="61163" customFormat="1" x14ac:dyDescent="0.25"/>
    <row r="61164" customFormat="1" x14ac:dyDescent="0.25"/>
    <row r="61165" customFormat="1" x14ac:dyDescent="0.25"/>
    <row r="61166" customFormat="1" x14ac:dyDescent="0.25"/>
    <row r="61167" customFormat="1" x14ac:dyDescent="0.25"/>
    <row r="61168" customFormat="1" x14ac:dyDescent="0.25"/>
    <row r="61169" customFormat="1" x14ac:dyDescent="0.25"/>
    <row r="61170" customFormat="1" x14ac:dyDescent="0.25"/>
    <row r="61171" customFormat="1" x14ac:dyDescent="0.25"/>
    <row r="61172" customFormat="1" x14ac:dyDescent="0.25"/>
    <row r="61173" customFormat="1" x14ac:dyDescent="0.25"/>
    <row r="61174" customFormat="1" x14ac:dyDescent="0.25"/>
    <row r="61175" customFormat="1" x14ac:dyDescent="0.25"/>
    <row r="61176" customFormat="1" x14ac:dyDescent="0.25"/>
    <row r="61177" customFormat="1" x14ac:dyDescent="0.25"/>
    <row r="61178" customFormat="1" x14ac:dyDescent="0.25"/>
    <row r="61179" customFormat="1" x14ac:dyDescent="0.25"/>
    <row r="61180" customFormat="1" x14ac:dyDescent="0.25"/>
    <row r="61181" customFormat="1" x14ac:dyDescent="0.25"/>
    <row r="61182" customFormat="1" x14ac:dyDescent="0.25"/>
    <row r="61183" customFormat="1" x14ac:dyDescent="0.25"/>
    <row r="61184" customFormat="1" x14ac:dyDescent="0.25"/>
    <row r="61185" customFormat="1" x14ac:dyDescent="0.25"/>
    <row r="61186" customFormat="1" x14ac:dyDescent="0.25"/>
    <row r="61187" customFormat="1" x14ac:dyDescent="0.25"/>
    <row r="61188" customFormat="1" x14ac:dyDescent="0.25"/>
    <row r="61189" customFormat="1" x14ac:dyDescent="0.25"/>
    <row r="61190" customFormat="1" x14ac:dyDescent="0.25"/>
    <row r="61191" customFormat="1" x14ac:dyDescent="0.25"/>
    <row r="61192" customFormat="1" x14ac:dyDescent="0.25"/>
    <row r="61193" customFormat="1" x14ac:dyDescent="0.25"/>
    <row r="61194" customFormat="1" x14ac:dyDescent="0.25"/>
    <row r="61195" customFormat="1" x14ac:dyDescent="0.25"/>
    <row r="61196" customFormat="1" x14ac:dyDescent="0.25"/>
    <row r="61197" customFormat="1" x14ac:dyDescent="0.25"/>
    <row r="61198" customFormat="1" x14ac:dyDescent="0.25"/>
    <row r="61199" customFormat="1" x14ac:dyDescent="0.25"/>
    <row r="61200" customFormat="1" x14ac:dyDescent="0.25"/>
    <row r="61201" customFormat="1" x14ac:dyDescent="0.25"/>
    <row r="61202" customFormat="1" x14ac:dyDescent="0.25"/>
    <row r="61203" customFormat="1" x14ac:dyDescent="0.25"/>
    <row r="61204" customFormat="1" x14ac:dyDescent="0.25"/>
    <row r="61205" customFormat="1" x14ac:dyDescent="0.25"/>
    <row r="61206" customFormat="1" x14ac:dyDescent="0.25"/>
    <row r="61207" customFormat="1" x14ac:dyDescent="0.25"/>
    <row r="61208" customFormat="1" x14ac:dyDescent="0.25"/>
    <row r="61209" customFormat="1" x14ac:dyDescent="0.25"/>
    <row r="61210" customFormat="1" x14ac:dyDescent="0.25"/>
    <row r="61211" customFormat="1" x14ac:dyDescent="0.25"/>
    <row r="61212" customFormat="1" x14ac:dyDescent="0.25"/>
    <row r="61213" customFormat="1" x14ac:dyDescent="0.25"/>
    <row r="61214" customFormat="1" x14ac:dyDescent="0.25"/>
    <row r="61215" customFormat="1" x14ac:dyDescent="0.25"/>
    <row r="61216" customFormat="1" x14ac:dyDescent="0.25"/>
    <row r="61217" customFormat="1" x14ac:dyDescent="0.25"/>
    <row r="61218" customFormat="1" x14ac:dyDescent="0.25"/>
    <row r="61219" customFormat="1" x14ac:dyDescent="0.25"/>
    <row r="61220" customFormat="1" x14ac:dyDescent="0.25"/>
    <row r="61221" customFormat="1" x14ac:dyDescent="0.25"/>
    <row r="61222" customFormat="1" x14ac:dyDescent="0.25"/>
    <row r="61223" customFormat="1" x14ac:dyDescent="0.25"/>
    <row r="61224" customFormat="1" x14ac:dyDescent="0.25"/>
    <row r="61225" customFormat="1" x14ac:dyDescent="0.25"/>
    <row r="61226" customFormat="1" x14ac:dyDescent="0.25"/>
    <row r="61227" customFormat="1" x14ac:dyDescent="0.25"/>
    <row r="61228" customFormat="1" x14ac:dyDescent="0.25"/>
    <row r="61229" customFormat="1" x14ac:dyDescent="0.25"/>
    <row r="61230" customFormat="1" x14ac:dyDescent="0.25"/>
    <row r="61231" customFormat="1" x14ac:dyDescent="0.25"/>
    <row r="61232" customFormat="1" x14ac:dyDescent="0.25"/>
    <row r="61233" customFormat="1" x14ac:dyDescent="0.25"/>
    <row r="61234" customFormat="1" x14ac:dyDescent="0.25"/>
    <row r="61235" customFormat="1" x14ac:dyDescent="0.25"/>
    <row r="61236" customFormat="1" x14ac:dyDescent="0.25"/>
    <row r="61237" customFormat="1" x14ac:dyDescent="0.25"/>
    <row r="61238" customFormat="1" x14ac:dyDescent="0.25"/>
    <row r="61239" customFormat="1" x14ac:dyDescent="0.25"/>
    <row r="61240" customFormat="1" x14ac:dyDescent="0.25"/>
    <row r="61241" customFormat="1" x14ac:dyDescent="0.25"/>
    <row r="61242" customFormat="1" x14ac:dyDescent="0.25"/>
    <row r="61243" customFormat="1" x14ac:dyDescent="0.25"/>
    <row r="61244" customFormat="1" x14ac:dyDescent="0.25"/>
    <row r="61245" customFormat="1" x14ac:dyDescent="0.25"/>
    <row r="61246" customFormat="1" x14ac:dyDescent="0.25"/>
    <row r="61247" customFormat="1" x14ac:dyDescent="0.25"/>
    <row r="61248" customFormat="1" x14ac:dyDescent="0.25"/>
    <row r="61249" customFormat="1" x14ac:dyDescent="0.25"/>
    <row r="61250" customFormat="1" x14ac:dyDescent="0.25"/>
    <row r="61251" customFormat="1" x14ac:dyDescent="0.25"/>
    <row r="61252" customFormat="1" x14ac:dyDescent="0.25"/>
    <row r="61253" customFormat="1" x14ac:dyDescent="0.25"/>
    <row r="61254" customFormat="1" x14ac:dyDescent="0.25"/>
    <row r="61255" customFormat="1" x14ac:dyDescent="0.25"/>
    <row r="61256" customFormat="1" x14ac:dyDescent="0.25"/>
    <row r="61257" customFormat="1" x14ac:dyDescent="0.25"/>
    <row r="61258" customFormat="1" x14ac:dyDescent="0.25"/>
    <row r="61259" customFormat="1" x14ac:dyDescent="0.25"/>
    <row r="61260" customFormat="1" x14ac:dyDescent="0.25"/>
    <row r="61261" customFormat="1" x14ac:dyDescent="0.25"/>
    <row r="61262" customFormat="1" x14ac:dyDescent="0.25"/>
    <row r="61263" customFormat="1" x14ac:dyDescent="0.25"/>
    <row r="61264" customFormat="1" x14ac:dyDescent="0.25"/>
    <row r="61265" customFormat="1" x14ac:dyDescent="0.25"/>
    <row r="61266" customFormat="1" x14ac:dyDescent="0.25"/>
    <row r="61267" customFormat="1" x14ac:dyDescent="0.25"/>
    <row r="61268" customFormat="1" x14ac:dyDescent="0.25"/>
    <row r="61269" customFormat="1" x14ac:dyDescent="0.25"/>
    <row r="61270" customFormat="1" x14ac:dyDescent="0.25"/>
    <row r="61271" customFormat="1" x14ac:dyDescent="0.25"/>
    <row r="61272" customFormat="1" x14ac:dyDescent="0.25"/>
    <row r="61273" customFormat="1" x14ac:dyDescent="0.25"/>
    <row r="61274" customFormat="1" x14ac:dyDescent="0.25"/>
    <row r="61275" customFormat="1" x14ac:dyDescent="0.25"/>
    <row r="61276" customFormat="1" x14ac:dyDescent="0.25"/>
    <row r="61277" customFormat="1" x14ac:dyDescent="0.25"/>
    <row r="61278" customFormat="1" x14ac:dyDescent="0.25"/>
    <row r="61279" customFormat="1" x14ac:dyDescent="0.25"/>
    <row r="61280" customFormat="1" x14ac:dyDescent="0.25"/>
    <row r="61281" customFormat="1" x14ac:dyDescent="0.25"/>
    <row r="61282" customFormat="1" x14ac:dyDescent="0.25"/>
    <row r="61283" customFormat="1" x14ac:dyDescent="0.25"/>
    <row r="61284" customFormat="1" x14ac:dyDescent="0.25"/>
    <row r="61285" customFormat="1" x14ac:dyDescent="0.25"/>
    <row r="61286" customFormat="1" x14ac:dyDescent="0.25"/>
    <row r="61287" customFormat="1" x14ac:dyDescent="0.25"/>
    <row r="61288" customFormat="1" x14ac:dyDescent="0.25"/>
    <row r="61289" customFormat="1" x14ac:dyDescent="0.25"/>
    <row r="61290" customFormat="1" x14ac:dyDescent="0.25"/>
    <row r="61291" customFormat="1" x14ac:dyDescent="0.25"/>
    <row r="61292" customFormat="1" x14ac:dyDescent="0.25"/>
    <row r="61293" customFormat="1" x14ac:dyDescent="0.25"/>
    <row r="61294" customFormat="1" x14ac:dyDescent="0.25"/>
    <row r="61295" customFormat="1" x14ac:dyDescent="0.25"/>
    <row r="61296" customFormat="1" x14ac:dyDescent="0.25"/>
    <row r="61297" customFormat="1" x14ac:dyDescent="0.25"/>
    <row r="61298" customFormat="1" x14ac:dyDescent="0.25"/>
    <row r="61299" customFormat="1" x14ac:dyDescent="0.25"/>
    <row r="61300" customFormat="1" x14ac:dyDescent="0.25"/>
    <row r="61301" customFormat="1" x14ac:dyDescent="0.25"/>
    <row r="61302" customFormat="1" x14ac:dyDescent="0.25"/>
    <row r="61303" customFormat="1" x14ac:dyDescent="0.25"/>
    <row r="61304" customFormat="1" x14ac:dyDescent="0.25"/>
    <row r="61305" customFormat="1" x14ac:dyDescent="0.25"/>
    <row r="61306" customFormat="1" x14ac:dyDescent="0.25"/>
    <row r="61307" customFormat="1" x14ac:dyDescent="0.25"/>
    <row r="61308" customFormat="1" x14ac:dyDescent="0.25"/>
    <row r="61309" customFormat="1" x14ac:dyDescent="0.25"/>
    <row r="61310" customFormat="1" x14ac:dyDescent="0.25"/>
    <row r="61311" customFormat="1" x14ac:dyDescent="0.25"/>
    <row r="61312" customFormat="1" x14ac:dyDescent="0.25"/>
    <row r="61313" customFormat="1" x14ac:dyDescent="0.25"/>
    <row r="61314" customFormat="1" x14ac:dyDescent="0.25"/>
    <row r="61315" customFormat="1" x14ac:dyDescent="0.25"/>
    <row r="61316" customFormat="1" x14ac:dyDescent="0.25"/>
    <row r="61317" customFormat="1" x14ac:dyDescent="0.25"/>
    <row r="61318" customFormat="1" x14ac:dyDescent="0.25"/>
    <row r="61319" customFormat="1" x14ac:dyDescent="0.25"/>
    <row r="61320" customFormat="1" x14ac:dyDescent="0.25"/>
    <row r="61321" customFormat="1" x14ac:dyDescent="0.25"/>
    <row r="61322" customFormat="1" x14ac:dyDescent="0.25"/>
    <row r="61323" customFormat="1" x14ac:dyDescent="0.25"/>
    <row r="61324" customFormat="1" x14ac:dyDescent="0.25"/>
    <row r="61325" customFormat="1" x14ac:dyDescent="0.25"/>
    <row r="61326" customFormat="1" x14ac:dyDescent="0.25"/>
    <row r="61327" customFormat="1" x14ac:dyDescent="0.25"/>
    <row r="61328" customFormat="1" x14ac:dyDescent="0.25"/>
    <row r="61329" customFormat="1" x14ac:dyDescent="0.25"/>
    <row r="61330" customFormat="1" x14ac:dyDescent="0.25"/>
    <row r="61331" customFormat="1" x14ac:dyDescent="0.25"/>
    <row r="61332" customFormat="1" x14ac:dyDescent="0.25"/>
    <row r="61333" customFormat="1" x14ac:dyDescent="0.25"/>
    <row r="61334" customFormat="1" x14ac:dyDescent="0.25"/>
    <row r="61335" customFormat="1" x14ac:dyDescent="0.25"/>
    <row r="61336" customFormat="1" x14ac:dyDescent="0.25"/>
    <row r="61337" customFormat="1" x14ac:dyDescent="0.25"/>
    <row r="61338" customFormat="1" x14ac:dyDescent="0.25"/>
    <row r="61339" customFormat="1" x14ac:dyDescent="0.25"/>
    <row r="61340" customFormat="1" x14ac:dyDescent="0.25"/>
    <row r="61341" customFormat="1" x14ac:dyDescent="0.25"/>
    <row r="61342" customFormat="1" x14ac:dyDescent="0.25"/>
    <row r="61343" customFormat="1" x14ac:dyDescent="0.25"/>
    <row r="61344" customFormat="1" x14ac:dyDescent="0.25"/>
    <row r="61345" customFormat="1" x14ac:dyDescent="0.25"/>
    <row r="61346" customFormat="1" x14ac:dyDescent="0.25"/>
    <row r="61347" customFormat="1" x14ac:dyDescent="0.25"/>
    <row r="61348" customFormat="1" x14ac:dyDescent="0.25"/>
    <row r="61349" customFormat="1" x14ac:dyDescent="0.25"/>
    <row r="61350" customFormat="1" x14ac:dyDescent="0.25"/>
    <row r="61351" customFormat="1" x14ac:dyDescent="0.25"/>
    <row r="61352" customFormat="1" x14ac:dyDescent="0.25"/>
    <row r="61353" customFormat="1" x14ac:dyDescent="0.25"/>
    <row r="61354" customFormat="1" x14ac:dyDescent="0.25"/>
    <row r="61355" customFormat="1" x14ac:dyDescent="0.25"/>
    <row r="61356" customFormat="1" x14ac:dyDescent="0.25"/>
    <row r="61357" customFormat="1" x14ac:dyDescent="0.25"/>
    <row r="61358" customFormat="1" x14ac:dyDescent="0.25"/>
    <row r="61359" customFormat="1" x14ac:dyDescent="0.25"/>
    <row r="61360" customFormat="1" x14ac:dyDescent="0.25"/>
    <row r="61361" customFormat="1" x14ac:dyDescent="0.25"/>
    <row r="61362" customFormat="1" x14ac:dyDescent="0.25"/>
    <row r="61363" customFormat="1" x14ac:dyDescent="0.25"/>
    <row r="61364" customFormat="1" x14ac:dyDescent="0.25"/>
    <row r="61365" customFormat="1" x14ac:dyDescent="0.25"/>
    <row r="61366" customFormat="1" x14ac:dyDescent="0.25"/>
    <row r="61367" customFormat="1" x14ac:dyDescent="0.25"/>
    <row r="61368" customFormat="1" x14ac:dyDescent="0.25"/>
    <row r="61369" customFormat="1" x14ac:dyDescent="0.25"/>
    <row r="61370" customFormat="1" x14ac:dyDescent="0.25"/>
    <row r="61371" customFormat="1" x14ac:dyDescent="0.25"/>
    <row r="61372" customFormat="1" x14ac:dyDescent="0.25"/>
    <row r="61373" customFormat="1" x14ac:dyDescent="0.25"/>
    <row r="61374" customFormat="1" x14ac:dyDescent="0.25"/>
    <row r="61375" customFormat="1" x14ac:dyDescent="0.25"/>
    <row r="61376" customFormat="1" x14ac:dyDescent="0.25"/>
    <row r="61377" customFormat="1" x14ac:dyDescent="0.25"/>
    <row r="61378" customFormat="1" x14ac:dyDescent="0.25"/>
    <row r="61379" customFormat="1" x14ac:dyDescent="0.25"/>
    <row r="61380" customFormat="1" x14ac:dyDescent="0.25"/>
    <row r="61381" customFormat="1" x14ac:dyDescent="0.25"/>
    <row r="61382" customFormat="1" x14ac:dyDescent="0.25"/>
    <row r="61383" customFormat="1" x14ac:dyDescent="0.25"/>
    <row r="61384" customFormat="1" x14ac:dyDescent="0.25"/>
    <row r="61385" customFormat="1" x14ac:dyDescent="0.25"/>
    <row r="61386" customFormat="1" x14ac:dyDescent="0.25"/>
    <row r="61387" customFormat="1" x14ac:dyDescent="0.25"/>
    <row r="61388" customFormat="1" x14ac:dyDescent="0.25"/>
    <row r="61389" customFormat="1" x14ac:dyDescent="0.25"/>
    <row r="61390" customFormat="1" x14ac:dyDescent="0.25"/>
    <row r="61391" customFormat="1" x14ac:dyDescent="0.25"/>
    <row r="61392" customFormat="1" x14ac:dyDescent="0.25"/>
    <row r="61393" customFormat="1" x14ac:dyDescent="0.25"/>
    <row r="61394" customFormat="1" x14ac:dyDescent="0.25"/>
    <row r="61395" customFormat="1" x14ac:dyDescent="0.25"/>
    <row r="61396" customFormat="1" x14ac:dyDescent="0.25"/>
    <row r="61397" customFormat="1" x14ac:dyDescent="0.25"/>
    <row r="61398" customFormat="1" x14ac:dyDescent="0.25"/>
    <row r="61399" customFormat="1" x14ac:dyDescent="0.25"/>
    <row r="61400" customFormat="1" x14ac:dyDescent="0.25"/>
    <row r="61401" customFormat="1" x14ac:dyDescent="0.25"/>
    <row r="61402" customFormat="1" x14ac:dyDescent="0.25"/>
    <row r="61403" customFormat="1" x14ac:dyDescent="0.25"/>
    <row r="61404" customFormat="1" x14ac:dyDescent="0.25"/>
    <row r="61405" customFormat="1" x14ac:dyDescent="0.25"/>
    <row r="61406" customFormat="1" x14ac:dyDescent="0.25"/>
    <row r="61407" customFormat="1" x14ac:dyDescent="0.25"/>
    <row r="61408" customFormat="1" x14ac:dyDescent="0.25"/>
    <row r="61409" customFormat="1" x14ac:dyDescent="0.25"/>
    <row r="61410" customFormat="1" x14ac:dyDescent="0.25"/>
    <row r="61411" customFormat="1" x14ac:dyDescent="0.25"/>
    <row r="61412" customFormat="1" x14ac:dyDescent="0.25"/>
    <row r="61413" customFormat="1" x14ac:dyDescent="0.25"/>
    <row r="61414" customFormat="1" x14ac:dyDescent="0.25"/>
    <row r="61415" customFormat="1" x14ac:dyDescent="0.25"/>
    <row r="61416" customFormat="1" x14ac:dyDescent="0.25"/>
    <row r="61417" customFormat="1" x14ac:dyDescent="0.25"/>
    <row r="61418" customFormat="1" x14ac:dyDescent="0.25"/>
    <row r="61419" customFormat="1" x14ac:dyDescent="0.25"/>
    <row r="61420" customFormat="1" x14ac:dyDescent="0.25"/>
    <row r="61421" customFormat="1" x14ac:dyDescent="0.25"/>
    <row r="61422" customFormat="1" x14ac:dyDescent="0.25"/>
    <row r="61423" customFormat="1" x14ac:dyDescent="0.25"/>
    <row r="61424" customFormat="1" x14ac:dyDescent="0.25"/>
    <row r="61425" customFormat="1" x14ac:dyDescent="0.25"/>
    <row r="61426" customFormat="1" x14ac:dyDescent="0.25"/>
    <row r="61427" customFormat="1" x14ac:dyDescent="0.25"/>
    <row r="61428" customFormat="1" x14ac:dyDescent="0.25"/>
    <row r="61429" customFormat="1" x14ac:dyDescent="0.25"/>
    <row r="61430" customFormat="1" x14ac:dyDescent="0.25"/>
    <row r="61431" customFormat="1" x14ac:dyDescent="0.25"/>
    <row r="61432" customFormat="1" x14ac:dyDescent="0.25"/>
    <row r="61433" customFormat="1" x14ac:dyDescent="0.25"/>
    <row r="61434" customFormat="1" x14ac:dyDescent="0.25"/>
    <row r="61435" customFormat="1" x14ac:dyDescent="0.25"/>
    <row r="61436" customFormat="1" x14ac:dyDescent="0.25"/>
    <row r="61437" customFormat="1" x14ac:dyDescent="0.25"/>
    <row r="61438" customFormat="1" x14ac:dyDescent="0.25"/>
    <row r="61439" customFormat="1" x14ac:dyDescent="0.25"/>
    <row r="61440" customFormat="1" x14ac:dyDescent="0.25"/>
    <row r="61441" customFormat="1" x14ac:dyDescent="0.25"/>
    <row r="61442" customFormat="1" x14ac:dyDescent="0.25"/>
    <row r="61443" customFormat="1" x14ac:dyDescent="0.25"/>
    <row r="61444" customFormat="1" x14ac:dyDescent="0.25"/>
    <row r="61445" customFormat="1" x14ac:dyDescent="0.25"/>
    <row r="61446" customFormat="1" x14ac:dyDescent="0.25"/>
    <row r="61447" customFormat="1" x14ac:dyDescent="0.25"/>
    <row r="61448" customFormat="1" x14ac:dyDescent="0.25"/>
    <row r="61449" customFormat="1" x14ac:dyDescent="0.25"/>
    <row r="61450" customFormat="1" x14ac:dyDescent="0.25"/>
    <row r="61451" customFormat="1" x14ac:dyDescent="0.25"/>
    <row r="61452" customFormat="1" x14ac:dyDescent="0.25"/>
    <row r="61453" customFormat="1" x14ac:dyDescent="0.25"/>
    <row r="61454" customFormat="1" x14ac:dyDescent="0.25"/>
    <row r="61455" customFormat="1" x14ac:dyDescent="0.25"/>
    <row r="61456" customFormat="1" x14ac:dyDescent="0.25"/>
    <row r="61457" customFormat="1" x14ac:dyDescent="0.25"/>
    <row r="61458" customFormat="1" x14ac:dyDescent="0.25"/>
    <row r="61459" customFormat="1" x14ac:dyDescent="0.25"/>
    <row r="61460" customFormat="1" x14ac:dyDescent="0.25"/>
    <row r="61461" customFormat="1" x14ac:dyDescent="0.25"/>
    <row r="61462" customFormat="1" x14ac:dyDescent="0.25"/>
    <row r="61463" customFormat="1" x14ac:dyDescent="0.25"/>
    <row r="61464" customFormat="1" x14ac:dyDescent="0.25"/>
    <row r="61465" customFormat="1" x14ac:dyDescent="0.25"/>
    <row r="61466" customFormat="1" x14ac:dyDescent="0.25"/>
    <row r="61467" customFormat="1" x14ac:dyDescent="0.25"/>
    <row r="61468" customFormat="1" x14ac:dyDescent="0.25"/>
    <row r="61469" customFormat="1" x14ac:dyDescent="0.25"/>
    <row r="61470" customFormat="1" x14ac:dyDescent="0.25"/>
    <row r="61471" customFormat="1" x14ac:dyDescent="0.25"/>
    <row r="61472" customFormat="1" x14ac:dyDescent="0.25"/>
    <row r="61473" customFormat="1" x14ac:dyDescent="0.25"/>
    <row r="61474" customFormat="1" x14ac:dyDescent="0.25"/>
    <row r="61475" customFormat="1" x14ac:dyDescent="0.25"/>
    <row r="61476" customFormat="1" x14ac:dyDescent="0.25"/>
    <row r="61477" customFormat="1" x14ac:dyDescent="0.25"/>
    <row r="61478" customFormat="1" x14ac:dyDescent="0.25"/>
    <row r="61479" customFormat="1" x14ac:dyDescent="0.25"/>
    <row r="61480" customFormat="1" x14ac:dyDescent="0.25"/>
    <row r="61481" customFormat="1" x14ac:dyDescent="0.25"/>
    <row r="61482" customFormat="1" x14ac:dyDescent="0.25"/>
    <row r="61483" customFormat="1" x14ac:dyDescent="0.25"/>
    <row r="61484" customFormat="1" x14ac:dyDescent="0.25"/>
    <row r="61485" customFormat="1" x14ac:dyDescent="0.25"/>
    <row r="61486" customFormat="1" x14ac:dyDescent="0.25"/>
    <row r="61487" customFormat="1" x14ac:dyDescent="0.25"/>
    <row r="61488" customFormat="1" x14ac:dyDescent="0.25"/>
    <row r="61489" customFormat="1" x14ac:dyDescent="0.25"/>
    <row r="61490" customFormat="1" x14ac:dyDescent="0.25"/>
    <row r="61491" customFormat="1" x14ac:dyDescent="0.25"/>
    <row r="61492" customFormat="1" x14ac:dyDescent="0.25"/>
    <row r="61493" customFormat="1" x14ac:dyDescent="0.25"/>
    <row r="61494" customFormat="1" x14ac:dyDescent="0.25"/>
    <row r="61495" customFormat="1" x14ac:dyDescent="0.25"/>
    <row r="61496" customFormat="1" x14ac:dyDescent="0.25"/>
    <row r="61497" customFormat="1" x14ac:dyDescent="0.25"/>
    <row r="61498" customFormat="1" x14ac:dyDescent="0.25"/>
    <row r="61499" customFormat="1" x14ac:dyDescent="0.25"/>
    <row r="61500" customFormat="1" x14ac:dyDescent="0.25"/>
    <row r="61501" customFormat="1" x14ac:dyDescent="0.25"/>
    <row r="61502" customFormat="1" x14ac:dyDescent="0.25"/>
    <row r="61503" customFormat="1" x14ac:dyDescent="0.25"/>
    <row r="61504" customFormat="1" x14ac:dyDescent="0.25"/>
    <row r="61505" customFormat="1" x14ac:dyDescent="0.25"/>
    <row r="61506" customFormat="1" x14ac:dyDescent="0.25"/>
    <row r="61507" customFormat="1" x14ac:dyDescent="0.25"/>
    <row r="61508" customFormat="1" x14ac:dyDescent="0.25"/>
    <row r="61509" customFormat="1" x14ac:dyDescent="0.25"/>
    <row r="61510" customFormat="1" x14ac:dyDescent="0.25"/>
    <row r="61511" customFormat="1" x14ac:dyDescent="0.25"/>
    <row r="61512" customFormat="1" x14ac:dyDescent="0.25"/>
    <row r="61513" customFormat="1" x14ac:dyDescent="0.25"/>
    <row r="61514" customFormat="1" x14ac:dyDescent="0.25"/>
    <row r="61515" customFormat="1" x14ac:dyDescent="0.25"/>
    <row r="61516" customFormat="1" x14ac:dyDescent="0.25"/>
    <row r="61517" customFormat="1" x14ac:dyDescent="0.25"/>
    <row r="61518" customFormat="1" x14ac:dyDescent="0.25"/>
    <row r="61519" customFormat="1" x14ac:dyDescent="0.25"/>
    <row r="61520" customFormat="1" x14ac:dyDescent="0.25"/>
    <row r="61521" customFormat="1" x14ac:dyDescent="0.25"/>
    <row r="61522" customFormat="1" x14ac:dyDescent="0.25"/>
    <row r="61523" customFormat="1" x14ac:dyDescent="0.25"/>
    <row r="61524" customFormat="1" x14ac:dyDescent="0.25"/>
    <row r="61525" customFormat="1" x14ac:dyDescent="0.25"/>
    <row r="61526" customFormat="1" x14ac:dyDescent="0.25"/>
    <row r="61527" customFormat="1" x14ac:dyDescent="0.25"/>
    <row r="61528" customFormat="1" x14ac:dyDescent="0.25"/>
    <row r="61529" customFormat="1" x14ac:dyDescent="0.25"/>
    <row r="61530" customFormat="1" x14ac:dyDescent="0.25"/>
    <row r="61531" customFormat="1" x14ac:dyDescent="0.25"/>
    <row r="61532" customFormat="1" x14ac:dyDescent="0.25"/>
    <row r="61533" customFormat="1" x14ac:dyDescent="0.25"/>
    <row r="61534" customFormat="1" x14ac:dyDescent="0.25"/>
    <row r="61535" customFormat="1" x14ac:dyDescent="0.25"/>
    <row r="61536" customFormat="1" x14ac:dyDescent="0.25"/>
    <row r="61537" customFormat="1" x14ac:dyDescent="0.25"/>
    <row r="61538" customFormat="1" x14ac:dyDescent="0.25"/>
    <row r="61539" customFormat="1" x14ac:dyDescent="0.25"/>
    <row r="61540" customFormat="1" x14ac:dyDescent="0.25"/>
    <row r="61541" customFormat="1" x14ac:dyDescent="0.25"/>
    <row r="61542" customFormat="1" x14ac:dyDescent="0.25"/>
    <row r="61543" customFormat="1" x14ac:dyDescent="0.25"/>
    <row r="61544" customFormat="1" x14ac:dyDescent="0.25"/>
    <row r="61545" customFormat="1" x14ac:dyDescent="0.25"/>
    <row r="61546" customFormat="1" x14ac:dyDescent="0.25"/>
    <row r="61547" customFormat="1" x14ac:dyDescent="0.25"/>
    <row r="61548" customFormat="1" x14ac:dyDescent="0.25"/>
    <row r="61549" customFormat="1" x14ac:dyDescent="0.25"/>
    <row r="61550" customFormat="1" x14ac:dyDescent="0.25"/>
    <row r="61551" customFormat="1" x14ac:dyDescent="0.25"/>
    <row r="61552" customFormat="1" x14ac:dyDescent="0.25"/>
    <row r="61553" customFormat="1" x14ac:dyDescent="0.25"/>
    <row r="61554" customFormat="1" x14ac:dyDescent="0.25"/>
    <row r="61555" customFormat="1" x14ac:dyDescent="0.25"/>
    <row r="61556" customFormat="1" x14ac:dyDescent="0.25"/>
    <row r="61557" customFormat="1" x14ac:dyDescent="0.25"/>
    <row r="61558" customFormat="1" x14ac:dyDescent="0.25"/>
    <row r="61559" customFormat="1" x14ac:dyDescent="0.25"/>
    <row r="61560" customFormat="1" x14ac:dyDescent="0.25"/>
    <row r="61561" customFormat="1" x14ac:dyDescent="0.25"/>
    <row r="61562" customFormat="1" x14ac:dyDescent="0.25"/>
    <row r="61563" customFormat="1" x14ac:dyDescent="0.25"/>
    <row r="61564" customFormat="1" x14ac:dyDescent="0.25"/>
    <row r="61565" customFormat="1" x14ac:dyDescent="0.25"/>
    <row r="61566" customFormat="1" x14ac:dyDescent="0.25"/>
    <row r="61567" customFormat="1" x14ac:dyDescent="0.25"/>
    <row r="61568" customFormat="1" x14ac:dyDescent="0.25"/>
    <row r="61569" customFormat="1" x14ac:dyDescent="0.25"/>
    <row r="61570" customFormat="1" x14ac:dyDescent="0.25"/>
    <row r="61571" customFormat="1" x14ac:dyDescent="0.25"/>
    <row r="61572" customFormat="1" x14ac:dyDescent="0.25"/>
    <row r="61573" customFormat="1" x14ac:dyDescent="0.25"/>
    <row r="61574" customFormat="1" x14ac:dyDescent="0.25"/>
    <row r="61575" customFormat="1" x14ac:dyDescent="0.25"/>
    <row r="61576" customFormat="1" x14ac:dyDescent="0.25"/>
    <row r="61577" customFormat="1" x14ac:dyDescent="0.25"/>
    <row r="61578" customFormat="1" x14ac:dyDescent="0.25"/>
    <row r="61579" customFormat="1" x14ac:dyDescent="0.25"/>
    <row r="61580" customFormat="1" x14ac:dyDescent="0.25"/>
    <row r="61581" customFormat="1" x14ac:dyDescent="0.25"/>
    <row r="61582" customFormat="1" x14ac:dyDescent="0.25"/>
    <row r="61583" customFormat="1" x14ac:dyDescent="0.25"/>
    <row r="61584" customFormat="1" x14ac:dyDescent="0.25"/>
    <row r="61585" customFormat="1" x14ac:dyDescent="0.25"/>
    <row r="61586" customFormat="1" x14ac:dyDescent="0.25"/>
    <row r="61587" customFormat="1" x14ac:dyDescent="0.25"/>
    <row r="61588" customFormat="1" x14ac:dyDescent="0.25"/>
    <row r="61589" customFormat="1" x14ac:dyDescent="0.25"/>
    <row r="61590" customFormat="1" x14ac:dyDescent="0.25"/>
    <row r="61591" customFormat="1" x14ac:dyDescent="0.25"/>
    <row r="61592" customFormat="1" x14ac:dyDescent="0.25"/>
    <row r="61593" customFormat="1" x14ac:dyDescent="0.25"/>
    <row r="61594" customFormat="1" x14ac:dyDescent="0.25"/>
    <row r="61595" customFormat="1" x14ac:dyDescent="0.25"/>
    <row r="61596" customFormat="1" x14ac:dyDescent="0.25"/>
    <row r="61597" customFormat="1" x14ac:dyDescent="0.25"/>
    <row r="61598" customFormat="1" x14ac:dyDescent="0.25"/>
    <row r="61599" customFormat="1" x14ac:dyDescent="0.25"/>
    <row r="61600" customFormat="1" x14ac:dyDescent="0.25"/>
    <row r="61601" customFormat="1" x14ac:dyDescent="0.25"/>
    <row r="61602" customFormat="1" x14ac:dyDescent="0.25"/>
    <row r="61603" customFormat="1" x14ac:dyDescent="0.25"/>
    <row r="61604" customFormat="1" x14ac:dyDescent="0.25"/>
    <row r="61605" customFormat="1" x14ac:dyDescent="0.25"/>
    <row r="61606" customFormat="1" x14ac:dyDescent="0.25"/>
    <row r="61607" customFormat="1" x14ac:dyDescent="0.25"/>
    <row r="61608" customFormat="1" x14ac:dyDescent="0.25"/>
    <row r="61609" customFormat="1" x14ac:dyDescent="0.25"/>
    <row r="61610" customFormat="1" x14ac:dyDescent="0.25"/>
    <row r="61611" customFormat="1" x14ac:dyDescent="0.25"/>
    <row r="61612" customFormat="1" x14ac:dyDescent="0.25"/>
    <row r="61613" customFormat="1" x14ac:dyDescent="0.25"/>
    <row r="61614" customFormat="1" x14ac:dyDescent="0.25"/>
    <row r="61615" customFormat="1" x14ac:dyDescent="0.25"/>
    <row r="61616" customFormat="1" x14ac:dyDescent="0.25"/>
    <row r="61617" customFormat="1" x14ac:dyDescent="0.25"/>
    <row r="61618" customFormat="1" x14ac:dyDescent="0.25"/>
    <row r="61619" customFormat="1" x14ac:dyDescent="0.25"/>
    <row r="61620" customFormat="1" x14ac:dyDescent="0.25"/>
    <row r="61621" customFormat="1" x14ac:dyDescent="0.25"/>
    <row r="61622" customFormat="1" x14ac:dyDescent="0.25"/>
    <row r="61623" customFormat="1" x14ac:dyDescent="0.25"/>
    <row r="61624" customFormat="1" x14ac:dyDescent="0.25"/>
    <row r="61625" customFormat="1" x14ac:dyDescent="0.25"/>
    <row r="61626" customFormat="1" x14ac:dyDescent="0.25"/>
    <row r="61627" customFormat="1" x14ac:dyDescent="0.25"/>
    <row r="61628" customFormat="1" x14ac:dyDescent="0.25"/>
    <row r="61629" customFormat="1" x14ac:dyDescent="0.25"/>
    <row r="61630" customFormat="1" x14ac:dyDescent="0.25"/>
    <row r="61631" customFormat="1" x14ac:dyDescent="0.25"/>
    <row r="61632" customFormat="1" x14ac:dyDescent="0.25"/>
    <row r="61633" customFormat="1" x14ac:dyDescent="0.25"/>
    <row r="61634" customFormat="1" x14ac:dyDescent="0.25"/>
    <row r="61635" customFormat="1" x14ac:dyDescent="0.25"/>
    <row r="61636" customFormat="1" x14ac:dyDescent="0.25"/>
    <row r="61637" customFormat="1" x14ac:dyDescent="0.25"/>
    <row r="61638" customFormat="1" x14ac:dyDescent="0.25"/>
    <row r="61639" customFormat="1" x14ac:dyDescent="0.25"/>
    <row r="61640" customFormat="1" x14ac:dyDescent="0.25"/>
    <row r="61641" customFormat="1" x14ac:dyDescent="0.25"/>
    <row r="61642" customFormat="1" x14ac:dyDescent="0.25"/>
    <row r="61643" customFormat="1" x14ac:dyDescent="0.25"/>
    <row r="61644" customFormat="1" x14ac:dyDescent="0.25"/>
    <row r="61645" customFormat="1" x14ac:dyDescent="0.25"/>
    <row r="61646" customFormat="1" x14ac:dyDescent="0.25"/>
    <row r="61647" customFormat="1" x14ac:dyDescent="0.25"/>
    <row r="61648" customFormat="1" x14ac:dyDescent="0.25"/>
    <row r="61649" customFormat="1" x14ac:dyDescent="0.25"/>
    <row r="61650" customFormat="1" x14ac:dyDescent="0.25"/>
    <row r="61651" customFormat="1" x14ac:dyDescent="0.25"/>
    <row r="61652" customFormat="1" x14ac:dyDescent="0.25"/>
    <row r="61653" customFormat="1" x14ac:dyDescent="0.25"/>
    <row r="61654" customFormat="1" x14ac:dyDescent="0.25"/>
    <row r="61655" customFormat="1" x14ac:dyDescent="0.25"/>
    <row r="61656" customFormat="1" x14ac:dyDescent="0.25"/>
    <row r="61657" customFormat="1" x14ac:dyDescent="0.25"/>
    <row r="61658" customFormat="1" x14ac:dyDescent="0.25"/>
    <row r="61659" customFormat="1" x14ac:dyDescent="0.25"/>
    <row r="61660" customFormat="1" x14ac:dyDescent="0.25"/>
    <row r="61661" customFormat="1" x14ac:dyDescent="0.25"/>
    <row r="61662" customFormat="1" x14ac:dyDescent="0.25"/>
    <row r="61663" customFormat="1" x14ac:dyDescent="0.25"/>
    <row r="61664" customFormat="1" x14ac:dyDescent="0.25"/>
    <row r="61665" customFormat="1" x14ac:dyDescent="0.25"/>
    <row r="61666" customFormat="1" x14ac:dyDescent="0.25"/>
    <row r="61667" customFormat="1" x14ac:dyDescent="0.25"/>
    <row r="61668" customFormat="1" x14ac:dyDescent="0.25"/>
    <row r="61669" customFormat="1" x14ac:dyDescent="0.25"/>
    <row r="61670" customFormat="1" x14ac:dyDescent="0.25"/>
    <row r="61671" customFormat="1" x14ac:dyDescent="0.25"/>
    <row r="61672" customFormat="1" x14ac:dyDescent="0.25"/>
    <row r="61673" customFormat="1" x14ac:dyDescent="0.25"/>
    <row r="61674" customFormat="1" x14ac:dyDescent="0.25"/>
    <row r="61675" customFormat="1" x14ac:dyDescent="0.25"/>
    <row r="61676" customFormat="1" x14ac:dyDescent="0.25"/>
    <row r="61677" customFormat="1" x14ac:dyDescent="0.25"/>
    <row r="61678" customFormat="1" x14ac:dyDescent="0.25"/>
    <row r="61679" customFormat="1" x14ac:dyDescent="0.25"/>
    <row r="61680" customFormat="1" x14ac:dyDescent="0.25"/>
    <row r="61681" customFormat="1" x14ac:dyDescent="0.25"/>
    <row r="61682" customFormat="1" x14ac:dyDescent="0.25"/>
    <row r="61683" customFormat="1" x14ac:dyDescent="0.25"/>
    <row r="61684" customFormat="1" x14ac:dyDescent="0.25"/>
    <row r="61685" customFormat="1" x14ac:dyDescent="0.25"/>
    <row r="61686" customFormat="1" x14ac:dyDescent="0.25"/>
    <row r="61687" customFormat="1" x14ac:dyDescent="0.25"/>
    <row r="61688" customFormat="1" x14ac:dyDescent="0.25"/>
    <row r="61689" customFormat="1" x14ac:dyDescent="0.25"/>
    <row r="61690" customFormat="1" x14ac:dyDescent="0.25"/>
    <row r="61691" customFormat="1" x14ac:dyDescent="0.25"/>
    <row r="61692" customFormat="1" x14ac:dyDescent="0.25"/>
    <row r="61693" customFormat="1" x14ac:dyDescent="0.25"/>
    <row r="61694" customFormat="1" x14ac:dyDescent="0.25"/>
    <row r="61695" customFormat="1" x14ac:dyDescent="0.25"/>
    <row r="61696" customFormat="1" x14ac:dyDescent="0.25"/>
    <row r="61697" customFormat="1" x14ac:dyDescent="0.25"/>
    <row r="61698" customFormat="1" x14ac:dyDescent="0.25"/>
    <row r="61699" customFormat="1" x14ac:dyDescent="0.25"/>
    <row r="61700" customFormat="1" x14ac:dyDescent="0.25"/>
    <row r="61701" customFormat="1" x14ac:dyDescent="0.25"/>
    <row r="61702" customFormat="1" x14ac:dyDescent="0.25"/>
    <row r="61703" customFormat="1" x14ac:dyDescent="0.25"/>
    <row r="61704" customFormat="1" x14ac:dyDescent="0.25"/>
    <row r="61705" customFormat="1" x14ac:dyDescent="0.25"/>
    <row r="61706" customFormat="1" x14ac:dyDescent="0.25"/>
    <row r="61707" customFormat="1" x14ac:dyDescent="0.25"/>
    <row r="61708" customFormat="1" x14ac:dyDescent="0.25"/>
    <row r="61709" customFormat="1" x14ac:dyDescent="0.25"/>
    <row r="61710" customFormat="1" x14ac:dyDescent="0.25"/>
    <row r="61711" customFormat="1" x14ac:dyDescent="0.25"/>
    <row r="61712" customFormat="1" x14ac:dyDescent="0.25"/>
    <row r="61713" customFormat="1" x14ac:dyDescent="0.25"/>
    <row r="61714" customFormat="1" x14ac:dyDescent="0.25"/>
    <row r="61715" customFormat="1" x14ac:dyDescent="0.25"/>
    <row r="61716" customFormat="1" x14ac:dyDescent="0.25"/>
    <row r="61717" customFormat="1" x14ac:dyDescent="0.25"/>
    <row r="61718" customFormat="1" x14ac:dyDescent="0.25"/>
    <row r="61719" customFormat="1" x14ac:dyDescent="0.25"/>
    <row r="61720" customFormat="1" x14ac:dyDescent="0.25"/>
    <row r="61721" customFormat="1" x14ac:dyDescent="0.25"/>
    <row r="61722" customFormat="1" x14ac:dyDescent="0.25"/>
    <row r="61723" customFormat="1" x14ac:dyDescent="0.25"/>
    <row r="61724" customFormat="1" x14ac:dyDescent="0.25"/>
    <row r="61725" customFormat="1" x14ac:dyDescent="0.25"/>
    <row r="61726" customFormat="1" x14ac:dyDescent="0.25"/>
    <row r="61727" customFormat="1" x14ac:dyDescent="0.25"/>
    <row r="61728" customFormat="1" x14ac:dyDescent="0.25"/>
    <row r="61729" customFormat="1" x14ac:dyDescent="0.25"/>
    <row r="61730" customFormat="1" x14ac:dyDescent="0.25"/>
    <row r="61731" customFormat="1" x14ac:dyDescent="0.25"/>
    <row r="61732" customFormat="1" x14ac:dyDescent="0.25"/>
    <row r="61733" customFormat="1" x14ac:dyDescent="0.25"/>
    <row r="61734" customFormat="1" x14ac:dyDescent="0.25"/>
    <row r="61735" customFormat="1" x14ac:dyDescent="0.25"/>
    <row r="61736" customFormat="1" x14ac:dyDescent="0.25"/>
    <row r="61737" customFormat="1" x14ac:dyDescent="0.25"/>
    <row r="61738" customFormat="1" x14ac:dyDescent="0.25"/>
    <row r="61739" customFormat="1" x14ac:dyDescent="0.25"/>
    <row r="61740" customFormat="1" x14ac:dyDescent="0.25"/>
    <row r="61741" customFormat="1" x14ac:dyDescent="0.25"/>
    <row r="61742" customFormat="1" x14ac:dyDescent="0.25"/>
    <row r="61743" customFormat="1" x14ac:dyDescent="0.25"/>
    <row r="61744" customFormat="1" x14ac:dyDescent="0.25"/>
    <row r="61745" customFormat="1" x14ac:dyDescent="0.25"/>
    <row r="61746" customFormat="1" x14ac:dyDescent="0.25"/>
    <row r="61747" customFormat="1" x14ac:dyDescent="0.25"/>
    <row r="61748" customFormat="1" x14ac:dyDescent="0.25"/>
    <row r="61749" customFormat="1" x14ac:dyDescent="0.25"/>
    <row r="61750" customFormat="1" x14ac:dyDescent="0.25"/>
    <row r="61751" customFormat="1" x14ac:dyDescent="0.25"/>
    <row r="61752" customFormat="1" x14ac:dyDescent="0.25"/>
    <row r="61753" customFormat="1" x14ac:dyDescent="0.25"/>
    <row r="61754" customFormat="1" x14ac:dyDescent="0.25"/>
    <row r="61755" customFormat="1" x14ac:dyDescent="0.25"/>
    <row r="61756" customFormat="1" x14ac:dyDescent="0.25"/>
    <row r="61757" customFormat="1" x14ac:dyDescent="0.25"/>
    <row r="61758" customFormat="1" x14ac:dyDescent="0.25"/>
    <row r="61759" customFormat="1" x14ac:dyDescent="0.25"/>
    <row r="61760" customFormat="1" x14ac:dyDescent="0.25"/>
    <row r="61761" customFormat="1" x14ac:dyDescent="0.25"/>
    <row r="61762" customFormat="1" x14ac:dyDescent="0.25"/>
    <row r="61763" customFormat="1" x14ac:dyDescent="0.25"/>
    <row r="61764" customFormat="1" x14ac:dyDescent="0.25"/>
    <row r="61765" customFormat="1" x14ac:dyDescent="0.25"/>
    <row r="61766" customFormat="1" x14ac:dyDescent="0.25"/>
    <row r="61767" customFormat="1" x14ac:dyDescent="0.25"/>
    <row r="61768" customFormat="1" x14ac:dyDescent="0.25"/>
    <row r="61769" customFormat="1" x14ac:dyDescent="0.25"/>
    <row r="61770" customFormat="1" x14ac:dyDescent="0.25"/>
    <row r="61771" customFormat="1" x14ac:dyDescent="0.25"/>
    <row r="61772" customFormat="1" x14ac:dyDescent="0.25"/>
    <row r="61773" customFormat="1" x14ac:dyDescent="0.25"/>
    <row r="61774" customFormat="1" x14ac:dyDescent="0.25"/>
    <row r="61775" customFormat="1" x14ac:dyDescent="0.25"/>
    <row r="61776" customFormat="1" x14ac:dyDescent="0.25"/>
    <row r="61777" customFormat="1" x14ac:dyDescent="0.25"/>
    <row r="61778" customFormat="1" x14ac:dyDescent="0.25"/>
    <row r="61779" customFormat="1" x14ac:dyDescent="0.25"/>
    <row r="61780" customFormat="1" x14ac:dyDescent="0.25"/>
    <row r="61781" customFormat="1" x14ac:dyDescent="0.25"/>
    <row r="61782" customFormat="1" x14ac:dyDescent="0.25"/>
    <row r="61783" customFormat="1" x14ac:dyDescent="0.25"/>
    <row r="61784" customFormat="1" x14ac:dyDescent="0.25"/>
    <row r="61785" customFormat="1" x14ac:dyDescent="0.25"/>
    <row r="61786" customFormat="1" x14ac:dyDescent="0.25"/>
    <row r="61787" customFormat="1" x14ac:dyDescent="0.25"/>
    <row r="61788" customFormat="1" x14ac:dyDescent="0.25"/>
    <row r="61789" customFormat="1" x14ac:dyDescent="0.25"/>
    <row r="61790" customFormat="1" x14ac:dyDescent="0.25"/>
    <row r="61791" customFormat="1" x14ac:dyDescent="0.25"/>
    <row r="61792" customFormat="1" x14ac:dyDescent="0.25"/>
    <row r="61793" customFormat="1" x14ac:dyDescent="0.25"/>
    <row r="61794" customFormat="1" x14ac:dyDescent="0.25"/>
    <row r="61795" customFormat="1" x14ac:dyDescent="0.25"/>
    <row r="61796" customFormat="1" x14ac:dyDescent="0.25"/>
    <row r="61797" customFormat="1" x14ac:dyDescent="0.25"/>
    <row r="61798" customFormat="1" x14ac:dyDescent="0.25"/>
    <row r="61799" customFormat="1" x14ac:dyDescent="0.25"/>
    <row r="61800" customFormat="1" x14ac:dyDescent="0.25"/>
    <row r="61801" customFormat="1" x14ac:dyDescent="0.25"/>
    <row r="61802" customFormat="1" x14ac:dyDescent="0.25"/>
    <row r="61803" customFormat="1" x14ac:dyDescent="0.25"/>
    <row r="61804" customFormat="1" x14ac:dyDescent="0.25"/>
    <row r="61805" customFormat="1" x14ac:dyDescent="0.25"/>
    <row r="61806" customFormat="1" x14ac:dyDescent="0.25"/>
    <row r="61807" customFormat="1" x14ac:dyDescent="0.25"/>
    <row r="61808" customFormat="1" x14ac:dyDescent="0.25"/>
    <row r="61809" customFormat="1" x14ac:dyDescent="0.25"/>
    <row r="61810" customFormat="1" x14ac:dyDescent="0.25"/>
    <row r="61811" customFormat="1" x14ac:dyDescent="0.25"/>
    <row r="61812" customFormat="1" x14ac:dyDescent="0.25"/>
    <row r="61813" customFormat="1" x14ac:dyDescent="0.25"/>
    <row r="61814" customFormat="1" x14ac:dyDescent="0.25"/>
    <row r="61815" customFormat="1" x14ac:dyDescent="0.25"/>
    <row r="61816" customFormat="1" x14ac:dyDescent="0.25"/>
    <row r="61817" customFormat="1" x14ac:dyDescent="0.25"/>
    <row r="61818" customFormat="1" x14ac:dyDescent="0.25"/>
    <row r="61819" customFormat="1" x14ac:dyDescent="0.25"/>
    <row r="61820" customFormat="1" x14ac:dyDescent="0.25"/>
    <row r="61821" customFormat="1" x14ac:dyDescent="0.25"/>
    <row r="61822" customFormat="1" x14ac:dyDescent="0.25"/>
    <row r="61823" customFormat="1" x14ac:dyDescent="0.25"/>
    <row r="61824" customFormat="1" x14ac:dyDescent="0.25"/>
    <row r="61825" customFormat="1" x14ac:dyDescent="0.25"/>
    <row r="61826" customFormat="1" x14ac:dyDescent="0.25"/>
    <row r="61827" customFormat="1" x14ac:dyDescent="0.25"/>
    <row r="61828" customFormat="1" x14ac:dyDescent="0.25"/>
    <row r="61829" customFormat="1" x14ac:dyDescent="0.25"/>
    <row r="61830" customFormat="1" x14ac:dyDescent="0.25"/>
    <row r="61831" customFormat="1" x14ac:dyDescent="0.25"/>
    <row r="61832" customFormat="1" x14ac:dyDescent="0.25"/>
    <row r="61833" customFormat="1" x14ac:dyDescent="0.25"/>
    <row r="61834" customFormat="1" x14ac:dyDescent="0.25"/>
    <row r="61835" customFormat="1" x14ac:dyDescent="0.25"/>
    <row r="61836" customFormat="1" x14ac:dyDescent="0.25"/>
    <row r="61837" customFormat="1" x14ac:dyDescent="0.25"/>
    <row r="61838" customFormat="1" x14ac:dyDescent="0.25"/>
    <row r="61839" customFormat="1" x14ac:dyDescent="0.25"/>
    <row r="61840" customFormat="1" x14ac:dyDescent="0.25"/>
    <row r="61841" customFormat="1" x14ac:dyDescent="0.25"/>
    <row r="61842" customFormat="1" x14ac:dyDescent="0.25"/>
    <row r="61843" customFormat="1" x14ac:dyDescent="0.25"/>
    <row r="61844" customFormat="1" x14ac:dyDescent="0.25"/>
    <row r="61845" customFormat="1" x14ac:dyDescent="0.25"/>
    <row r="61846" customFormat="1" x14ac:dyDescent="0.25"/>
    <row r="61847" customFormat="1" x14ac:dyDescent="0.25"/>
    <row r="61848" customFormat="1" x14ac:dyDescent="0.25"/>
    <row r="61849" customFormat="1" x14ac:dyDescent="0.25"/>
    <row r="61850" customFormat="1" x14ac:dyDescent="0.25"/>
    <row r="61851" customFormat="1" x14ac:dyDescent="0.25"/>
    <row r="61852" customFormat="1" x14ac:dyDescent="0.25"/>
    <row r="61853" customFormat="1" x14ac:dyDescent="0.25"/>
    <row r="61854" customFormat="1" x14ac:dyDescent="0.25"/>
    <row r="61855" customFormat="1" x14ac:dyDescent="0.25"/>
    <row r="61856" customFormat="1" x14ac:dyDescent="0.25"/>
    <row r="61857" customFormat="1" x14ac:dyDescent="0.25"/>
    <row r="61858" customFormat="1" x14ac:dyDescent="0.25"/>
    <row r="61859" customFormat="1" x14ac:dyDescent="0.25"/>
    <row r="61860" customFormat="1" x14ac:dyDescent="0.25"/>
    <row r="61861" customFormat="1" x14ac:dyDescent="0.25"/>
    <row r="61862" customFormat="1" x14ac:dyDescent="0.25"/>
    <row r="61863" customFormat="1" x14ac:dyDescent="0.25"/>
    <row r="61864" customFormat="1" x14ac:dyDescent="0.25"/>
    <row r="61865" customFormat="1" x14ac:dyDescent="0.25"/>
    <row r="61866" customFormat="1" x14ac:dyDescent="0.25"/>
    <row r="61867" customFormat="1" x14ac:dyDescent="0.25"/>
    <row r="61868" customFormat="1" x14ac:dyDescent="0.25"/>
    <row r="61869" customFormat="1" x14ac:dyDescent="0.25"/>
    <row r="61870" customFormat="1" x14ac:dyDescent="0.25"/>
    <row r="61871" customFormat="1" x14ac:dyDescent="0.25"/>
    <row r="61872" customFormat="1" x14ac:dyDescent="0.25"/>
    <row r="61873" customFormat="1" x14ac:dyDescent="0.25"/>
    <row r="61874" customFormat="1" x14ac:dyDescent="0.25"/>
    <row r="61875" customFormat="1" x14ac:dyDescent="0.25"/>
    <row r="61876" customFormat="1" x14ac:dyDescent="0.25"/>
    <row r="61877" customFormat="1" x14ac:dyDescent="0.25"/>
    <row r="61878" customFormat="1" x14ac:dyDescent="0.25"/>
    <row r="61879" customFormat="1" x14ac:dyDescent="0.25"/>
    <row r="61880" customFormat="1" x14ac:dyDescent="0.25"/>
    <row r="61881" customFormat="1" x14ac:dyDescent="0.25"/>
    <row r="61882" customFormat="1" x14ac:dyDescent="0.25"/>
    <row r="61883" customFormat="1" x14ac:dyDescent="0.25"/>
    <row r="61884" customFormat="1" x14ac:dyDescent="0.25"/>
    <row r="61885" customFormat="1" x14ac:dyDescent="0.25"/>
    <row r="61886" customFormat="1" x14ac:dyDescent="0.25"/>
    <row r="61887" customFormat="1" x14ac:dyDescent="0.25"/>
    <row r="61888" customFormat="1" x14ac:dyDescent="0.25"/>
    <row r="61889" customFormat="1" x14ac:dyDescent="0.25"/>
    <row r="61890" customFormat="1" x14ac:dyDescent="0.25"/>
    <row r="61891" customFormat="1" x14ac:dyDescent="0.25"/>
    <row r="61892" customFormat="1" x14ac:dyDescent="0.25"/>
    <row r="61893" customFormat="1" x14ac:dyDescent="0.25"/>
    <row r="61894" customFormat="1" x14ac:dyDescent="0.25"/>
    <row r="61895" customFormat="1" x14ac:dyDescent="0.25"/>
    <row r="61896" customFormat="1" x14ac:dyDescent="0.25"/>
    <row r="61897" customFormat="1" x14ac:dyDescent="0.25"/>
    <row r="61898" customFormat="1" x14ac:dyDescent="0.25"/>
    <row r="61899" customFormat="1" x14ac:dyDescent="0.25"/>
    <row r="61900" customFormat="1" x14ac:dyDescent="0.25"/>
    <row r="61901" customFormat="1" x14ac:dyDescent="0.25"/>
    <row r="61902" customFormat="1" x14ac:dyDescent="0.25"/>
    <row r="61903" customFormat="1" x14ac:dyDescent="0.25"/>
    <row r="61904" customFormat="1" x14ac:dyDescent="0.25"/>
    <row r="61905" customFormat="1" x14ac:dyDescent="0.25"/>
    <row r="61906" customFormat="1" x14ac:dyDescent="0.25"/>
    <row r="61907" customFormat="1" x14ac:dyDescent="0.25"/>
    <row r="61908" customFormat="1" x14ac:dyDescent="0.25"/>
    <row r="61909" customFormat="1" x14ac:dyDescent="0.25"/>
    <row r="61910" customFormat="1" x14ac:dyDescent="0.25"/>
    <row r="61911" customFormat="1" x14ac:dyDescent="0.25"/>
    <row r="61912" customFormat="1" x14ac:dyDescent="0.25"/>
    <row r="61913" customFormat="1" x14ac:dyDescent="0.25"/>
    <row r="61914" customFormat="1" x14ac:dyDescent="0.25"/>
    <row r="61915" customFormat="1" x14ac:dyDescent="0.25"/>
    <row r="61916" customFormat="1" x14ac:dyDescent="0.25"/>
    <row r="61917" customFormat="1" x14ac:dyDescent="0.25"/>
    <row r="61918" customFormat="1" x14ac:dyDescent="0.25"/>
    <row r="61919" customFormat="1" x14ac:dyDescent="0.25"/>
    <row r="61920" customFormat="1" x14ac:dyDescent="0.25"/>
    <row r="61921" customFormat="1" x14ac:dyDescent="0.25"/>
    <row r="61922" customFormat="1" x14ac:dyDescent="0.25"/>
    <row r="61923" customFormat="1" x14ac:dyDescent="0.25"/>
    <row r="61924" customFormat="1" x14ac:dyDescent="0.25"/>
    <row r="61925" customFormat="1" x14ac:dyDescent="0.25"/>
    <row r="61926" customFormat="1" x14ac:dyDescent="0.25"/>
    <row r="61927" customFormat="1" x14ac:dyDescent="0.25"/>
    <row r="61928" customFormat="1" x14ac:dyDescent="0.25"/>
    <row r="61929" customFormat="1" x14ac:dyDescent="0.25"/>
    <row r="61930" customFormat="1" x14ac:dyDescent="0.25"/>
    <row r="61931" customFormat="1" x14ac:dyDescent="0.25"/>
    <row r="61932" customFormat="1" x14ac:dyDescent="0.25"/>
    <row r="61933" customFormat="1" x14ac:dyDescent="0.25"/>
    <row r="61934" customFormat="1" x14ac:dyDescent="0.25"/>
    <row r="61935" customFormat="1" x14ac:dyDescent="0.25"/>
    <row r="61936" customFormat="1" x14ac:dyDescent="0.25"/>
    <row r="61937" customFormat="1" x14ac:dyDescent="0.25"/>
    <row r="61938" customFormat="1" x14ac:dyDescent="0.25"/>
    <row r="61939" customFormat="1" x14ac:dyDescent="0.25"/>
    <row r="61940" customFormat="1" x14ac:dyDescent="0.25"/>
    <row r="61941" customFormat="1" x14ac:dyDescent="0.25"/>
    <row r="61942" customFormat="1" x14ac:dyDescent="0.25"/>
    <row r="61943" customFormat="1" x14ac:dyDescent="0.25"/>
    <row r="61944" customFormat="1" x14ac:dyDescent="0.25"/>
    <row r="61945" customFormat="1" x14ac:dyDescent="0.25"/>
    <row r="61946" customFormat="1" x14ac:dyDescent="0.25"/>
    <row r="61947" customFormat="1" x14ac:dyDescent="0.25"/>
    <row r="61948" customFormat="1" x14ac:dyDescent="0.25"/>
    <row r="61949" customFormat="1" x14ac:dyDescent="0.25"/>
    <row r="61950" customFormat="1" x14ac:dyDescent="0.25"/>
    <row r="61951" customFormat="1" x14ac:dyDescent="0.25"/>
    <row r="61952" customFormat="1" x14ac:dyDescent="0.25"/>
    <row r="61953" customFormat="1" x14ac:dyDescent="0.25"/>
    <row r="61954" customFormat="1" x14ac:dyDescent="0.25"/>
    <row r="61955" customFormat="1" x14ac:dyDescent="0.25"/>
    <row r="61956" customFormat="1" x14ac:dyDescent="0.25"/>
    <row r="61957" customFormat="1" x14ac:dyDescent="0.25"/>
    <row r="61958" customFormat="1" x14ac:dyDescent="0.25"/>
    <row r="61959" customFormat="1" x14ac:dyDescent="0.25"/>
    <row r="61960" customFormat="1" x14ac:dyDescent="0.25"/>
    <row r="61961" customFormat="1" x14ac:dyDescent="0.25"/>
    <row r="61962" customFormat="1" x14ac:dyDescent="0.25"/>
    <row r="61963" customFormat="1" x14ac:dyDescent="0.25"/>
    <row r="61964" customFormat="1" x14ac:dyDescent="0.25"/>
    <row r="61965" customFormat="1" x14ac:dyDescent="0.25"/>
    <row r="61966" customFormat="1" x14ac:dyDescent="0.25"/>
    <row r="61967" customFormat="1" x14ac:dyDescent="0.25"/>
    <row r="61968" customFormat="1" x14ac:dyDescent="0.25"/>
    <row r="61969" customFormat="1" x14ac:dyDescent="0.25"/>
    <row r="61970" customFormat="1" x14ac:dyDescent="0.25"/>
    <row r="61971" customFormat="1" x14ac:dyDescent="0.25"/>
    <row r="61972" customFormat="1" x14ac:dyDescent="0.25"/>
    <row r="61973" customFormat="1" x14ac:dyDescent="0.25"/>
    <row r="61974" customFormat="1" x14ac:dyDescent="0.25"/>
    <row r="61975" customFormat="1" x14ac:dyDescent="0.25"/>
    <row r="61976" customFormat="1" x14ac:dyDescent="0.25"/>
    <row r="61977" customFormat="1" x14ac:dyDescent="0.25"/>
    <row r="61978" customFormat="1" x14ac:dyDescent="0.25"/>
    <row r="61979" customFormat="1" x14ac:dyDescent="0.25"/>
    <row r="61980" customFormat="1" x14ac:dyDescent="0.25"/>
    <row r="61981" customFormat="1" x14ac:dyDescent="0.25"/>
    <row r="61982" customFormat="1" x14ac:dyDescent="0.25"/>
    <row r="61983" customFormat="1" x14ac:dyDescent="0.25"/>
    <row r="61984" customFormat="1" x14ac:dyDescent="0.25"/>
    <row r="61985" customFormat="1" x14ac:dyDescent="0.25"/>
    <row r="61986" customFormat="1" x14ac:dyDescent="0.25"/>
    <row r="61987" customFormat="1" x14ac:dyDescent="0.25"/>
    <row r="61988" customFormat="1" x14ac:dyDescent="0.25"/>
    <row r="61989" customFormat="1" x14ac:dyDescent="0.25"/>
    <row r="61990" customFormat="1" x14ac:dyDescent="0.25"/>
    <row r="61991" customFormat="1" x14ac:dyDescent="0.25"/>
    <row r="61992" customFormat="1" x14ac:dyDescent="0.25"/>
    <row r="61993" customFormat="1" x14ac:dyDescent="0.25"/>
    <row r="61994" customFormat="1" x14ac:dyDescent="0.25"/>
    <row r="61995" customFormat="1" x14ac:dyDescent="0.25"/>
    <row r="61996" customFormat="1" x14ac:dyDescent="0.25"/>
    <row r="61997" customFormat="1" x14ac:dyDescent="0.25"/>
    <row r="61998" customFormat="1" x14ac:dyDescent="0.25"/>
    <row r="61999" customFormat="1" x14ac:dyDescent="0.25"/>
    <row r="62000" customFormat="1" x14ac:dyDescent="0.25"/>
    <row r="62001" customFormat="1" x14ac:dyDescent="0.25"/>
    <row r="62002" customFormat="1" x14ac:dyDescent="0.25"/>
    <row r="62003" customFormat="1" x14ac:dyDescent="0.25"/>
    <row r="62004" customFormat="1" x14ac:dyDescent="0.25"/>
    <row r="62005" customFormat="1" x14ac:dyDescent="0.25"/>
    <row r="62006" customFormat="1" x14ac:dyDescent="0.25"/>
    <row r="62007" customFormat="1" x14ac:dyDescent="0.25"/>
    <row r="62008" customFormat="1" x14ac:dyDescent="0.25"/>
    <row r="62009" customFormat="1" x14ac:dyDescent="0.25"/>
    <row r="62010" customFormat="1" x14ac:dyDescent="0.25"/>
    <row r="62011" customFormat="1" x14ac:dyDescent="0.25"/>
    <row r="62012" customFormat="1" x14ac:dyDescent="0.25"/>
    <row r="62013" customFormat="1" x14ac:dyDescent="0.25"/>
    <row r="62014" customFormat="1" x14ac:dyDescent="0.25"/>
    <row r="62015" customFormat="1" x14ac:dyDescent="0.25"/>
    <row r="62016" customFormat="1" x14ac:dyDescent="0.25"/>
    <row r="62017" customFormat="1" x14ac:dyDescent="0.25"/>
    <row r="62018" customFormat="1" x14ac:dyDescent="0.25"/>
    <row r="62019" customFormat="1" x14ac:dyDescent="0.25"/>
    <row r="62020" customFormat="1" x14ac:dyDescent="0.25"/>
    <row r="62021" customFormat="1" x14ac:dyDescent="0.25"/>
    <row r="62022" customFormat="1" x14ac:dyDescent="0.25"/>
    <row r="62023" customFormat="1" x14ac:dyDescent="0.25"/>
    <row r="62024" customFormat="1" x14ac:dyDescent="0.25"/>
    <row r="62025" customFormat="1" x14ac:dyDescent="0.25"/>
    <row r="62026" customFormat="1" x14ac:dyDescent="0.25"/>
    <row r="62027" customFormat="1" x14ac:dyDescent="0.25"/>
    <row r="62028" customFormat="1" x14ac:dyDescent="0.25"/>
    <row r="62029" customFormat="1" x14ac:dyDescent="0.25"/>
    <row r="62030" customFormat="1" x14ac:dyDescent="0.25"/>
    <row r="62031" customFormat="1" x14ac:dyDescent="0.25"/>
    <row r="62032" customFormat="1" x14ac:dyDescent="0.25"/>
    <row r="62033" customFormat="1" x14ac:dyDescent="0.25"/>
    <row r="62034" customFormat="1" x14ac:dyDescent="0.25"/>
    <row r="62035" customFormat="1" x14ac:dyDescent="0.25"/>
    <row r="62036" customFormat="1" x14ac:dyDescent="0.25"/>
    <row r="62037" customFormat="1" x14ac:dyDescent="0.25"/>
    <row r="62038" customFormat="1" x14ac:dyDescent="0.25"/>
    <row r="62039" customFormat="1" x14ac:dyDescent="0.25"/>
    <row r="62040" customFormat="1" x14ac:dyDescent="0.25"/>
    <row r="62041" customFormat="1" x14ac:dyDescent="0.25"/>
    <row r="62042" customFormat="1" x14ac:dyDescent="0.25"/>
    <row r="62043" customFormat="1" x14ac:dyDescent="0.25"/>
    <row r="62044" customFormat="1" x14ac:dyDescent="0.25"/>
    <row r="62045" customFormat="1" x14ac:dyDescent="0.25"/>
    <row r="62046" customFormat="1" x14ac:dyDescent="0.25"/>
    <row r="62047" customFormat="1" x14ac:dyDescent="0.25"/>
    <row r="62048" customFormat="1" x14ac:dyDescent="0.25"/>
    <row r="62049" customFormat="1" x14ac:dyDescent="0.25"/>
    <row r="62050" customFormat="1" x14ac:dyDescent="0.25"/>
    <row r="62051" customFormat="1" x14ac:dyDescent="0.25"/>
    <row r="62052" customFormat="1" x14ac:dyDescent="0.25"/>
    <row r="62053" customFormat="1" x14ac:dyDescent="0.25"/>
    <row r="62054" customFormat="1" x14ac:dyDescent="0.25"/>
    <row r="62055" customFormat="1" x14ac:dyDescent="0.25"/>
    <row r="62056" customFormat="1" x14ac:dyDescent="0.25"/>
    <row r="62057" customFormat="1" x14ac:dyDescent="0.25"/>
    <row r="62058" customFormat="1" x14ac:dyDescent="0.25"/>
    <row r="62059" customFormat="1" x14ac:dyDescent="0.25"/>
    <row r="62060" customFormat="1" x14ac:dyDescent="0.25"/>
    <row r="62061" customFormat="1" x14ac:dyDescent="0.25"/>
    <row r="62062" customFormat="1" x14ac:dyDescent="0.25"/>
    <row r="62063" customFormat="1" x14ac:dyDescent="0.25"/>
    <row r="62064" customFormat="1" x14ac:dyDescent="0.25"/>
    <row r="62065" customFormat="1" x14ac:dyDescent="0.25"/>
    <row r="62066" customFormat="1" x14ac:dyDescent="0.25"/>
    <row r="62067" customFormat="1" x14ac:dyDescent="0.25"/>
    <row r="62068" customFormat="1" x14ac:dyDescent="0.25"/>
    <row r="62069" customFormat="1" x14ac:dyDescent="0.25"/>
    <row r="62070" customFormat="1" x14ac:dyDescent="0.25"/>
    <row r="62071" customFormat="1" x14ac:dyDescent="0.25"/>
    <row r="62072" customFormat="1" x14ac:dyDescent="0.25"/>
    <row r="62073" customFormat="1" x14ac:dyDescent="0.25"/>
    <row r="62074" customFormat="1" x14ac:dyDescent="0.25"/>
    <row r="62075" customFormat="1" x14ac:dyDescent="0.25"/>
    <row r="62076" customFormat="1" x14ac:dyDescent="0.25"/>
    <row r="62077" customFormat="1" x14ac:dyDescent="0.25"/>
    <row r="62078" customFormat="1" x14ac:dyDescent="0.25"/>
    <row r="62079" customFormat="1" x14ac:dyDescent="0.25"/>
    <row r="62080" customFormat="1" x14ac:dyDescent="0.25"/>
    <row r="62081" customFormat="1" x14ac:dyDescent="0.25"/>
    <row r="62082" customFormat="1" x14ac:dyDescent="0.25"/>
    <row r="62083" customFormat="1" x14ac:dyDescent="0.25"/>
    <row r="62084" customFormat="1" x14ac:dyDescent="0.25"/>
    <row r="62085" customFormat="1" x14ac:dyDescent="0.25"/>
    <row r="62086" customFormat="1" x14ac:dyDescent="0.25"/>
    <row r="62087" customFormat="1" x14ac:dyDescent="0.25"/>
    <row r="62088" customFormat="1" x14ac:dyDescent="0.25"/>
    <row r="62089" customFormat="1" x14ac:dyDescent="0.25"/>
    <row r="62090" customFormat="1" x14ac:dyDescent="0.25"/>
    <row r="62091" customFormat="1" x14ac:dyDescent="0.25"/>
    <row r="62092" customFormat="1" x14ac:dyDescent="0.25"/>
    <row r="62093" customFormat="1" x14ac:dyDescent="0.25"/>
    <row r="62094" customFormat="1" x14ac:dyDescent="0.25"/>
    <row r="62095" customFormat="1" x14ac:dyDescent="0.25"/>
    <row r="62096" customFormat="1" x14ac:dyDescent="0.25"/>
    <row r="62097" customFormat="1" x14ac:dyDescent="0.25"/>
    <row r="62098" customFormat="1" x14ac:dyDescent="0.25"/>
    <row r="62099" customFormat="1" x14ac:dyDescent="0.25"/>
    <row r="62100" customFormat="1" x14ac:dyDescent="0.25"/>
    <row r="62101" customFormat="1" x14ac:dyDescent="0.25"/>
    <row r="62102" customFormat="1" x14ac:dyDescent="0.25"/>
    <row r="62103" customFormat="1" x14ac:dyDescent="0.25"/>
    <row r="62104" customFormat="1" x14ac:dyDescent="0.25"/>
    <row r="62105" customFormat="1" x14ac:dyDescent="0.25"/>
    <row r="62106" customFormat="1" x14ac:dyDescent="0.25"/>
    <row r="62107" customFormat="1" x14ac:dyDescent="0.25"/>
    <row r="62108" customFormat="1" x14ac:dyDescent="0.25"/>
    <row r="62109" customFormat="1" x14ac:dyDescent="0.25"/>
    <row r="62110" customFormat="1" x14ac:dyDescent="0.25"/>
    <row r="62111" customFormat="1" x14ac:dyDescent="0.25"/>
    <row r="62112" customFormat="1" x14ac:dyDescent="0.25"/>
    <row r="62113" customFormat="1" x14ac:dyDescent="0.25"/>
    <row r="62114" customFormat="1" x14ac:dyDescent="0.25"/>
    <row r="62115" customFormat="1" x14ac:dyDescent="0.25"/>
    <row r="62116" customFormat="1" x14ac:dyDescent="0.25"/>
    <row r="62117" customFormat="1" x14ac:dyDescent="0.25"/>
    <row r="62118" customFormat="1" x14ac:dyDescent="0.25"/>
    <row r="62119" customFormat="1" x14ac:dyDescent="0.25"/>
    <row r="62120" customFormat="1" x14ac:dyDescent="0.25"/>
    <row r="62121" customFormat="1" x14ac:dyDescent="0.25"/>
    <row r="62122" customFormat="1" x14ac:dyDescent="0.25"/>
    <row r="62123" customFormat="1" x14ac:dyDescent="0.25"/>
    <row r="62124" customFormat="1" x14ac:dyDescent="0.25"/>
    <row r="62125" customFormat="1" x14ac:dyDescent="0.25"/>
    <row r="62126" customFormat="1" x14ac:dyDescent="0.25"/>
    <row r="62127" customFormat="1" x14ac:dyDescent="0.25"/>
    <row r="62128" customFormat="1" x14ac:dyDescent="0.25"/>
    <row r="62129" customFormat="1" x14ac:dyDescent="0.25"/>
    <row r="62130" customFormat="1" x14ac:dyDescent="0.25"/>
    <row r="62131" customFormat="1" x14ac:dyDescent="0.25"/>
    <row r="62132" customFormat="1" x14ac:dyDescent="0.25"/>
    <row r="62133" customFormat="1" x14ac:dyDescent="0.25"/>
    <row r="62134" customFormat="1" x14ac:dyDescent="0.25"/>
    <row r="62135" customFormat="1" x14ac:dyDescent="0.25"/>
    <row r="62136" customFormat="1" x14ac:dyDescent="0.25"/>
    <row r="62137" customFormat="1" x14ac:dyDescent="0.25"/>
    <row r="62138" customFormat="1" x14ac:dyDescent="0.25"/>
    <row r="62139" customFormat="1" x14ac:dyDescent="0.25"/>
    <row r="62140" customFormat="1" x14ac:dyDescent="0.25"/>
    <row r="62141" customFormat="1" x14ac:dyDescent="0.25"/>
    <row r="62142" customFormat="1" x14ac:dyDescent="0.25"/>
    <row r="62143" customFormat="1" x14ac:dyDescent="0.25"/>
    <row r="62144" customFormat="1" x14ac:dyDescent="0.25"/>
    <row r="62145" customFormat="1" x14ac:dyDescent="0.25"/>
    <row r="62146" customFormat="1" x14ac:dyDescent="0.25"/>
    <row r="62147" customFormat="1" x14ac:dyDescent="0.25"/>
    <row r="62148" customFormat="1" x14ac:dyDescent="0.25"/>
    <row r="62149" customFormat="1" x14ac:dyDescent="0.25"/>
    <row r="62150" customFormat="1" x14ac:dyDescent="0.25"/>
    <row r="62151" customFormat="1" x14ac:dyDescent="0.25"/>
    <row r="62152" customFormat="1" x14ac:dyDescent="0.25"/>
    <row r="62153" customFormat="1" x14ac:dyDescent="0.25"/>
    <row r="62154" customFormat="1" x14ac:dyDescent="0.25"/>
    <row r="62155" customFormat="1" x14ac:dyDescent="0.25"/>
    <row r="62156" customFormat="1" x14ac:dyDescent="0.25"/>
    <row r="62157" customFormat="1" x14ac:dyDescent="0.25"/>
    <row r="62158" customFormat="1" x14ac:dyDescent="0.25"/>
    <row r="62159" customFormat="1" x14ac:dyDescent="0.25"/>
    <row r="62160" customFormat="1" x14ac:dyDescent="0.25"/>
    <row r="62161" customFormat="1" x14ac:dyDescent="0.25"/>
    <row r="62162" customFormat="1" x14ac:dyDescent="0.25"/>
    <row r="62163" customFormat="1" x14ac:dyDescent="0.25"/>
    <row r="62164" customFormat="1" x14ac:dyDescent="0.25"/>
    <row r="62165" customFormat="1" x14ac:dyDescent="0.25"/>
    <row r="62166" customFormat="1" x14ac:dyDescent="0.25"/>
    <row r="62167" customFormat="1" x14ac:dyDescent="0.25"/>
    <row r="62168" customFormat="1" x14ac:dyDescent="0.25"/>
    <row r="62169" customFormat="1" x14ac:dyDescent="0.25"/>
    <row r="62170" customFormat="1" x14ac:dyDescent="0.25"/>
    <row r="62171" customFormat="1" x14ac:dyDescent="0.25"/>
    <row r="62172" customFormat="1" x14ac:dyDescent="0.25"/>
    <row r="62173" customFormat="1" x14ac:dyDescent="0.25"/>
    <row r="62174" customFormat="1" x14ac:dyDescent="0.25"/>
    <row r="62175" customFormat="1" x14ac:dyDescent="0.25"/>
    <row r="62176" customFormat="1" x14ac:dyDescent="0.25"/>
    <row r="62177" customFormat="1" x14ac:dyDescent="0.25"/>
    <row r="62178" customFormat="1" x14ac:dyDescent="0.25"/>
    <row r="62179" customFormat="1" x14ac:dyDescent="0.25"/>
    <row r="62180" customFormat="1" x14ac:dyDescent="0.25"/>
    <row r="62181" customFormat="1" x14ac:dyDescent="0.25"/>
    <row r="62182" customFormat="1" x14ac:dyDescent="0.25"/>
    <row r="62183" customFormat="1" x14ac:dyDescent="0.25"/>
    <row r="62184" customFormat="1" x14ac:dyDescent="0.25"/>
    <row r="62185" customFormat="1" x14ac:dyDescent="0.25"/>
    <row r="62186" customFormat="1" x14ac:dyDescent="0.25"/>
    <row r="62187" customFormat="1" x14ac:dyDescent="0.25"/>
    <row r="62188" customFormat="1" x14ac:dyDescent="0.25"/>
    <row r="62189" customFormat="1" x14ac:dyDescent="0.25"/>
    <row r="62190" customFormat="1" x14ac:dyDescent="0.25"/>
    <row r="62191" customFormat="1" x14ac:dyDescent="0.25"/>
    <row r="62192" customFormat="1" x14ac:dyDescent="0.25"/>
    <row r="62193" customFormat="1" x14ac:dyDescent="0.25"/>
    <row r="62194" customFormat="1" x14ac:dyDescent="0.25"/>
    <row r="62195" customFormat="1" x14ac:dyDescent="0.25"/>
    <row r="62196" customFormat="1" x14ac:dyDescent="0.25"/>
    <row r="62197" customFormat="1" x14ac:dyDescent="0.25"/>
    <row r="62198" customFormat="1" x14ac:dyDescent="0.25"/>
    <row r="62199" customFormat="1" x14ac:dyDescent="0.25"/>
    <row r="62200" customFormat="1" x14ac:dyDescent="0.25"/>
    <row r="62201" customFormat="1" x14ac:dyDescent="0.25"/>
    <row r="62202" customFormat="1" x14ac:dyDescent="0.25"/>
    <row r="62203" customFormat="1" x14ac:dyDescent="0.25"/>
    <row r="62204" customFormat="1" x14ac:dyDescent="0.25"/>
    <row r="62205" customFormat="1" x14ac:dyDescent="0.25"/>
    <row r="62206" customFormat="1" x14ac:dyDescent="0.25"/>
    <row r="62207" customFormat="1" x14ac:dyDescent="0.25"/>
    <row r="62208" customFormat="1" x14ac:dyDescent="0.25"/>
    <row r="62209" customFormat="1" x14ac:dyDescent="0.25"/>
    <row r="62210" customFormat="1" x14ac:dyDescent="0.25"/>
    <row r="62211" customFormat="1" x14ac:dyDescent="0.25"/>
    <row r="62212" customFormat="1" x14ac:dyDescent="0.25"/>
    <row r="62213" customFormat="1" x14ac:dyDescent="0.25"/>
    <row r="62214" customFormat="1" x14ac:dyDescent="0.25"/>
    <row r="62215" customFormat="1" x14ac:dyDescent="0.25"/>
    <row r="62216" customFormat="1" x14ac:dyDescent="0.25"/>
    <row r="62217" customFormat="1" x14ac:dyDescent="0.25"/>
    <row r="62218" customFormat="1" x14ac:dyDescent="0.25"/>
    <row r="62219" customFormat="1" x14ac:dyDescent="0.25"/>
    <row r="62220" customFormat="1" x14ac:dyDescent="0.25"/>
    <row r="62221" customFormat="1" x14ac:dyDescent="0.25"/>
    <row r="62222" customFormat="1" x14ac:dyDescent="0.25"/>
    <row r="62223" customFormat="1" x14ac:dyDescent="0.25"/>
    <row r="62224" customFormat="1" x14ac:dyDescent="0.25"/>
    <row r="62225" customFormat="1" x14ac:dyDescent="0.25"/>
    <row r="62226" customFormat="1" x14ac:dyDescent="0.25"/>
    <row r="62227" customFormat="1" x14ac:dyDescent="0.25"/>
    <row r="62228" customFormat="1" x14ac:dyDescent="0.25"/>
    <row r="62229" customFormat="1" x14ac:dyDescent="0.25"/>
    <row r="62230" customFormat="1" x14ac:dyDescent="0.25"/>
    <row r="62231" customFormat="1" x14ac:dyDescent="0.25"/>
    <row r="62232" customFormat="1" x14ac:dyDescent="0.25"/>
    <row r="62233" customFormat="1" x14ac:dyDescent="0.25"/>
    <row r="62234" customFormat="1" x14ac:dyDescent="0.25"/>
    <row r="62235" customFormat="1" x14ac:dyDescent="0.25"/>
    <row r="62236" customFormat="1" x14ac:dyDescent="0.25"/>
    <row r="62237" customFormat="1" x14ac:dyDescent="0.25"/>
    <row r="62238" customFormat="1" x14ac:dyDescent="0.25"/>
    <row r="62239" customFormat="1" x14ac:dyDescent="0.25"/>
    <row r="62240" customFormat="1" x14ac:dyDescent="0.25"/>
    <row r="62241" customFormat="1" x14ac:dyDescent="0.25"/>
    <row r="62242" customFormat="1" x14ac:dyDescent="0.25"/>
    <row r="62243" customFormat="1" x14ac:dyDescent="0.25"/>
    <row r="62244" customFormat="1" x14ac:dyDescent="0.25"/>
    <row r="62245" customFormat="1" x14ac:dyDescent="0.25"/>
    <row r="62246" customFormat="1" x14ac:dyDescent="0.25"/>
    <row r="62247" customFormat="1" x14ac:dyDescent="0.25"/>
    <row r="62248" customFormat="1" x14ac:dyDescent="0.25"/>
    <row r="62249" customFormat="1" x14ac:dyDescent="0.25"/>
    <row r="62250" customFormat="1" x14ac:dyDescent="0.25"/>
    <row r="62251" customFormat="1" x14ac:dyDescent="0.25"/>
    <row r="62252" customFormat="1" x14ac:dyDescent="0.25"/>
    <row r="62253" customFormat="1" x14ac:dyDescent="0.25"/>
    <row r="62254" customFormat="1" x14ac:dyDescent="0.25"/>
    <row r="62255" customFormat="1" x14ac:dyDescent="0.25"/>
    <row r="62256" customFormat="1" x14ac:dyDescent="0.25"/>
    <row r="62257" customFormat="1" x14ac:dyDescent="0.25"/>
    <row r="62258" customFormat="1" x14ac:dyDescent="0.25"/>
    <row r="62259" customFormat="1" x14ac:dyDescent="0.25"/>
    <row r="62260" customFormat="1" x14ac:dyDescent="0.25"/>
    <row r="62261" customFormat="1" x14ac:dyDescent="0.25"/>
    <row r="62262" customFormat="1" x14ac:dyDescent="0.25"/>
    <row r="62263" customFormat="1" x14ac:dyDescent="0.25"/>
    <row r="62264" customFormat="1" x14ac:dyDescent="0.25"/>
    <row r="62265" customFormat="1" x14ac:dyDescent="0.25"/>
    <row r="62266" customFormat="1" x14ac:dyDescent="0.25"/>
    <row r="62267" customFormat="1" x14ac:dyDescent="0.25"/>
    <row r="62268" customFormat="1" x14ac:dyDescent="0.25"/>
    <row r="62269" customFormat="1" x14ac:dyDescent="0.25"/>
    <row r="62270" customFormat="1" x14ac:dyDescent="0.25"/>
    <row r="62271" customFormat="1" x14ac:dyDescent="0.25"/>
    <row r="62272" customFormat="1" x14ac:dyDescent="0.25"/>
    <row r="62273" customFormat="1" x14ac:dyDescent="0.25"/>
    <row r="62274" customFormat="1" x14ac:dyDescent="0.25"/>
    <row r="62275" customFormat="1" x14ac:dyDescent="0.25"/>
    <row r="62276" customFormat="1" x14ac:dyDescent="0.25"/>
    <row r="62277" customFormat="1" x14ac:dyDescent="0.25"/>
    <row r="62278" customFormat="1" x14ac:dyDescent="0.25"/>
    <row r="62279" customFormat="1" x14ac:dyDescent="0.25"/>
    <row r="62280" customFormat="1" x14ac:dyDescent="0.25"/>
    <row r="62281" customFormat="1" x14ac:dyDescent="0.25"/>
    <row r="62282" customFormat="1" x14ac:dyDescent="0.25"/>
    <row r="62283" customFormat="1" x14ac:dyDescent="0.25"/>
    <row r="62284" customFormat="1" x14ac:dyDescent="0.25"/>
    <row r="62285" customFormat="1" x14ac:dyDescent="0.25"/>
    <row r="62286" customFormat="1" x14ac:dyDescent="0.25"/>
    <row r="62287" customFormat="1" x14ac:dyDescent="0.25"/>
    <row r="62288" customFormat="1" x14ac:dyDescent="0.25"/>
    <row r="62289" customFormat="1" x14ac:dyDescent="0.25"/>
    <row r="62290" customFormat="1" x14ac:dyDescent="0.25"/>
    <row r="62291" customFormat="1" x14ac:dyDescent="0.25"/>
    <row r="62292" customFormat="1" x14ac:dyDescent="0.25"/>
    <row r="62293" customFormat="1" x14ac:dyDescent="0.25"/>
    <row r="62294" customFormat="1" x14ac:dyDescent="0.25"/>
    <row r="62295" customFormat="1" x14ac:dyDescent="0.25"/>
    <row r="62296" customFormat="1" x14ac:dyDescent="0.25"/>
    <row r="62297" customFormat="1" x14ac:dyDescent="0.25"/>
    <row r="62298" customFormat="1" x14ac:dyDescent="0.25"/>
    <row r="62299" customFormat="1" x14ac:dyDescent="0.25"/>
    <row r="62300" customFormat="1" x14ac:dyDescent="0.25"/>
    <row r="62301" customFormat="1" x14ac:dyDescent="0.25"/>
    <row r="62302" customFormat="1" x14ac:dyDescent="0.25"/>
    <row r="62303" customFormat="1" x14ac:dyDescent="0.25"/>
    <row r="62304" customFormat="1" x14ac:dyDescent="0.25"/>
    <row r="62305" customFormat="1" x14ac:dyDescent="0.25"/>
    <row r="62306" customFormat="1" x14ac:dyDescent="0.25"/>
    <row r="62307" customFormat="1" x14ac:dyDescent="0.25"/>
    <row r="62308" customFormat="1" x14ac:dyDescent="0.25"/>
    <row r="62309" customFormat="1" x14ac:dyDescent="0.25"/>
    <row r="62310" customFormat="1" x14ac:dyDescent="0.25"/>
    <row r="62311" customFormat="1" x14ac:dyDescent="0.25"/>
    <row r="62312" customFormat="1" x14ac:dyDescent="0.25"/>
    <row r="62313" customFormat="1" x14ac:dyDescent="0.25"/>
    <row r="62314" customFormat="1" x14ac:dyDescent="0.25"/>
    <row r="62315" customFormat="1" x14ac:dyDescent="0.25"/>
    <row r="62316" customFormat="1" x14ac:dyDescent="0.25"/>
    <row r="62317" customFormat="1" x14ac:dyDescent="0.25"/>
    <row r="62318" customFormat="1" x14ac:dyDescent="0.25"/>
    <row r="62319" customFormat="1" x14ac:dyDescent="0.25"/>
    <row r="62320" customFormat="1" x14ac:dyDescent="0.25"/>
    <row r="62321" customFormat="1" x14ac:dyDescent="0.25"/>
    <row r="62322" customFormat="1" x14ac:dyDescent="0.25"/>
    <row r="62323" customFormat="1" x14ac:dyDescent="0.25"/>
    <row r="62324" customFormat="1" x14ac:dyDescent="0.25"/>
    <row r="62325" customFormat="1" x14ac:dyDescent="0.25"/>
    <row r="62326" customFormat="1" x14ac:dyDescent="0.25"/>
    <row r="62327" customFormat="1" x14ac:dyDescent="0.25"/>
    <row r="62328" customFormat="1" x14ac:dyDescent="0.25"/>
    <row r="62329" customFormat="1" x14ac:dyDescent="0.25"/>
    <row r="62330" customFormat="1" x14ac:dyDescent="0.25"/>
    <row r="62331" customFormat="1" x14ac:dyDescent="0.25"/>
    <row r="62332" customFormat="1" x14ac:dyDescent="0.25"/>
    <row r="62333" customFormat="1" x14ac:dyDescent="0.25"/>
    <row r="62334" customFormat="1" x14ac:dyDescent="0.25"/>
    <row r="62335" customFormat="1" x14ac:dyDescent="0.25"/>
    <row r="62336" customFormat="1" x14ac:dyDescent="0.25"/>
    <row r="62337" customFormat="1" x14ac:dyDescent="0.25"/>
    <row r="62338" customFormat="1" x14ac:dyDescent="0.25"/>
    <row r="62339" customFormat="1" x14ac:dyDescent="0.25"/>
    <row r="62340" customFormat="1" x14ac:dyDescent="0.25"/>
    <row r="62341" customFormat="1" x14ac:dyDescent="0.25"/>
    <row r="62342" customFormat="1" x14ac:dyDescent="0.25"/>
    <row r="62343" customFormat="1" x14ac:dyDescent="0.25"/>
    <row r="62344" customFormat="1" x14ac:dyDescent="0.25"/>
    <row r="62345" customFormat="1" x14ac:dyDescent="0.25"/>
    <row r="62346" customFormat="1" x14ac:dyDescent="0.25"/>
    <row r="62347" customFormat="1" x14ac:dyDescent="0.25"/>
    <row r="62348" customFormat="1" x14ac:dyDescent="0.25"/>
    <row r="62349" customFormat="1" x14ac:dyDescent="0.25"/>
    <row r="62350" customFormat="1" x14ac:dyDescent="0.25"/>
    <row r="62351" customFormat="1" x14ac:dyDescent="0.25"/>
    <row r="62352" customFormat="1" x14ac:dyDescent="0.25"/>
    <row r="62353" customFormat="1" x14ac:dyDescent="0.25"/>
    <row r="62354" customFormat="1" x14ac:dyDescent="0.25"/>
    <row r="62355" customFormat="1" x14ac:dyDescent="0.25"/>
    <row r="62356" customFormat="1" x14ac:dyDescent="0.25"/>
    <row r="62357" customFormat="1" x14ac:dyDescent="0.25"/>
    <row r="62358" customFormat="1" x14ac:dyDescent="0.25"/>
    <row r="62359" customFormat="1" x14ac:dyDescent="0.25"/>
    <row r="62360" customFormat="1" x14ac:dyDescent="0.25"/>
    <row r="62361" customFormat="1" x14ac:dyDescent="0.25"/>
    <row r="62362" customFormat="1" x14ac:dyDescent="0.25"/>
    <row r="62363" customFormat="1" x14ac:dyDescent="0.25"/>
    <row r="62364" customFormat="1" x14ac:dyDescent="0.25"/>
    <row r="62365" customFormat="1" x14ac:dyDescent="0.25"/>
    <row r="62366" customFormat="1" x14ac:dyDescent="0.25"/>
    <row r="62367" customFormat="1" x14ac:dyDescent="0.25"/>
    <row r="62368" customFormat="1" x14ac:dyDescent="0.25"/>
    <row r="62369" customFormat="1" x14ac:dyDescent="0.25"/>
    <row r="62370" customFormat="1" x14ac:dyDescent="0.25"/>
    <row r="62371" customFormat="1" x14ac:dyDescent="0.25"/>
    <row r="62372" customFormat="1" x14ac:dyDescent="0.25"/>
    <row r="62373" customFormat="1" x14ac:dyDescent="0.25"/>
    <row r="62374" customFormat="1" x14ac:dyDescent="0.25"/>
    <row r="62375" customFormat="1" x14ac:dyDescent="0.25"/>
    <row r="62376" customFormat="1" x14ac:dyDescent="0.25"/>
    <row r="62377" customFormat="1" x14ac:dyDescent="0.25"/>
    <row r="62378" customFormat="1" x14ac:dyDescent="0.25"/>
    <row r="62379" customFormat="1" x14ac:dyDescent="0.25"/>
    <row r="62380" customFormat="1" x14ac:dyDescent="0.25"/>
    <row r="62381" customFormat="1" x14ac:dyDescent="0.25"/>
    <row r="62382" customFormat="1" x14ac:dyDescent="0.25"/>
    <row r="62383" customFormat="1" x14ac:dyDescent="0.25"/>
    <row r="62384" customFormat="1" x14ac:dyDescent="0.25"/>
    <row r="62385" customFormat="1" x14ac:dyDescent="0.25"/>
    <row r="62386" customFormat="1" x14ac:dyDescent="0.25"/>
    <row r="62387" customFormat="1" x14ac:dyDescent="0.25"/>
    <row r="62388" customFormat="1" x14ac:dyDescent="0.25"/>
    <row r="62389" customFormat="1" x14ac:dyDescent="0.25"/>
    <row r="62390" customFormat="1" x14ac:dyDescent="0.25"/>
    <row r="62391" customFormat="1" x14ac:dyDescent="0.25"/>
    <row r="62392" customFormat="1" x14ac:dyDescent="0.25"/>
    <row r="62393" customFormat="1" x14ac:dyDescent="0.25"/>
    <row r="62394" customFormat="1" x14ac:dyDescent="0.25"/>
    <row r="62395" customFormat="1" x14ac:dyDescent="0.25"/>
    <row r="62396" customFormat="1" x14ac:dyDescent="0.25"/>
    <row r="62397" customFormat="1" x14ac:dyDescent="0.25"/>
    <row r="62398" customFormat="1" x14ac:dyDescent="0.25"/>
    <row r="62399" customFormat="1" x14ac:dyDescent="0.25"/>
    <row r="62400" customFormat="1" x14ac:dyDescent="0.25"/>
    <row r="62401" customFormat="1" x14ac:dyDescent="0.25"/>
    <row r="62402" customFormat="1" x14ac:dyDescent="0.25"/>
    <row r="62403" customFormat="1" x14ac:dyDescent="0.25"/>
    <row r="62404" customFormat="1" x14ac:dyDescent="0.25"/>
    <row r="62405" customFormat="1" x14ac:dyDescent="0.25"/>
    <row r="62406" customFormat="1" x14ac:dyDescent="0.25"/>
    <row r="62407" customFormat="1" x14ac:dyDescent="0.25"/>
    <row r="62408" customFormat="1" x14ac:dyDescent="0.25"/>
    <row r="62409" customFormat="1" x14ac:dyDescent="0.25"/>
    <row r="62410" customFormat="1" x14ac:dyDescent="0.25"/>
    <row r="62411" customFormat="1" x14ac:dyDescent="0.25"/>
    <row r="62412" customFormat="1" x14ac:dyDescent="0.25"/>
    <row r="62413" customFormat="1" x14ac:dyDescent="0.25"/>
    <row r="62414" customFormat="1" x14ac:dyDescent="0.25"/>
    <row r="62415" customFormat="1" x14ac:dyDescent="0.25"/>
    <row r="62416" customFormat="1" x14ac:dyDescent="0.25"/>
    <row r="62417" customFormat="1" x14ac:dyDescent="0.25"/>
    <row r="62418" customFormat="1" x14ac:dyDescent="0.25"/>
    <row r="62419" customFormat="1" x14ac:dyDescent="0.25"/>
    <row r="62420" customFormat="1" x14ac:dyDescent="0.25"/>
    <row r="62421" customFormat="1" x14ac:dyDescent="0.25"/>
    <row r="62422" customFormat="1" x14ac:dyDescent="0.25"/>
    <row r="62423" customFormat="1" x14ac:dyDescent="0.25"/>
    <row r="62424" customFormat="1" x14ac:dyDescent="0.25"/>
    <row r="62425" customFormat="1" x14ac:dyDescent="0.25"/>
    <row r="62426" customFormat="1" x14ac:dyDescent="0.25"/>
    <row r="62427" customFormat="1" x14ac:dyDescent="0.25"/>
    <row r="62428" customFormat="1" x14ac:dyDescent="0.25"/>
    <row r="62429" customFormat="1" x14ac:dyDescent="0.25"/>
    <row r="62430" customFormat="1" x14ac:dyDescent="0.25"/>
    <row r="62431" customFormat="1" x14ac:dyDescent="0.25"/>
    <row r="62432" customFormat="1" x14ac:dyDescent="0.25"/>
    <row r="62433" customFormat="1" x14ac:dyDescent="0.25"/>
    <row r="62434" customFormat="1" x14ac:dyDescent="0.25"/>
    <row r="62435" customFormat="1" x14ac:dyDescent="0.25"/>
    <row r="62436" customFormat="1" x14ac:dyDescent="0.25"/>
    <row r="62437" customFormat="1" x14ac:dyDescent="0.25"/>
    <row r="62438" customFormat="1" x14ac:dyDescent="0.25"/>
    <row r="62439" customFormat="1" x14ac:dyDescent="0.25"/>
    <row r="62440" customFormat="1" x14ac:dyDescent="0.25"/>
    <row r="62441" customFormat="1" x14ac:dyDescent="0.25"/>
    <row r="62442" customFormat="1" x14ac:dyDescent="0.25"/>
    <row r="62443" customFormat="1" x14ac:dyDescent="0.25"/>
    <row r="62444" customFormat="1" x14ac:dyDescent="0.25"/>
    <row r="62445" customFormat="1" x14ac:dyDescent="0.25"/>
    <row r="62446" customFormat="1" x14ac:dyDescent="0.25"/>
    <row r="62447" customFormat="1" x14ac:dyDescent="0.25"/>
    <row r="62448" customFormat="1" x14ac:dyDescent="0.25"/>
    <row r="62449" customFormat="1" x14ac:dyDescent="0.25"/>
    <row r="62450" customFormat="1" x14ac:dyDescent="0.25"/>
    <row r="62451" customFormat="1" x14ac:dyDescent="0.25"/>
    <row r="62452" customFormat="1" x14ac:dyDescent="0.25"/>
    <row r="62453" customFormat="1" x14ac:dyDescent="0.25"/>
    <row r="62454" customFormat="1" x14ac:dyDescent="0.25"/>
    <row r="62455" customFormat="1" x14ac:dyDescent="0.25"/>
    <row r="62456" customFormat="1" x14ac:dyDescent="0.25"/>
    <row r="62457" customFormat="1" x14ac:dyDescent="0.25"/>
    <row r="62458" customFormat="1" x14ac:dyDescent="0.25"/>
    <row r="62459" customFormat="1" x14ac:dyDescent="0.25"/>
    <row r="62460" customFormat="1" x14ac:dyDescent="0.25"/>
    <row r="62461" customFormat="1" x14ac:dyDescent="0.25"/>
    <row r="62462" customFormat="1" x14ac:dyDescent="0.25"/>
    <row r="62463" customFormat="1" x14ac:dyDescent="0.25"/>
    <row r="62464" customFormat="1" x14ac:dyDescent="0.25"/>
    <row r="62465" customFormat="1" x14ac:dyDescent="0.25"/>
    <row r="62466" customFormat="1" x14ac:dyDescent="0.25"/>
    <row r="62467" customFormat="1" x14ac:dyDescent="0.25"/>
    <row r="62468" customFormat="1" x14ac:dyDescent="0.25"/>
    <row r="62469" customFormat="1" x14ac:dyDescent="0.25"/>
    <row r="62470" customFormat="1" x14ac:dyDescent="0.25"/>
    <row r="62471" customFormat="1" x14ac:dyDescent="0.25"/>
    <row r="62472" customFormat="1" x14ac:dyDescent="0.25"/>
    <row r="62473" customFormat="1" x14ac:dyDescent="0.25"/>
    <row r="62474" customFormat="1" x14ac:dyDescent="0.25"/>
    <row r="62475" customFormat="1" x14ac:dyDescent="0.25"/>
    <row r="62476" customFormat="1" x14ac:dyDescent="0.25"/>
    <row r="62477" customFormat="1" x14ac:dyDescent="0.25"/>
    <row r="62478" customFormat="1" x14ac:dyDescent="0.25"/>
    <row r="62479" customFormat="1" x14ac:dyDescent="0.25"/>
    <row r="62480" customFormat="1" x14ac:dyDescent="0.25"/>
    <row r="62481" customFormat="1" x14ac:dyDescent="0.25"/>
    <row r="62482" customFormat="1" x14ac:dyDescent="0.25"/>
    <row r="62483" customFormat="1" x14ac:dyDescent="0.25"/>
    <row r="62484" customFormat="1" x14ac:dyDescent="0.25"/>
    <row r="62485" customFormat="1" x14ac:dyDescent="0.25"/>
    <row r="62486" customFormat="1" x14ac:dyDescent="0.25"/>
    <row r="62487" customFormat="1" x14ac:dyDescent="0.25"/>
    <row r="62488" customFormat="1" x14ac:dyDescent="0.25"/>
    <row r="62489" customFormat="1" x14ac:dyDescent="0.25"/>
    <row r="62490" customFormat="1" x14ac:dyDescent="0.25"/>
    <row r="62491" customFormat="1" x14ac:dyDescent="0.25"/>
    <row r="62492" customFormat="1" x14ac:dyDescent="0.25"/>
    <row r="62493" customFormat="1" x14ac:dyDescent="0.25"/>
    <row r="62494" customFormat="1" x14ac:dyDescent="0.25"/>
    <row r="62495" customFormat="1" x14ac:dyDescent="0.25"/>
    <row r="62496" customFormat="1" x14ac:dyDescent="0.25"/>
    <row r="62497" customFormat="1" x14ac:dyDescent="0.25"/>
    <row r="62498" customFormat="1" x14ac:dyDescent="0.25"/>
    <row r="62499" customFormat="1" x14ac:dyDescent="0.25"/>
    <row r="62500" customFormat="1" x14ac:dyDescent="0.25"/>
    <row r="62501" customFormat="1" x14ac:dyDescent="0.25"/>
    <row r="62502" customFormat="1" x14ac:dyDescent="0.25"/>
    <row r="62503" customFormat="1" x14ac:dyDescent="0.25"/>
    <row r="62504" customFormat="1" x14ac:dyDescent="0.25"/>
    <row r="62505" customFormat="1" x14ac:dyDescent="0.25"/>
    <row r="62506" customFormat="1" x14ac:dyDescent="0.25"/>
    <row r="62507" customFormat="1" x14ac:dyDescent="0.25"/>
    <row r="62508" customFormat="1" x14ac:dyDescent="0.25"/>
    <row r="62509" customFormat="1" x14ac:dyDescent="0.25"/>
    <row r="62510" customFormat="1" x14ac:dyDescent="0.25"/>
    <row r="62511" customFormat="1" x14ac:dyDescent="0.25"/>
    <row r="62512" customFormat="1" x14ac:dyDescent="0.25"/>
    <row r="62513" customFormat="1" x14ac:dyDescent="0.25"/>
    <row r="62514" customFormat="1" x14ac:dyDescent="0.25"/>
    <row r="62515" customFormat="1" x14ac:dyDescent="0.25"/>
    <row r="62516" customFormat="1" x14ac:dyDescent="0.25"/>
    <row r="62517" customFormat="1" x14ac:dyDescent="0.25"/>
    <row r="62518" customFormat="1" x14ac:dyDescent="0.25"/>
    <row r="62519" customFormat="1" x14ac:dyDescent="0.25"/>
    <row r="62520" customFormat="1" x14ac:dyDescent="0.25"/>
    <row r="62521" customFormat="1" x14ac:dyDescent="0.25"/>
    <row r="62522" customFormat="1" x14ac:dyDescent="0.25"/>
    <row r="62523" customFormat="1" x14ac:dyDescent="0.25"/>
    <row r="62524" customFormat="1" x14ac:dyDescent="0.25"/>
    <row r="62525" customFormat="1" x14ac:dyDescent="0.25"/>
    <row r="62526" customFormat="1" x14ac:dyDescent="0.25"/>
    <row r="62527" customFormat="1" x14ac:dyDescent="0.25"/>
    <row r="62528" customFormat="1" x14ac:dyDescent="0.25"/>
    <row r="62529" customFormat="1" x14ac:dyDescent="0.25"/>
    <row r="62530" customFormat="1" x14ac:dyDescent="0.25"/>
    <row r="62531" customFormat="1" x14ac:dyDescent="0.25"/>
    <row r="62532" customFormat="1" x14ac:dyDescent="0.25"/>
    <row r="62533" customFormat="1" x14ac:dyDescent="0.25"/>
    <row r="62534" customFormat="1" x14ac:dyDescent="0.25"/>
    <row r="62535" customFormat="1" x14ac:dyDescent="0.25"/>
    <row r="62536" customFormat="1" x14ac:dyDescent="0.25"/>
    <row r="62537" customFormat="1" x14ac:dyDescent="0.25"/>
    <row r="62538" customFormat="1" x14ac:dyDescent="0.25"/>
    <row r="62539" customFormat="1" x14ac:dyDescent="0.25"/>
    <row r="62540" customFormat="1" x14ac:dyDescent="0.25"/>
    <row r="62541" customFormat="1" x14ac:dyDescent="0.25"/>
    <row r="62542" customFormat="1" x14ac:dyDescent="0.25"/>
    <row r="62543" customFormat="1" x14ac:dyDescent="0.25"/>
    <row r="62544" customFormat="1" x14ac:dyDescent="0.25"/>
    <row r="62545" customFormat="1" x14ac:dyDescent="0.25"/>
    <row r="62546" customFormat="1" x14ac:dyDescent="0.25"/>
    <row r="62547" customFormat="1" x14ac:dyDescent="0.25"/>
    <row r="62548" customFormat="1" x14ac:dyDescent="0.25"/>
    <row r="62549" customFormat="1" x14ac:dyDescent="0.25"/>
    <row r="62550" customFormat="1" x14ac:dyDescent="0.25"/>
    <row r="62551" customFormat="1" x14ac:dyDescent="0.25"/>
    <row r="62552" customFormat="1" x14ac:dyDescent="0.25"/>
    <row r="62553" customFormat="1" x14ac:dyDescent="0.25"/>
    <row r="62554" customFormat="1" x14ac:dyDescent="0.25"/>
    <row r="62555" customFormat="1" x14ac:dyDescent="0.25"/>
    <row r="62556" customFormat="1" x14ac:dyDescent="0.25"/>
    <row r="62557" customFormat="1" x14ac:dyDescent="0.25"/>
    <row r="62558" customFormat="1" x14ac:dyDescent="0.25"/>
    <row r="62559" customFormat="1" x14ac:dyDescent="0.25"/>
    <row r="62560" customFormat="1" x14ac:dyDescent="0.25"/>
    <row r="62561" customFormat="1" x14ac:dyDescent="0.25"/>
    <row r="62562" customFormat="1" x14ac:dyDescent="0.25"/>
    <row r="62563" customFormat="1" x14ac:dyDescent="0.25"/>
    <row r="62564" customFormat="1" x14ac:dyDescent="0.25"/>
    <row r="62565" customFormat="1" x14ac:dyDescent="0.25"/>
    <row r="62566" customFormat="1" x14ac:dyDescent="0.25"/>
    <row r="62567" customFormat="1" x14ac:dyDescent="0.25"/>
    <row r="62568" customFormat="1" x14ac:dyDescent="0.25"/>
    <row r="62569" customFormat="1" x14ac:dyDescent="0.25"/>
    <row r="62570" customFormat="1" x14ac:dyDescent="0.25"/>
    <row r="62571" customFormat="1" x14ac:dyDescent="0.25"/>
    <row r="62572" customFormat="1" x14ac:dyDescent="0.25"/>
    <row r="62573" customFormat="1" x14ac:dyDescent="0.25"/>
    <row r="62574" customFormat="1" x14ac:dyDescent="0.25"/>
    <row r="62575" customFormat="1" x14ac:dyDescent="0.25"/>
    <row r="62576" customFormat="1" x14ac:dyDescent="0.25"/>
    <row r="62577" customFormat="1" x14ac:dyDescent="0.25"/>
    <row r="62578" customFormat="1" x14ac:dyDescent="0.25"/>
    <row r="62579" customFormat="1" x14ac:dyDescent="0.25"/>
    <row r="62580" customFormat="1" x14ac:dyDescent="0.25"/>
    <row r="62581" customFormat="1" x14ac:dyDescent="0.25"/>
    <row r="62582" customFormat="1" x14ac:dyDescent="0.25"/>
    <row r="62583" customFormat="1" x14ac:dyDescent="0.25"/>
    <row r="62584" customFormat="1" x14ac:dyDescent="0.25"/>
    <row r="62585" customFormat="1" x14ac:dyDescent="0.25"/>
    <row r="62586" customFormat="1" x14ac:dyDescent="0.25"/>
    <row r="62587" customFormat="1" x14ac:dyDescent="0.25"/>
    <row r="62588" customFormat="1" x14ac:dyDescent="0.25"/>
    <row r="62589" customFormat="1" x14ac:dyDescent="0.25"/>
    <row r="62590" customFormat="1" x14ac:dyDescent="0.25"/>
    <row r="62591" customFormat="1" x14ac:dyDescent="0.25"/>
    <row r="62592" customFormat="1" x14ac:dyDescent="0.25"/>
    <row r="62593" customFormat="1" x14ac:dyDescent="0.25"/>
    <row r="62594" customFormat="1" x14ac:dyDescent="0.25"/>
    <row r="62595" customFormat="1" x14ac:dyDescent="0.25"/>
    <row r="62596" customFormat="1" x14ac:dyDescent="0.25"/>
    <row r="62597" customFormat="1" x14ac:dyDescent="0.25"/>
    <row r="62598" customFormat="1" x14ac:dyDescent="0.25"/>
    <row r="62599" customFormat="1" x14ac:dyDescent="0.25"/>
    <row r="62600" customFormat="1" x14ac:dyDescent="0.25"/>
    <row r="62601" customFormat="1" x14ac:dyDescent="0.25"/>
    <row r="62602" customFormat="1" x14ac:dyDescent="0.25"/>
    <row r="62603" customFormat="1" x14ac:dyDescent="0.25"/>
    <row r="62604" customFormat="1" x14ac:dyDescent="0.25"/>
    <row r="62605" customFormat="1" x14ac:dyDescent="0.25"/>
    <row r="62606" customFormat="1" x14ac:dyDescent="0.25"/>
    <row r="62607" customFormat="1" x14ac:dyDescent="0.25"/>
    <row r="62608" customFormat="1" x14ac:dyDescent="0.25"/>
    <row r="62609" customFormat="1" x14ac:dyDescent="0.25"/>
    <row r="62610" customFormat="1" x14ac:dyDescent="0.25"/>
    <row r="62611" customFormat="1" x14ac:dyDescent="0.25"/>
    <row r="62612" customFormat="1" x14ac:dyDescent="0.25"/>
    <row r="62613" customFormat="1" x14ac:dyDescent="0.25"/>
    <row r="62614" customFormat="1" x14ac:dyDescent="0.25"/>
    <row r="62615" customFormat="1" x14ac:dyDescent="0.25"/>
    <row r="62616" customFormat="1" x14ac:dyDescent="0.25"/>
    <row r="62617" customFormat="1" x14ac:dyDescent="0.25"/>
    <row r="62618" customFormat="1" x14ac:dyDescent="0.25"/>
    <row r="62619" customFormat="1" x14ac:dyDescent="0.25"/>
    <row r="62620" customFormat="1" x14ac:dyDescent="0.25"/>
    <row r="62621" customFormat="1" x14ac:dyDescent="0.25"/>
    <row r="62622" customFormat="1" x14ac:dyDescent="0.25"/>
    <row r="62623" customFormat="1" x14ac:dyDescent="0.25"/>
    <row r="62624" customFormat="1" x14ac:dyDescent="0.25"/>
    <row r="62625" customFormat="1" x14ac:dyDescent="0.25"/>
    <row r="62626" customFormat="1" x14ac:dyDescent="0.25"/>
    <row r="62627" customFormat="1" x14ac:dyDescent="0.25"/>
    <row r="62628" customFormat="1" x14ac:dyDescent="0.25"/>
    <row r="62629" customFormat="1" x14ac:dyDescent="0.25"/>
    <row r="62630" customFormat="1" x14ac:dyDescent="0.25"/>
    <row r="62631" customFormat="1" x14ac:dyDescent="0.25"/>
    <row r="62632" customFormat="1" x14ac:dyDescent="0.25"/>
    <row r="62633" customFormat="1" x14ac:dyDescent="0.25"/>
    <row r="62634" customFormat="1" x14ac:dyDescent="0.25"/>
    <row r="62635" customFormat="1" x14ac:dyDescent="0.25"/>
    <row r="62636" customFormat="1" x14ac:dyDescent="0.25"/>
    <row r="62637" customFormat="1" x14ac:dyDescent="0.25"/>
    <row r="62638" customFormat="1" x14ac:dyDescent="0.25"/>
    <row r="62639" customFormat="1" x14ac:dyDescent="0.25"/>
    <row r="62640" customFormat="1" x14ac:dyDescent="0.25"/>
    <row r="62641" customFormat="1" x14ac:dyDescent="0.25"/>
    <row r="62642" customFormat="1" x14ac:dyDescent="0.25"/>
    <row r="62643" customFormat="1" x14ac:dyDescent="0.25"/>
    <row r="62644" customFormat="1" x14ac:dyDescent="0.25"/>
    <row r="62645" customFormat="1" x14ac:dyDescent="0.25"/>
    <row r="62646" customFormat="1" x14ac:dyDescent="0.25"/>
    <row r="62647" customFormat="1" x14ac:dyDescent="0.25"/>
    <row r="62648" customFormat="1" x14ac:dyDescent="0.25"/>
    <row r="62649" customFormat="1" x14ac:dyDescent="0.25"/>
    <row r="62650" customFormat="1" x14ac:dyDescent="0.25"/>
    <row r="62651" customFormat="1" x14ac:dyDescent="0.25"/>
    <row r="62652" customFormat="1" x14ac:dyDescent="0.25"/>
    <row r="62653" customFormat="1" x14ac:dyDescent="0.25"/>
    <row r="62654" customFormat="1" x14ac:dyDescent="0.25"/>
    <row r="62655" customFormat="1" x14ac:dyDescent="0.25"/>
    <row r="62656" customFormat="1" x14ac:dyDescent="0.25"/>
    <row r="62657" customFormat="1" x14ac:dyDescent="0.25"/>
    <row r="62658" customFormat="1" x14ac:dyDescent="0.25"/>
    <row r="62659" customFormat="1" x14ac:dyDescent="0.25"/>
    <row r="62660" customFormat="1" x14ac:dyDescent="0.25"/>
    <row r="62661" customFormat="1" x14ac:dyDescent="0.25"/>
    <row r="62662" customFormat="1" x14ac:dyDescent="0.25"/>
    <row r="62663" customFormat="1" x14ac:dyDescent="0.25"/>
    <row r="62664" customFormat="1" x14ac:dyDescent="0.25"/>
    <row r="62665" customFormat="1" x14ac:dyDescent="0.25"/>
    <row r="62666" customFormat="1" x14ac:dyDescent="0.25"/>
    <row r="62667" customFormat="1" x14ac:dyDescent="0.25"/>
    <row r="62668" customFormat="1" x14ac:dyDescent="0.25"/>
    <row r="62669" customFormat="1" x14ac:dyDescent="0.25"/>
    <row r="62670" customFormat="1" x14ac:dyDescent="0.25"/>
    <row r="62671" customFormat="1" x14ac:dyDescent="0.25"/>
    <row r="62672" customFormat="1" x14ac:dyDescent="0.25"/>
    <row r="62673" customFormat="1" x14ac:dyDescent="0.25"/>
    <row r="62674" customFormat="1" x14ac:dyDescent="0.25"/>
    <row r="62675" customFormat="1" x14ac:dyDescent="0.25"/>
    <row r="62676" customFormat="1" x14ac:dyDescent="0.25"/>
    <row r="62677" customFormat="1" x14ac:dyDescent="0.25"/>
    <row r="62678" customFormat="1" x14ac:dyDescent="0.25"/>
    <row r="62679" customFormat="1" x14ac:dyDescent="0.25"/>
    <row r="62680" customFormat="1" x14ac:dyDescent="0.25"/>
    <row r="62681" customFormat="1" x14ac:dyDescent="0.25"/>
    <row r="62682" customFormat="1" x14ac:dyDescent="0.25"/>
    <row r="62683" customFormat="1" x14ac:dyDescent="0.25"/>
    <row r="62684" customFormat="1" x14ac:dyDescent="0.25"/>
    <row r="62685" customFormat="1" x14ac:dyDescent="0.25"/>
    <row r="62686" customFormat="1" x14ac:dyDescent="0.25"/>
    <row r="62687" customFormat="1" x14ac:dyDescent="0.25"/>
    <row r="62688" customFormat="1" x14ac:dyDescent="0.25"/>
    <row r="62689" customFormat="1" x14ac:dyDescent="0.25"/>
    <row r="62690" customFormat="1" x14ac:dyDescent="0.25"/>
    <row r="62691" customFormat="1" x14ac:dyDescent="0.25"/>
    <row r="62692" customFormat="1" x14ac:dyDescent="0.25"/>
    <row r="62693" customFormat="1" x14ac:dyDescent="0.25"/>
    <row r="62694" customFormat="1" x14ac:dyDescent="0.25"/>
    <row r="62695" customFormat="1" x14ac:dyDescent="0.25"/>
    <row r="62696" customFormat="1" x14ac:dyDescent="0.25"/>
    <row r="62697" customFormat="1" x14ac:dyDescent="0.25"/>
    <row r="62698" customFormat="1" x14ac:dyDescent="0.25"/>
    <row r="62699" customFormat="1" x14ac:dyDescent="0.25"/>
    <row r="62700" customFormat="1" x14ac:dyDescent="0.25"/>
    <row r="62701" customFormat="1" x14ac:dyDescent="0.25"/>
    <row r="62702" customFormat="1" x14ac:dyDescent="0.25"/>
    <row r="62703" customFormat="1" x14ac:dyDescent="0.25"/>
    <row r="62704" customFormat="1" x14ac:dyDescent="0.25"/>
    <row r="62705" customFormat="1" x14ac:dyDescent="0.25"/>
    <row r="62706" customFormat="1" x14ac:dyDescent="0.25"/>
    <row r="62707" customFormat="1" x14ac:dyDescent="0.25"/>
    <row r="62708" customFormat="1" x14ac:dyDescent="0.25"/>
    <row r="62709" customFormat="1" x14ac:dyDescent="0.25"/>
    <row r="62710" customFormat="1" x14ac:dyDescent="0.25"/>
    <row r="62711" customFormat="1" x14ac:dyDescent="0.25"/>
    <row r="62712" customFormat="1" x14ac:dyDescent="0.25"/>
    <row r="62713" customFormat="1" x14ac:dyDescent="0.25"/>
    <row r="62714" customFormat="1" x14ac:dyDescent="0.25"/>
    <row r="62715" customFormat="1" x14ac:dyDescent="0.25"/>
    <row r="62716" customFormat="1" x14ac:dyDescent="0.25"/>
    <row r="62717" customFormat="1" x14ac:dyDescent="0.25"/>
    <row r="62718" customFormat="1" x14ac:dyDescent="0.25"/>
    <row r="62719" customFormat="1" x14ac:dyDescent="0.25"/>
    <row r="62720" customFormat="1" x14ac:dyDescent="0.25"/>
    <row r="62721" customFormat="1" x14ac:dyDescent="0.25"/>
    <row r="62722" customFormat="1" x14ac:dyDescent="0.25"/>
    <row r="62723" customFormat="1" x14ac:dyDescent="0.25"/>
    <row r="62724" customFormat="1" x14ac:dyDescent="0.25"/>
    <row r="62725" customFormat="1" x14ac:dyDescent="0.25"/>
    <row r="62726" customFormat="1" x14ac:dyDescent="0.25"/>
    <row r="62727" customFormat="1" x14ac:dyDescent="0.25"/>
    <row r="62728" customFormat="1" x14ac:dyDescent="0.25"/>
    <row r="62729" customFormat="1" x14ac:dyDescent="0.25"/>
    <row r="62730" customFormat="1" x14ac:dyDescent="0.25"/>
    <row r="62731" customFormat="1" x14ac:dyDescent="0.25"/>
    <row r="62732" customFormat="1" x14ac:dyDescent="0.25"/>
    <row r="62733" customFormat="1" x14ac:dyDescent="0.25"/>
    <row r="62734" customFormat="1" x14ac:dyDescent="0.25"/>
    <row r="62735" customFormat="1" x14ac:dyDescent="0.25"/>
    <row r="62736" customFormat="1" x14ac:dyDescent="0.25"/>
    <row r="62737" customFormat="1" x14ac:dyDescent="0.25"/>
    <row r="62738" customFormat="1" x14ac:dyDescent="0.25"/>
    <row r="62739" customFormat="1" x14ac:dyDescent="0.25"/>
    <row r="62740" customFormat="1" x14ac:dyDescent="0.25"/>
    <row r="62741" customFormat="1" x14ac:dyDescent="0.25"/>
    <row r="62742" customFormat="1" x14ac:dyDescent="0.25"/>
    <row r="62743" customFormat="1" x14ac:dyDescent="0.25"/>
    <row r="62744" customFormat="1" x14ac:dyDescent="0.25"/>
    <row r="62745" customFormat="1" x14ac:dyDescent="0.25"/>
    <row r="62746" customFormat="1" x14ac:dyDescent="0.25"/>
    <row r="62747" customFormat="1" x14ac:dyDescent="0.25"/>
    <row r="62748" customFormat="1" x14ac:dyDescent="0.25"/>
    <row r="62749" customFormat="1" x14ac:dyDescent="0.25"/>
    <row r="62750" customFormat="1" x14ac:dyDescent="0.25"/>
    <row r="62751" customFormat="1" x14ac:dyDescent="0.25"/>
    <row r="62752" customFormat="1" x14ac:dyDescent="0.25"/>
    <row r="62753" customFormat="1" x14ac:dyDescent="0.25"/>
    <row r="62754" customFormat="1" x14ac:dyDescent="0.25"/>
    <row r="62755" customFormat="1" x14ac:dyDescent="0.25"/>
    <row r="62756" customFormat="1" x14ac:dyDescent="0.25"/>
    <row r="62757" customFormat="1" x14ac:dyDescent="0.25"/>
    <row r="62758" customFormat="1" x14ac:dyDescent="0.25"/>
    <row r="62759" customFormat="1" x14ac:dyDescent="0.25"/>
    <row r="62760" customFormat="1" x14ac:dyDescent="0.25"/>
    <row r="62761" customFormat="1" x14ac:dyDescent="0.25"/>
    <row r="62762" customFormat="1" x14ac:dyDescent="0.25"/>
    <row r="62763" customFormat="1" x14ac:dyDescent="0.25"/>
    <row r="62764" customFormat="1" x14ac:dyDescent="0.25"/>
    <row r="62765" customFormat="1" x14ac:dyDescent="0.25"/>
    <row r="62766" customFormat="1" x14ac:dyDescent="0.25"/>
    <row r="62767" customFormat="1" x14ac:dyDescent="0.25"/>
    <row r="62768" customFormat="1" x14ac:dyDescent="0.25"/>
    <row r="62769" customFormat="1" x14ac:dyDescent="0.25"/>
    <row r="62770" customFormat="1" x14ac:dyDescent="0.25"/>
    <row r="62771" customFormat="1" x14ac:dyDescent="0.25"/>
    <row r="62772" customFormat="1" x14ac:dyDescent="0.25"/>
    <row r="62773" customFormat="1" x14ac:dyDescent="0.25"/>
    <row r="62774" customFormat="1" x14ac:dyDescent="0.25"/>
    <row r="62775" customFormat="1" x14ac:dyDescent="0.25"/>
    <row r="62776" customFormat="1" x14ac:dyDescent="0.25"/>
    <row r="62777" customFormat="1" x14ac:dyDescent="0.25"/>
    <row r="62778" customFormat="1" x14ac:dyDescent="0.25"/>
    <row r="62779" customFormat="1" x14ac:dyDescent="0.25"/>
    <row r="62780" customFormat="1" x14ac:dyDescent="0.25"/>
    <row r="62781" customFormat="1" x14ac:dyDescent="0.25"/>
    <row r="62782" customFormat="1" x14ac:dyDescent="0.25"/>
    <row r="62783" customFormat="1" x14ac:dyDescent="0.25"/>
    <row r="62784" customFormat="1" x14ac:dyDescent="0.25"/>
    <row r="62785" customFormat="1" x14ac:dyDescent="0.25"/>
    <row r="62786" customFormat="1" x14ac:dyDescent="0.25"/>
    <row r="62787" customFormat="1" x14ac:dyDescent="0.25"/>
    <row r="62788" customFormat="1" x14ac:dyDescent="0.25"/>
    <row r="62789" customFormat="1" x14ac:dyDescent="0.25"/>
    <row r="62790" customFormat="1" x14ac:dyDescent="0.25"/>
    <row r="62791" customFormat="1" x14ac:dyDescent="0.25"/>
    <row r="62792" customFormat="1" x14ac:dyDescent="0.25"/>
    <row r="62793" customFormat="1" x14ac:dyDescent="0.25"/>
    <row r="62794" customFormat="1" x14ac:dyDescent="0.25"/>
    <row r="62795" customFormat="1" x14ac:dyDescent="0.25"/>
    <row r="62796" customFormat="1" x14ac:dyDescent="0.25"/>
    <row r="62797" customFormat="1" x14ac:dyDescent="0.25"/>
    <row r="62798" customFormat="1" x14ac:dyDescent="0.25"/>
    <row r="62799" customFormat="1" x14ac:dyDescent="0.25"/>
    <row r="62800" customFormat="1" x14ac:dyDescent="0.25"/>
    <row r="62801" customFormat="1" x14ac:dyDescent="0.25"/>
    <row r="62802" customFormat="1" x14ac:dyDescent="0.25"/>
    <row r="62803" customFormat="1" x14ac:dyDescent="0.25"/>
    <row r="62804" customFormat="1" x14ac:dyDescent="0.25"/>
    <row r="62805" customFormat="1" x14ac:dyDescent="0.25"/>
    <row r="62806" customFormat="1" x14ac:dyDescent="0.25"/>
    <row r="62807" customFormat="1" x14ac:dyDescent="0.25"/>
    <row r="62808" customFormat="1" x14ac:dyDescent="0.25"/>
    <row r="62809" customFormat="1" x14ac:dyDescent="0.25"/>
    <row r="62810" customFormat="1" x14ac:dyDescent="0.25"/>
    <row r="62811" customFormat="1" x14ac:dyDescent="0.25"/>
    <row r="62812" customFormat="1" x14ac:dyDescent="0.25"/>
    <row r="62813" customFormat="1" x14ac:dyDescent="0.25"/>
    <row r="62814" customFormat="1" x14ac:dyDescent="0.25"/>
    <row r="62815" customFormat="1" x14ac:dyDescent="0.25"/>
    <row r="62816" customFormat="1" x14ac:dyDescent="0.25"/>
    <row r="62817" customFormat="1" x14ac:dyDescent="0.25"/>
    <row r="62818" customFormat="1" x14ac:dyDescent="0.25"/>
    <row r="62819" customFormat="1" x14ac:dyDescent="0.25"/>
    <row r="62820" customFormat="1" x14ac:dyDescent="0.25"/>
    <row r="62821" customFormat="1" x14ac:dyDescent="0.25"/>
    <row r="62822" customFormat="1" x14ac:dyDescent="0.25"/>
    <row r="62823" customFormat="1" x14ac:dyDescent="0.25"/>
    <row r="62824" customFormat="1" x14ac:dyDescent="0.25"/>
    <row r="62825" customFormat="1" x14ac:dyDescent="0.25"/>
    <row r="62826" customFormat="1" x14ac:dyDescent="0.25"/>
    <row r="62827" customFormat="1" x14ac:dyDescent="0.25"/>
    <row r="62828" customFormat="1" x14ac:dyDescent="0.25"/>
    <row r="62829" customFormat="1" x14ac:dyDescent="0.25"/>
    <row r="62830" customFormat="1" x14ac:dyDescent="0.25"/>
    <row r="62831" customFormat="1" x14ac:dyDescent="0.25"/>
    <row r="62832" customFormat="1" x14ac:dyDescent="0.25"/>
    <row r="62833" customFormat="1" x14ac:dyDescent="0.25"/>
    <row r="62834" customFormat="1" x14ac:dyDescent="0.25"/>
    <row r="62835" customFormat="1" x14ac:dyDescent="0.25"/>
    <row r="62836" customFormat="1" x14ac:dyDescent="0.25"/>
    <row r="62837" customFormat="1" x14ac:dyDescent="0.25"/>
    <row r="62838" customFormat="1" x14ac:dyDescent="0.25"/>
    <row r="62839" customFormat="1" x14ac:dyDescent="0.25"/>
    <row r="62840" customFormat="1" x14ac:dyDescent="0.25"/>
    <row r="62841" customFormat="1" x14ac:dyDescent="0.25"/>
    <row r="62842" customFormat="1" x14ac:dyDescent="0.25"/>
    <row r="62843" customFormat="1" x14ac:dyDescent="0.25"/>
    <row r="62844" customFormat="1" x14ac:dyDescent="0.25"/>
    <row r="62845" customFormat="1" x14ac:dyDescent="0.25"/>
    <row r="62846" customFormat="1" x14ac:dyDescent="0.25"/>
    <row r="62847" customFormat="1" x14ac:dyDescent="0.25"/>
    <row r="62848" customFormat="1" x14ac:dyDescent="0.25"/>
    <row r="62849" customFormat="1" x14ac:dyDescent="0.25"/>
    <row r="62850" customFormat="1" x14ac:dyDescent="0.25"/>
    <row r="62851" customFormat="1" x14ac:dyDescent="0.25"/>
    <row r="62852" customFormat="1" x14ac:dyDescent="0.25"/>
    <row r="62853" customFormat="1" x14ac:dyDescent="0.25"/>
    <row r="62854" customFormat="1" x14ac:dyDescent="0.25"/>
    <row r="62855" customFormat="1" x14ac:dyDescent="0.25"/>
    <row r="62856" customFormat="1" x14ac:dyDescent="0.25"/>
    <row r="62857" customFormat="1" x14ac:dyDescent="0.25"/>
    <row r="62858" customFormat="1" x14ac:dyDescent="0.25"/>
    <row r="62859" customFormat="1" x14ac:dyDescent="0.25"/>
    <row r="62860" customFormat="1" x14ac:dyDescent="0.25"/>
    <row r="62861" customFormat="1" x14ac:dyDescent="0.25"/>
    <row r="62862" customFormat="1" x14ac:dyDescent="0.25"/>
    <row r="62863" customFormat="1" x14ac:dyDescent="0.25"/>
    <row r="62864" customFormat="1" x14ac:dyDescent="0.25"/>
    <row r="62865" customFormat="1" x14ac:dyDescent="0.25"/>
    <row r="62866" customFormat="1" x14ac:dyDescent="0.25"/>
    <row r="62867" customFormat="1" x14ac:dyDescent="0.25"/>
    <row r="62868" customFormat="1" x14ac:dyDescent="0.25"/>
    <row r="62869" customFormat="1" x14ac:dyDescent="0.25"/>
    <row r="62870" customFormat="1" x14ac:dyDescent="0.25"/>
    <row r="62871" customFormat="1" x14ac:dyDescent="0.25"/>
    <row r="62872" customFormat="1" x14ac:dyDescent="0.25"/>
    <row r="62873" customFormat="1" x14ac:dyDescent="0.25"/>
    <row r="62874" customFormat="1" x14ac:dyDescent="0.25"/>
    <row r="62875" customFormat="1" x14ac:dyDescent="0.25"/>
    <row r="62876" customFormat="1" x14ac:dyDescent="0.25"/>
    <row r="62877" customFormat="1" x14ac:dyDescent="0.25"/>
    <row r="62878" customFormat="1" x14ac:dyDescent="0.25"/>
    <row r="62879" customFormat="1" x14ac:dyDescent="0.25"/>
    <row r="62880" customFormat="1" x14ac:dyDescent="0.25"/>
    <row r="62881" customFormat="1" x14ac:dyDescent="0.25"/>
    <row r="62882" customFormat="1" x14ac:dyDescent="0.25"/>
    <row r="62883" customFormat="1" x14ac:dyDescent="0.25"/>
    <row r="62884" customFormat="1" x14ac:dyDescent="0.25"/>
    <row r="62885" customFormat="1" x14ac:dyDescent="0.25"/>
    <row r="62886" customFormat="1" x14ac:dyDescent="0.25"/>
    <row r="62887" customFormat="1" x14ac:dyDescent="0.25"/>
    <row r="62888" customFormat="1" x14ac:dyDescent="0.25"/>
    <row r="62889" customFormat="1" x14ac:dyDescent="0.25"/>
    <row r="62890" customFormat="1" x14ac:dyDescent="0.25"/>
    <row r="62891" customFormat="1" x14ac:dyDescent="0.25"/>
    <row r="62892" customFormat="1" x14ac:dyDescent="0.25"/>
    <row r="62893" customFormat="1" x14ac:dyDescent="0.25"/>
    <row r="62894" customFormat="1" x14ac:dyDescent="0.25"/>
    <row r="62895" customFormat="1" x14ac:dyDescent="0.25"/>
    <row r="62896" customFormat="1" x14ac:dyDescent="0.25"/>
    <row r="62897" customFormat="1" x14ac:dyDescent="0.25"/>
    <row r="62898" customFormat="1" x14ac:dyDescent="0.25"/>
    <row r="62899" customFormat="1" x14ac:dyDescent="0.25"/>
    <row r="62900" customFormat="1" x14ac:dyDescent="0.25"/>
    <row r="62901" customFormat="1" x14ac:dyDescent="0.25"/>
    <row r="62902" customFormat="1" x14ac:dyDescent="0.25"/>
    <row r="62903" customFormat="1" x14ac:dyDescent="0.25"/>
    <row r="62904" customFormat="1" x14ac:dyDescent="0.25"/>
    <row r="62905" customFormat="1" x14ac:dyDescent="0.25"/>
    <row r="62906" customFormat="1" x14ac:dyDescent="0.25"/>
    <row r="62907" customFormat="1" x14ac:dyDescent="0.25"/>
    <row r="62908" customFormat="1" x14ac:dyDescent="0.25"/>
    <row r="62909" customFormat="1" x14ac:dyDescent="0.25"/>
    <row r="62910" customFormat="1" x14ac:dyDescent="0.25"/>
    <row r="62911" customFormat="1" x14ac:dyDescent="0.25"/>
    <row r="62912" customFormat="1" x14ac:dyDescent="0.25"/>
    <row r="62913" customFormat="1" x14ac:dyDescent="0.25"/>
    <row r="62914" customFormat="1" x14ac:dyDescent="0.25"/>
    <row r="62915" customFormat="1" x14ac:dyDescent="0.25"/>
    <row r="62916" customFormat="1" x14ac:dyDescent="0.25"/>
    <row r="62917" customFormat="1" x14ac:dyDescent="0.25"/>
    <row r="62918" customFormat="1" x14ac:dyDescent="0.25"/>
    <row r="62919" customFormat="1" x14ac:dyDescent="0.25"/>
    <row r="62920" customFormat="1" x14ac:dyDescent="0.25"/>
    <row r="62921" customFormat="1" x14ac:dyDescent="0.25"/>
    <row r="62922" customFormat="1" x14ac:dyDescent="0.25"/>
    <row r="62923" customFormat="1" x14ac:dyDescent="0.25"/>
    <row r="62924" customFormat="1" x14ac:dyDescent="0.25"/>
    <row r="62925" customFormat="1" x14ac:dyDescent="0.25"/>
    <row r="62926" customFormat="1" x14ac:dyDescent="0.25"/>
    <row r="62927" customFormat="1" x14ac:dyDescent="0.25"/>
    <row r="62928" customFormat="1" x14ac:dyDescent="0.25"/>
    <row r="62929" customFormat="1" x14ac:dyDescent="0.25"/>
    <row r="62930" customFormat="1" x14ac:dyDescent="0.25"/>
    <row r="62931" customFormat="1" x14ac:dyDescent="0.25"/>
    <row r="62932" customFormat="1" x14ac:dyDescent="0.25"/>
    <row r="62933" customFormat="1" x14ac:dyDescent="0.25"/>
    <row r="62934" customFormat="1" x14ac:dyDescent="0.25"/>
    <row r="62935" customFormat="1" x14ac:dyDescent="0.25"/>
    <row r="62936" customFormat="1" x14ac:dyDescent="0.25"/>
    <row r="62937" customFormat="1" x14ac:dyDescent="0.25"/>
    <row r="62938" customFormat="1" x14ac:dyDescent="0.25"/>
    <row r="62939" customFormat="1" x14ac:dyDescent="0.25"/>
    <row r="62940" customFormat="1" x14ac:dyDescent="0.25"/>
    <row r="62941" customFormat="1" x14ac:dyDescent="0.25"/>
    <row r="62942" customFormat="1" x14ac:dyDescent="0.25"/>
    <row r="62943" customFormat="1" x14ac:dyDescent="0.25"/>
    <row r="62944" customFormat="1" x14ac:dyDescent="0.25"/>
    <row r="62945" customFormat="1" x14ac:dyDescent="0.25"/>
    <row r="62946" customFormat="1" x14ac:dyDescent="0.25"/>
    <row r="62947" customFormat="1" x14ac:dyDescent="0.25"/>
    <row r="62948" customFormat="1" x14ac:dyDescent="0.25"/>
    <row r="62949" customFormat="1" x14ac:dyDescent="0.25"/>
    <row r="62950" customFormat="1" x14ac:dyDescent="0.25"/>
    <row r="62951" customFormat="1" x14ac:dyDescent="0.25"/>
    <row r="62952" customFormat="1" x14ac:dyDescent="0.25"/>
    <row r="62953" customFormat="1" x14ac:dyDescent="0.25"/>
    <row r="62954" customFormat="1" x14ac:dyDescent="0.25"/>
    <row r="62955" customFormat="1" x14ac:dyDescent="0.25"/>
    <row r="62956" customFormat="1" x14ac:dyDescent="0.25"/>
    <row r="62957" customFormat="1" x14ac:dyDescent="0.25"/>
    <row r="62958" customFormat="1" x14ac:dyDescent="0.25"/>
    <row r="62959" customFormat="1" x14ac:dyDescent="0.25"/>
    <row r="62960" customFormat="1" x14ac:dyDescent="0.25"/>
    <row r="62961" customFormat="1" x14ac:dyDescent="0.25"/>
    <row r="62962" customFormat="1" x14ac:dyDescent="0.25"/>
    <row r="62963" customFormat="1" x14ac:dyDescent="0.25"/>
    <row r="62964" customFormat="1" x14ac:dyDescent="0.25"/>
    <row r="62965" customFormat="1" x14ac:dyDescent="0.25"/>
    <row r="62966" customFormat="1" x14ac:dyDescent="0.25"/>
    <row r="62967" customFormat="1" x14ac:dyDescent="0.25"/>
    <row r="62968" customFormat="1" x14ac:dyDescent="0.25"/>
    <row r="62969" customFormat="1" x14ac:dyDescent="0.25"/>
    <row r="62970" customFormat="1" x14ac:dyDescent="0.25"/>
    <row r="62971" customFormat="1" x14ac:dyDescent="0.25"/>
    <row r="62972" customFormat="1" x14ac:dyDescent="0.25"/>
    <row r="62973" customFormat="1" x14ac:dyDescent="0.25"/>
    <row r="62974" customFormat="1" x14ac:dyDescent="0.25"/>
    <row r="62975" customFormat="1" x14ac:dyDescent="0.25"/>
    <row r="62976" customFormat="1" x14ac:dyDescent="0.25"/>
    <row r="62977" customFormat="1" x14ac:dyDescent="0.25"/>
    <row r="62978" customFormat="1" x14ac:dyDescent="0.25"/>
    <row r="62979" customFormat="1" x14ac:dyDescent="0.25"/>
    <row r="62980" customFormat="1" x14ac:dyDescent="0.25"/>
    <row r="62981" customFormat="1" x14ac:dyDescent="0.25"/>
    <row r="62982" customFormat="1" x14ac:dyDescent="0.25"/>
    <row r="62983" customFormat="1" x14ac:dyDescent="0.25"/>
    <row r="62984" customFormat="1" x14ac:dyDescent="0.25"/>
    <row r="62985" customFormat="1" x14ac:dyDescent="0.25"/>
    <row r="62986" customFormat="1" x14ac:dyDescent="0.25"/>
    <row r="62987" customFormat="1" x14ac:dyDescent="0.25"/>
    <row r="62988" customFormat="1" x14ac:dyDescent="0.25"/>
    <row r="62989" customFormat="1" x14ac:dyDescent="0.25"/>
    <row r="62990" customFormat="1" x14ac:dyDescent="0.25"/>
    <row r="62991" customFormat="1" x14ac:dyDescent="0.25"/>
    <row r="62992" customFormat="1" x14ac:dyDescent="0.25"/>
    <row r="62993" customFormat="1" x14ac:dyDescent="0.25"/>
    <row r="62994" customFormat="1" x14ac:dyDescent="0.25"/>
    <row r="62995" customFormat="1" x14ac:dyDescent="0.25"/>
    <row r="62996" customFormat="1" x14ac:dyDescent="0.25"/>
    <row r="62997" customFormat="1" x14ac:dyDescent="0.25"/>
    <row r="62998" customFormat="1" x14ac:dyDescent="0.25"/>
    <row r="62999" customFormat="1" x14ac:dyDescent="0.25"/>
    <row r="63000" customFormat="1" x14ac:dyDescent="0.25"/>
    <row r="63001" customFormat="1" x14ac:dyDescent="0.25"/>
    <row r="63002" customFormat="1" x14ac:dyDescent="0.25"/>
    <row r="63003" customFormat="1" x14ac:dyDescent="0.25"/>
    <row r="63004" customFormat="1" x14ac:dyDescent="0.25"/>
    <row r="63005" customFormat="1" x14ac:dyDescent="0.25"/>
    <row r="63006" customFormat="1" x14ac:dyDescent="0.25"/>
    <row r="63007" customFormat="1" x14ac:dyDescent="0.25"/>
    <row r="63008" customFormat="1" x14ac:dyDescent="0.25"/>
    <row r="63009" customFormat="1" x14ac:dyDescent="0.25"/>
    <row r="63010" customFormat="1" x14ac:dyDescent="0.25"/>
    <row r="63011" customFormat="1" x14ac:dyDescent="0.25"/>
    <row r="63012" customFormat="1" x14ac:dyDescent="0.25"/>
    <row r="63013" customFormat="1" x14ac:dyDescent="0.25"/>
    <row r="63014" customFormat="1" x14ac:dyDescent="0.25"/>
    <row r="63015" customFormat="1" x14ac:dyDescent="0.25"/>
    <row r="63016" customFormat="1" x14ac:dyDescent="0.25"/>
    <row r="63017" customFormat="1" x14ac:dyDescent="0.25"/>
    <row r="63018" customFormat="1" x14ac:dyDescent="0.25"/>
    <row r="63019" customFormat="1" x14ac:dyDescent="0.25"/>
    <row r="63020" customFormat="1" x14ac:dyDescent="0.25"/>
    <row r="63021" customFormat="1" x14ac:dyDescent="0.25"/>
    <row r="63022" customFormat="1" x14ac:dyDescent="0.25"/>
    <row r="63023" customFormat="1" x14ac:dyDescent="0.25"/>
    <row r="63024" customFormat="1" x14ac:dyDescent="0.25"/>
    <row r="63025" customFormat="1" x14ac:dyDescent="0.25"/>
    <row r="63026" customFormat="1" x14ac:dyDescent="0.25"/>
    <row r="63027" customFormat="1" x14ac:dyDescent="0.25"/>
    <row r="63028" customFormat="1" x14ac:dyDescent="0.25"/>
    <row r="63029" customFormat="1" x14ac:dyDescent="0.25"/>
    <row r="63030" customFormat="1" x14ac:dyDescent="0.25"/>
    <row r="63031" customFormat="1" x14ac:dyDescent="0.25"/>
    <row r="63032" customFormat="1" x14ac:dyDescent="0.25"/>
    <row r="63033" customFormat="1" x14ac:dyDescent="0.25"/>
    <row r="63034" customFormat="1" x14ac:dyDescent="0.25"/>
    <row r="63035" customFormat="1" x14ac:dyDescent="0.25"/>
    <row r="63036" customFormat="1" x14ac:dyDescent="0.25"/>
    <row r="63037" customFormat="1" x14ac:dyDescent="0.25"/>
    <row r="63038" customFormat="1" x14ac:dyDescent="0.25"/>
    <row r="63039" customFormat="1" x14ac:dyDescent="0.25"/>
    <row r="63040" customFormat="1" x14ac:dyDescent="0.25"/>
    <row r="63041" customFormat="1" x14ac:dyDescent="0.25"/>
    <row r="63042" customFormat="1" x14ac:dyDescent="0.25"/>
    <row r="63043" customFormat="1" x14ac:dyDescent="0.25"/>
    <row r="63044" customFormat="1" x14ac:dyDescent="0.25"/>
    <row r="63045" customFormat="1" x14ac:dyDescent="0.25"/>
    <row r="63046" customFormat="1" x14ac:dyDescent="0.25"/>
    <row r="63047" customFormat="1" x14ac:dyDescent="0.25"/>
    <row r="63048" customFormat="1" x14ac:dyDescent="0.25"/>
    <row r="63049" customFormat="1" x14ac:dyDescent="0.25"/>
    <row r="63050" customFormat="1" x14ac:dyDescent="0.25"/>
    <row r="63051" customFormat="1" x14ac:dyDescent="0.25"/>
    <row r="63052" customFormat="1" x14ac:dyDescent="0.25"/>
    <row r="63053" customFormat="1" x14ac:dyDescent="0.25"/>
    <row r="63054" customFormat="1" x14ac:dyDescent="0.25"/>
    <row r="63055" customFormat="1" x14ac:dyDescent="0.25"/>
    <row r="63056" customFormat="1" x14ac:dyDescent="0.25"/>
    <row r="63057" customFormat="1" x14ac:dyDescent="0.25"/>
    <row r="63058" customFormat="1" x14ac:dyDescent="0.25"/>
    <row r="63059" customFormat="1" x14ac:dyDescent="0.25"/>
    <row r="63060" customFormat="1" x14ac:dyDescent="0.25"/>
    <row r="63061" customFormat="1" x14ac:dyDescent="0.25"/>
    <row r="63062" customFormat="1" x14ac:dyDescent="0.25"/>
    <row r="63063" customFormat="1" x14ac:dyDescent="0.25"/>
    <row r="63064" customFormat="1" x14ac:dyDescent="0.25"/>
    <row r="63065" customFormat="1" x14ac:dyDescent="0.25"/>
    <row r="63066" customFormat="1" x14ac:dyDescent="0.25"/>
    <row r="63067" customFormat="1" x14ac:dyDescent="0.25"/>
    <row r="63068" customFormat="1" x14ac:dyDescent="0.25"/>
    <row r="63069" customFormat="1" x14ac:dyDescent="0.25"/>
    <row r="63070" customFormat="1" x14ac:dyDescent="0.25"/>
    <row r="63071" customFormat="1" x14ac:dyDescent="0.25"/>
    <row r="63072" customFormat="1" x14ac:dyDescent="0.25"/>
    <row r="63073" customFormat="1" x14ac:dyDescent="0.25"/>
    <row r="63074" customFormat="1" x14ac:dyDescent="0.25"/>
    <row r="63075" customFormat="1" x14ac:dyDescent="0.25"/>
    <row r="63076" customFormat="1" x14ac:dyDescent="0.25"/>
    <row r="63077" customFormat="1" x14ac:dyDescent="0.25"/>
    <row r="63078" customFormat="1" x14ac:dyDescent="0.25"/>
    <row r="63079" customFormat="1" x14ac:dyDescent="0.25"/>
    <row r="63080" customFormat="1" x14ac:dyDescent="0.25"/>
    <row r="63081" customFormat="1" x14ac:dyDescent="0.25"/>
    <row r="63082" customFormat="1" x14ac:dyDescent="0.25"/>
    <row r="63083" customFormat="1" x14ac:dyDescent="0.25"/>
    <row r="63084" customFormat="1" x14ac:dyDescent="0.25"/>
    <row r="63085" customFormat="1" x14ac:dyDescent="0.25"/>
    <row r="63086" customFormat="1" x14ac:dyDescent="0.25"/>
    <row r="63087" customFormat="1" x14ac:dyDescent="0.25"/>
    <row r="63088" customFormat="1" x14ac:dyDescent="0.25"/>
    <row r="63089" customFormat="1" x14ac:dyDescent="0.25"/>
    <row r="63090" customFormat="1" x14ac:dyDescent="0.25"/>
    <row r="63091" customFormat="1" x14ac:dyDescent="0.25"/>
    <row r="63092" customFormat="1" x14ac:dyDescent="0.25"/>
    <row r="63093" customFormat="1" x14ac:dyDescent="0.25"/>
    <row r="63094" customFormat="1" x14ac:dyDescent="0.25"/>
    <row r="63095" customFormat="1" x14ac:dyDescent="0.25"/>
    <row r="63096" customFormat="1" x14ac:dyDescent="0.25"/>
    <row r="63097" customFormat="1" x14ac:dyDescent="0.25"/>
    <row r="63098" customFormat="1" x14ac:dyDescent="0.25"/>
    <row r="63099" customFormat="1" x14ac:dyDescent="0.25"/>
    <row r="63100" customFormat="1" x14ac:dyDescent="0.25"/>
    <row r="63101" customFormat="1" x14ac:dyDescent="0.25"/>
    <row r="63102" customFormat="1" x14ac:dyDescent="0.25"/>
    <row r="63103" customFormat="1" x14ac:dyDescent="0.25"/>
    <row r="63104" customFormat="1" x14ac:dyDescent="0.25"/>
    <row r="63105" customFormat="1" x14ac:dyDescent="0.25"/>
    <row r="63106" customFormat="1" x14ac:dyDescent="0.25"/>
    <row r="63107" customFormat="1" x14ac:dyDescent="0.25"/>
    <row r="63108" customFormat="1" x14ac:dyDescent="0.25"/>
    <row r="63109" customFormat="1" x14ac:dyDescent="0.25"/>
    <row r="63110" customFormat="1" x14ac:dyDescent="0.25"/>
    <row r="63111" customFormat="1" x14ac:dyDescent="0.25"/>
    <row r="63112" customFormat="1" x14ac:dyDescent="0.25"/>
    <row r="63113" customFormat="1" x14ac:dyDescent="0.25"/>
    <row r="63114" customFormat="1" x14ac:dyDescent="0.25"/>
    <row r="63115" customFormat="1" x14ac:dyDescent="0.25"/>
    <row r="63116" customFormat="1" x14ac:dyDescent="0.25"/>
    <row r="63117" customFormat="1" x14ac:dyDescent="0.25"/>
    <row r="63118" customFormat="1" x14ac:dyDescent="0.25"/>
    <row r="63119" customFormat="1" x14ac:dyDescent="0.25"/>
    <row r="63120" customFormat="1" x14ac:dyDescent="0.25"/>
    <row r="63121" customFormat="1" x14ac:dyDescent="0.25"/>
    <row r="63122" customFormat="1" x14ac:dyDescent="0.25"/>
    <row r="63123" customFormat="1" x14ac:dyDescent="0.25"/>
    <row r="63124" customFormat="1" x14ac:dyDescent="0.25"/>
    <row r="63125" customFormat="1" x14ac:dyDescent="0.25"/>
    <row r="63126" customFormat="1" x14ac:dyDescent="0.25"/>
    <row r="63127" customFormat="1" x14ac:dyDescent="0.25"/>
    <row r="63128" customFormat="1" x14ac:dyDescent="0.25"/>
    <row r="63129" customFormat="1" x14ac:dyDescent="0.25"/>
    <row r="63130" customFormat="1" x14ac:dyDescent="0.25"/>
    <row r="63131" customFormat="1" x14ac:dyDescent="0.25"/>
    <row r="63132" customFormat="1" x14ac:dyDescent="0.25"/>
    <row r="63133" customFormat="1" x14ac:dyDescent="0.25"/>
    <row r="63134" customFormat="1" x14ac:dyDescent="0.25"/>
    <row r="63135" customFormat="1" x14ac:dyDescent="0.25"/>
    <row r="63136" customFormat="1" x14ac:dyDescent="0.25"/>
    <row r="63137" customFormat="1" x14ac:dyDescent="0.25"/>
    <row r="63138" customFormat="1" x14ac:dyDescent="0.25"/>
    <row r="63139" customFormat="1" x14ac:dyDescent="0.25"/>
    <row r="63140" customFormat="1" x14ac:dyDescent="0.25"/>
    <row r="63141" customFormat="1" x14ac:dyDescent="0.25"/>
    <row r="63142" customFormat="1" x14ac:dyDescent="0.25"/>
    <row r="63143" customFormat="1" x14ac:dyDescent="0.25"/>
    <row r="63144" customFormat="1" x14ac:dyDescent="0.25"/>
    <row r="63145" customFormat="1" x14ac:dyDescent="0.25"/>
    <row r="63146" customFormat="1" x14ac:dyDescent="0.25"/>
    <row r="63147" customFormat="1" x14ac:dyDescent="0.25"/>
    <row r="63148" customFormat="1" x14ac:dyDescent="0.25"/>
    <row r="63149" customFormat="1" x14ac:dyDescent="0.25"/>
    <row r="63150" customFormat="1" x14ac:dyDescent="0.25"/>
    <row r="63151" customFormat="1" x14ac:dyDescent="0.25"/>
    <row r="63152" customFormat="1" x14ac:dyDescent="0.25"/>
    <row r="63153" customFormat="1" x14ac:dyDescent="0.25"/>
    <row r="63154" customFormat="1" x14ac:dyDescent="0.25"/>
    <row r="63155" customFormat="1" x14ac:dyDescent="0.25"/>
    <row r="63156" customFormat="1" x14ac:dyDescent="0.25"/>
    <row r="63157" customFormat="1" x14ac:dyDescent="0.25"/>
    <row r="63158" customFormat="1" x14ac:dyDescent="0.25"/>
    <row r="63159" customFormat="1" x14ac:dyDescent="0.25"/>
    <row r="63160" customFormat="1" x14ac:dyDescent="0.25"/>
    <row r="63161" customFormat="1" x14ac:dyDescent="0.25"/>
    <row r="63162" customFormat="1" x14ac:dyDescent="0.25"/>
    <row r="63163" customFormat="1" x14ac:dyDescent="0.25"/>
    <row r="63164" customFormat="1" x14ac:dyDescent="0.25"/>
    <row r="63165" customFormat="1" x14ac:dyDescent="0.25"/>
    <row r="63166" customFormat="1" x14ac:dyDescent="0.25"/>
    <row r="63167" customFormat="1" x14ac:dyDescent="0.25"/>
    <row r="63168" customFormat="1" x14ac:dyDescent="0.25"/>
    <row r="63169" customFormat="1" x14ac:dyDescent="0.25"/>
    <row r="63170" customFormat="1" x14ac:dyDescent="0.25"/>
    <row r="63171" customFormat="1" x14ac:dyDescent="0.25"/>
    <row r="63172" customFormat="1" x14ac:dyDescent="0.25"/>
    <row r="63173" customFormat="1" x14ac:dyDescent="0.25"/>
    <row r="63174" customFormat="1" x14ac:dyDescent="0.25"/>
    <row r="63175" customFormat="1" x14ac:dyDescent="0.25"/>
    <row r="63176" customFormat="1" x14ac:dyDescent="0.25"/>
    <row r="63177" customFormat="1" x14ac:dyDescent="0.25"/>
    <row r="63178" customFormat="1" x14ac:dyDescent="0.25"/>
    <row r="63179" customFormat="1" x14ac:dyDescent="0.25"/>
    <row r="63180" customFormat="1" x14ac:dyDescent="0.25"/>
    <row r="63181" customFormat="1" x14ac:dyDescent="0.25"/>
    <row r="63182" customFormat="1" x14ac:dyDescent="0.25"/>
    <row r="63183" customFormat="1" x14ac:dyDescent="0.25"/>
    <row r="63184" customFormat="1" x14ac:dyDescent="0.25"/>
    <row r="63185" customFormat="1" x14ac:dyDescent="0.25"/>
    <row r="63186" customFormat="1" x14ac:dyDescent="0.25"/>
    <row r="63187" customFormat="1" x14ac:dyDescent="0.25"/>
    <row r="63188" customFormat="1" x14ac:dyDescent="0.25"/>
    <row r="63189" customFormat="1" x14ac:dyDescent="0.25"/>
    <row r="63190" customFormat="1" x14ac:dyDescent="0.25"/>
    <row r="63191" customFormat="1" x14ac:dyDescent="0.25"/>
    <row r="63192" customFormat="1" x14ac:dyDescent="0.25"/>
    <row r="63193" customFormat="1" x14ac:dyDescent="0.25"/>
    <row r="63194" customFormat="1" x14ac:dyDescent="0.25"/>
    <row r="63195" customFormat="1" x14ac:dyDescent="0.25"/>
    <row r="63196" customFormat="1" x14ac:dyDescent="0.25"/>
    <row r="63197" customFormat="1" x14ac:dyDescent="0.25"/>
    <row r="63198" customFormat="1" x14ac:dyDescent="0.25"/>
    <row r="63199" customFormat="1" x14ac:dyDescent="0.25"/>
    <row r="63200" customFormat="1" x14ac:dyDescent="0.25"/>
    <row r="63201" customFormat="1" x14ac:dyDescent="0.25"/>
    <row r="63202" customFormat="1" x14ac:dyDescent="0.25"/>
    <row r="63203" customFormat="1" x14ac:dyDescent="0.25"/>
    <row r="63204" customFormat="1" x14ac:dyDescent="0.25"/>
    <row r="63205" customFormat="1" x14ac:dyDescent="0.25"/>
    <row r="63206" customFormat="1" x14ac:dyDescent="0.25"/>
    <row r="63207" customFormat="1" x14ac:dyDescent="0.25"/>
    <row r="63208" customFormat="1" x14ac:dyDescent="0.25"/>
    <row r="63209" customFormat="1" x14ac:dyDescent="0.25"/>
    <row r="63210" customFormat="1" x14ac:dyDescent="0.25"/>
    <row r="63211" customFormat="1" x14ac:dyDescent="0.25"/>
    <row r="63212" customFormat="1" x14ac:dyDescent="0.25"/>
    <row r="63213" customFormat="1" x14ac:dyDescent="0.25"/>
    <row r="63214" customFormat="1" x14ac:dyDescent="0.25"/>
    <row r="63215" customFormat="1" x14ac:dyDescent="0.25"/>
    <row r="63216" customFormat="1" x14ac:dyDescent="0.25"/>
    <row r="63217" customFormat="1" x14ac:dyDescent="0.25"/>
    <row r="63218" customFormat="1" x14ac:dyDescent="0.25"/>
    <row r="63219" customFormat="1" x14ac:dyDescent="0.25"/>
    <row r="63220" customFormat="1" x14ac:dyDescent="0.25"/>
    <row r="63221" customFormat="1" x14ac:dyDescent="0.25"/>
    <row r="63222" customFormat="1" x14ac:dyDescent="0.25"/>
    <row r="63223" customFormat="1" x14ac:dyDescent="0.25"/>
    <row r="63224" customFormat="1" x14ac:dyDescent="0.25"/>
    <row r="63225" customFormat="1" x14ac:dyDescent="0.25"/>
    <row r="63226" customFormat="1" x14ac:dyDescent="0.25"/>
    <row r="63227" customFormat="1" x14ac:dyDescent="0.25"/>
    <row r="63228" customFormat="1" x14ac:dyDescent="0.25"/>
    <row r="63229" customFormat="1" x14ac:dyDescent="0.25"/>
    <row r="63230" customFormat="1" x14ac:dyDescent="0.25"/>
    <row r="63231" customFormat="1" x14ac:dyDescent="0.25"/>
    <row r="63232" customFormat="1" x14ac:dyDescent="0.25"/>
    <row r="63233" customFormat="1" x14ac:dyDescent="0.25"/>
    <row r="63234" customFormat="1" x14ac:dyDescent="0.25"/>
    <row r="63235" customFormat="1" x14ac:dyDescent="0.25"/>
    <row r="63236" customFormat="1" x14ac:dyDescent="0.25"/>
    <row r="63237" customFormat="1" x14ac:dyDescent="0.25"/>
    <row r="63238" customFormat="1" x14ac:dyDescent="0.25"/>
    <row r="63239" customFormat="1" x14ac:dyDescent="0.25"/>
    <row r="63240" customFormat="1" x14ac:dyDescent="0.25"/>
    <row r="63241" customFormat="1" x14ac:dyDescent="0.25"/>
    <row r="63242" customFormat="1" x14ac:dyDescent="0.25"/>
    <row r="63243" customFormat="1" x14ac:dyDescent="0.25"/>
    <row r="63244" customFormat="1" x14ac:dyDescent="0.25"/>
    <row r="63245" customFormat="1" x14ac:dyDescent="0.25"/>
    <row r="63246" customFormat="1" x14ac:dyDescent="0.25"/>
    <row r="63247" customFormat="1" x14ac:dyDescent="0.25"/>
    <row r="63248" customFormat="1" x14ac:dyDescent="0.25"/>
    <row r="63249" customFormat="1" x14ac:dyDescent="0.25"/>
    <row r="63250" customFormat="1" x14ac:dyDescent="0.25"/>
    <row r="63251" customFormat="1" x14ac:dyDescent="0.25"/>
    <row r="63252" customFormat="1" x14ac:dyDescent="0.25"/>
    <row r="63253" customFormat="1" x14ac:dyDescent="0.25"/>
    <row r="63254" customFormat="1" x14ac:dyDescent="0.25"/>
    <row r="63255" customFormat="1" x14ac:dyDescent="0.25"/>
    <row r="63256" customFormat="1" x14ac:dyDescent="0.25"/>
    <row r="63257" customFormat="1" x14ac:dyDescent="0.25"/>
    <row r="63258" customFormat="1" x14ac:dyDescent="0.25"/>
    <row r="63259" customFormat="1" x14ac:dyDescent="0.25"/>
    <row r="63260" customFormat="1" x14ac:dyDescent="0.25"/>
    <row r="63261" customFormat="1" x14ac:dyDescent="0.25"/>
    <row r="63262" customFormat="1" x14ac:dyDescent="0.25"/>
    <row r="63263" customFormat="1" x14ac:dyDescent="0.25"/>
    <row r="63264" customFormat="1" x14ac:dyDescent="0.25"/>
    <row r="63265" customFormat="1" x14ac:dyDescent="0.25"/>
    <row r="63266" customFormat="1" x14ac:dyDescent="0.25"/>
    <row r="63267" customFormat="1" x14ac:dyDescent="0.25"/>
    <row r="63268" customFormat="1" x14ac:dyDescent="0.25"/>
    <row r="63269" customFormat="1" x14ac:dyDescent="0.25"/>
    <row r="63270" customFormat="1" x14ac:dyDescent="0.25"/>
    <row r="63271" customFormat="1" x14ac:dyDescent="0.25"/>
    <row r="63272" customFormat="1" x14ac:dyDescent="0.25"/>
    <row r="63273" customFormat="1" x14ac:dyDescent="0.25"/>
    <row r="63274" customFormat="1" x14ac:dyDescent="0.25"/>
    <row r="63275" customFormat="1" x14ac:dyDescent="0.25"/>
    <row r="63276" customFormat="1" x14ac:dyDescent="0.25"/>
    <row r="63277" customFormat="1" x14ac:dyDescent="0.25"/>
    <row r="63278" customFormat="1" x14ac:dyDescent="0.25"/>
    <row r="63279" customFormat="1" x14ac:dyDescent="0.25"/>
    <row r="63280" customFormat="1" x14ac:dyDescent="0.25"/>
    <row r="63281" customFormat="1" x14ac:dyDescent="0.25"/>
    <row r="63282" customFormat="1" x14ac:dyDescent="0.25"/>
    <row r="63283" customFormat="1" x14ac:dyDescent="0.25"/>
    <row r="63284" customFormat="1" x14ac:dyDescent="0.25"/>
    <row r="63285" customFormat="1" x14ac:dyDescent="0.25"/>
    <row r="63286" customFormat="1" x14ac:dyDescent="0.25"/>
    <row r="63287" customFormat="1" x14ac:dyDescent="0.25"/>
    <row r="63288" customFormat="1" x14ac:dyDescent="0.25"/>
    <row r="63289" customFormat="1" x14ac:dyDescent="0.25"/>
    <row r="63290" customFormat="1" x14ac:dyDescent="0.25"/>
    <row r="63291" customFormat="1" x14ac:dyDescent="0.25"/>
    <row r="63292" customFormat="1" x14ac:dyDescent="0.25"/>
    <row r="63293" customFormat="1" x14ac:dyDescent="0.25"/>
    <row r="63294" customFormat="1" x14ac:dyDescent="0.25"/>
    <row r="63295" customFormat="1" x14ac:dyDescent="0.25"/>
    <row r="63296" customFormat="1" x14ac:dyDescent="0.25"/>
    <row r="63297" customFormat="1" x14ac:dyDescent="0.25"/>
    <row r="63298" customFormat="1" x14ac:dyDescent="0.25"/>
    <row r="63299" customFormat="1" x14ac:dyDescent="0.25"/>
    <row r="63300" customFormat="1" x14ac:dyDescent="0.25"/>
    <row r="63301" customFormat="1" x14ac:dyDescent="0.25"/>
    <row r="63302" customFormat="1" x14ac:dyDescent="0.25"/>
    <row r="63303" customFormat="1" x14ac:dyDescent="0.25"/>
    <row r="63304" customFormat="1" x14ac:dyDescent="0.25"/>
    <row r="63305" customFormat="1" x14ac:dyDescent="0.25"/>
    <row r="63306" customFormat="1" x14ac:dyDescent="0.25"/>
    <row r="63307" customFormat="1" x14ac:dyDescent="0.25"/>
    <row r="63308" customFormat="1" x14ac:dyDescent="0.25"/>
    <row r="63309" customFormat="1" x14ac:dyDescent="0.25"/>
    <row r="63310" customFormat="1" x14ac:dyDescent="0.25"/>
    <row r="63311" customFormat="1" x14ac:dyDescent="0.25"/>
    <row r="63312" customFormat="1" x14ac:dyDescent="0.25"/>
    <row r="63313" customFormat="1" x14ac:dyDescent="0.25"/>
    <row r="63314" customFormat="1" x14ac:dyDescent="0.25"/>
    <row r="63315" customFormat="1" x14ac:dyDescent="0.25"/>
    <row r="63316" customFormat="1" x14ac:dyDescent="0.25"/>
    <row r="63317" customFormat="1" x14ac:dyDescent="0.25"/>
    <row r="63318" customFormat="1" x14ac:dyDescent="0.25"/>
    <row r="63319" customFormat="1" x14ac:dyDescent="0.25"/>
    <row r="63320" customFormat="1" x14ac:dyDescent="0.25"/>
    <row r="63321" customFormat="1" x14ac:dyDescent="0.25"/>
    <row r="63322" customFormat="1" x14ac:dyDescent="0.25"/>
    <row r="63323" customFormat="1" x14ac:dyDescent="0.25"/>
    <row r="63324" customFormat="1" x14ac:dyDescent="0.25"/>
    <row r="63325" customFormat="1" x14ac:dyDescent="0.25"/>
    <row r="63326" customFormat="1" x14ac:dyDescent="0.25"/>
    <row r="63327" customFormat="1" x14ac:dyDescent="0.25"/>
    <row r="63328" customFormat="1" x14ac:dyDescent="0.25"/>
    <row r="63329" customFormat="1" x14ac:dyDescent="0.25"/>
    <row r="63330" customFormat="1" x14ac:dyDescent="0.25"/>
    <row r="63331" customFormat="1" x14ac:dyDescent="0.25"/>
    <row r="63332" customFormat="1" x14ac:dyDescent="0.25"/>
    <row r="63333" customFormat="1" x14ac:dyDescent="0.25"/>
    <row r="63334" customFormat="1" x14ac:dyDescent="0.25"/>
    <row r="63335" customFormat="1" x14ac:dyDescent="0.25"/>
    <row r="63336" customFormat="1" x14ac:dyDescent="0.25"/>
    <row r="63337" customFormat="1" x14ac:dyDescent="0.25"/>
    <row r="63338" customFormat="1" x14ac:dyDescent="0.25"/>
    <row r="63339" customFormat="1" x14ac:dyDescent="0.25"/>
    <row r="63340" customFormat="1" x14ac:dyDescent="0.25"/>
    <row r="63341" customFormat="1" x14ac:dyDescent="0.25"/>
    <row r="63342" customFormat="1" x14ac:dyDescent="0.25"/>
    <row r="63343" customFormat="1" x14ac:dyDescent="0.25"/>
    <row r="63344" customFormat="1" x14ac:dyDescent="0.25"/>
    <row r="63345" customFormat="1" x14ac:dyDescent="0.25"/>
    <row r="63346" customFormat="1" x14ac:dyDescent="0.25"/>
    <row r="63347" customFormat="1" x14ac:dyDescent="0.25"/>
    <row r="63348" customFormat="1" x14ac:dyDescent="0.25"/>
    <row r="63349" customFormat="1" x14ac:dyDescent="0.25"/>
    <row r="63350" customFormat="1" x14ac:dyDescent="0.25"/>
    <row r="63351" customFormat="1" x14ac:dyDescent="0.25"/>
    <row r="63352" customFormat="1" x14ac:dyDescent="0.25"/>
    <row r="63353" customFormat="1" x14ac:dyDescent="0.25"/>
    <row r="63354" customFormat="1" x14ac:dyDescent="0.25"/>
    <row r="63355" customFormat="1" x14ac:dyDescent="0.25"/>
    <row r="63356" customFormat="1" x14ac:dyDescent="0.25"/>
    <row r="63357" customFormat="1" x14ac:dyDescent="0.25"/>
    <row r="63358" customFormat="1" x14ac:dyDescent="0.25"/>
    <row r="63359" customFormat="1" x14ac:dyDescent="0.25"/>
    <row r="63360" customFormat="1" x14ac:dyDescent="0.25"/>
    <row r="63361" customFormat="1" x14ac:dyDescent="0.25"/>
    <row r="63362" customFormat="1" x14ac:dyDescent="0.25"/>
    <row r="63363" customFormat="1" x14ac:dyDescent="0.25"/>
    <row r="63364" customFormat="1" x14ac:dyDescent="0.25"/>
    <row r="63365" customFormat="1" x14ac:dyDescent="0.25"/>
    <row r="63366" customFormat="1" x14ac:dyDescent="0.25"/>
    <row r="63367" customFormat="1" x14ac:dyDescent="0.25"/>
    <row r="63368" customFormat="1" x14ac:dyDescent="0.25"/>
    <row r="63369" customFormat="1" x14ac:dyDescent="0.25"/>
    <row r="63370" customFormat="1" x14ac:dyDescent="0.25"/>
    <row r="63371" customFormat="1" x14ac:dyDescent="0.25"/>
    <row r="63372" customFormat="1" x14ac:dyDescent="0.25"/>
    <row r="63373" customFormat="1" x14ac:dyDescent="0.25"/>
    <row r="63374" customFormat="1" x14ac:dyDescent="0.25"/>
    <row r="63375" customFormat="1" x14ac:dyDescent="0.25"/>
    <row r="63376" customFormat="1" x14ac:dyDescent="0.25"/>
    <row r="63377" customFormat="1" x14ac:dyDescent="0.25"/>
    <row r="63378" customFormat="1" x14ac:dyDescent="0.25"/>
    <row r="63379" customFormat="1" x14ac:dyDescent="0.25"/>
    <row r="63380" customFormat="1" x14ac:dyDescent="0.25"/>
    <row r="63381" customFormat="1" x14ac:dyDescent="0.25"/>
    <row r="63382" customFormat="1" x14ac:dyDescent="0.25"/>
    <row r="63383" customFormat="1" x14ac:dyDescent="0.25"/>
    <row r="63384" customFormat="1" x14ac:dyDescent="0.25"/>
    <row r="63385" customFormat="1" x14ac:dyDescent="0.25"/>
    <row r="63386" customFormat="1" x14ac:dyDescent="0.25"/>
    <row r="63387" customFormat="1" x14ac:dyDescent="0.25"/>
    <row r="63388" customFormat="1" x14ac:dyDescent="0.25"/>
    <row r="63389" customFormat="1" x14ac:dyDescent="0.25"/>
    <row r="63390" customFormat="1" x14ac:dyDescent="0.25"/>
    <row r="63391" customFormat="1" x14ac:dyDescent="0.25"/>
    <row r="63392" customFormat="1" x14ac:dyDescent="0.25"/>
    <row r="63393" customFormat="1" x14ac:dyDescent="0.25"/>
    <row r="63394" customFormat="1" x14ac:dyDescent="0.25"/>
    <row r="63395" customFormat="1" x14ac:dyDescent="0.25"/>
    <row r="63396" customFormat="1" x14ac:dyDescent="0.25"/>
    <row r="63397" customFormat="1" x14ac:dyDescent="0.25"/>
    <row r="63398" customFormat="1" x14ac:dyDescent="0.25"/>
    <row r="63399" customFormat="1" x14ac:dyDescent="0.25"/>
    <row r="63400" customFormat="1" x14ac:dyDescent="0.25"/>
    <row r="63401" customFormat="1" x14ac:dyDescent="0.25"/>
    <row r="63402" customFormat="1" x14ac:dyDescent="0.25"/>
    <row r="63403" customFormat="1" x14ac:dyDescent="0.25"/>
    <row r="63404" customFormat="1" x14ac:dyDescent="0.25"/>
    <row r="63405" customFormat="1" x14ac:dyDescent="0.25"/>
    <row r="63406" customFormat="1" x14ac:dyDescent="0.25"/>
    <row r="63407" customFormat="1" x14ac:dyDescent="0.25"/>
    <row r="63408" customFormat="1" x14ac:dyDescent="0.25"/>
    <row r="63409" customFormat="1" x14ac:dyDescent="0.25"/>
    <row r="63410" customFormat="1" x14ac:dyDescent="0.25"/>
    <row r="63411" customFormat="1" x14ac:dyDescent="0.25"/>
    <row r="63412" customFormat="1" x14ac:dyDescent="0.25"/>
    <row r="63413" customFormat="1" x14ac:dyDescent="0.25"/>
    <row r="63414" customFormat="1" x14ac:dyDescent="0.25"/>
    <row r="63415" customFormat="1" x14ac:dyDescent="0.25"/>
    <row r="63416" customFormat="1" x14ac:dyDescent="0.25"/>
    <row r="63417" customFormat="1" x14ac:dyDescent="0.25"/>
    <row r="63418" customFormat="1" x14ac:dyDescent="0.25"/>
    <row r="63419" customFormat="1" x14ac:dyDescent="0.25"/>
    <row r="63420" customFormat="1" x14ac:dyDescent="0.25"/>
    <row r="63421" customFormat="1" x14ac:dyDescent="0.25"/>
    <row r="63422" customFormat="1" x14ac:dyDescent="0.25"/>
    <row r="63423" customFormat="1" x14ac:dyDescent="0.25"/>
    <row r="63424" customFormat="1" x14ac:dyDescent="0.25"/>
    <row r="63425" customFormat="1" x14ac:dyDescent="0.25"/>
    <row r="63426" customFormat="1" x14ac:dyDescent="0.25"/>
    <row r="63427" customFormat="1" x14ac:dyDescent="0.25"/>
    <row r="63428" customFormat="1" x14ac:dyDescent="0.25"/>
    <row r="63429" customFormat="1" x14ac:dyDescent="0.25"/>
    <row r="63430" customFormat="1" x14ac:dyDescent="0.25"/>
    <row r="63431" customFormat="1" x14ac:dyDescent="0.25"/>
    <row r="63432" customFormat="1" x14ac:dyDescent="0.25"/>
    <row r="63433" customFormat="1" x14ac:dyDescent="0.25"/>
    <row r="63434" customFormat="1" x14ac:dyDescent="0.25"/>
    <row r="63435" customFormat="1" x14ac:dyDescent="0.25"/>
    <row r="63436" customFormat="1" x14ac:dyDescent="0.25"/>
    <row r="63437" customFormat="1" x14ac:dyDescent="0.25"/>
    <row r="63438" customFormat="1" x14ac:dyDescent="0.25"/>
    <row r="63439" customFormat="1" x14ac:dyDescent="0.25"/>
    <row r="63440" customFormat="1" x14ac:dyDescent="0.25"/>
    <row r="63441" customFormat="1" x14ac:dyDescent="0.25"/>
    <row r="63442" customFormat="1" x14ac:dyDescent="0.25"/>
    <row r="63443" customFormat="1" x14ac:dyDescent="0.25"/>
    <row r="63444" customFormat="1" x14ac:dyDescent="0.25"/>
    <row r="63445" customFormat="1" x14ac:dyDescent="0.25"/>
    <row r="63446" customFormat="1" x14ac:dyDescent="0.25"/>
    <row r="63447" customFormat="1" x14ac:dyDescent="0.25"/>
    <row r="63448" customFormat="1" x14ac:dyDescent="0.25"/>
    <row r="63449" customFormat="1" x14ac:dyDescent="0.25"/>
    <row r="63450" customFormat="1" x14ac:dyDescent="0.25"/>
    <row r="63451" customFormat="1" x14ac:dyDescent="0.25"/>
    <row r="63452" customFormat="1" x14ac:dyDescent="0.25"/>
    <row r="63453" customFormat="1" x14ac:dyDescent="0.25"/>
    <row r="63454" customFormat="1" x14ac:dyDescent="0.25"/>
    <row r="63455" customFormat="1" x14ac:dyDescent="0.25"/>
    <row r="63456" customFormat="1" x14ac:dyDescent="0.25"/>
    <row r="63457" customFormat="1" x14ac:dyDescent="0.25"/>
    <row r="63458" customFormat="1" x14ac:dyDescent="0.25"/>
    <row r="63459" customFormat="1" x14ac:dyDescent="0.25"/>
    <row r="63460" customFormat="1" x14ac:dyDescent="0.25"/>
    <row r="63461" customFormat="1" x14ac:dyDescent="0.25"/>
    <row r="63462" customFormat="1" x14ac:dyDescent="0.25"/>
    <row r="63463" customFormat="1" x14ac:dyDescent="0.25"/>
    <row r="63464" customFormat="1" x14ac:dyDescent="0.25"/>
    <row r="63465" customFormat="1" x14ac:dyDescent="0.25"/>
    <row r="63466" customFormat="1" x14ac:dyDescent="0.25"/>
    <row r="63467" customFormat="1" x14ac:dyDescent="0.25"/>
    <row r="63468" customFormat="1" x14ac:dyDescent="0.25"/>
    <row r="63469" customFormat="1" x14ac:dyDescent="0.25"/>
    <row r="63470" customFormat="1" x14ac:dyDescent="0.25"/>
    <row r="63471" customFormat="1" x14ac:dyDescent="0.25"/>
    <row r="63472" customFormat="1" x14ac:dyDescent="0.25"/>
    <row r="63473" customFormat="1" x14ac:dyDescent="0.25"/>
    <row r="63474" customFormat="1" x14ac:dyDescent="0.25"/>
    <row r="63475" customFormat="1" x14ac:dyDescent="0.25"/>
    <row r="63476" customFormat="1" x14ac:dyDescent="0.25"/>
    <row r="63477" customFormat="1" x14ac:dyDescent="0.25"/>
    <row r="63478" customFormat="1" x14ac:dyDescent="0.25"/>
    <row r="63479" customFormat="1" x14ac:dyDescent="0.25"/>
    <row r="63480" customFormat="1" x14ac:dyDescent="0.25"/>
    <row r="63481" customFormat="1" x14ac:dyDescent="0.25"/>
    <row r="63482" customFormat="1" x14ac:dyDescent="0.25"/>
    <row r="63483" customFormat="1" x14ac:dyDescent="0.25"/>
    <row r="63484" customFormat="1" x14ac:dyDescent="0.25"/>
    <row r="63485" customFormat="1" x14ac:dyDescent="0.25"/>
    <row r="63486" customFormat="1" x14ac:dyDescent="0.25"/>
    <row r="63487" customFormat="1" x14ac:dyDescent="0.25"/>
    <row r="63488" customFormat="1" x14ac:dyDescent="0.25"/>
    <row r="63489" customFormat="1" x14ac:dyDescent="0.25"/>
    <row r="63490" customFormat="1" x14ac:dyDescent="0.25"/>
    <row r="63491" customFormat="1" x14ac:dyDescent="0.25"/>
    <row r="63492" customFormat="1" x14ac:dyDescent="0.25"/>
    <row r="63493" customFormat="1" x14ac:dyDescent="0.25"/>
    <row r="63494" customFormat="1" x14ac:dyDescent="0.25"/>
    <row r="63495" customFormat="1" x14ac:dyDescent="0.25"/>
    <row r="63496" customFormat="1" x14ac:dyDescent="0.25"/>
    <row r="63497" customFormat="1" x14ac:dyDescent="0.25"/>
    <row r="63498" customFormat="1" x14ac:dyDescent="0.25"/>
    <row r="63499" customFormat="1" x14ac:dyDescent="0.25"/>
    <row r="63500" customFormat="1" x14ac:dyDescent="0.25"/>
    <row r="63501" customFormat="1" x14ac:dyDescent="0.25"/>
    <row r="63502" customFormat="1" x14ac:dyDescent="0.25"/>
    <row r="63503" customFormat="1" x14ac:dyDescent="0.25"/>
    <row r="63504" customFormat="1" x14ac:dyDescent="0.25"/>
    <row r="63505" customFormat="1" x14ac:dyDescent="0.25"/>
    <row r="63506" customFormat="1" x14ac:dyDescent="0.25"/>
    <row r="63507" customFormat="1" x14ac:dyDescent="0.25"/>
    <row r="63508" customFormat="1" x14ac:dyDescent="0.25"/>
    <row r="63509" customFormat="1" x14ac:dyDescent="0.25"/>
    <row r="63510" customFormat="1" x14ac:dyDescent="0.25"/>
    <row r="63511" customFormat="1" x14ac:dyDescent="0.25"/>
    <row r="63512" customFormat="1" x14ac:dyDescent="0.25"/>
    <row r="63513" customFormat="1" x14ac:dyDescent="0.25"/>
    <row r="63514" customFormat="1" x14ac:dyDescent="0.25"/>
    <row r="63515" customFormat="1" x14ac:dyDescent="0.25"/>
    <row r="63516" customFormat="1" x14ac:dyDescent="0.25"/>
    <row r="63517" customFormat="1" x14ac:dyDescent="0.25"/>
    <row r="63518" customFormat="1" x14ac:dyDescent="0.25"/>
    <row r="63519" customFormat="1" x14ac:dyDescent="0.25"/>
    <row r="63520" customFormat="1" x14ac:dyDescent="0.25"/>
    <row r="63521" customFormat="1" x14ac:dyDescent="0.25"/>
    <row r="63522" customFormat="1" x14ac:dyDescent="0.25"/>
    <row r="63523" customFormat="1" x14ac:dyDescent="0.25"/>
    <row r="63524" customFormat="1" x14ac:dyDescent="0.25"/>
    <row r="63525" customFormat="1" x14ac:dyDescent="0.25"/>
    <row r="63526" customFormat="1" x14ac:dyDescent="0.25"/>
    <row r="63527" customFormat="1" x14ac:dyDescent="0.25"/>
    <row r="63528" customFormat="1" x14ac:dyDescent="0.25"/>
    <row r="63529" customFormat="1" x14ac:dyDescent="0.25"/>
    <row r="63530" customFormat="1" x14ac:dyDescent="0.25"/>
    <row r="63531" customFormat="1" x14ac:dyDescent="0.25"/>
    <row r="63532" customFormat="1" x14ac:dyDescent="0.25"/>
    <row r="63533" customFormat="1" x14ac:dyDescent="0.25"/>
    <row r="63534" customFormat="1" x14ac:dyDescent="0.25"/>
    <row r="63535" customFormat="1" x14ac:dyDescent="0.25"/>
    <row r="63536" customFormat="1" x14ac:dyDescent="0.25"/>
    <row r="63537" customFormat="1" x14ac:dyDescent="0.25"/>
    <row r="63538" customFormat="1" x14ac:dyDescent="0.25"/>
    <row r="63539" customFormat="1" x14ac:dyDescent="0.25"/>
    <row r="63540" customFormat="1" x14ac:dyDescent="0.25"/>
    <row r="63541" customFormat="1" x14ac:dyDescent="0.25"/>
    <row r="63542" customFormat="1" x14ac:dyDescent="0.25"/>
    <row r="63543" customFormat="1" x14ac:dyDescent="0.25"/>
    <row r="63544" customFormat="1" x14ac:dyDescent="0.25"/>
    <row r="63545" customFormat="1" x14ac:dyDescent="0.25"/>
    <row r="63546" customFormat="1" x14ac:dyDescent="0.25"/>
    <row r="63547" customFormat="1" x14ac:dyDescent="0.25"/>
    <row r="63548" customFormat="1" x14ac:dyDescent="0.25"/>
    <row r="63549" customFormat="1" x14ac:dyDescent="0.25"/>
    <row r="63550" customFormat="1" x14ac:dyDescent="0.25"/>
    <row r="63551" customFormat="1" x14ac:dyDescent="0.25"/>
    <row r="63552" customFormat="1" x14ac:dyDescent="0.25"/>
    <row r="63553" customFormat="1" x14ac:dyDescent="0.25"/>
    <row r="63554" customFormat="1" x14ac:dyDescent="0.25"/>
    <row r="63555" customFormat="1" x14ac:dyDescent="0.25"/>
    <row r="63556" customFormat="1" x14ac:dyDescent="0.25"/>
    <row r="63557" customFormat="1" x14ac:dyDescent="0.25"/>
    <row r="63558" customFormat="1" x14ac:dyDescent="0.25"/>
    <row r="63559" customFormat="1" x14ac:dyDescent="0.25"/>
    <row r="63560" customFormat="1" x14ac:dyDescent="0.25"/>
    <row r="63561" customFormat="1" x14ac:dyDescent="0.25"/>
    <row r="63562" customFormat="1" x14ac:dyDescent="0.25"/>
    <row r="63563" customFormat="1" x14ac:dyDescent="0.25"/>
    <row r="63564" customFormat="1" x14ac:dyDescent="0.25"/>
    <row r="63565" customFormat="1" x14ac:dyDescent="0.25"/>
    <row r="63566" customFormat="1" x14ac:dyDescent="0.25"/>
    <row r="63567" customFormat="1" x14ac:dyDescent="0.25"/>
    <row r="63568" customFormat="1" x14ac:dyDescent="0.25"/>
    <row r="63569" customFormat="1" x14ac:dyDescent="0.25"/>
    <row r="63570" customFormat="1" x14ac:dyDescent="0.25"/>
    <row r="63571" customFormat="1" x14ac:dyDescent="0.25"/>
    <row r="63572" customFormat="1" x14ac:dyDescent="0.25"/>
    <row r="63573" customFormat="1" x14ac:dyDescent="0.25"/>
    <row r="63574" customFormat="1" x14ac:dyDescent="0.25"/>
    <row r="63575" customFormat="1" x14ac:dyDescent="0.25"/>
    <row r="63576" customFormat="1" x14ac:dyDescent="0.25"/>
    <row r="63577" customFormat="1" x14ac:dyDescent="0.25"/>
    <row r="63578" customFormat="1" x14ac:dyDescent="0.25"/>
    <row r="63579" customFormat="1" x14ac:dyDescent="0.25"/>
    <row r="63580" customFormat="1" x14ac:dyDescent="0.25"/>
    <row r="63581" customFormat="1" x14ac:dyDescent="0.25"/>
    <row r="63582" customFormat="1" x14ac:dyDescent="0.25"/>
    <row r="63583" customFormat="1" x14ac:dyDescent="0.25"/>
    <row r="63584" customFormat="1" x14ac:dyDescent="0.25"/>
    <row r="63585" customFormat="1" x14ac:dyDescent="0.25"/>
    <row r="63586" customFormat="1" x14ac:dyDescent="0.25"/>
    <row r="63587" customFormat="1" x14ac:dyDescent="0.25"/>
    <row r="63588" customFormat="1" x14ac:dyDescent="0.25"/>
    <row r="63589" customFormat="1" x14ac:dyDescent="0.25"/>
    <row r="63590" customFormat="1" x14ac:dyDescent="0.25"/>
    <row r="63591" customFormat="1" x14ac:dyDescent="0.25"/>
    <row r="63592" customFormat="1" x14ac:dyDescent="0.25"/>
    <row r="63593" customFormat="1" x14ac:dyDescent="0.25"/>
    <row r="63594" customFormat="1" x14ac:dyDescent="0.25"/>
    <row r="63595" customFormat="1" x14ac:dyDescent="0.25"/>
    <row r="63596" customFormat="1" x14ac:dyDescent="0.25"/>
    <row r="63597" customFormat="1" x14ac:dyDescent="0.25"/>
    <row r="63598" customFormat="1" x14ac:dyDescent="0.25"/>
    <row r="63599" customFormat="1" x14ac:dyDescent="0.25"/>
    <row r="63600" customFormat="1" x14ac:dyDescent="0.25"/>
    <row r="63601" customFormat="1" x14ac:dyDescent="0.25"/>
    <row r="63602" customFormat="1" x14ac:dyDescent="0.25"/>
    <row r="63603" customFormat="1" x14ac:dyDescent="0.25"/>
    <row r="63604" customFormat="1" x14ac:dyDescent="0.25"/>
    <row r="63605" customFormat="1" x14ac:dyDescent="0.25"/>
    <row r="63606" customFormat="1" x14ac:dyDescent="0.25"/>
    <row r="63607" customFormat="1" x14ac:dyDescent="0.25"/>
    <row r="63608" customFormat="1" x14ac:dyDescent="0.25"/>
    <row r="63609" customFormat="1" x14ac:dyDescent="0.25"/>
    <row r="63610" customFormat="1" x14ac:dyDescent="0.25"/>
    <row r="63611" customFormat="1" x14ac:dyDescent="0.25"/>
    <row r="63612" customFormat="1" x14ac:dyDescent="0.25"/>
    <row r="63613" customFormat="1" x14ac:dyDescent="0.25"/>
    <row r="63614" customFormat="1" x14ac:dyDescent="0.25"/>
    <row r="63615" customFormat="1" x14ac:dyDescent="0.25"/>
    <row r="63616" customFormat="1" x14ac:dyDescent="0.25"/>
    <row r="63617" customFormat="1" x14ac:dyDescent="0.25"/>
    <row r="63618" customFormat="1" x14ac:dyDescent="0.25"/>
    <row r="63619" customFormat="1" x14ac:dyDescent="0.25"/>
    <row r="63620" customFormat="1" x14ac:dyDescent="0.25"/>
    <row r="63621" customFormat="1" x14ac:dyDescent="0.25"/>
    <row r="63622" customFormat="1" x14ac:dyDescent="0.25"/>
    <row r="63623" customFormat="1" x14ac:dyDescent="0.25"/>
    <row r="63624" customFormat="1" x14ac:dyDescent="0.25"/>
    <row r="63625" customFormat="1" x14ac:dyDescent="0.25"/>
    <row r="63626" customFormat="1" x14ac:dyDescent="0.25"/>
    <row r="63627" customFormat="1" x14ac:dyDescent="0.25"/>
    <row r="63628" customFormat="1" x14ac:dyDescent="0.25"/>
    <row r="63629" customFormat="1" x14ac:dyDescent="0.25"/>
    <row r="63630" customFormat="1" x14ac:dyDescent="0.25"/>
    <row r="63631" customFormat="1" x14ac:dyDescent="0.25"/>
    <row r="63632" customFormat="1" x14ac:dyDescent="0.25"/>
    <row r="63633" customFormat="1" x14ac:dyDescent="0.25"/>
    <row r="63634" customFormat="1" x14ac:dyDescent="0.25"/>
    <row r="63635" customFormat="1" x14ac:dyDescent="0.25"/>
    <row r="63636" customFormat="1" x14ac:dyDescent="0.25"/>
    <row r="63637" customFormat="1" x14ac:dyDescent="0.25"/>
    <row r="63638" customFormat="1" x14ac:dyDescent="0.25"/>
    <row r="63639" customFormat="1" x14ac:dyDescent="0.25"/>
    <row r="63640" customFormat="1" x14ac:dyDescent="0.25"/>
    <row r="63641" customFormat="1" x14ac:dyDescent="0.25"/>
    <row r="63642" customFormat="1" x14ac:dyDescent="0.25"/>
    <row r="63643" customFormat="1" x14ac:dyDescent="0.25"/>
    <row r="63644" customFormat="1" x14ac:dyDescent="0.25"/>
    <row r="63645" customFormat="1" x14ac:dyDescent="0.25"/>
    <row r="63646" customFormat="1" x14ac:dyDescent="0.25"/>
    <row r="63647" customFormat="1" x14ac:dyDescent="0.25"/>
    <row r="63648" customFormat="1" x14ac:dyDescent="0.25"/>
    <row r="63649" customFormat="1" x14ac:dyDescent="0.25"/>
    <row r="63650" customFormat="1" x14ac:dyDescent="0.25"/>
    <row r="63651" customFormat="1" x14ac:dyDescent="0.25"/>
    <row r="63652" customFormat="1" x14ac:dyDescent="0.25"/>
    <row r="63653" customFormat="1" x14ac:dyDescent="0.25"/>
    <row r="63654" customFormat="1" x14ac:dyDescent="0.25"/>
    <row r="63655" customFormat="1" x14ac:dyDescent="0.25"/>
    <row r="63656" customFormat="1" x14ac:dyDescent="0.25"/>
    <row r="63657" customFormat="1" x14ac:dyDescent="0.25"/>
    <row r="63658" customFormat="1" x14ac:dyDescent="0.25"/>
    <row r="63659" customFormat="1" x14ac:dyDescent="0.25"/>
    <row r="63660" customFormat="1" x14ac:dyDescent="0.25"/>
    <row r="63661" customFormat="1" x14ac:dyDescent="0.25"/>
    <row r="63662" customFormat="1" x14ac:dyDescent="0.25"/>
    <row r="63663" customFormat="1" x14ac:dyDescent="0.25"/>
    <row r="63664" customFormat="1" x14ac:dyDescent="0.25"/>
    <row r="63665" customFormat="1" x14ac:dyDescent="0.25"/>
    <row r="63666" customFormat="1" x14ac:dyDescent="0.25"/>
    <row r="63667" customFormat="1" x14ac:dyDescent="0.25"/>
    <row r="63668" customFormat="1" x14ac:dyDescent="0.25"/>
    <row r="63669" customFormat="1" x14ac:dyDescent="0.25"/>
    <row r="63670" customFormat="1" x14ac:dyDescent="0.25"/>
    <row r="63671" customFormat="1" x14ac:dyDescent="0.25"/>
    <row r="63672" customFormat="1" x14ac:dyDescent="0.25"/>
    <row r="63673" customFormat="1" x14ac:dyDescent="0.25"/>
    <row r="63674" customFormat="1" x14ac:dyDescent="0.25"/>
    <row r="63675" customFormat="1" x14ac:dyDescent="0.25"/>
    <row r="63676" customFormat="1" x14ac:dyDescent="0.25"/>
    <row r="63677" customFormat="1" x14ac:dyDescent="0.25"/>
    <row r="63678" customFormat="1" x14ac:dyDescent="0.25"/>
    <row r="63679" customFormat="1" x14ac:dyDescent="0.25"/>
    <row r="63680" customFormat="1" x14ac:dyDescent="0.25"/>
    <row r="63681" customFormat="1" x14ac:dyDescent="0.25"/>
    <row r="63682" customFormat="1" x14ac:dyDescent="0.25"/>
    <row r="63683" customFormat="1" x14ac:dyDescent="0.25"/>
    <row r="63684" customFormat="1" x14ac:dyDescent="0.25"/>
    <row r="63685" customFormat="1" x14ac:dyDescent="0.25"/>
    <row r="63686" customFormat="1" x14ac:dyDescent="0.25"/>
    <row r="63687" customFormat="1" x14ac:dyDescent="0.25"/>
    <row r="63688" customFormat="1" x14ac:dyDescent="0.25"/>
    <row r="63689" customFormat="1" x14ac:dyDescent="0.25"/>
    <row r="63690" customFormat="1" x14ac:dyDescent="0.25"/>
    <row r="63691" customFormat="1" x14ac:dyDescent="0.25"/>
    <row r="63692" customFormat="1" x14ac:dyDescent="0.25"/>
    <row r="63693" customFormat="1" x14ac:dyDescent="0.25"/>
    <row r="63694" customFormat="1" x14ac:dyDescent="0.25"/>
    <row r="63695" customFormat="1" x14ac:dyDescent="0.25"/>
    <row r="63696" customFormat="1" x14ac:dyDescent="0.25"/>
    <row r="63697" customFormat="1" x14ac:dyDescent="0.25"/>
    <row r="63698" customFormat="1" x14ac:dyDescent="0.25"/>
    <row r="63699" customFormat="1" x14ac:dyDescent="0.25"/>
    <row r="63700" customFormat="1" x14ac:dyDescent="0.25"/>
    <row r="63701" customFormat="1" x14ac:dyDescent="0.25"/>
    <row r="63702" customFormat="1" x14ac:dyDescent="0.25"/>
    <row r="63703" customFormat="1" x14ac:dyDescent="0.25"/>
    <row r="63704" customFormat="1" x14ac:dyDescent="0.25"/>
    <row r="63705" customFormat="1" x14ac:dyDescent="0.25"/>
    <row r="63706" customFormat="1" x14ac:dyDescent="0.25"/>
    <row r="63707" customFormat="1" x14ac:dyDescent="0.25"/>
    <row r="63708" customFormat="1" x14ac:dyDescent="0.25"/>
    <row r="63709" customFormat="1" x14ac:dyDescent="0.25"/>
    <row r="63710" customFormat="1" x14ac:dyDescent="0.25"/>
    <row r="63711" customFormat="1" x14ac:dyDescent="0.25"/>
    <row r="63712" customFormat="1" x14ac:dyDescent="0.25"/>
    <row r="63713" customFormat="1" x14ac:dyDescent="0.25"/>
    <row r="63714" customFormat="1" x14ac:dyDescent="0.25"/>
    <row r="63715" customFormat="1" x14ac:dyDescent="0.25"/>
    <row r="63716" customFormat="1" x14ac:dyDescent="0.25"/>
    <row r="63717" customFormat="1" x14ac:dyDescent="0.25"/>
    <row r="63718" customFormat="1" x14ac:dyDescent="0.25"/>
    <row r="63719" customFormat="1" x14ac:dyDescent="0.25"/>
    <row r="63720" customFormat="1" x14ac:dyDescent="0.25"/>
    <row r="63721" customFormat="1" x14ac:dyDescent="0.25"/>
    <row r="63722" customFormat="1" x14ac:dyDescent="0.25"/>
    <row r="63723" customFormat="1" x14ac:dyDescent="0.25"/>
    <row r="63724" customFormat="1" x14ac:dyDescent="0.25"/>
    <row r="63725" customFormat="1" x14ac:dyDescent="0.25"/>
    <row r="63726" customFormat="1" x14ac:dyDescent="0.25"/>
    <row r="63727" customFormat="1" x14ac:dyDescent="0.25"/>
    <row r="63728" customFormat="1" x14ac:dyDescent="0.25"/>
    <row r="63729" customFormat="1" x14ac:dyDescent="0.25"/>
    <row r="63730" customFormat="1" x14ac:dyDescent="0.25"/>
    <row r="63731" customFormat="1" x14ac:dyDescent="0.25"/>
    <row r="63732" customFormat="1" x14ac:dyDescent="0.25"/>
    <row r="63733" customFormat="1" x14ac:dyDescent="0.25"/>
    <row r="63734" customFormat="1" x14ac:dyDescent="0.25"/>
    <row r="63735" customFormat="1" x14ac:dyDescent="0.25"/>
    <row r="63736" customFormat="1" x14ac:dyDescent="0.25"/>
    <row r="63737" customFormat="1" x14ac:dyDescent="0.25"/>
    <row r="63738" customFormat="1" x14ac:dyDescent="0.25"/>
    <row r="63739" customFormat="1" x14ac:dyDescent="0.25"/>
    <row r="63740" customFormat="1" x14ac:dyDescent="0.25"/>
    <row r="63741" customFormat="1" x14ac:dyDescent="0.25"/>
    <row r="63742" customFormat="1" x14ac:dyDescent="0.25"/>
    <row r="63743" customFormat="1" x14ac:dyDescent="0.25"/>
    <row r="63744" customFormat="1" x14ac:dyDescent="0.25"/>
    <row r="63745" customFormat="1" x14ac:dyDescent="0.25"/>
    <row r="63746" customFormat="1" x14ac:dyDescent="0.25"/>
    <row r="63747" customFormat="1" x14ac:dyDescent="0.25"/>
    <row r="63748" customFormat="1" x14ac:dyDescent="0.25"/>
    <row r="63749" customFormat="1" x14ac:dyDescent="0.25"/>
    <row r="63750" customFormat="1" x14ac:dyDescent="0.25"/>
    <row r="63751" customFormat="1" x14ac:dyDescent="0.25"/>
    <row r="63752" customFormat="1" x14ac:dyDescent="0.25"/>
    <row r="63753" customFormat="1" x14ac:dyDescent="0.25"/>
    <row r="63754" customFormat="1" x14ac:dyDescent="0.25"/>
    <row r="63755" customFormat="1" x14ac:dyDescent="0.25"/>
    <row r="63756" customFormat="1" x14ac:dyDescent="0.25"/>
    <row r="63757" customFormat="1" x14ac:dyDescent="0.25"/>
    <row r="63758" customFormat="1" x14ac:dyDescent="0.25"/>
    <row r="63759" customFormat="1" x14ac:dyDescent="0.25"/>
    <row r="63760" customFormat="1" x14ac:dyDescent="0.25"/>
    <row r="63761" customFormat="1" x14ac:dyDescent="0.25"/>
    <row r="63762" customFormat="1" x14ac:dyDescent="0.25"/>
    <row r="63763" customFormat="1" x14ac:dyDescent="0.25"/>
    <row r="63764" customFormat="1" x14ac:dyDescent="0.25"/>
    <row r="63765" customFormat="1" x14ac:dyDescent="0.25"/>
    <row r="63766" customFormat="1" x14ac:dyDescent="0.25"/>
    <row r="63767" customFormat="1" x14ac:dyDescent="0.25"/>
    <row r="63768" customFormat="1" x14ac:dyDescent="0.25"/>
    <row r="63769" customFormat="1" x14ac:dyDescent="0.25"/>
    <row r="63770" customFormat="1" x14ac:dyDescent="0.25"/>
    <row r="63771" customFormat="1" x14ac:dyDescent="0.25"/>
    <row r="63772" customFormat="1" x14ac:dyDescent="0.25"/>
    <row r="63773" customFormat="1" x14ac:dyDescent="0.25"/>
    <row r="63774" customFormat="1" x14ac:dyDescent="0.25"/>
    <row r="63775" customFormat="1" x14ac:dyDescent="0.25"/>
    <row r="63776" customFormat="1" x14ac:dyDescent="0.25"/>
    <row r="63777" customFormat="1" x14ac:dyDescent="0.25"/>
    <row r="63778" customFormat="1" x14ac:dyDescent="0.25"/>
    <row r="63779" customFormat="1" x14ac:dyDescent="0.25"/>
    <row r="63780" customFormat="1" x14ac:dyDescent="0.25"/>
    <row r="63781" customFormat="1" x14ac:dyDescent="0.25"/>
    <row r="63782" customFormat="1" x14ac:dyDescent="0.25"/>
    <row r="63783" customFormat="1" x14ac:dyDescent="0.25"/>
    <row r="63784" customFormat="1" x14ac:dyDescent="0.25"/>
    <row r="63785" customFormat="1" x14ac:dyDescent="0.25"/>
    <row r="63786" customFormat="1" x14ac:dyDescent="0.25"/>
    <row r="63787" customFormat="1" x14ac:dyDescent="0.25"/>
    <row r="63788" customFormat="1" x14ac:dyDescent="0.25"/>
    <row r="63789" customFormat="1" x14ac:dyDescent="0.25"/>
    <row r="63790" customFormat="1" x14ac:dyDescent="0.25"/>
    <row r="63791" customFormat="1" x14ac:dyDescent="0.25"/>
    <row r="63792" customFormat="1" x14ac:dyDescent="0.25"/>
    <row r="63793" customFormat="1" x14ac:dyDescent="0.25"/>
    <row r="63794" customFormat="1" x14ac:dyDescent="0.25"/>
    <row r="63795" customFormat="1" x14ac:dyDescent="0.25"/>
    <row r="63796" customFormat="1" x14ac:dyDescent="0.25"/>
    <row r="63797" customFormat="1" x14ac:dyDescent="0.25"/>
    <row r="63798" customFormat="1" x14ac:dyDescent="0.25"/>
    <row r="63799" customFormat="1" x14ac:dyDescent="0.25"/>
    <row r="63800" customFormat="1" x14ac:dyDescent="0.25"/>
    <row r="63801" customFormat="1" x14ac:dyDescent="0.25"/>
    <row r="63802" customFormat="1" x14ac:dyDescent="0.25"/>
    <row r="63803" customFormat="1" x14ac:dyDescent="0.25"/>
    <row r="63804" customFormat="1" x14ac:dyDescent="0.25"/>
    <row r="63805" customFormat="1" x14ac:dyDescent="0.25"/>
    <row r="63806" customFormat="1" x14ac:dyDescent="0.25"/>
    <row r="63807" customFormat="1" x14ac:dyDescent="0.25"/>
    <row r="63808" customFormat="1" x14ac:dyDescent="0.25"/>
    <row r="63809" customFormat="1" x14ac:dyDescent="0.25"/>
    <row r="63810" customFormat="1" x14ac:dyDescent="0.25"/>
    <row r="63811" customFormat="1" x14ac:dyDescent="0.25"/>
    <row r="63812" customFormat="1" x14ac:dyDescent="0.25"/>
    <row r="63813" customFormat="1" x14ac:dyDescent="0.25"/>
    <row r="63814" customFormat="1" x14ac:dyDescent="0.25"/>
    <row r="63815" customFormat="1" x14ac:dyDescent="0.25"/>
    <row r="63816" customFormat="1" x14ac:dyDescent="0.25"/>
    <row r="63817" customFormat="1" x14ac:dyDescent="0.25"/>
    <row r="63818" customFormat="1" x14ac:dyDescent="0.25"/>
    <row r="63819" customFormat="1" x14ac:dyDescent="0.25"/>
    <row r="63820" customFormat="1" x14ac:dyDescent="0.25"/>
    <row r="63821" customFormat="1" x14ac:dyDescent="0.25"/>
    <row r="63822" customFormat="1" x14ac:dyDescent="0.25"/>
    <row r="63823" customFormat="1" x14ac:dyDescent="0.25"/>
    <row r="63824" customFormat="1" x14ac:dyDescent="0.25"/>
    <row r="63825" customFormat="1" x14ac:dyDescent="0.25"/>
    <row r="63826" customFormat="1" x14ac:dyDescent="0.25"/>
    <row r="63827" customFormat="1" x14ac:dyDescent="0.25"/>
    <row r="63828" customFormat="1" x14ac:dyDescent="0.25"/>
    <row r="63829" customFormat="1" x14ac:dyDescent="0.25"/>
    <row r="63830" customFormat="1" x14ac:dyDescent="0.25"/>
    <row r="63831" customFormat="1" x14ac:dyDescent="0.25"/>
    <row r="63832" customFormat="1" x14ac:dyDescent="0.25"/>
    <row r="63833" customFormat="1" x14ac:dyDescent="0.25"/>
    <row r="63834" customFormat="1" x14ac:dyDescent="0.25"/>
    <row r="63835" customFormat="1" x14ac:dyDescent="0.25"/>
    <row r="63836" customFormat="1" x14ac:dyDescent="0.25"/>
    <row r="63837" customFormat="1" x14ac:dyDescent="0.25"/>
    <row r="63838" customFormat="1" x14ac:dyDescent="0.25"/>
    <row r="63839" customFormat="1" x14ac:dyDescent="0.25"/>
    <row r="63840" customFormat="1" x14ac:dyDescent="0.25"/>
    <row r="63841" customFormat="1" x14ac:dyDescent="0.25"/>
    <row r="63842" customFormat="1" x14ac:dyDescent="0.25"/>
    <row r="63843" customFormat="1" x14ac:dyDescent="0.25"/>
    <row r="63844" customFormat="1" x14ac:dyDescent="0.25"/>
    <row r="63845" customFormat="1" x14ac:dyDescent="0.25"/>
    <row r="63846" customFormat="1" x14ac:dyDescent="0.25"/>
    <row r="63847" customFormat="1" x14ac:dyDescent="0.25"/>
    <row r="63848" customFormat="1" x14ac:dyDescent="0.25"/>
    <row r="63849" customFormat="1" x14ac:dyDescent="0.25"/>
    <row r="63850" customFormat="1" x14ac:dyDescent="0.25"/>
    <row r="63851" customFormat="1" x14ac:dyDescent="0.25"/>
    <row r="63852" customFormat="1" x14ac:dyDescent="0.25"/>
    <row r="63853" customFormat="1" x14ac:dyDescent="0.25"/>
    <row r="63854" customFormat="1" x14ac:dyDescent="0.25"/>
    <row r="63855" customFormat="1" x14ac:dyDescent="0.25"/>
    <row r="63856" customFormat="1" x14ac:dyDescent="0.25"/>
    <row r="63857" customFormat="1" x14ac:dyDescent="0.25"/>
    <row r="63858" customFormat="1" x14ac:dyDescent="0.25"/>
    <row r="63859" customFormat="1" x14ac:dyDescent="0.25"/>
    <row r="63860" customFormat="1" x14ac:dyDescent="0.25"/>
    <row r="63861" customFormat="1" x14ac:dyDescent="0.25"/>
    <row r="63862" customFormat="1" x14ac:dyDescent="0.25"/>
    <row r="63863" customFormat="1" x14ac:dyDescent="0.25"/>
    <row r="63864" customFormat="1" x14ac:dyDescent="0.25"/>
    <row r="63865" customFormat="1" x14ac:dyDescent="0.25"/>
    <row r="63866" customFormat="1" x14ac:dyDescent="0.25"/>
    <row r="63867" customFormat="1" x14ac:dyDescent="0.25"/>
    <row r="63868" customFormat="1" x14ac:dyDescent="0.25"/>
    <row r="63869" customFormat="1" x14ac:dyDescent="0.25"/>
    <row r="63870" customFormat="1" x14ac:dyDescent="0.25"/>
    <row r="63871" customFormat="1" x14ac:dyDescent="0.25"/>
    <row r="63872" customFormat="1" x14ac:dyDescent="0.25"/>
    <row r="63873" customFormat="1" x14ac:dyDescent="0.25"/>
    <row r="63874" customFormat="1" x14ac:dyDescent="0.25"/>
    <row r="63875" customFormat="1" x14ac:dyDescent="0.25"/>
    <row r="63876" customFormat="1" x14ac:dyDescent="0.25"/>
    <row r="63877" customFormat="1" x14ac:dyDescent="0.25"/>
    <row r="63878" customFormat="1" x14ac:dyDescent="0.25"/>
    <row r="63879" customFormat="1" x14ac:dyDescent="0.25"/>
    <row r="63880" customFormat="1" x14ac:dyDescent="0.25"/>
    <row r="63881" customFormat="1" x14ac:dyDescent="0.25"/>
    <row r="63882" customFormat="1" x14ac:dyDescent="0.25"/>
    <row r="63883" customFormat="1" x14ac:dyDescent="0.25"/>
    <row r="63884" customFormat="1" x14ac:dyDescent="0.25"/>
    <row r="63885" customFormat="1" x14ac:dyDescent="0.25"/>
    <row r="63886" customFormat="1" x14ac:dyDescent="0.25"/>
    <row r="63887" customFormat="1" x14ac:dyDescent="0.25"/>
    <row r="63888" customFormat="1" x14ac:dyDescent="0.25"/>
    <row r="63889" customFormat="1" x14ac:dyDescent="0.25"/>
    <row r="63890" customFormat="1" x14ac:dyDescent="0.25"/>
    <row r="63891" customFormat="1" x14ac:dyDescent="0.25"/>
    <row r="63892" customFormat="1" x14ac:dyDescent="0.25"/>
    <row r="63893" customFormat="1" x14ac:dyDescent="0.25"/>
    <row r="63894" customFormat="1" x14ac:dyDescent="0.25"/>
    <row r="63895" customFormat="1" x14ac:dyDescent="0.25"/>
    <row r="63896" customFormat="1" x14ac:dyDescent="0.25"/>
    <row r="63897" customFormat="1" x14ac:dyDescent="0.25"/>
    <row r="63898" customFormat="1" x14ac:dyDescent="0.25"/>
    <row r="63899" customFormat="1" x14ac:dyDescent="0.25"/>
    <row r="63900" customFormat="1" x14ac:dyDescent="0.25"/>
    <row r="63901" customFormat="1" x14ac:dyDescent="0.25"/>
    <row r="63902" customFormat="1" x14ac:dyDescent="0.25"/>
    <row r="63903" customFormat="1" x14ac:dyDescent="0.25"/>
    <row r="63904" customFormat="1" x14ac:dyDescent="0.25"/>
    <row r="63905" customFormat="1" x14ac:dyDescent="0.25"/>
    <row r="63906" customFormat="1" x14ac:dyDescent="0.25"/>
    <row r="63907" customFormat="1" x14ac:dyDescent="0.25"/>
    <row r="63908" customFormat="1" x14ac:dyDescent="0.25"/>
    <row r="63909" customFormat="1" x14ac:dyDescent="0.25"/>
    <row r="63910" customFormat="1" x14ac:dyDescent="0.25"/>
    <row r="63911" customFormat="1" x14ac:dyDescent="0.25"/>
    <row r="63912" customFormat="1" x14ac:dyDescent="0.25"/>
    <row r="63913" customFormat="1" x14ac:dyDescent="0.25"/>
    <row r="63914" customFormat="1" x14ac:dyDescent="0.25"/>
    <row r="63915" customFormat="1" x14ac:dyDescent="0.25"/>
    <row r="63916" customFormat="1" x14ac:dyDescent="0.25"/>
    <row r="63917" customFormat="1" x14ac:dyDescent="0.25"/>
    <row r="63918" customFormat="1" x14ac:dyDescent="0.25"/>
    <row r="63919" customFormat="1" x14ac:dyDescent="0.25"/>
    <row r="63920" customFormat="1" x14ac:dyDescent="0.25"/>
    <row r="63921" customFormat="1" x14ac:dyDescent="0.25"/>
    <row r="63922" customFormat="1" x14ac:dyDescent="0.25"/>
    <row r="63923" customFormat="1" x14ac:dyDescent="0.25"/>
    <row r="63924" customFormat="1" x14ac:dyDescent="0.25"/>
    <row r="63925" customFormat="1" x14ac:dyDescent="0.25"/>
    <row r="63926" customFormat="1" x14ac:dyDescent="0.25"/>
    <row r="63927" customFormat="1" x14ac:dyDescent="0.25"/>
    <row r="63928" customFormat="1" x14ac:dyDescent="0.25"/>
    <row r="63929" customFormat="1" x14ac:dyDescent="0.25"/>
    <row r="63930" customFormat="1" x14ac:dyDescent="0.25"/>
    <row r="63931" customFormat="1" x14ac:dyDescent="0.25"/>
    <row r="63932" customFormat="1" x14ac:dyDescent="0.25"/>
    <row r="63933" customFormat="1" x14ac:dyDescent="0.25"/>
    <row r="63934" customFormat="1" x14ac:dyDescent="0.25"/>
    <row r="63935" customFormat="1" x14ac:dyDescent="0.25"/>
    <row r="63936" customFormat="1" x14ac:dyDescent="0.25"/>
    <row r="63937" customFormat="1" x14ac:dyDescent="0.25"/>
    <row r="63938" customFormat="1" x14ac:dyDescent="0.25"/>
    <row r="63939" customFormat="1" x14ac:dyDescent="0.25"/>
    <row r="63940" customFormat="1" x14ac:dyDescent="0.25"/>
    <row r="63941" customFormat="1" x14ac:dyDescent="0.25"/>
    <row r="63942" customFormat="1" x14ac:dyDescent="0.25"/>
    <row r="63943" customFormat="1" x14ac:dyDescent="0.25"/>
    <row r="63944" customFormat="1" x14ac:dyDescent="0.25"/>
    <row r="63945" customFormat="1" x14ac:dyDescent="0.25"/>
    <row r="63946" customFormat="1" x14ac:dyDescent="0.25"/>
    <row r="63947" customFormat="1" x14ac:dyDescent="0.25"/>
    <row r="63948" customFormat="1" x14ac:dyDescent="0.25"/>
    <row r="63949" customFormat="1" x14ac:dyDescent="0.25"/>
    <row r="63950" customFormat="1" x14ac:dyDescent="0.25"/>
    <row r="63951" customFormat="1" x14ac:dyDescent="0.25"/>
    <row r="63952" customFormat="1" x14ac:dyDescent="0.25"/>
    <row r="63953" customFormat="1" x14ac:dyDescent="0.25"/>
    <row r="63954" customFormat="1" x14ac:dyDescent="0.25"/>
    <row r="63955" customFormat="1" x14ac:dyDescent="0.25"/>
    <row r="63956" customFormat="1" x14ac:dyDescent="0.25"/>
    <row r="63957" customFormat="1" x14ac:dyDescent="0.25"/>
    <row r="63958" customFormat="1" x14ac:dyDescent="0.25"/>
    <row r="63959" customFormat="1" x14ac:dyDescent="0.25"/>
    <row r="63960" customFormat="1" x14ac:dyDescent="0.25"/>
    <row r="63961" customFormat="1" x14ac:dyDescent="0.25"/>
    <row r="63962" customFormat="1" x14ac:dyDescent="0.25"/>
    <row r="63963" customFormat="1" x14ac:dyDescent="0.25"/>
    <row r="63964" customFormat="1" x14ac:dyDescent="0.25"/>
    <row r="63965" customFormat="1" x14ac:dyDescent="0.25"/>
    <row r="63966" customFormat="1" x14ac:dyDescent="0.25"/>
    <row r="63967" customFormat="1" x14ac:dyDescent="0.25"/>
    <row r="63968" customFormat="1" x14ac:dyDescent="0.25"/>
    <row r="63969" customFormat="1" x14ac:dyDescent="0.25"/>
    <row r="63970" customFormat="1" x14ac:dyDescent="0.25"/>
    <row r="63971" customFormat="1" x14ac:dyDescent="0.25"/>
    <row r="63972" customFormat="1" x14ac:dyDescent="0.25"/>
    <row r="63973" customFormat="1" x14ac:dyDescent="0.25"/>
    <row r="63974" customFormat="1" x14ac:dyDescent="0.25"/>
    <row r="63975" customFormat="1" x14ac:dyDescent="0.25"/>
    <row r="63976" customFormat="1" x14ac:dyDescent="0.25"/>
    <row r="63977" customFormat="1" x14ac:dyDescent="0.25"/>
    <row r="63978" customFormat="1" x14ac:dyDescent="0.25"/>
    <row r="63979" customFormat="1" x14ac:dyDescent="0.25"/>
    <row r="63980" customFormat="1" x14ac:dyDescent="0.25"/>
    <row r="63981" customFormat="1" x14ac:dyDescent="0.25"/>
    <row r="63982" customFormat="1" x14ac:dyDescent="0.25"/>
    <row r="63983" customFormat="1" x14ac:dyDescent="0.25"/>
    <row r="63984" customFormat="1" x14ac:dyDescent="0.25"/>
    <row r="63985" customFormat="1" x14ac:dyDescent="0.25"/>
    <row r="63986" customFormat="1" x14ac:dyDescent="0.25"/>
    <row r="63987" customFormat="1" x14ac:dyDescent="0.25"/>
    <row r="63988" customFormat="1" x14ac:dyDescent="0.25"/>
    <row r="63989" customFormat="1" x14ac:dyDescent="0.25"/>
    <row r="63990" customFormat="1" x14ac:dyDescent="0.25"/>
    <row r="63991" customFormat="1" x14ac:dyDescent="0.25"/>
    <row r="63992" customFormat="1" x14ac:dyDescent="0.25"/>
    <row r="63993" customFormat="1" x14ac:dyDescent="0.25"/>
    <row r="63994" customFormat="1" x14ac:dyDescent="0.25"/>
    <row r="63995" customFormat="1" x14ac:dyDescent="0.25"/>
    <row r="63996" customFormat="1" x14ac:dyDescent="0.25"/>
    <row r="63997" customFormat="1" x14ac:dyDescent="0.25"/>
    <row r="63998" customFormat="1" x14ac:dyDescent="0.25"/>
    <row r="63999" customFormat="1" x14ac:dyDescent="0.25"/>
    <row r="64000" customFormat="1" x14ac:dyDescent="0.25"/>
    <row r="64001" customFormat="1" x14ac:dyDescent="0.25"/>
    <row r="64002" customFormat="1" x14ac:dyDescent="0.25"/>
    <row r="64003" customFormat="1" x14ac:dyDescent="0.25"/>
    <row r="64004" customFormat="1" x14ac:dyDescent="0.25"/>
    <row r="64005" customFormat="1" x14ac:dyDescent="0.25"/>
    <row r="64006" customFormat="1" x14ac:dyDescent="0.25"/>
    <row r="64007" customFormat="1" x14ac:dyDescent="0.25"/>
    <row r="64008" customFormat="1" x14ac:dyDescent="0.25"/>
    <row r="64009" customFormat="1" x14ac:dyDescent="0.25"/>
    <row r="64010" customFormat="1" x14ac:dyDescent="0.25"/>
    <row r="64011" customFormat="1" x14ac:dyDescent="0.25"/>
    <row r="64012" customFormat="1" x14ac:dyDescent="0.25"/>
    <row r="64013" customFormat="1" x14ac:dyDescent="0.25"/>
    <row r="64014" customFormat="1" x14ac:dyDescent="0.25"/>
    <row r="64015" customFormat="1" x14ac:dyDescent="0.25"/>
    <row r="64016" customFormat="1" x14ac:dyDescent="0.25"/>
    <row r="64017" customFormat="1" x14ac:dyDescent="0.25"/>
    <row r="64018" customFormat="1" x14ac:dyDescent="0.25"/>
    <row r="64019" customFormat="1" x14ac:dyDescent="0.25"/>
    <row r="64020" customFormat="1" x14ac:dyDescent="0.25"/>
    <row r="64021" customFormat="1" x14ac:dyDescent="0.25"/>
    <row r="64022" customFormat="1" x14ac:dyDescent="0.25"/>
    <row r="64023" customFormat="1" x14ac:dyDescent="0.25"/>
    <row r="64024" customFormat="1" x14ac:dyDescent="0.25"/>
    <row r="64025" customFormat="1" x14ac:dyDescent="0.25"/>
    <row r="64026" customFormat="1" x14ac:dyDescent="0.25"/>
    <row r="64027" customFormat="1" x14ac:dyDescent="0.25"/>
    <row r="64028" customFormat="1" x14ac:dyDescent="0.25"/>
    <row r="64029" customFormat="1" x14ac:dyDescent="0.25"/>
    <row r="64030" customFormat="1" x14ac:dyDescent="0.25"/>
    <row r="64031" customFormat="1" x14ac:dyDescent="0.25"/>
    <row r="64032" customFormat="1" x14ac:dyDescent="0.25"/>
    <row r="64033" customFormat="1" x14ac:dyDescent="0.25"/>
    <row r="64034" customFormat="1" x14ac:dyDescent="0.25"/>
    <row r="64035" customFormat="1" x14ac:dyDescent="0.25"/>
    <row r="64036" customFormat="1" x14ac:dyDescent="0.25"/>
    <row r="64037" customFormat="1" x14ac:dyDescent="0.25"/>
    <row r="64038" customFormat="1" x14ac:dyDescent="0.25"/>
    <row r="64039" customFormat="1" x14ac:dyDescent="0.25"/>
    <row r="64040" customFormat="1" x14ac:dyDescent="0.25"/>
    <row r="64041" customFormat="1" x14ac:dyDescent="0.25"/>
    <row r="64042" customFormat="1" x14ac:dyDescent="0.25"/>
    <row r="64043" customFormat="1" x14ac:dyDescent="0.25"/>
    <row r="64044" customFormat="1" x14ac:dyDescent="0.25"/>
    <row r="64045" customFormat="1" x14ac:dyDescent="0.25"/>
    <row r="64046" customFormat="1" x14ac:dyDescent="0.25"/>
    <row r="64047" customFormat="1" x14ac:dyDescent="0.25"/>
    <row r="64048" customFormat="1" x14ac:dyDescent="0.25"/>
    <row r="64049" customFormat="1" x14ac:dyDescent="0.25"/>
    <row r="64050" customFormat="1" x14ac:dyDescent="0.25"/>
    <row r="64051" customFormat="1" x14ac:dyDescent="0.25"/>
    <row r="64052" customFormat="1" x14ac:dyDescent="0.25"/>
    <row r="64053" customFormat="1" x14ac:dyDescent="0.25"/>
    <row r="64054" customFormat="1" x14ac:dyDescent="0.25"/>
    <row r="64055" customFormat="1" x14ac:dyDescent="0.25"/>
    <row r="64056" customFormat="1" x14ac:dyDescent="0.25"/>
    <row r="64057" customFormat="1" x14ac:dyDescent="0.25"/>
    <row r="64058" customFormat="1" x14ac:dyDescent="0.25"/>
    <row r="64059" customFormat="1" x14ac:dyDescent="0.25"/>
    <row r="64060" customFormat="1" x14ac:dyDescent="0.25"/>
    <row r="64061" customFormat="1" x14ac:dyDescent="0.25"/>
    <row r="64062" customFormat="1" x14ac:dyDescent="0.25"/>
    <row r="64063" customFormat="1" x14ac:dyDescent="0.25"/>
    <row r="64064" customFormat="1" x14ac:dyDescent="0.25"/>
    <row r="64065" customFormat="1" x14ac:dyDescent="0.25"/>
    <row r="64066" customFormat="1" x14ac:dyDescent="0.25"/>
    <row r="64067" customFormat="1" x14ac:dyDescent="0.25"/>
    <row r="64068" customFormat="1" x14ac:dyDescent="0.25"/>
    <row r="64069" customFormat="1" x14ac:dyDescent="0.25"/>
    <row r="64070" customFormat="1" x14ac:dyDescent="0.25"/>
    <row r="64071" customFormat="1" x14ac:dyDescent="0.25"/>
    <row r="64072" customFormat="1" x14ac:dyDescent="0.25"/>
    <row r="64073" customFormat="1" x14ac:dyDescent="0.25"/>
    <row r="64074" customFormat="1" x14ac:dyDescent="0.25"/>
    <row r="64075" customFormat="1" x14ac:dyDescent="0.25"/>
    <row r="64076" customFormat="1" x14ac:dyDescent="0.25"/>
    <row r="64077" customFormat="1" x14ac:dyDescent="0.25"/>
    <row r="64078" customFormat="1" x14ac:dyDescent="0.25"/>
    <row r="64079" customFormat="1" x14ac:dyDescent="0.25"/>
    <row r="64080" customFormat="1" x14ac:dyDescent="0.25"/>
    <row r="64081" customFormat="1" x14ac:dyDescent="0.25"/>
    <row r="64082" customFormat="1" x14ac:dyDescent="0.25"/>
    <row r="64083" customFormat="1" x14ac:dyDescent="0.25"/>
    <row r="64084" customFormat="1" x14ac:dyDescent="0.25"/>
    <row r="64085" customFormat="1" x14ac:dyDescent="0.25"/>
    <row r="64086" customFormat="1" x14ac:dyDescent="0.25"/>
    <row r="64087" customFormat="1" x14ac:dyDescent="0.25"/>
    <row r="64088" customFormat="1" x14ac:dyDescent="0.25"/>
    <row r="64089" customFormat="1" x14ac:dyDescent="0.25"/>
    <row r="64090" customFormat="1" x14ac:dyDescent="0.25"/>
    <row r="64091" customFormat="1" x14ac:dyDescent="0.25"/>
    <row r="64092" customFormat="1" x14ac:dyDescent="0.25"/>
    <row r="64093" customFormat="1" x14ac:dyDescent="0.25"/>
    <row r="64094" customFormat="1" x14ac:dyDescent="0.25"/>
    <row r="64095" customFormat="1" x14ac:dyDescent="0.25"/>
    <row r="64096" customFormat="1" x14ac:dyDescent="0.25"/>
    <row r="64097" customFormat="1" x14ac:dyDescent="0.25"/>
    <row r="64098" customFormat="1" x14ac:dyDescent="0.25"/>
    <row r="64099" customFormat="1" x14ac:dyDescent="0.25"/>
    <row r="64100" customFormat="1" x14ac:dyDescent="0.25"/>
    <row r="64101" customFormat="1" x14ac:dyDescent="0.25"/>
    <row r="64102" customFormat="1" x14ac:dyDescent="0.25"/>
    <row r="64103" customFormat="1" x14ac:dyDescent="0.25"/>
    <row r="64104" customFormat="1" x14ac:dyDescent="0.25"/>
    <row r="64105" customFormat="1" x14ac:dyDescent="0.25"/>
    <row r="64106" customFormat="1" x14ac:dyDescent="0.25"/>
    <row r="64107" customFormat="1" x14ac:dyDescent="0.25"/>
    <row r="64108" customFormat="1" x14ac:dyDescent="0.25"/>
    <row r="64109" customFormat="1" x14ac:dyDescent="0.25"/>
    <row r="64110" customFormat="1" x14ac:dyDescent="0.25"/>
    <row r="64111" customFormat="1" x14ac:dyDescent="0.25"/>
    <row r="64112" customFormat="1" x14ac:dyDescent="0.25"/>
    <row r="64113" customFormat="1" x14ac:dyDescent="0.25"/>
    <row r="64114" customFormat="1" x14ac:dyDescent="0.25"/>
    <row r="64115" customFormat="1" x14ac:dyDescent="0.25"/>
    <row r="64116" customFormat="1" x14ac:dyDescent="0.25"/>
    <row r="64117" customFormat="1" x14ac:dyDescent="0.25"/>
    <row r="64118" customFormat="1" x14ac:dyDescent="0.25"/>
    <row r="64119" customFormat="1" x14ac:dyDescent="0.25"/>
    <row r="64120" customFormat="1" x14ac:dyDescent="0.25"/>
    <row r="64121" customFormat="1" x14ac:dyDescent="0.25"/>
    <row r="64122" customFormat="1" x14ac:dyDescent="0.25"/>
    <row r="64123" customFormat="1" x14ac:dyDescent="0.25"/>
    <row r="64124" customFormat="1" x14ac:dyDescent="0.25"/>
    <row r="64125" customFormat="1" x14ac:dyDescent="0.25"/>
    <row r="64126" customFormat="1" x14ac:dyDescent="0.25"/>
    <row r="64127" customFormat="1" x14ac:dyDescent="0.25"/>
    <row r="64128" customFormat="1" x14ac:dyDescent="0.25"/>
    <row r="64129" customFormat="1" x14ac:dyDescent="0.25"/>
    <row r="64130" customFormat="1" x14ac:dyDescent="0.25"/>
    <row r="64131" customFormat="1" x14ac:dyDescent="0.25"/>
    <row r="64132" customFormat="1" x14ac:dyDescent="0.25"/>
    <row r="64133" customFormat="1" x14ac:dyDescent="0.25"/>
    <row r="64134" customFormat="1" x14ac:dyDescent="0.25"/>
    <row r="64135" customFormat="1" x14ac:dyDescent="0.25"/>
    <row r="64136" customFormat="1" x14ac:dyDescent="0.25"/>
    <row r="64137" customFormat="1" x14ac:dyDescent="0.25"/>
    <row r="64138" customFormat="1" x14ac:dyDescent="0.25"/>
    <row r="64139" customFormat="1" x14ac:dyDescent="0.25"/>
    <row r="64140" customFormat="1" x14ac:dyDescent="0.25"/>
    <row r="64141" customFormat="1" x14ac:dyDescent="0.25"/>
    <row r="64142" customFormat="1" x14ac:dyDescent="0.25"/>
    <row r="64143" customFormat="1" x14ac:dyDescent="0.25"/>
    <row r="64144" customFormat="1" x14ac:dyDescent="0.25"/>
    <row r="64145" customFormat="1" x14ac:dyDescent="0.25"/>
    <row r="64146" customFormat="1" x14ac:dyDescent="0.25"/>
    <row r="64147" customFormat="1" x14ac:dyDescent="0.25"/>
    <row r="64148" customFormat="1" x14ac:dyDescent="0.25"/>
    <row r="64149" customFormat="1" x14ac:dyDescent="0.25"/>
    <row r="64150" customFormat="1" x14ac:dyDescent="0.25"/>
    <row r="64151" customFormat="1" x14ac:dyDescent="0.25"/>
    <row r="64152" customFormat="1" x14ac:dyDescent="0.25"/>
    <row r="64153" customFormat="1" x14ac:dyDescent="0.25"/>
    <row r="64154" customFormat="1" x14ac:dyDescent="0.25"/>
    <row r="64155" customFormat="1" x14ac:dyDescent="0.25"/>
    <row r="64156" customFormat="1" x14ac:dyDescent="0.25"/>
    <row r="64157" customFormat="1" x14ac:dyDescent="0.25"/>
    <row r="64158" customFormat="1" x14ac:dyDescent="0.25"/>
    <row r="64159" customFormat="1" x14ac:dyDescent="0.25"/>
    <row r="64160" customFormat="1" x14ac:dyDescent="0.25"/>
    <row r="64161" customFormat="1" x14ac:dyDescent="0.25"/>
    <row r="64162" customFormat="1" x14ac:dyDescent="0.25"/>
    <row r="64163" customFormat="1" x14ac:dyDescent="0.25"/>
    <row r="64164" customFormat="1" x14ac:dyDescent="0.25"/>
    <row r="64165" customFormat="1" x14ac:dyDescent="0.25"/>
    <row r="64166" customFormat="1" x14ac:dyDescent="0.25"/>
    <row r="64167" customFormat="1" x14ac:dyDescent="0.25"/>
    <row r="64168" customFormat="1" x14ac:dyDescent="0.25"/>
    <row r="64169" customFormat="1" x14ac:dyDescent="0.25"/>
    <row r="64170" customFormat="1" x14ac:dyDescent="0.25"/>
    <row r="64171" customFormat="1" x14ac:dyDescent="0.25"/>
    <row r="64172" customFormat="1" x14ac:dyDescent="0.25"/>
    <row r="64173" customFormat="1" x14ac:dyDescent="0.25"/>
    <row r="64174" customFormat="1" x14ac:dyDescent="0.25"/>
    <row r="64175" customFormat="1" x14ac:dyDescent="0.25"/>
    <row r="64176" customFormat="1" x14ac:dyDescent="0.25"/>
    <row r="64177" customFormat="1" x14ac:dyDescent="0.25"/>
    <row r="64178" customFormat="1" x14ac:dyDescent="0.25"/>
    <row r="64179" customFormat="1" x14ac:dyDescent="0.25"/>
    <row r="64180" customFormat="1" x14ac:dyDescent="0.25"/>
    <row r="64181" customFormat="1" x14ac:dyDescent="0.25"/>
    <row r="64182" customFormat="1" x14ac:dyDescent="0.25"/>
    <row r="64183" customFormat="1" x14ac:dyDescent="0.25"/>
    <row r="64184" customFormat="1" x14ac:dyDescent="0.25"/>
    <row r="64185" customFormat="1" x14ac:dyDescent="0.25"/>
    <row r="64186" customFormat="1" x14ac:dyDescent="0.25"/>
    <row r="64187" customFormat="1" x14ac:dyDescent="0.25"/>
    <row r="64188" customFormat="1" x14ac:dyDescent="0.25"/>
    <row r="64189" customFormat="1" x14ac:dyDescent="0.25"/>
    <row r="64190" customFormat="1" x14ac:dyDescent="0.25"/>
    <row r="64191" customFormat="1" x14ac:dyDescent="0.25"/>
    <row r="64192" customFormat="1" x14ac:dyDescent="0.25"/>
    <row r="64193" customFormat="1" x14ac:dyDescent="0.25"/>
    <row r="64194" customFormat="1" x14ac:dyDescent="0.25"/>
    <row r="64195" customFormat="1" x14ac:dyDescent="0.25"/>
    <row r="64196" customFormat="1" x14ac:dyDescent="0.25"/>
    <row r="64197" customFormat="1" x14ac:dyDescent="0.25"/>
    <row r="64198" customFormat="1" x14ac:dyDescent="0.25"/>
    <row r="64199" customFormat="1" x14ac:dyDescent="0.25"/>
    <row r="64200" customFormat="1" x14ac:dyDescent="0.25"/>
    <row r="64201" customFormat="1" x14ac:dyDescent="0.25"/>
    <row r="64202" customFormat="1" x14ac:dyDescent="0.25"/>
    <row r="64203" customFormat="1" x14ac:dyDescent="0.25"/>
    <row r="64204" customFormat="1" x14ac:dyDescent="0.25"/>
    <row r="64205" customFormat="1" x14ac:dyDescent="0.25"/>
    <row r="64206" customFormat="1" x14ac:dyDescent="0.25"/>
    <row r="64207" customFormat="1" x14ac:dyDescent="0.25"/>
    <row r="64208" customFormat="1" x14ac:dyDescent="0.25"/>
    <row r="64209" customFormat="1" x14ac:dyDescent="0.25"/>
    <row r="64210" customFormat="1" x14ac:dyDescent="0.25"/>
    <row r="64211" customFormat="1" x14ac:dyDescent="0.25"/>
    <row r="64212" customFormat="1" x14ac:dyDescent="0.25"/>
    <row r="64213" customFormat="1" x14ac:dyDescent="0.25"/>
    <row r="64214" customFormat="1" x14ac:dyDescent="0.25"/>
    <row r="64215" customFormat="1" x14ac:dyDescent="0.25"/>
    <row r="64216" customFormat="1" x14ac:dyDescent="0.25"/>
    <row r="64217" customFormat="1" x14ac:dyDescent="0.25"/>
    <row r="64218" customFormat="1" x14ac:dyDescent="0.25"/>
    <row r="64219" customFormat="1" x14ac:dyDescent="0.25"/>
    <row r="64220" customFormat="1" x14ac:dyDescent="0.25"/>
    <row r="64221" customFormat="1" x14ac:dyDescent="0.25"/>
    <row r="64222" customFormat="1" x14ac:dyDescent="0.25"/>
    <row r="64223" customFormat="1" x14ac:dyDescent="0.25"/>
    <row r="64224" customFormat="1" x14ac:dyDescent="0.25"/>
    <row r="64225" customFormat="1" x14ac:dyDescent="0.25"/>
    <row r="64226" customFormat="1" x14ac:dyDescent="0.25"/>
    <row r="64227" customFormat="1" x14ac:dyDescent="0.25"/>
    <row r="64228" customFormat="1" x14ac:dyDescent="0.25"/>
    <row r="64229" customFormat="1" x14ac:dyDescent="0.25"/>
    <row r="64230" customFormat="1" x14ac:dyDescent="0.25"/>
    <row r="64231" customFormat="1" x14ac:dyDescent="0.25"/>
    <row r="64232" customFormat="1" x14ac:dyDescent="0.25"/>
    <row r="64233" customFormat="1" x14ac:dyDescent="0.25"/>
    <row r="64234" customFormat="1" x14ac:dyDescent="0.25"/>
    <row r="64235" customFormat="1" x14ac:dyDescent="0.25"/>
    <row r="64236" customFormat="1" x14ac:dyDescent="0.25"/>
    <row r="64237" customFormat="1" x14ac:dyDescent="0.25"/>
    <row r="64238" customFormat="1" x14ac:dyDescent="0.25"/>
    <row r="64239" customFormat="1" x14ac:dyDescent="0.25"/>
    <row r="64240" customFormat="1" x14ac:dyDescent="0.25"/>
    <row r="64241" customFormat="1" x14ac:dyDescent="0.25"/>
    <row r="64242" customFormat="1" x14ac:dyDescent="0.25"/>
    <row r="64243" customFormat="1" x14ac:dyDescent="0.25"/>
    <row r="64244" customFormat="1" x14ac:dyDescent="0.25"/>
    <row r="64245" customFormat="1" x14ac:dyDescent="0.25"/>
    <row r="64246" customFormat="1" x14ac:dyDescent="0.25"/>
    <row r="64247" customFormat="1" x14ac:dyDescent="0.25"/>
    <row r="64248" customFormat="1" x14ac:dyDescent="0.25"/>
    <row r="64249" customFormat="1" x14ac:dyDescent="0.25"/>
    <row r="64250" customFormat="1" x14ac:dyDescent="0.25"/>
    <row r="64251" customFormat="1" x14ac:dyDescent="0.25"/>
    <row r="64252" customFormat="1" x14ac:dyDescent="0.25"/>
    <row r="64253" customFormat="1" x14ac:dyDescent="0.25"/>
    <row r="64254" customFormat="1" x14ac:dyDescent="0.25"/>
    <row r="64255" customFormat="1" x14ac:dyDescent="0.25"/>
    <row r="64256" customFormat="1" x14ac:dyDescent="0.25"/>
    <row r="64257" customFormat="1" x14ac:dyDescent="0.25"/>
    <row r="64258" customFormat="1" x14ac:dyDescent="0.25"/>
    <row r="64259" customFormat="1" x14ac:dyDescent="0.25"/>
    <row r="64260" customFormat="1" x14ac:dyDescent="0.25"/>
    <row r="64261" customFormat="1" x14ac:dyDescent="0.25"/>
    <row r="64262" customFormat="1" x14ac:dyDescent="0.25"/>
    <row r="64263" customFormat="1" x14ac:dyDescent="0.25"/>
    <row r="64264" customFormat="1" x14ac:dyDescent="0.25"/>
    <row r="64265" customFormat="1" x14ac:dyDescent="0.25"/>
    <row r="64266" customFormat="1" x14ac:dyDescent="0.25"/>
    <row r="64267" customFormat="1" x14ac:dyDescent="0.25"/>
    <row r="64268" customFormat="1" x14ac:dyDescent="0.25"/>
    <row r="64269" customFormat="1" x14ac:dyDescent="0.25"/>
    <row r="64270" customFormat="1" x14ac:dyDescent="0.25"/>
    <row r="64271" customFormat="1" x14ac:dyDescent="0.25"/>
    <row r="64272" customFormat="1" x14ac:dyDescent="0.25"/>
    <row r="64273" customFormat="1" x14ac:dyDescent="0.25"/>
    <row r="64274" customFormat="1" x14ac:dyDescent="0.25"/>
    <row r="64275" customFormat="1" x14ac:dyDescent="0.25"/>
    <row r="64276" customFormat="1" x14ac:dyDescent="0.25"/>
    <row r="64277" customFormat="1" x14ac:dyDescent="0.25"/>
    <row r="64278" customFormat="1" x14ac:dyDescent="0.25"/>
    <row r="64279" customFormat="1" x14ac:dyDescent="0.25"/>
    <row r="64280" customFormat="1" x14ac:dyDescent="0.25"/>
    <row r="64281" customFormat="1" x14ac:dyDescent="0.25"/>
    <row r="64282" customFormat="1" x14ac:dyDescent="0.25"/>
    <row r="64283" customFormat="1" x14ac:dyDescent="0.25"/>
    <row r="64284" customFormat="1" x14ac:dyDescent="0.25"/>
    <row r="64285" customFormat="1" x14ac:dyDescent="0.25"/>
    <row r="64286" customFormat="1" x14ac:dyDescent="0.25"/>
    <row r="64287" customFormat="1" x14ac:dyDescent="0.25"/>
    <row r="64288" customFormat="1" x14ac:dyDescent="0.25"/>
    <row r="64289" customFormat="1" x14ac:dyDescent="0.25"/>
    <row r="64290" customFormat="1" x14ac:dyDescent="0.25"/>
    <row r="64291" customFormat="1" x14ac:dyDescent="0.25"/>
    <row r="64292" customFormat="1" x14ac:dyDescent="0.25"/>
    <row r="64293" customFormat="1" x14ac:dyDescent="0.25"/>
    <row r="64294" customFormat="1" x14ac:dyDescent="0.25"/>
    <row r="64295" customFormat="1" x14ac:dyDescent="0.25"/>
    <row r="64296" customFormat="1" x14ac:dyDescent="0.25"/>
    <row r="64297" customFormat="1" x14ac:dyDescent="0.25"/>
    <row r="64298" customFormat="1" x14ac:dyDescent="0.25"/>
    <row r="64299" customFormat="1" x14ac:dyDescent="0.25"/>
    <row r="64300" customFormat="1" x14ac:dyDescent="0.25"/>
    <row r="64301" customFormat="1" x14ac:dyDescent="0.25"/>
    <row r="64302" customFormat="1" x14ac:dyDescent="0.25"/>
    <row r="64303" customFormat="1" x14ac:dyDescent="0.25"/>
    <row r="64304" customFormat="1" x14ac:dyDescent="0.25"/>
    <row r="64305" customFormat="1" x14ac:dyDescent="0.25"/>
    <row r="64306" customFormat="1" x14ac:dyDescent="0.25"/>
    <row r="64307" customFormat="1" x14ac:dyDescent="0.25"/>
    <row r="64308" customFormat="1" x14ac:dyDescent="0.25"/>
    <row r="64309" customFormat="1" x14ac:dyDescent="0.25"/>
    <row r="64310" customFormat="1" x14ac:dyDescent="0.25"/>
    <row r="64311" customFormat="1" x14ac:dyDescent="0.25"/>
    <row r="64312" customFormat="1" x14ac:dyDescent="0.25"/>
    <row r="64313" customFormat="1" x14ac:dyDescent="0.25"/>
    <row r="64314" customFormat="1" x14ac:dyDescent="0.25"/>
    <row r="64315" customFormat="1" x14ac:dyDescent="0.25"/>
    <row r="64316" customFormat="1" x14ac:dyDescent="0.25"/>
    <row r="64317" customFormat="1" x14ac:dyDescent="0.25"/>
    <row r="64318" customFormat="1" x14ac:dyDescent="0.25"/>
    <row r="64319" customFormat="1" x14ac:dyDescent="0.25"/>
    <row r="64320" customFormat="1" x14ac:dyDescent="0.25"/>
    <row r="64321" customFormat="1" x14ac:dyDescent="0.25"/>
    <row r="64322" customFormat="1" x14ac:dyDescent="0.25"/>
    <row r="64323" customFormat="1" x14ac:dyDescent="0.25"/>
    <row r="64324" customFormat="1" x14ac:dyDescent="0.25"/>
    <row r="64325" customFormat="1" x14ac:dyDescent="0.25"/>
    <row r="64326" customFormat="1" x14ac:dyDescent="0.25"/>
    <row r="64327" customFormat="1" x14ac:dyDescent="0.25"/>
    <row r="64328" customFormat="1" x14ac:dyDescent="0.25"/>
    <row r="64329" customFormat="1" x14ac:dyDescent="0.25"/>
    <row r="64330" customFormat="1" x14ac:dyDescent="0.25"/>
    <row r="64331" customFormat="1" x14ac:dyDescent="0.25"/>
    <row r="64332" customFormat="1" x14ac:dyDescent="0.25"/>
    <row r="64333" customFormat="1" x14ac:dyDescent="0.25"/>
    <row r="64334" customFormat="1" x14ac:dyDescent="0.25"/>
    <row r="64335" customFormat="1" x14ac:dyDescent="0.25"/>
    <row r="64336" customFormat="1" x14ac:dyDescent="0.25"/>
    <row r="64337" customFormat="1" x14ac:dyDescent="0.25"/>
    <row r="64338" customFormat="1" x14ac:dyDescent="0.25"/>
    <row r="64339" customFormat="1" x14ac:dyDescent="0.25"/>
    <row r="64340" customFormat="1" x14ac:dyDescent="0.25"/>
    <row r="64341" customFormat="1" x14ac:dyDescent="0.25"/>
    <row r="64342" customFormat="1" x14ac:dyDescent="0.25"/>
    <row r="64343" customFormat="1" x14ac:dyDescent="0.25"/>
    <row r="64344" customFormat="1" x14ac:dyDescent="0.25"/>
    <row r="64345" customFormat="1" x14ac:dyDescent="0.25"/>
    <row r="64346" customFormat="1" x14ac:dyDescent="0.25"/>
    <row r="64347" customFormat="1" x14ac:dyDescent="0.25"/>
    <row r="64348" customFormat="1" x14ac:dyDescent="0.25"/>
    <row r="64349" customFormat="1" x14ac:dyDescent="0.25"/>
    <row r="64350" customFormat="1" x14ac:dyDescent="0.25"/>
    <row r="64351" customFormat="1" x14ac:dyDescent="0.25"/>
    <row r="64352" customFormat="1" x14ac:dyDescent="0.25"/>
    <row r="64353" customFormat="1" x14ac:dyDescent="0.25"/>
    <row r="64354" customFormat="1" x14ac:dyDescent="0.25"/>
    <row r="64355" customFormat="1" x14ac:dyDescent="0.25"/>
    <row r="64356" customFormat="1" x14ac:dyDescent="0.25"/>
    <row r="64357" customFormat="1" x14ac:dyDescent="0.25"/>
    <row r="64358" customFormat="1" x14ac:dyDescent="0.25"/>
    <row r="64359" customFormat="1" x14ac:dyDescent="0.25"/>
    <row r="64360" customFormat="1" x14ac:dyDescent="0.25"/>
    <row r="64361" customFormat="1" x14ac:dyDescent="0.25"/>
    <row r="64362" customFormat="1" x14ac:dyDescent="0.25"/>
    <row r="64363" customFormat="1" x14ac:dyDescent="0.25"/>
    <row r="64364" customFormat="1" x14ac:dyDescent="0.25"/>
    <row r="64365" customFormat="1" x14ac:dyDescent="0.25"/>
    <row r="64366" customFormat="1" x14ac:dyDescent="0.25"/>
    <row r="64367" customFormat="1" x14ac:dyDescent="0.25"/>
    <row r="64368" customFormat="1" x14ac:dyDescent="0.25"/>
    <row r="64369" customFormat="1" x14ac:dyDescent="0.25"/>
    <row r="64370" customFormat="1" x14ac:dyDescent="0.25"/>
    <row r="64371" customFormat="1" x14ac:dyDescent="0.25"/>
    <row r="64372" customFormat="1" x14ac:dyDescent="0.25"/>
    <row r="64373" customFormat="1" x14ac:dyDescent="0.25"/>
    <row r="64374" customFormat="1" x14ac:dyDescent="0.25"/>
    <row r="64375" customFormat="1" x14ac:dyDescent="0.25"/>
    <row r="64376" customFormat="1" x14ac:dyDescent="0.25"/>
    <row r="64377" customFormat="1" x14ac:dyDescent="0.25"/>
    <row r="64378" customFormat="1" x14ac:dyDescent="0.25"/>
    <row r="64379" customFormat="1" x14ac:dyDescent="0.25"/>
    <row r="64380" customFormat="1" x14ac:dyDescent="0.25"/>
    <row r="64381" customFormat="1" x14ac:dyDescent="0.25"/>
    <row r="64382" customFormat="1" x14ac:dyDescent="0.25"/>
    <row r="64383" customFormat="1" x14ac:dyDescent="0.25"/>
    <row r="64384" customFormat="1" x14ac:dyDescent="0.25"/>
    <row r="64385" customFormat="1" x14ac:dyDescent="0.25"/>
    <row r="64386" customFormat="1" x14ac:dyDescent="0.25"/>
    <row r="64387" customFormat="1" x14ac:dyDescent="0.25"/>
    <row r="64388" customFormat="1" x14ac:dyDescent="0.25"/>
    <row r="64389" customFormat="1" x14ac:dyDescent="0.25"/>
    <row r="64390" customFormat="1" x14ac:dyDescent="0.25"/>
    <row r="64391" customFormat="1" x14ac:dyDescent="0.25"/>
    <row r="64392" customFormat="1" x14ac:dyDescent="0.25"/>
    <row r="64393" customFormat="1" x14ac:dyDescent="0.25"/>
    <row r="64394" customFormat="1" x14ac:dyDescent="0.25"/>
    <row r="64395" customFormat="1" x14ac:dyDescent="0.25"/>
    <row r="64396" customFormat="1" x14ac:dyDescent="0.25"/>
    <row r="64397" customFormat="1" x14ac:dyDescent="0.25"/>
    <row r="64398" customFormat="1" x14ac:dyDescent="0.25"/>
    <row r="64399" customFormat="1" x14ac:dyDescent="0.25"/>
    <row r="64400" customFormat="1" x14ac:dyDescent="0.25"/>
    <row r="64401" customFormat="1" x14ac:dyDescent="0.25"/>
    <row r="64402" customFormat="1" x14ac:dyDescent="0.25"/>
    <row r="64403" customFormat="1" x14ac:dyDescent="0.25"/>
    <row r="64404" customFormat="1" x14ac:dyDescent="0.25"/>
    <row r="64405" customFormat="1" x14ac:dyDescent="0.25"/>
    <row r="64406" customFormat="1" x14ac:dyDescent="0.25"/>
    <row r="64407" customFormat="1" x14ac:dyDescent="0.25"/>
    <row r="64408" customFormat="1" x14ac:dyDescent="0.25"/>
    <row r="64409" customFormat="1" x14ac:dyDescent="0.25"/>
    <row r="64410" customFormat="1" x14ac:dyDescent="0.25"/>
    <row r="64411" customFormat="1" x14ac:dyDescent="0.25"/>
    <row r="64412" customFormat="1" x14ac:dyDescent="0.25"/>
    <row r="64413" customFormat="1" x14ac:dyDescent="0.25"/>
    <row r="64414" customFormat="1" x14ac:dyDescent="0.25"/>
    <row r="64415" customFormat="1" x14ac:dyDescent="0.25"/>
    <row r="64416" customFormat="1" x14ac:dyDescent="0.25"/>
    <row r="64417" customFormat="1" x14ac:dyDescent="0.25"/>
    <row r="64418" customFormat="1" x14ac:dyDescent="0.25"/>
    <row r="64419" customFormat="1" x14ac:dyDescent="0.25"/>
    <row r="64420" customFormat="1" x14ac:dyDescent="0.25"/>
    <row r="64421" customFormat="1" x14ac:dyDescent="0.25"/>
    <row r="64422" customFormat="1" x14ac:dyDescent="0.25"/>
    <row r="64423" customFormat="1" x14ac:dyDescent="0.25"/>
    <row r="64424" customFormat="1" x14ac:dyDescent="0.25"/>
    <row r="64425" customFormat="1" x14ac:dyDescent="0.25"/>
    <row r="64426" customFormat="1" x14ac:dyDescent="0.25"/>
    <row r="64427" customFormat="1" x14ac:dyDescent="0.25"/>
    <row r="64428" customFormat="1" x14ac:dyDescent="0.25"/>
    <row r="64429" customFormat="1" x14ac:dyDescent="0.25"/>
    <row r="64430" customFormat="1" x14ac:dyDescent="0.25"/>
    <row r="64431" customFormat="1" x14ac:dyDescent="0.25"/>
    <row r="64432" customFormat="1" x14ac:dyDescent="0.25"/>
    <row r="64433" customFormat="1" x14ac:dyDescent="0.25"/>
    <row r="64434" customFormat="1" x14ac:dyDescent="0.25"/>
    <row r="64435" customFormat="1" x14ac:dyDescent="0.25"/>
    <row r="64436" customFormat="1" x14ac:dyDescent="0.25"/>
    <row r="64437" customFormat="1" x14ac:dyDescent="0.25"/>
    <row r="64438" customFormat="1" x14ac:dyDescent="0.25"/>
    <row r="64439" customFormat="1" x14ac:dyDescent="0.25"/>
    <row r="64440" customFormat="1" x14ac:dyDescent="0.25"/>
    <row r="64441" customFormat="1" x14ac:dyDescent="0.25"/>
    <row r="64442" customFormat="1" x14ac:dyDescent="0.25"/>
    <row r="64443" customFormat="1" x14ac:dyDescent="0.25"/>
    <row r="64444" customFormat="1" x14ac:dyDescent="0.25"/>
    <row r="64445" customFormat="1" x14ac:dyDescent="0.25"/>
    <row r="64446" customFormat="1" x14ac:dyDescent="0.25"/>
    <row r="64447" customFormat="1" x14ac:dyDescent="0.25"/>
    <row r="64448" customFormat="1" x14ac:dyDescent="0.25"/>
    <row r="64449" customFormat="1" x14ac:dyDescent="0.25"/>
    <row r="64450" customFormat="1" x14ac:dyDescent="0.25"/>
    <row r="64451" customFormat="1" x14ac:dyDescent="0.25"/>
    <row r="64452" customFormat="1" x14ac:dyDescent="0.25"/>
    <row r="64453" customFormat="1" x14ac:dyDescent="0.25"/>
    <row r="64454" customFormat="1" x14ac:dyDescent="0.25"/>
    <row r="64455" customFormat="1" x14ac:dyDescent="0.25"/>
    <row r="64456" customFormat="1" x14ac:dyDescent="0.25"/>
    <row r="64457" customFormat="1" x14ac:dyDescent="0.25"/>
    <row r="64458" customFormat="1" x14ac:dyDescent="0.25"/>
    <row r="64459" customFormat="1" x14ac:dyDescent="0.25"/>
    <row r="64460" customFormat="1" x14ac:dyDescent="0.25"/>
    <row r="64461" customFormat="1" x14ac:dyDescent="0.25"/>
    <row r="64462" customFormat="1" x14ac:dyDescent="0.25"/>
    <row r="64463" customFormat="1" x14ac:dyDescent="0.25"/>
    <row r="64464" customFormat="1" x14ac:dyDescent="0.25"/>
    <row r="64465" customFormat="1" x14ac:dyDescent="0.25"/>
    <row r="64466" customFormat="1" x14ac:dyDescent="0.25"/>
    <row r="64467" customFormat="1" x14ac:dyDescent="0.25"/>
    <row r="64468" customFormat="1" x14ac:dyDescent="0.25"/>
    <row r="64469" customFormat="1" x14ac:dyDescent="0.25"/>
    <row r="64470" customFormat="1" x14ac:dyDescent="0.25"/>
    <row r="64471" customFormat="1" x14ac:dyDescent="0.25"/>
    <row r="64472" customFormat="1" x14ac:dyDescent="0.25"/>
    <row r="64473" customFormat="1" x14ac:dyDescent="0.25"/>
    <row r="64474" customFormat="1" x14ac:dyDescent="0.25"/>
    <row r="64475" customFormat="1" x14ac:dyDescent="0.25"/>
    <row r="64476" customFormat="1" x14ac:dyDescent="0.25"/>
    <row r="64477" customFormat="1" x14ac:dyDescent="0.25"/>
    <row r="64478" customFormat="1" x14ac:dyDescent="0.25"/>
    <row r="64479" customFormat="1" x14ac:dyDescent="0.25"/>
    <row r="64480" customFormat="1" x14ac:dyDescent="0.25"/>
    <row r="64481" customFormat="1" x14ac:dyDescent="0.25"/>
    <row r="64482" customFormat="1" x14ac:dyDescent="0.25"/>
    <row r="64483" customFormat="1" x14ac:dyDescent="0.25"/>
    <row r="64484" customFormat="1" x14ac:dyDescent="0.25"/>
    <row r="64485" customFormat="1" x14ac:dyDescent="0.25"/>
    <row r="64486" customFormat="1" x14ac:dyDescent="0.25"/>
    <row r="64487" customFormat="1" x14ac:dyDescent="0.25"/>
    <row r="64488" customFormat="1" x14ac:dyDescent="0.25"/>
    <row r="64489" customFormat="1" x14ac:dyDescent="0.25"/>
    <row r="64490" customFormat="1" x14ac:dyDescent="0.25"/>
    <row r="64491" customFormat="1" x14ac:dyDescent="0.25"/>
    <row r="64492" customFormat="1" x14ac:dyDescent="0.25"/>
    <row r="64493" customFormat="1" x14ac:dyDescent="0.25"/>
    <row r="64494" customFormat="1" x14ac:dyDescent="0.25"/>
    <row r="64495" customFormat="1" x14ac:dyDescent="0.25"/>
    <row r="64496" customFormat="1" x14ac:dyDescent="0.25"/>
    <row r="64497" customFormat="1" x14ac:dyDescent="0.25"/>
    <row r="64498" customFormat="1" x14ac:dyDescent="0.25"/>
    <row r="64499" customFormat="1" x14ac:dyDescent="0.25"/>
    <row r="64500" customFormat="1" x14ac:dyDescent="0.25"/>
    <row r="64501" customFormat="1" x14ac:dyDescent="0.25"/>
    <row r="64502" customFormat="1" x14ac:dyDescent="0.25"/>
    <row r="64503" customFormat="1" x14ac:dyDescent="0.25"/>
    <row r="64504" customFormat="1" x14ac:dyDescent="0.25"/>
    <row r="64505" customFormat="1" x14ac:dyDescent="0.25"/>
    <row r="64506" customFormat="1" x14ac:dyDescent="0.25"/>
    <row r="64507" customFormat="1" x14ac:dyDescent="0.25"/>
    <row r="64508" customFormat="1" x14ac:dyDescent="0.25"/>
    <row r="64509" customFormat="1" x14ac:dyDescent="0.25"/>
    <row r="64510" customFormat="1" x14ac:dyDescent="0.25"/>
    <row r="64511" customFormat="1" x14ac:dyDescent="0.25"/>
    <row r="64512" customFormat="1" x14ac:dyDescent="0.25"/>
    <row r="64513" customFormat="1" x14ac:dyDescent="0.25"/>
    <row r="64514" customFormat="1" x14ac:dyDescent="0.25"/>
    <row r="64515" customFormat="1" x14ac:dyDescent="0.25"/>
    <row r="64516" customFormat="1" x14ac:dyDescent="0.25"/>
    <row r="64517" customFormat="1" x14ac:dyDescent="0.25"/>
    <row r="64518" customFormat="1" x14ac:dyDescent="0.25"/>
    <row r="64519" customFormat="1" x14ac:dyDescent="0.25"/>
    <row r="64520" customFormat="1" x14ac:dyDescent="0.25"/>
    <row r="64521" customFormat="1" x14ac:dyDescent="0.25"/>
    <row r="64522" customFormat="1" x14ac:dyDescent="0.25"/>
    <row r="64523" customFormat="1" x14ac:dyDescent="0.25"/>
    <row r="64524" customFormat="1" x14ac:dyDescent="0.25"/>
    <row r="64525" customFormat="1" x14ac:dyDescent="0.25"/>
    <row r="64526" customFormat="1" x14ac:dyDescent="0.25"/>
    <row r="64527" customFormat="1" x14ac:dyDescent="0.25"/>
    <row r="64528" customFormat="1" x14ac:dyDescent="0.25"/>
    <row r="64529" customFormat="1" x14ac:dyDescent="0.25"/>
    <row r="64530" customFormat="1" x14ac:dyDescent="0.25"/>
    <row r="64531" customFormat="1" x14ac:dyDescent="0.25"/>
    <row r="64532" customFormat="1" x14ac:dyDescent="0.25"/>
    <row r="64533" customFormat="1" x14ac:dyDescent="0.25"/>
    <row r="64534" customFormat="1" x14ac:dyDescent="0.25"/>
    <row r="64535" customFormat="1" x14ac:dyDescent="0.25"/>
    <row r="64536" customFormat="1" x14ac:dyDescent="0.25"/>
    <row r="64537" customFormat="1" x14ac:dyDescent="0.25"/>
    <row r="64538" customFormat="1" x14ac:dyDescent="0.25"/>
    <row r="64539" customFormat="1" x14ac:dyDescent="0.25"/>
    <row r="64540" customFormat="1" x14ac:dyDescent="0.25"/>
    <row r="64541" customFormat="1" x14ac:dyDescent="0.25"/>
    <row r="64542" customFormat="1" x14ac:dyDescent="0.25"/>
    <row r="64543" customFormat="1" x14ac:dyDescent="0.25"/>
    <row r="64544" customFormat="1" x14ac:dyDescent="0.25"/>
    <row r="64545" customFormat="1" x14ac:dyDescent="0.25"/>
    <row r="64546" customFormat="1" x14ac:dyDescent="0.25"/>
    <row r="64547" customFormat="1" x14ac:dyDescent="0.25"/>
    <row r="64548" customFormat="1" x14ac:dyDescent="0.25"/>
    <row r="64549" customFormat="1" x14ac:dyDescent="0.25"/>
    <row r="64550" customFormat="1" x14ac:dyDescent="0.25"/>
    <row r="64551" customFormat="1" x14ac:dyDescent="0.25"/>
    <row r="64552" customFormat="1" x14ac:dyDescent="0.25"/>
    <row r="64553" customFormat="1" x14ac:dyDescent="0.25"/>
    <row r="64554" customFormat="1" x14ac:dyDescent="0.25"/>
    <row r="64555" customFormat="1" x14ac:dyDescent="0.25"/>
    <row r="64556" customFormat="1" x14ac:dyDescent="0.25"/>
    <row r="64557" customFormat="1" x14ac:dyDescent="0.25"/>
    <row r="64558" customFormat="1" x14ac:dyDescent="0.25"/>
    <row r="64559" customFormat="1" x14ac:dyDescent="0.25"/>
    <row r="64560" customFormat="1" x14ac:dyDescent="0.25"/>
    <row r="64561" customFormat="1" x14ac:dyDescent="0.25"/>
    <row r="64562" customFormat="1" x14ac:dyDescent="0.25"/>
    <row r="64563" customFormat="1" x14ac:dyDescent="0.25"/>
    <row r="64564" customFormat="1" x14ac:dyDescent="0.25"/>
    <row r="64565" customFormat="1" x14ac:dyDescent="0.25"/>
    <row r="64566" customFormat="1" x14ac:dyDescent="0.25"/>
    <row r="64567" customFormat="1" x14ac:dyDescent="0.25"/>
    <row r="64568" customFormat="1" x14ac:dyDescent="0.25"/>
    <row r="64569" customFormat="1" x14ac:dyDescent="0.25"/>
    <row r="64570" customFormat="1" x14ac:dyDescent="0.25"/>
    <row r="64571" customFormat="1" x14ac:dyDescent="0.25"/>
    <row r="64572" customFormat="1" x14ac:dyDescent="0.25"/>
    <row r="64573" customFormat="1" x14ac:dyDescent="0.25"/>
    <row r="64574" customFormat="1" x14ac:dyDescent="0.25"/>
    <row r="64575" customFormat="1" x14ac:dyDescent="0.25"/>
    <row r="64576" customFormat="1" x14ac:dyDescent="0.25"/>
    <row r="64577" customFormat="1" x14ac:dyDescent="0.25"/>
    <row r="64578" customFormat="1" x14ac:dyDescent="0.25"/>
    <row r="64579" customFormat="1" x14ac:dyDescent="0.25"/>
    <row r="64580" customFormat="1" x14ac:dyDescent="0.25"/>
    <row r="64581" customFormat="1" x14ac:dyDescent="0.25"/>
    <row r="64582" customFormat="1" x14ac:dyDescent="0.25"/>
    <row r="64583" customFormat="1" x14ac:dyDescent="0.25"/>
    <row r="64584" customFormat="1" x14ac:dyDescent="0.25"/>
    <row r="64585" customFormat="1" x14ac:dyDescent="0.25"/>
    <row r="64586" customFormat="1" x14ac:dyDescent="0.25"/>
    <row r="64587" customFormat="1" x14ac:dyDescent="0.25"/>
    <row r="64588" customFormat="1" x14ac:dyDescent="0.25"/>
    <row r="64589" customFormat="1" x14ac:dyDescent="0.25"/>
    <row r="64590" customFormat="1" x14ac:dyDescent="0.25"/>
    <row r="64591" customFormat="1" x14ac:dyDescent="0.25"/>
    <row r="64592" customFormat="1" x14ac:dyDescent="0.25"/>
    <row r="64593" customFormat="1" x14ac:dyDescent="0.25"/>
    <row r="64594" customFormat="1" x14ac:dyDescent="0.25"/>
    <row r="64595" customFormat="1" x14ac:dyDescent="0.25"/>
    <row r="64596" customFormat="1" x14ac:dyDescent="0.25"/>
    <row r="64597" customFormat="1" x14ac:dyDescent="0.25"/>
    <row r="64598" customFormat="1" x14ac:dyDescent="0.25"/>
    <row r="64599" customFormat="1" x14ac:dyDescent="0.25"/>
    <row r="64600" customFormat="1" x14ac:dyDescent="0.25"/>
    <row r="64601" customFormat="1" x14ac:dyDescent="0.25"/>
    <row r="64602" customFormat="1" x14ac:dyDescent="0.25"/>
    <row r="64603" customFormat="1" x14ac:dyDescent="0.25"/>
    <row r="64604" customFormat="1" x14ac:dyDescent="0.25"/>
    <row r="64605" customFormat="1" x14ac:dyDescent="0.25"/>
    <row r="64606" customFormat="1" x14ac:dyDescent="0.25"/>
    <row r="64607" customFormat="1" x14ac:dyDescent="0.25"/>
    <row r="64608" customFormat="1" x14ac:dyDescent="0.25"/>
    <row r="64609" customFormat="1" x14ac:dyDescent="0.25"/>
    <row r="64610" customFormat="1" x14ac:dyDescent="0.25"/>
    <row r="64611" customFormat="1" x14ac:dyDescent="0.25"/>
    <row r="64612" customFormat="1" x14ac:dyDescent="0.25"/>
    <row r="64613" customFormat="1" x14ac:dyDescent="0.25"/>
    <row r="64614" customFormat="1" x14ac:dyDescent="0.25"/>
    <row r="64615" customFormat="1" x14ac:dyDescent="0.25"/>
    <row r="64616" customFormat="1" x14ac:dyDescent="0.25"/>
    <row r="64617" customFormat="1" x14ac:dyDescent="0.25"/>
    <row r="64618" customFormat="1" x14ac:dyDescent="0.25"/>
    <row r="64619" customFormat="1" x14ac:dyDescent="0.25"/>
    <row r="64620" customFormat="1" x14ac:dyDescent="0.25"/>
    <row r="64621" customFormat="1" x14ac:dyDescent="0.25"/>
    <row r="64622" customFormat="1" x14ac:dyDescent="0.25"/>
    <row r="64623" customFormat="1" x14ac:dyDescent="0.25"/>
    <row r="64624" customFormat="1" x14ac:dyDescent="0.25"/>
    <row r="64625" customFormat="1" x14ac:dyDescent="0.25"/>
    <row r="64626" customFormat="1" x14ac:dyDescent="0.25"/>
    <row r="64627" customFormat="1" x14ac:dyDescent="0.25"/>
    <row r="64628" customFormat="1" x14ac:dyDescent="0.25"/>
    <row r="64629" customFormat="1" x14ac:dyDescent="0.25"/>
    <row r="64630" customFormat="1" x14ac:dyDescent="0.25"/>
    <row r="64631" customFormat="1" x14ac:dyDescent="0.25"/>
    <row r="64632" customFormat="1" x14ac:dyDescent="0.25"/>
    <row r="64633" customFormat="1" x14ac:dyDescent="0.25"/>
    <row r="64634" customFormat="1" x14ac:dyDescent="0.25"/>
    <row r="64635" customFormat="1" x14ac:dyDescent="0.25"/>
    <row r="64636" customFormat="1" x14ac:dyDescent="0.25"/>
    <row r="64637" customFormat="1" x14ac:dyDescent="0.25"/>
    <row r="64638" customFormat="1" x14ac:dyDescent="0.25"/>
    <row r="64639" customFormat="1" x14ac:dyDescent="0.25"/>
    <row r="64640" customFormat="1" x14ac:dyDescent="0.25"/>
    <row r="64641" customFormat="1" x14ac:dyDescent="0.25"/>
    <row r="64642" customFormat="1" x14ac:dyDescent="0.25"/>
    <row r="64643" customFormat="1" x14ac:dyDescent="0.25"/>
    <row r="64644" customFormat="1" x14ac:dyDescent="0.25"/>
    <row r="64645" customFormat="1" x14ac:dyDescent="0.25"/>
    <row r="64646" customFormat="1" x14ac:dyDescent="0.25"/>
    <row r="64647" customFormat="1" x14ac:dyDescent="0.25"/>
    <row r="64648" customFormat="1" x14ac:dyDescent="0.25"/>
    <row r="64649" customFormat="1" x14ac:dyDescent="0.25"/>
    <row r="64650" customFormat="1" x14ac:dyDescent="0.25"/>
    <row r="64651" customFormat="1" x14ac:dyDescent="0.25"/>
    <row r="64652" customFormat="1" x14ac:dyDescent="0.25"/>
    <row r="64653" customFormat="1" x14ac:dyDescent="0.25"/>
    <row r="64654" customFormat="1" x14ac:dyDescent="0.25"/>
    <row r="64655" customFormat="1" x14ac:dyDescent="0.25"/>
    <row r="64656" customFormat="1" x14ac:dyDescent="0.25"/>
    <row r="64657" customFormat="1" x14ac:dyDescent="0.25"/>
    <row r="64658" customFormat="1" x14ac:dyDescent="0.25"/>
    <row r="64659" customFormat="1" x14ac:dyDescent="0.25"/>
    <row r="64660" customFormat="1" x14ac:dyDescent="0.25"/>
    <row r="64661" customFormat="1" x14ac:dyDescent="0.25"/>
    <row r="64662" customFormat="1" x14ac:dyDescent="0.25"/>
    <row r="64663" customFormat="1" x14ac:dyDescent="0.25"/>
    <row r="64664" customFormat="1" x14ac:dyDescent="0.25"/>
    <row r="64665" customFormat="1" x14ac:dyDescent="0.25"/>
    <row r="64666" customFormat="1" x14ac:dyDescent="0.25"/>
    <row r="64667" customFormat="1" x14ac:dyDescent="0.25"/>
    <row r="64668" customFormat="1" x14ac:dyDescent="0.25"/>
    <row r="64669" customFormat="1" x14ac:dyDescent="0.25"/>
    <row r="64670" customFormat="1" x14ac:dyDescent="0.25"/>
    <row r="64671" customFormat="1" x14ac:dyDescent="0.25"/>
    <row r="64672" customFormat="1" x14ac:dyDescent="0.25"/>
    <row r="64673" customFormat="1" x14ac:dyDescent="0.25"/>
    <row r="64674" customFormat="1" x14ac:dyDescent="0.25"/>
    <row r="64675" customFormat="1" x14ac:dyDescent="0.25"/>
    <row r="64676" customFormat="1" x14ac:dyDescent="0.25"/>
    <row r="64677" customFormat="1" x14ac:dyDescent="0.25"/>
    <row r="64678" customFormat="1" x14ac:dyDescent="0.25"/>
    <row r="64679" customFormat="1" x14ac:dyDescent="0.25"/>
    <row r="64680" customFormat="1" x14ac:dyDescent="0.25"/>
    <row r="64681" customFormat="1" x14ac:dyDescent="0.25"/>
    <row r="64682" customFormat="1" x14ac:dyDescent="0.25"/>
    <row r="64683" customFormat="1" x14ac:dyDescent="0.25"/>
    <row r="64684" customFormat="1" x14ac:dyDescent="0.25"/>
    <row r="64685" customFormat="1" x14ac:dyDescent="0.25"/>
    <row r="64686" customFormat="1" x14ac:dyDescent="0.25"/>
    <row r="64687" customFormat="1" x14ac:dyDescent="0.25"/>
    <row r="64688" customFormat="1" x14ac:dyDescent="0.25"/>
    <row r="64689" customFormat="1" x14ac:dyDescent="0.25"/>
    <row r="64690" customFormat="1" x14ac:dyDescent="0.25"/>
    <row r="64691" customFormat="1" x14ac:dyDescent="0.25"/>
    <row r="64692" customFormat="1" x14ac:dyDescent="0.25"/>
    <row r="64693" customFormat="1" x14ac:dyDescent="0.25"/>
    <row r="64694" customFormat="1" x14ac:dyDescent="0.25"/>
    <row r="64695" customFormat="1" x14ac:dyDescent="0.25"/>
    <row r="64696" customFormat="1" x14ac:dyDescent="0.25"/>
    <row r="64697" customFormat="1" x14ac:dyDescent="0.25"/>
    <row r="64698" customFormat="1" x14ac:dyDescent="0.25"/>
    <row r="64699" customFormat="1" x14ac:dyDescent="0.25"/>
    <row r="64700" customFormat="1" x14ac:dyDescent="0.25"/>
    <row r="64701" customFormat="1" x14ac:dyDescent="0.25"/>
    <row r="64702" customFormat="1" x14ac:dyDescent="0.25"/>
    <row r="64703" customFormat="1" x14ac:dyDescent="0.25"/>
    <row r="64704" customFormat="1" x14ac:dyDescent="0.25"/>
    <row r="64705" customFormat="1" x14ac:dyDescent="0.25"/>
    <row r="64706" customFormat="1" x14ac:dyDescent="0.25"/>
    <row r="64707" customFormat="1" x14ac:dyDescent="0.25"/>
    <row r="64708" customFormat="1" x14ac:dyDescent="0.25"/>
    <row r="64709" customFormat="1" x14ac:dyDescent="0.25"/>
    <row r="64710" customFormat="1" x14ac:dyDescent="0.25"/>
    <row r="64711" customFormat="1" x14ac:dyDescent="0.25"/>
    <row r="64712" customFormat="1" x14ac:dyDescent="0.25"/>
    <row r="64713" customFormat="1" x14ac:dyDescent="0.25"/>
    <row r="64714" customFormat="1" x14ac:dyDescent="0.25"/>
    <row r="64715" customFormat="1" x14ac:dyDescent="0.25"/>
    <row r="64716" customFormat="1" x14ac:dyDescent="0.25"/>
    <row r="64717" customFormat="1" x14ac:dyDescent="0.25"/>
    <row r="64718" customFormat="1" x14ac:dyDescent="0.25"/>
    <row r="64719" customFormat="1" x14ac:dyDescent="0.25"/>
    <row r="64720" customFormat="1" x14ac:dyDescent="0.25"/>
    <row r="64721" customFormat="1" x14ac:dyDescent="0.25"/>
    <row r="64722" customFormat="1" x14ac:dyDescent="0.25"/>
    <row r="64723" customFormat="1" x14ac:dyDescent="0.25"/>
    <row r="64724" customFormat="1" x14ac:dyDescent="0.25"/>
    <row r="64725" customFormat="1" x14ac:dyDescent="0.25"/>
    <row r="64726" customFormat="1" x14ac:dyDescent="0.25"/>
    <row r="64727" customFormat="1" x14ac:dyDescent="0.25"/>
    <row r="64728" customFormat="1" x14ac:dyDescent="0.25"/>
    <row r="64729" customFormat="1" x14ac:dyDescent="0.25"/>
    <row r="64730" customFormat="1" x14ac:dyDescent="0.25"/>
    <row r="64731" customFormat="1" x14ac:dyDescent="0.25"/>
    <row r="64732" customFormat="1" x14ac:dyDescent="0.25"/>
    <row r="64733" customFormat="1" x14ac:dyDescent="0.25"/>
    <row r="64734" customFormat="1" x14ac:dyDescent="0.25"/>
    <row r="64735" customFormat="1" x14ac:dyDescent="0.25"/>
    <row r="64736" customFormat="1" x14ac:dyDescent="0.25"/>
    <row r="64737" customFormat="1" x14ac:dyDescent="0.25"/>
    <row r="64738" customFormat="1" x14ac:dyDescent="0.25"/>
    <row r="64739" customFormat="1" x14ac:dyDescent="0.25"/>
    <row r="64740" customFormat="1" x14ac:dyDescent="0.25"/>
    <row r="64741" customFormat="1" x14ac:dyDescent="0.25"/>
    <row r="64742" customFormat="1" x14ac:dyDescent="0.25"/>
    <row r="64743" customFormat="1" x14ac:dyDescent="0.25"/>
    <row r="64744" customFormat="1" x14ac:dyDescent="0.25"/>
    <row r="64745" customFormat="1" x14ac:dyDescent="0.25"/>
    <row r="64746" customFormat="1" x14ac:dyDescent="0.25"/>
    <row r="64747" customFormat="1" x14ac:dyDescent="0.25"/>
    <row r="64748" customFormat="1" x14ac:dyDescent="0.25"/>
    <row r="64749" customFormat="1" x14ac:dyDescent="0.25"/>
    <row r="64750" customFormat="1" x14ac:dyDescent="0.25"/>
    <row r="64751" customFormat="1" x14ac:dyDescent="0.25"/>
    <row r="64752" customFormat="1" x14ac:dyDescent="0.25"/>
    <row r="64753" customFormat="1" x14ac:dyDescent="0.25"/>
    <row r="64754" customFormat="1" x14ac:dyDescent="0.25"/>
    <row r="64755" customFormat="1" x14ac:dyDescent="0.25"/>
    <row r="64756" customFormat="1" x14ac:dyDescent="0.25"/>
    <row r="64757" customFormat="1" x14ac:dyDescent="0.25"/>
    <row r="64758" customFormat="1" x14ac:dyDescent="0.25"/>
    <row r="64759" customFormat="1" x14ac:dyDescent="0.25"/>
    <row r="64760" customFormat="1" x14ac:dyDescent="0.25"/>
    <row r="64761" customFormat="1" x14ac:dyDescent="0.25"/>
    <row r="64762" customFormat="1" x14ac:dyDescent="0.25"/>
    <row r="64763" customFormat="1" x14ac:dyDescent="0.25"/>
    <row r="64764" customFormat="1" x14ac:dyDescent="0.25"/>
    <row r="64765" customFormat="1" x14ac:dyDescent="0.25"/>
    <row r="64766" customFormat="1" x14ac:dyDescent="0.25"/>
    <row r="64767" customFormat="1" x14ac:dyDescent="0.25"/>
    <row r="64768" customFormat="1" x14ac:dyDescent="0.25"/>
    <row r="64769" customFormat="1" x14ac:dyDescent="0.25"/>
    <row r="64770" customFormat="1" x14ac:dyDescent="0.25"/>
    <row r="64771" customFormat="1" x14ac:dyDescent="0.25"/>
    <row r="64772" customFormat="1" x14ac:dyDescent="0.25"/>
    <row r="64773" customFormat="1" x14ac:dyDescent="0.25"/>
    <row r="64774" customFormat="1" x14ac:dyDescent="0.25"/>
    <row r="64775" customFormat="1" x14ac:dyDescent="0.25"/>
    <row r="64776" customFormat="1" x14ac:dyDescent="0.25"/>
    <row r="64777" customFormat="1" x14ac:dyDescent="0.25"/>
    <row r="64778" customFormat="1" x14ac:dyDescent="0.25"/>
    <row r="64779" customFormat="1" x14ac:dyDescent="0.25"/>
    <row r="64780" customFormat="1" x14ac:dyDescent="0.25"/>
    <row r="64781" customFormat="1" x14ac:dyDescent="0.25"/>
    <row r="64782" customFormat="1" x14ac:dyDescent="0.25"/>
    <row r="64783" customFormat="1" x14ac:dyDescent="0.25"/>
    <row r="64784" customFormat="1" x14ac:dyDescent="0.25"/>
    <row r="64785" customFormat="1" x14ac:dyDescent="0.25"/>
    <row r="64786" customFormat="1" x14ac:dyDescent="0.25"/>
    <row r="64787" customFormat="1" x14ac:dyDescent="0.25"/>
    <row r="64788" customFormat="1" x14ac:dyDescent="0.25"/>
    <row r="64789" customFormat="1" x14ac:dyDescent="0.25"/>
    <row r="64790" customFormat="1" x14ac:dyDescent="0.25"/>
    <row r="64791" customFormat="1" x14ac:dyDescent="0.25"/>
    <row r="64792" customFormat="1" x14ac:dyDescent="0.25"/>
    <row r="64793" customFormat="1" x14ac:dyDescent="0.25"/>
    <row r="64794" customFormat="1" x14ac:dyDescent="0.25"/>
    <row r="64795" customFormat="1" x14ac:dyDescent="0.25"/>
    <row r="64796" customFormat="1" x14ac:dyDescent="0.25"/>
    <row r="64797" customFormat="1" x14ac:dyDescent="0.25"/>
    <row r="64798" customFormat="1" x14ac:dyDescent="0.25"/>
    <row r="64799" customFormat="1" x14ac:dyDescent="0.25"/>
    <row r="64800" customFormat="1" x14ac:dyDescent="0.25"/>
    <row r="64801" customFormat="1" x14ac:dyDescent="0.25"/>
    <row r="64802" customFormat="1" x14ac:dyDescent="0.25"/>
    <row r="64803" customFormat="1" x14ac:dyDescent="0.25"/>
    <row r="64804" customFormat="1" x14ac:dyDescent="0.25"/>
    <row r="64805" customFormat="1" x14ac:dyDescent="0.25"/>
    <row r="64806" customFormat="1" x14ac:dyDescent="0.25"/>
    <row r="64807" customFormat="1" x14ac:dyDescent="0.25"/>
    <row r="64808" customFormat="1" x14ac:dyDescent="0.25"/>
    <row r="64809" customFormat="1" x14ac:dyDescent="0.25"/>
    <row r="64810" customFormat="1" x14ac:dyDescent="0.25"/>
    <row r="64811" customFormat="1" x14ac:dyDescent="0.25"/>
    <row r="64812" customFormat="1" x14ac:dyDescent="0.25"/>
    <row r="64813" customFormat="1" x14ac:dyDescent="0.25"/>
    <row r="64814" customFormat="1" x14ac:dyDescent="0.25"/>
    <row r="64815" customFormat="1" x14ac:dyDescent="0.25"/>
    <row r="64816" customFormat="1" x14ac:dyDescent="0.25"/>
    <row r="64817" customFormat="1" x14ac:dyDescent="0.25"/>
    <row r="64818" customFormat="1" x14ac:dyDescent="0.25"/>
    <row r="64819" customFormat="1" x14ac:dyDescent="0.25"/>
    <row r="64820" customFormat="1" x14ac:dyDescent="0.25"/>
    <row r="64821" customFormat="1" x14ac:dyDescent="0.25"/>
    <row r="64822" customFormat="1" x14ac:dyDescent="0.25"/>
    <row r="64823" customFormat="1" x14ac:dyDescent="0.25"/>
    <row r="64824" customFormat="1" x14ac:dyDescent="0.25"/>
    <row r="64825" customFormat="1" x14ac:dyDescent="0.25"/>
    <row r="64826" customFormat="1" x14ac:dyDescent="0.25"/>
    <row r="64827" customFormat="1" x14ac:dyDescent="0.25"/>
    <row r="64828" customFormat="1" x14ac:dyDescent="0.25"/>
    <row r="64829" customFormat="1" x14ac:dyDescent="0.25"/>
    <row r="64830" customFormat="1" x14ac:dyDescent="0.25"/>
    <row r="64831" customFormat="1" x14ac:dyDescent="0.25"/>
    <row r="64832" customFormat="1" x14ac:dyDescent="0.25"/>
    <row r="64833" customFormat="1" x14ac:dyDescent="0.25"/>
    <row r="64834" customFormat="1" x14ac:dyDescent="0.25"/>
    <row r="64835" customFormat="1" x14ac:dyDescent="0.25"/>
    <row r="64836" customFormat="1" x14ac:dyDescent="0.25"/>
    <row r="64837" customFormat="1" x14ac:dyDescent="0.25"/>
    <row r="64838" customFormat="1" x14ac:dyDescent="0.25"/>
    <row r="64839" customFormat="1" x14ac:dyDescent="0.25"/>
    <row r="64840" customFormat="1" x14ac:dyDescent="0.25"/>
    <row r="64841" customFormat="1" x14ac:dyDescent="0.25"/>
    <row r="64842" customFormat="1" x14ac:dyDescent="0.25"/>
    <row r="64843" customFormat="1" x14ac:dyDescent="0.25"/>
    <row r="64844" customFormat="1" x14ac:dyDescent="0.25"/>
    <row r="64845" customFormat="1" x14ac:dyDescent="0.25"/>
    <row r="64846" customFormat="1" x14ac:dyDescent="0.25"/>
    <row r="64847" customFormat="1" x14ac:dyDescent="0.25"/>
    <row r="64848" customFormat="1" x14ac:dyDescent="0.25"/>
    <row r="64849" customFormat="1" x14ac:dyDescent="0.25"/>
    <row r="64850" customFormat="1" x14ac:dyDescent="0.25"/>
    <row r="64851" customFormat="1" x14ac:dyDescent="0.25"/>
    <row r="64852" customFormat="1" x14ac:dyDescent="0.25"/>
    <row r="64853" customFormat="1" x14ac:dyDescent="0.25"/>
    <row r="64854" customFormat="1" x14ac:dyDescent="0.25"/>
    <row r="64855" customFormat="1" x14ac:dyDescent="0.25"/>
    <row r="64856" customFormat="1" x14ac:dyDescent="0.25"/>
    <row r="64857" customFormat="1" x14ac:dyDescent="0.25"/>
    <row r="64858" customFormat="1" x14ac:dyDescent="0.25"/>
    <row r="64859" customFormat="1" x14ac:dyDescent="0.25"/>
    <row r="64860" customFormat="1" x14ac:dyDescent="0.25"/>
    <row r="64861" customFormat="1" x14ac:dyDescent="0.25"/>
    <row r="64862" customFormat="1" x14ac:dyDescent="0.25"/>
    <row r="64863" customFormat="1" x14ac:dyDescent="0.25"/>
    <row r="64864" customFormat="1" x14ac:dyDescent="0.25"/>
    <row r="64865" customFormat="1" x14ac:dyDescent="0.25"/>
    <row r="64866" customFormat="1" x14ac:dyDescent="0.25"/>
    <row r="64867" customFormat="1" x14ac:dyDescent="0.25"/>
    <row r="64868" customFormat="1" x14ac:dyDescent="0.25"/>
    <row r="64869" customFormat="1" x14ac:dyDescent="0.25"/>
    <row r="64870" customFormat="1" x14ac:dyDescent="0.25"/>
    <row r="64871" customFormat="1" x14ac:dyDescent="0.25"/>
    <row r="64872" customFormat="1" x14ac:dyDescent="0.25"/>
    <row r="64873" customFormat="1" x14ac:dyDescent="0.25"/>
    <row r="64874" customFormat="1" x14ac:dyDescent="0.25"/>
    <row r="64875" customFormat="1" x14ac:dyDescent="0.25"/>
    <row r="64876" customFormat="1" x14ac:dyDescent="0.25"/>
    <row r="64877" customFormat="1" x14ac:dyDescent="0.25"/>
    <row r="64878" customFormat="1" x14ac:dyDescent="0.25"/>
    <row r="64879" customFormat="1" x14ac:dyDescent="0.25"/>
    <row r="64880" customFormat="1" x14ac:dyDescent="0.25"/>
    <row r="64881" customFormat="1" x14ac:dyDescent="0.25"/>
    <row r="64882" customFormat="1" x14ac:dyDescent="0.25"/>
    <row r="64883" customFormat="1" x14ac:dyDescent="0.25"/>
    <row r="64884" customFormat="1" x14ac:dyDescent="0.25"/>
    <row r="64885" customFormat="1" x14ac:dyDescent="0.25"/>
    <row r="64886" customFormat="1" x14ac:dyDescent="0.25"/>
    <row r="64887" customFormat="1" x14ac:dyDescent="0.25"/>
    <row r="64888" customFormat="1" x14ac:dyDescent="0.25"/>
    <row r="64889" customFormat="1" x14ac:dyDescent="0.25"/>
    <row r="64890" customFormat="1" x14ac:dyDescent="0.25"/>
    <row r="64891" customFormat="1" x14ac:dyDescent="0.25"/>
    <row r="64892" customFormat="1" x14ac:dyDescent="0.25"/>
    <row r="64893" customFormat="1" x14ac:dyDescent="0.25"/>
    <row r="64894" customFormat="1" x14ac:dyDescent="0.25"/>
    <row r="64895" customFormat="1" x14ac:dyDescent="0.25"/>
    <row r="64896" customFormat="1" x14ac:dyDescent="0.25"/>
    <row r="64897" customFormat="1" x14ac:dyDescent="0.25"/>
    <row r="64898" customFormat="1" x14ac:dyDescent="0.25"/>
    <row r="64899" customFormat="1" x14ac:dyDescent="0.25"/>
    <row r="64900" customFormat="1" x14ac:dyDescent="0.25"/>
    <row r="64901" customFormat="1" x14ac:dyDescent="0.25"/>
    <row r="64902" customFormat="1" x14ac:dyDescent="0.25"/>
    <row r="64903" customFormat="1" x14ac:dyDescent="0.25"/>
    <row r="64904" customFormat="1" x14ac:dyDescent="0.25"/>
    <row r="64905" customFormat="1" x14ac:dyDescent="0.25"/>
    <row r="64906" customFormat="1" x14ac:dyDescent="0.25"/>
    <row r="64907" customFormat="1" x14ac:dyDescent="0.25"/>
    <row r="64908" customFormat="1" x14ac:dyDescent="0.25"/>
    <row r="64909" customFormat="1" x14ac:dyDescent="0.25"/>
    <row r="64910" customFormat="1" x14ac:dyDescent="0.25"/>
    <row r="64911" customFormat="1" x14ac:dyDescent="0.25"/>
    <row r="64912" customFormat="1" x14ac:dyDescent="0.25"/>
    <row r="64913" customFormat="1" x14ac:dyDescent="0.25"/>
    <row r="64914" customFormat="1" x14ac:dyDescent="0.25"/>
    <row r="64915" customFormat="1" x14ac:dyDescent="0.25"/>
    <row r="64916" customFormat="1" x14ac:dyDescent="0.25"/>
    <row r="64917" customFormat="1" x14ac:dyDescent="0.25"/>
    <row r="64918" customFormat="1" x14ac:dyDescent="0.25"/>
    <row r="64919" customFormat="1" x14ac:dyDescent="0.25"/>
    <row r="64920" customFormat="1" x14ac:dyDescent="0.25"/>
    <row r="64921" customFormat="1" x14ac:dyDescent="0.25"/>
    <row r="64922" customFormat="1" x14ac:dyDescent="0.25"/>
    <row r="64923" customFormat="1" x14ac:dyDescent="0.25"/>
    <row r="64924" customFormat="1" x14ac:dyDescent="0.25"/>
    <row r="64925" customFormat="1" x14ac:dyDescent="0.25"/>
    <row r="64926" customFormat="1" x14ac:dyDescent="0.25"/>
    <row r="64927" customFormat="1" x14ac:dyDescent="0.25"/>
    <row r="64928" customFormat="1" x14ac:dyDescent="0.25"/>
    <row r="64929" customFormat="1" x14ac:dyDescent="0.25"/>
    <row r="64930" customFormat="1" x14ac:dyDescent="0.25"/>
    <row r="64931" customFormat="1" x14ac:dyDescent="0.25"/>
    <row r="64932" customFormat="1" x14ac:dyDescent="0.25"/>
    <row r="64933" customFormat="1" x14ac:dyDescent="0.25"/>
    <row r="64934" customFormat="1" x14ac:dyDescent="0.25"/>
    <row r="64935" customFormat="1" x14ac:dyDescent="0.25"/>
    <row r="64936" customFormat="1" x14ac:dyDescent="0.25"/>
    <row r="64937" customFormat="1" x14ac:dyDescent="0.25"/>
    <row r="64938" customFormat="1" x14ac:dyDescent="0.25"/>
    <row r="64939" customFormat="1" x14ac:dyDescent="0.25"/>
    <row r="64940" customFormat="1" x14ac:dyDescent="0.25"/>
    <row r="64941" customFormat="1" x14ac:dyDescent="0.25"/>
    <row r="64942" customFormat="1" x14ac:dyDescent="0.25"/>
    <row r="64943" customFormat="1" x14ac:dyDescent="0.25"/>
    <row r="64944" customFormat="1" x14ac:dyDescent="0.25"/>
    <row r="64945" customFormat="1" x14ac:dyDescent="0.25"/>
    <row r="64946" customFormat="1" x14ac:dyDescent="0.25"/>
    <row r="64947" customFormat="1" x14ac:dyDescent="0.25"/>
    <row r="64948" customFormat="1" x14ac:dyDescent="0.25"/>
    <row r="64949" customFormat="1" x14ac:dyDescent="0.25"/>
    <row r="64950" customFormat="1" x14ac:dyDescent="0.25"/>
    <row r="64951" customFormat="1" x14ac:dyDescent="0.25"/>
    <row r="64952" customFormat="1" x14ac:dyDescent="0.25"/>
    <row r="64953" customFormat="1" x14ac:dyDescent="0.25"/>
    <row r="64954" customFormat="1" x14ac:dyDescent="0.25"/>
    <row r="64955" customFormat="1" x14ac:dyDescent="0.25"/>
    <row r="64956" customFormat="1" x14ac:dyDescent="0.25"/>
    <row r="64957" customFormat="1" x14ac:dyDescent="0.25"/>
    <row r="64958" customFormat="1" x14ac:dyDescent="0.25"/>
    <row r="64959" customFormat="1" x14ac:dyDescent="0.25"/>
    <row r="64960" customFormat="1" x14ac:dyDescent="0.25"/>
    <row r="64961" customFormat="1" x14ac:dyDescent="0.25"/>
    <row r="64962" customFormat="1" x14ac:dyDescent="0.25"/>
    <row r="64963" customFormat="1" x14ac:dyDescent="0.25"/>
    <row r="64964" customFormat="1" x14ac:dyDescent="0.25"/>
    <row r="64965" customFormat="1" x14ac:dyDescent="0.25"/>
    <row r="64966" customFormat="1" x14ac:dyDescent="0.25"/>
    <row r="64967" customFormat="1" x14ac:dyDescent="0.25"/>
    <row r="64968" customFormat="1" x14ac:dyDescent="0.25"/>
    <row r="64969" customFormat="1" x14ac:dyDescent="0.25"/>
    <row r="64970" customFormat="1" x14ac:dyDescent="0.25"/>
    <row r="64971" customFormat="1" x14ac:dyDescent="0.25"/>
    <row r="64972" customFormat="1" x14ac:dyDescent="0.25"/>
    <row r="64973" customFormat="1" x14ac:dyDescent="0.25"/>
    <row r="64974" customFormat="1" x14ac:dyDescent="0.25"/>
    <row r="64975" customFormat="1" x14ac:dyDescent="0.25"/>
    <row r="64976" customFormat="1" x14ac:dyDescent="0.25"/>
    <row r="64977" customFormat="1" x14ac:dyDescent="0.25"/>
    <row r="64978" customFormat="1" x14ac:dyDescent="0.25"/>
    <row r="64979" customFormat="1" x14ac:dyDescent="0.25"/>
    <row r="64980" customFormat="1" x14ac:dyDescent="0.25"/>
    <row r="64981" customFormat="1" x14ac:dyDescent="0.25"/>
    <row r="64982" customFormat="1" x14ac:dyDescent="0.25"/>
    <row r="64983" customFormat="1" x14ac:dyDescent="0.25"/>
    <row r="64984" customFormat="1" x14ac:dyDescent="0.25"/>
    <row r="64985" customFormat="1" x14ac:dyDescent="0.25"/>
    <row r="64986" customFormat="1" x14ac:dyDescent="0.25"/>
    <row r="64987" customFormat="1" x14ac:dyDescent="0.25"/>
    <row r="64988" customFormat="1" x14ac:dyDescent="0.25"/>
    <row r="64989" customFormat="1" x14ac:dyDescent="0.25"/>
    <row r="64990" customFormat="1" x14ac:dyDescent="0.25"/>
    <row r="64991" customFormat="1" x14ac:dyDescent="0.25"/>
    <row r="64992" customFormat="1" x14ac:dyDescent="0.25"/>
    <row r="64993" customFormat="1" x14ac:dyDescent="0.25"/>
    <row r="64994" customFormat="1" x14ac:dyDescent="0.25"/>
    <row r="64995" customFormat="1" x14ac:dyDescent="0.25"/>
    <row r="64996" customFormat="1" x14ac:dyDescent="0.25"/>
    <row r="64997" customFormat="1" x14ac:dyDescent="0.25"/>
    <row r="64998" customFormat="1" x14ac:dyDescent="0.25"/>
    <row r="64999" customFormat="1" x14ac:dyDescent="0.25"/>
    <row r="65000" customFormat="1" x14ac:dyDescent="0.25"/>
    <row r="65001" customFormat="1" x14ac:dyDescent="0.25"/>
    <row r="65002" customFormat="1" x14ac:dyDescent="0.25"/>
    <row r="65003" customFormat="1" x14ac:dyDescent="0.25"/>
    <row r="65004" customFormat="1" x14ac:dyDescent="0.25"/>
    <row r="65005" customFormat="1" x14ac:dyDescent="0.25"/>
    <row r="65006" customFormat="1" x14ac:dyDescent="0.25"/>
    <row r="65007" customFormat="1" x14ac:dyDescent="0.25"/>
    <row r="65008" customFormat="1" x14ac:dyDescent="0.25"/>
    <row r="65009" customFormat="1" x14ac:dyDescent="0.25"/>
    <row r="65010" customFormat="1" x14ac:dyDescent="0.25"/>
    <row r="65011" customFormat="1" x14ac:dyDescent="0.25"/>
    <row r="65012" customFormat="1" x14ac:dyDescent="0.25"/>
    <row r="65013" customFormat="1" x14ac:dyDescent="0.25"/>
    <row r="65014" customFormat="1" x14ac:dyDescent="0.25"/>
    <row r="65015" customFormat="1" x14ac:dyDescent="0.25"/>
    <row r="65016" customFormat="1" x14ac:dyDescent="0.25"/>
    <row r="65017" customFormat="1" x14ac:dyDescent="0.25"/>
    <row r="65018" customFormat="1" x14ac:dyDescent="0.25"/>
    <row r="65019" customFormat="1" x14ac:dyDescent="0.25"/>
    <row r="65020" customFormat="1" x14ac:dyDescent="0.25"/>
    <row r="65021" customFormat="1" x14ac:dyDescent="0.25"/>
    <row r="65022" customFormat="1" x14ac:dyDescent="0.25"/>
    <row r="65023" customFormat="1" x14ac:dyDescent="0.25"/>
    <row r="65024" customFormat="1" x14ac:dyDescent="0.25"/>
    <row r="65025" customFormat="1" x14ac:dyDescent="0.25"/>
    <row r="65026" customFormat="1" x14ac:dyDescent="0.25"/>
    <row r="65027" customFormat="1" x14ac:dyDescent="0.25"/>
    <row r="65028" customFormat="1" x14ac:dyDescent="0.25"/>
    <row r="65029" customFormat="1" x14ac:dyDescent="0.25"/>
    <row r="65030" customFormat="1" x14ac:dyDescent="0.25"/>
    <row r="65031" customFormat="1" x14ac:dyDescent="0.25"/>
    <row r="65032" customFormat="1" x14ac:dyDescent="0.25"/>
    <row r="65033" customFormat="1" x14ac:dyDescent="0.25"/>
    <row r="65034" customFormat="1" x14ac:dyDescent="0.25"/>
    <row r="65035" customFormat="1" x14ac:dyDescent="0.25"/>
    <row r="65036" customFormat="1" x14ac:dyDescent="0.25"/>
    <row r="65037" customFormat="1" x14ac:dyDescent="0.25"/>
    <row r="65038" customFormat="1" x14ac:dyDescent="0.25"/>
    <row r="65039" customFormat="1" x14ac:dyDescent="0.25"/>
    <row r="65040" customFormat="1" x14ac:dyDescent="0.25"/>
    <row r="65041" customFormat="1" x14ac:dyDescent="0.25"/>
    <row r="65042" customFormat="1" x14ac:dyDescent="0.25"/>
    <row r="65043" customFormat="1" x14ac:dyDescent="0.25"/>
    <row r="65044" customFormat="1" x14ac:dyDescent="0.25"/>
    <row r="65045" customFormat="1" x14ac:dyDescent="0.25"/>
    <row r="65046" customFormat="1" x14ac:dyDescent="0.25"/>
    <row r="65047" customFormat="1" x14ac:dyDescent="0.25"/>
    <row r="65048" customFormat="1" x14ac:dyDescent="0.25"/>
    <row r="65049" customFormat="1" x14ac:dyDescent="0.25"/>
    <row r="65050" customFormat="1" x14ac:dyDescent="0.25"/>
    <row r="65051" customFormat="1" x14ac:dyDescent="0.25"/>
    <row r="65052" customFormat="1" x14ac:dyDescent="0.25"/>
    <row r="65053" customFormat="1" x14ac:dyDescent="0.25"/>
    <row r="65054" customFormat="1" x14ac:dyDescent="0.25"/>
    <row r="65055" customFormat="1" x14ac:dyDescent="0.25"/>
    <row r="65056" customFormat="1" x14ac:dyDescent="0.25"/>
    <row r="65057" customFormat="1" x14ac:dyDescent="0.25"/>
    <row r="65058" customFormat="1" x14ac:dyDescent="0.25"/>
    <row r="65059" customFormat="1" x14ac:dyDescent="0.25"/>
    <row r="65060" customFormat="1" x14ac:dyDescent="0.25"/>
    <row r="65061" customFormat="1" x14ac:dyDescent="0.25"/>
    <row r="65062" customFormat="1" x14ac:dyDescent="0.25"/>
    <row r="65063" customFormat="1" x14ac:dyDescent="0.25"/>
    <row r="65064" customFormat="1" x14ac:dyDescent="0.25"/>
    <row r="65065" customFormat="1" x14ac:dyDescent="0.25"/>
    <row r="65066" customFormat="1" x14ac:dyDescent="0.25"/>
    <row r="65067" customFormat="1" x14ac:dyDescent="0.25"/>
    <row r="65068" customFormat="1" x14ac:dyDescent="0.25"/>
    <row r="65069" customFormat="1" x14ac:dyDescent="0.25"/>
    <row r="65070" customFormat="1" x14ac:dyDescent="0.25"/>
    <row r="65071" customFormat="1" x14ac:dyDescent="0.25"/>
    <row r="65072" customFormat="1" x14ac:dyDescent="0.25"/>
    <row r="65073" customFormat="1" x14ac:dyDescent="0.25"/>
    <row r="65074" customFormat="1" x14ac:dyDescent="0.25"/>
    <row r="65075" customFormat="1" x14ac:dyDescent="0.25"/>
    <row r="65076" customFormat="1" x14ac:dyDescent="0.25"/>
    <row r="65077" customFormat="1" x14ac:dyDescent="0.25"/>
    <row r="65078" customFormat="1" x14ac:dyDescent="0.25"/>
    <row r="65079" customFormat="1" x14ac:dyDescent="0.25"/>
    <row r="65080" customFormat="1" x14ac:dyDescent="0.25"/>
    <row r="65081" customFormat="1" x14ac:dyDescent="0.25"/>
    <row r="65082" customFormat="1" x14ac:dyDescent="0.25"/>
    <row r="65083" customFormat="1" x14ac:dyDescent="0.25"/>
    <row r="65084" customFormat="1" x14ac:dyDescent="0.25"/>
    <row r="65085" customFormat="1" x14ac:dyDescent="0.25"/>
    <row r="65086" customFormat="1" x14ac:dyDescent="0.25"/>
    <row r="65087" customFormat="1" x14ac:dyDescent="0.25"/>
    <row r="65088" customFormat="1" x14ac:dyDescent="0.25"/>
    <row r="65089" customFormat="1" x14ac:dyDescent="0.25"/>
    <row r="65090" customFormat="1" x14ac:dyDescent="0.25"/>
    <row r="65091" customFormat="1" x14ac:dyDescent="0.25"/>
    <row r="65092" customFormat="1" x14ac:dyDescent="0.25"/>
    <row r="65093" customFormat="1" x14ac:dyDescent="0.25"/>
    <row r="65094" customFormat="1" x14ac:dyDescent="0.25"/>
    <row r="65095" customFormat="1" x14ac:dyDescent="0.25"/>
    <row r="65096" customFormat="1" x14ac:dyDescent="0.25"/>
    <row r="65097" customFormat="1" x14ac:dyDescent="0.25"/>
    <row r="65098" customFormat="1" x14ac:dyDescent="0.25"/>
    <row r="65099" customFormat="1" x14ac:dyDescent="0.25"/>
    <row r="65100" customFormat="1" x14ac:dyDescent="0.25"/>
    <row r="65101" customFormat="1" x14ac:dyDescent="0.25"/>
    <row r="65102" customFormat="1" x14ac:dyDescent="0.25"/>
    <row r="65103" customFormat="1" x14ac:dyDescent="0.25"/>
    <row r="65104" customFormat="1" x14ac:dyDescent="0.25"/>
    <row r="65105" customFormat="1" x14ac:dyDescent="0.25"/>
    <row r="65106" customFormat="1" x14ac:dyDescent="0.25"/>
    <row r="65107" customFormat="1" x14ac:dyDescent="0.25"/>
    <row r="65108" customFormat="1" x14ac:dyDescent="0.25"/>
    <row r="65109" customFormat="1" x14ac:dyDescent="0.25"/>
    <row r="65110" customFormat="1" x14ac:dyDescent="0.25"/>
    <row r="65111" customFormat="1" x14ac:dyDescent="0.25"/>
    <row r="65112" customFormat="1" x14ac:dyDescent="0.25"/>
    <row r="65113" customFormat="1" x14ac:dyDescent="0.25"/>
    <row r="65114" customFormat="1" x14ac:dyDescent="0.25"/>
    <row r="65115" customFormat="1" x14ac:dyDescent="0.25"/>
    <row r="65116" customFormat="1" x14ac:dyDescent="0.25"/>
    <row r="65117" customFormat="1" x14ac:dyDescent="0.25"/>
    <row r="65118" customFormat="1" x14ac:dyDescent="0.25"/>
    <row r="65119" customFormat="1" x14ac:dyDescent="0.25"/>
    <row r="65120" customFormat="1" x14ac:dyDescent="0.25"/>
    <row r="65121" customFormat="1" x14ac:dyDescent="0.25"/>
    <row r="65122" customFormat="1" x14ac:dyDescent="0.25"/>
    <row r="65123" customFormat="1" x14ac:dyDescent="0.25"/>
    <row r="65124" customFormat="1" x14ac:dyDescent="0.25"/>
    <row r="65125" customFormat="1" x14ac:dyDescent="0.25"/>
    <row r="65126" customFormat="1" x14ac:dyDescent="0.25"/>
    <row r="65127" customFormat="1" x14ac:dyDescent="0.25"/>
    <row r="65128" customFormat="1" x14ac:dyDescent="0.25"/>
    <row r="65129" customFormat="1" x14ac:dyDescent="0.25"/>
    <row r="65130" customFormat="1" x14ac:dyDescent="0.25"/>
    <row r="65131" customFormat="1" x14ac:dyDescent="0.25"/>
    <row r="65132" customFormat="1" x14ac:dyDescent="0.25"/>
    <row r="65133" customFormat="1" x14ac:dyDescent="0.25"/>
    <row r="65134" customFormat="1" x14ac:dyDescent="0.25"/>
    <row r="65135" customFormat="1" x14ac:dyDescent="0.25"/>
    <row r="65136" customFormat="1" x14ac:dyDescent="0.25"/>
    <row r="65137" customFormat="1" x14ac:dyDescent="0.25"/>
    <row r="65138" customFormat="1" x14ac:dyDescent="0.25"/>
    <row r="65139" customFormat="1" x14ac:dyDescent="0.25"/>
    <row r="65140" customFormat="1" x14ac:dyDescent="0.25"/>
    <row r="65141" customFormat="1" x14ac:dyDescent="0.25"/>
    <row r="65142" customFormat="1" x14ac:dyDescent="0.25"/>
    <row r="65143" customFormat="1" x14ac:dyDescent="0.25"/>
    <row r="65144" customFormat="1" x14ac:dyDescent="0.25"/>
    <row r="65145" customFormat="1" x14ac:dyDescent="0.25"/>
    <row r="65146" customFormat="1" x14ac:dyDescent="0.25"/>
    <row r="65147" customFormat="1" x14ac:dyDescent="0.25"/>
    <row r="65148" customFormat="1" x14ac:dyDescent="0.25"/>
    <row r="65149" customFormat="1" x14ac:dyDescent="0.25"/>
    <row r="65150" customFormat="1" x14ac:dyDescent="0.25"/>
    <row r="65151" customFormat="1" x14ac:dyDescent="0.25"/>
    <row r="65152" customFormat="1" x14ac:dyDescent="0.25"/>
    <row r="65153" customFormat="1" x14ac:dyDescent="0.25"/>
    <row r="65154" customFormat="1" x14ac:dyDescent="0.25"/>
    <row r="65155" customFormat="1" x14ac:dyDescent="0.25"/>
    <row r="65156" customFormat="1" x14ac:dyDescent="0.25"/>
    <row r="65157" customFormat="1" x14ac:dyDescent="0.25"/>
    <row r="65158" customFormat="1" x14ac:dyDescent="0.25"/>
    <row r="65159" customFormat="1" x14ac:dyDescent="0.25"/>
    <row r="65160" customFormat="1" x14ac:dyDescent="0.25"/>
    <row r="65161" customFormat="1" x14ac:dyDescent="0.25"/>
    <row r="65162" customFormat="1" x14ac:dyDescent="0.25"/>
    <row r="65163" customFormat="1" x14ac:dyDescent="0.25"/>
    <row r="65164" customFormat="1" x14ac:dyDescent="0.25"/>
    <row r="65165" customFormat="1" x14ac:dyDescent="0.25"/>
    <row r="65166" customFormat="1" x14ac:dyDescent="0.25"/>
    <row r="65167" customFormat="1" x14ac:dyDescent="0.25"/>
    <row r="65168" customFormat="1" x14ac:dyDescent="0.25"/>
    <row r="65169" customFormat="1" x14ac:dyDescent="0.25"/>
    <row r="65170" customFormat="1" x14ac:dyDescent="0.25"/>
    <row r="65171" customFormat="1" x14ac:dyDescent="0.25"/>
    <row r="65172" customFormat="1" x14ac:dyDescent="0.25"/>
    <row r="65173" customFormat="1" x14ac:dyDescent="0.25"/>
    <row r="65174" customFormat="1" x14ac:dyDescent="0.25"/>
    <row r="65175" customFormat="1" x14ac:dyDescent="0.25"/>
    <row r="65176" customFormat="1" x14ac:dyDescent="0.25"/>
    <row r="65177" customFormat="1" x14ac:dyDescent="0.25"/>
    <row r="65178" customFormat="1" x14ac:dyDescent="0.25"/>
    <row r="65179" customFormat="1" x14ac:dyDescent="0.25"/>
    <row r="65180" customFormat="1" x14ac:dyDescent="0.25"/>
    <row r="65181" customFormat="1" x14ac:dyDescent="0.25"/>
    <row r="65182" customFormat="1" x14ac:dyDescent="0.25"/>
    <row r="65183" customFormat="1" x14ac:dyDescent="0.25"/>
    <row r="65184" customFormat="1" x14ac:dyDescent="0.25"/>
    <row r="65185" customFormat="1" x14ac:dyDescent="0.25"/>
    <row r="65186" customFormat="1" x14ac:dyDescent="0.25"/>
    <row r="65187" customFormat="1" x14ac:dyDescent="0.25"/>
    <row r="65188" customFormat="1" x14ac:dyDescent="0.25"/>
    <row r="65189" customFormat="1" x14ac:dyDescent="0.25"/>
    <row r="65190" customFormat="1" x14ac:dyDescent="0.25"/>
    <row r="65191" customFormat="1" x14ac:dyDescent="0.25"/>
    <row r="65192" customFormat="1" x14ac:dyDescent="0.25"/>
    <row r="65193" customFormat="1" x14ac:dyDescent="0.25"/>
    <row r="65194" customFormat="1" x14ac:dyDescent="0.25"/>
    <row r="65195" customFormat="1" x14ac:dyDescent="0.25"/>
    <row r="65196" customFormat="1" x14ac:dyDescent="0.25"/>
    <row r="65197" customFormat="1" x14ac:dyDescent="0.25"/>
    <row r="65198" customFormat="1" x14ac:dyDescent="0.25"/>
    <row r="65199" customFormat="1" x14ac:dyDescent="0.25"/>
    <row r="65200" customFormat="1" x14ac:dyDescent="0.25"/>
    <row r="65201" customFormat="1" x14ac:dyDescent="0.25"/>
    <row r="65202" customFormat="1" x14ac:dyDescent="0.25"/>
    <row r="65203" customFormat="1" x14ac:dyDescent="0.25"/>
    <row r="65204" customFormat="1" x14ac:dyDescent="0.25"/>
    <row r="65205" customFormat="1" x14ac:dyDescent="0.25"/>
    <row r="65206" customFormat="1" x14ac:dyDescent="0.25"/>
    <row r="65207" customFormat="1" x14ac:dyDescent="0.25"/>
    <row r="65208" customFormat="1" x14ac:dyDescent="0.25"/>
    <row r="65209" customFormat="1" x14ac:dyDescent="0.25"/>
    <row r="65210" customFormat="1" x14ac:dyDescent="0.25"/>
    <row r="65211" customFormat="1" x14ac:dyDescent="0.25"/>
    <row r="65212" customFormat="1" x14ac:dyDescent="0.25"/>
    <row r="65213" customFormat="1" x14ac:dyDescent="0.25"/>
    <row r="65214" customFormat="1" x14ac:dyDescent="0.25"/>
    <row r="65215" customFormat="1" x14ac:dyDescent="0.25"/>
    <row r="65216" customFormat="1" x14ac:dyDescent="0.25"/>
    <row r="65217" customFormat="1" x14ac:dyDescent="0.25"/>
    <row r="65218" customFormat="1" x14ac:dyDescent="0.25"/>
    <row r="65219" customFormat="1" x14ac:dyDescent="0.25"/>
    <row r="65220" customFormat="1" x14ac:dyDescent="0.25"/>
    <row r="65221" customFormat="1" x14ac:dyDescent="0.25"/>
    <row r="65222" customFormat="1" x14ac:dyDescent="0.25"/>
    <row r="65223" customFormat="1" x14ac:dyDescent="0.25"/>
    <row r="65224" customFormat="1" x14ac:dyDescent="0.25"/>
    <row r="65225" customFormat="1" x14ac:dyDescent="0.25"/>
    <row r="65226" customFormat="1" x14ac:dyDescent="0.25"/>
    <row r="65227" customFormat="1" x14ac:dyDescent="0.25"/>
    <row r="65228" customFormat="1" x14ac:dyDescent="0.25"/>
    <row r="65229" customFormat="1" x14ac:dyDescent="0.25"/>
    <row r="65230" customFormat="1" x14ac:dyDescent="0.25"/>
    <row r="65231" customFormat="1" x14ac:dyDescent="0.25"/>
    <row r="65232" customFormat="1" x14ac:dyDescent="0.25"/>
    <row r="65233" customFormat="1" x14ac:dyDescent="0.25"/>
    <row r="65234" customFormat="1" x14ac:dyDescent="0.25"/>
    <row r="65235" customFormat="1" x14ac:dyDescent="0.25"/>
    <row r="65236" customFormat="1" x14ac:dyDescent="0.25"/>
    <row r="65237" customFormat="1" x14ac:dyDescent="0.25"/>
    <row r="65238" customFormat="1" x14ac:dyDescent="0.25"/>
    <row r="65239" customFormat="1" x14ac:dyDescent="0.25"/>
    <row r="65240" customFormat="1" x14ac:dyDescent="0.25"/>
    <row r="65241" customFormat="1" x14ac:dyDescent="0.25"/>
    <row r="65242" customFormat="1" x14ac:dyDescent="0.25"/>
    <row r="65243" customFormat="1" x14ac:dyDescent="0.25"/>
    <row r="65244" customFormat="1" x14ac:dyDescent="0.25"/>
    <row r="65245" customFormat="1" x14ac:dyDescent="0.25"/>
    <row r="65246" customFormat="1" x14ac:dyDescent="0.25"/>
    <row r="65247" customFormat="1" x14ac:dyDescent="0.25"/>
    <row r="65248" customFormat="1" x14ac:dyDescent="0.25"/>
    <row r="65249" customFormat="1" x14ac:dyDescent="0.25"/>
    <row r="65250" customFormat="1" x14ac:dyDescent="0.25"/>
    <row r="65251" customFormat="1" x14ac:dyDescent="0.25"/>
    <row r="65252" customFormat="1" x14ac:dyDescent="0.25"/>
    <row r="65253" customFormat="1" x14ac:dyDescent="0.25"/>
    <row r="65254" customFormat="1" x14ac:dyDescent="0.25"/>
    <row r="65255" customFormat="1" x14ac:dyDescent="0.25"/>
    <row r="65256" customFormat="1" x14ac:dyDescent="0.25"/>
    <row r="65257" customFormat="1" x14ac:dyDescent="0.25"/>
    <row r="65258" customFormat="1" x14ac:dyDescent="0.25"/>
    <row r="65259" customFormat="1" x14ac:dyDescent="0.25"/>
    <row r="65260" customFormat="1" x14ac:dyDescent="0.25"/>
    <row r="65261" customFormat="1" x14ac:dyDescent="0.25"/>
    <row r="65262" customFormat="1" x14ac:dyDescent="0.25"/>
    <row r="65263" customFormat="1" x14ac:dyDescent="0.25"/>
    <row r="65264" customFormat="1" x14ac:dyDescent="0.25"/>
    <row r="65265" customFormat="1" x14ac:dyDescent="0.25"/>
    <row r="65266" customFormat="1" x14ac:dyDescent="0.25"/>
    <row r="65267" customFormat="1" x14ac:dyDescent="0.25"/>
    <row r="65268" customFormat="1" x14ac:dyDescent="0.25"/>
    <row r="65269" customFormat="1" x14ac:dyDescent="0.25"/>
    <row r="65270" customFormat="1" x14ac:dyDescent="0.25"/>
    <row r="65271" customFormat="1" x14ac:dyDescent="0.25"/>
    <row r="65272" customFormat="1" x14ac:dyDescent="0.25"/>
    <row r="65273" customFormat="1" x14ac:dyDescent="0.25"/>
    <row r="65274" customFormat="1" x14ac:dyDescent="0.25"/>
    <row r="65275" customFormat="1" x14ac:dyDescent="0.25"/>
    <row r="65276" customFormat="1" x14ac:dyDescent="0.25"/>
    <row r="65277" customFormat="1" x14ac:dyDescent="0.25"/>
    <row r="65278" customFormat="1" x14ac:dyDescent="0.25"/>
    <row r="65279" customFormat="1" x14ac:dyDescent="0.25"/>
    <row r="65280" customFormat="1" x14ac:dyDescent="0.25"/>
    <row r="65281" customFormat="1" x14ac:dyDescent="0.25"/>
    <row r="65282" customFormat="1" x14ac:dyDescent="0.25"/>
    <row r="65283" customFormat="1" x14ac:dyDescent="0.25"/>
    <row r="65284" customFormat="1" x14ac:dyDescent="0.25"/>
    <row r="65285" customFormat="1" x14ac:dyDescent="0.25"/>
    <row r="65286" customFormat="1" x14ac:dyDescent="0.25"/>
    <row r="65287" customFormat="1" x14ac:dyDescent="0.25"/>
    <row r="65288" customFormat="1" x14ac:dyDescent="0.25"/>
    <row r="65289" customFormat="1" x14ac:dyDescent="0.25"/>
    <row r="65290" customFormat="1" x14ac:dyDescent="0.25"/>
    <row r="65291" customFormat="1" x14ac:dyDescent="0.25"/>
    <row r="65292" customFormat="1" x14ac:dyDescent="0.25"/>
    <row r="65293" customFormat="1" x14ac:dyDescent="0.25"/>
    <row r="65294" customFormat="1" x14ac:dyDescent="0.25"/>
    <row r="65295" customFormat="1" x14ac:dyDescent="0.25"/>
    <row r="65296" customFormat="1" x14ac:dyDescent="0.25"/>
    <row r="65297" customFormat="1" x14ac:dyDescent="0.25"/>
    <row r="65298" customFormat="1" x14ac:dyDescent="0.25"/>
    <row r="65299" customFormat="1" x14ac:dyDescent="0.25"/>
    <row r="65300" customFormat="1" x14ac:dyDescent="0.25"/>
    <row r="65301" customFormat="1" x14ac:dyDescent="0.25"/>
    <row r="65302" customFormat="1" x14ac:dyDescent="0.25"/>
    <row r="65303" customFormat="1" x14ac:dyDescent="0.25"/>
    <row r="65304" customFormat="1" x14ac:dyDescent="0.25"/>
    <row r="65305" customFormat="1" x14ac:dyDescent="0.25"/>
    <row r="65306" customFormat="1" x14ac:dyDescent="0.25"/>
    <row r="65307" customFormat="1" x14ac:dyDescent="0.25"/>
    <row r="65308" customFormat="1" x14ac:dyDescent="0.25"/>
    <row r="65309" customFormat="1" x14ac:dyDescent="0.25"/>
    <row r="65310" customFormat="1" x14ac:dyDescent="0.25"/>
    <row r="65311" customFormat="1" x14ac:dyDescent="0.25"/>
    <row r="65312" customFormat="1" x14ac:dyDescent="0.25"/>
    <row r="65313" customFormat="1" x14ac:dyDescent="0.25"/>
    <row r="65314" customFormat="1" x14ac:dyDescent="0.25"/>
    <row r="65315" customFormat="1" x14ac:dyDescent="0.25"/>
    <row r="65316" customFormat="1" x14ac:dyDescent="0.25"/>
    <row r="65317" customFormat="1" x14ac:dyDescent="0.25"/>
    <row r="65318" customFormat="1" x14ac:dyDescent="0.25"/>
    <row r="65319" customFormat="1" x14ac:dyDescent="0.25"/>
    <row r="65320" customFormat="1" x14ac:dyDescent="0.25"/>
    <row r="65321" customFormat="1" x14ac:dyDescent="0.25"/>
    <row r="65322" customFormat="1" x14ac:dyDescent="0.25"/>
    <row r="65323" customFormat="1" x14ac:dyDescent="0.25"/>
    <row r="65324" customFormat="1" x14ac:dyDescent="0.25"/>
    <row r="65325" customFormat="1" x14ac:dyDescent="0.25"/>
    <row r="65326" customFormat="1" x14ac:dyDescent="0.25"/>
    <row r="65327" customFormat="1" x14ac:dyDescent="0.25"/>
    <row r="65328" customFormat="1" x14ac:dyDescent="0.25"/>
    <row r="65329" customFormat="1" x14ac:dyDescent="0.25"/>
    <row r="65330" customFormat="1" x14ac:dyDescent="0.25"/>
    <row r="65331" customFormat="1" x14ac:dyDescent="0.25"/>
    <row r="65332" customFormat="1" x14ac:dyDescent="0.25"/>
    <row r="65333" customFormat="1" x14ac:dyDescent="0.25"/>
    <row r="65334" customFormat="1" x14ac:dyDescent="0.25"/>
    <row r="65335" customFormat="1" x14ac:dyDescent="0.25"/>
    <row r="65336" customFormat="1" x14ac:dyDescent="0.25"/>
    <row r="65337" customFormat="1" x14ac:dyDescent="0.25"/>
    <row r="65338" customFormat="1" x14ac:dyDescent="0.25"/>
    <row r="65339" customFormat="1" x14ac:dyDescent="0.25"/>
    <row r="65340" customFormat="1" x14ac:dyDescent="0.25"/>
    <row r="65341" customFormat="1" x14ac:dyDescent="0.25"/>
    <row r="65342" customFormat="1" x14ac:dyDescent="0.25"/>
    <row r="65343" customFormat="1" x14ac:dyDescent="0.25"/>
    <row r="65344" customFormat="1" x14ac:dyDescent="0.25"/>
    <row r="65345" customFormat="1" x14ac:dyDescent="0.25"/>
    <row r="65346" customFormat="1" x14ac:dyDescent="0.25"/>
    <row r="65347" customFormat="1" x14ac:dyDescent="0.25"/>
    <row r="65348" customFormat="1" x14ac:dyDescent="0.25"/>
    <row r="65349" customFormat="1" x14ac:dyDescent="0.25"/>
    <row r="65350" customFormat="1" x14ac:dyDescent="0.25"/>
    <row r="65351" customFormat="1" x14ac:dyDescent="0.25"/>
    <row r="65352" customFormat="1" x14ac:dyDescent="0.25"/>
    <row r="65353" customFormat="1" x14ac:dyDescent="0.25"/>
    <row r="65354" customFormat="1" x14ac:dyDescent="0.25"/>
    <row r="65355" customFormat="1" x14ac:dyDescent="0.25"/>
    <row r="65356" customFormat="1" x14ac:dyDescent="0.25"/>
    <row r="65357" customFormat="1" x14ac:dyDescent="0.25"/>
    <row r="65358" customFormat="1" x14ac:dyDescent="0.25"/>
    <row r="65359" customFormat="1" x14ac:dyDescent="0.25"/>
    <row r="65360" customFormat="1" x14ac:dyDescent="0.25"/>
    <row r="65361" customFormat="1" x14ac:dyDescent="0.25"/>
    <row r="65362" customFormat="1" x14ac:dyDescent="0.25"/>
    <row r="65363" customFormat="1" x14ac:dyDescent="0.25"/>
    <row r="65364" customFormat="1" x14ac:dyDescent="0.25"/>
    <row r="65365" customFormat="1" x14ac:dyDescent="0.25"/>
    <row r="65366" customFormat="1" x14ac:dyDescent="0.25"/>
    <row r="65367" customFormat="1" x14ac:dyDescent="0.25"/>
    <row r="65368" customFormat="1" x14ac:dyDescent="0.25"/>
    <row r="65369" customFormat="1" x14ac:dyDescent="0.25"/>
    <row r="65370" customFormat="1" x14ac:dyDescent="0.25"/>
    <row r="65371" customFormat="1" x14ac:dyDescent="0.25"/>
    <row r="65372" customFormat="1" x14ac:dyDescent="0.25"/>
    <row r="65373" customFormat="1" x14ac:dyDescent="0.25"/>
    <row r="65374" customFormat="1" x14ac:dyDescent="0.25"/>
    <row r="65375" customFormat="1" x14ac:dyDescent="0.25"/>
    <row r="65376" customFormat="1" x14ac:dyDescent="0.25"/>
    <row r="65377" customFormat="1" x14ac:dyDescent="0.25"/>
    <row r="65378" customFormat="1" x14ac:dyDescent="0.25"/>
    <row r="65379" customFormat="1" x14ac:dyDescent="0.25"/>
    <row r="65380" customFormat="1" x14ac:dyDescent="0.25"/>
    <row r="65381" customFormat="1" x14ac:dyDescent="0.25"/>
    <row r="65382" customFormat="1" x14ac:dyDescent="0.25"/>
    <row r="65383" customFormat="1" x14ac:dyDescent="0.25"/>
    <row r="65384" customFormat="1" x14ac:dyDescent="0.25"/>
    <row r="65385" customFormat="1" x14ac:dyDescent="0.25"/>
    <row r="65386" customFormat="1" x14ac:dyDescent="0.25"/>
    <row r="65387" customFormat="1" x14ac:dyDescent="0.25"/>
    <row r="65388" customFormat="1" x14ac:dyDescent="0.25"/>
    <row r="65389" customFormat="1" x14ac:dyDescent="0.25"/>
    <row r="65390" customFormat="1" x14ac:dyDescent="0.25"/>
    <row r="65391" customFormat="1" x14ac:dyDescent="0.25"/>
    <row r="65392" customFormat="1" x14ac:dyDescent="0.25"/>
    <row r="65393" customFormat="1" x14ac:dyDescent="0.25"/>
    <row r="65394" customFormat="1" x14ac:dyDescent="0.25"/>
    <row r="65395" customFormat="1" x14ac:dyDescent="0.25"/>
    <row r="65396" customFormat="1" x14ac:dyDescent="0.25"/>
    <row r="65397" customFormat="1" x14ac:dyDescent="0.25"/>
    <row r="65398" customFormat="1" x14ac:dyDescent="0.25"/>
    <row r="65399" customFormat="1" x14ac:dyDescent="0.25"/>
    <row r="65400" customFormat="1" x14ac:dyDescent="0.25"/>
    <row r="65401" customFormat="1" x14ac:dyDescent="0.25"/>
    <row r="65402" customFormat="1" x14ac:dyDescent="0.25"/>
    <row r="65403" customFormat="1" x14ac:dyDescent="0.25"/>
    <row r="65404" customFormat="1" x14ac:dyDescent="0.25"/>
    <row r="65405" customFormat="1" x14ac:dyDescent="0.25"/>
    <row r="65406" customFormat="1" x14ac:dyDescent="0.25"/>
    <row r="65407" customFormat="1" x14ac:dyDescent="0.25"/>
    <row r="65408" customFormat="1" x14ac:dyDescent="0.25"/>
    <row r="65409" customFormat="1" x14ac:dyDescent="0.25"/>
    <row r="65410" customFormat="1" x14ac:dyDescent="0.25"/>
    <row r="65411" customFormat="1" x14ac:dyDescent="0.25"/>
    <row r="65412" customFormat="1" x14ac:dyDescent="0.25"/>
    <row r="65413" customFormat="1" x14ac:dyDescent="0.25"/>
    <row r="65414" customFormat="1" x14ac:dyDescent="0.25"/>
    <row r="65415" customFormat="1" x14ac:dyDescent="0.25"/>
    <row r="65416" customFormat="1" x14ac:dyDescent="0.25"/>
    <row r="65417" customFormat="1" x14ac:dyDescent="0.25"/>
    <row r="65418" customFormat="1" x14ac:dyDescent="0.25"/>
    <row r="65419" customFormat="1" x14ac:dyDescent="0.25"/>
    <row r="65420" customFormat="1" x14ac:dyDescent="0.25"/>
    <row r="65421" customFormat="1" x14ac:dyDescent="0.25"/>
    <row r="65422" customFormat="1" x14ac:dyDescent="0.25"/>
    <row r="65423" customFormat="1" x14ac:dyDescent="0.25"/>
    <row r="65424" customFormat="1" x14ac:dyDescent="0.25"/>
    <row r="65425" customFormat="1" x14ac:dyDescent="0.25"/>
    <row r="65426" customFormat="1" x14ac:dyDescent="0.25"/>
    <row r="65427" customFormat="1" x14ac:dyDescent="0.25"/>
    <row r="65428" customFormat="1" x14ac:dyDescent="0.25"/>
    <row r="65429" customFormat="1" x14ac:dyDescent="0.25"/>
    <row r="65430" customFormat="1" x14ac:dyDescent="0.25"/>
    <row r="65431" customFormat="1" x14ac:dyDescent="0.25"/>
    <row r="65432" customFormat="1" x14ac:dyDescent="0.25"/>
    <row r="65433" customFormat="1" x14ac:dyDescent="0.25"/>
    <row r="65434" customFormat="1" x14ac:dyDescent="0.25"/>
    <row r="65435" customFormat="1" x14ac:dyDescent="0.25"/>
    <row r="65436" customFormat="1" x14ac:dyDescent="0.25"/>
    <row r="65437" customFormat="1" x14ac:dyDescent="0.25"/>
    <row r="65438" customFormat="1" x14ac:dyDescent="0.25"/>
    <row r="65439" customFormat="1" x14ac:dyDescent="0.25"/>
    <row r="65440" customFormat="1" x14ac:dyDescent="0.25"/>
    <row r="65441" customFormat="1" x14ac:dyDescent="0.25"/>
    <row r="65442" customFormat="1" x14ac:dyDescent="0.25"/>
    <row r="65443" customFormat="1" x14ac:dyDescent="0.25"/>
    <row r="65444" customFormat="1" x14ac:dyDescent="0.25"/>
    <row r="65445" customFormat="1" x14ac:dyDescent="0.25"/>
    <row r="65446" customFormat="1" x14ac:dyDescent="0.25"/>
    <row r="65447" customFormat="1" x14ac:dyDescent="0.25"/>
    <row r="65448" customFormat="1" x14ac:dyDescent="0.25"/>
    <row r="65449" customFormat="1" x14ac:dyDescent="0.25"/>
    <row r="65450" customFormat="1" x14ac:dyDescent="0.25"/>
    <row r="65451" customFormat="1" x14ac:dyDescent="0.25"/>
    <row r="65452" customFormat="1" x14ac:dyDescent="0.25"/>
    <row r="65453" customFormat="1" x14ac:dyDescent="0.25"/>
    <row r="65454" customFormat="1" x14ac:dyDescent="0.25"/>
    <row r="65455" customFormat="1" x14ac:dyDescent="0.25"/>
    <row r="65456" customFormat="1" x14ac:dyDescent="0.25"/>
    <row r="65457" customFormat="1" x14ac:dyDescent="0.25"/>
    <row r="65458" customFormat="1" x14ac:dyDescent="0.25"/>
    <row r="65459" customFormat="1" x14ac:dyDescent="0.25"/>
    <row r="65460" customFormat="1" x14ac:dyDescent="0.25"/>
    <row r="65461" customFormat="1" x14ac:dyDescent="0.25"/>
    <row r="65462" customFormat="1" x14ac:dyDescent="0.25"/>
    <row r="65463" customFormat="1" x14ac:dyDescent="0.25"/>
    <row r="65464" customFormat="1" x14ac:dyDescent="0.25"/>
    <row r="65465" customFormat="1" x14ac:dyDescent="0.25"/>
    <row r="65466" customFormat="1" x14ac:dyDescent="0.25"/>
    <row r="65467" customFormat="1" x14ac:dyDescent="0.25"/>
    <row r="65468" customFormat="1" x14ac:dyDescent="0.25"/>
    <row r="65469" customFormat="1" x14ac:dyDescent="0.25"/>
    <row r="65470" customFormat="1" x14ac:dyDescent="0.25"/>
    <row r="65471" customFormat="1" x14ac:dyDescent="0.25"/>
    <row r="65472" customFormat="1" x14ac:dyDescent="0.25"/>
    <row r="65473" customFormat="1" x14ac:dyDescent="0.25"/>
    <row r="65474" customFormat="1" x14ac:dyDescent="0.25"/>
    <row r="65475" customFormat="1" x14ac:dyDescent="0.25"/>
    <row r="65476" customFormat="1" x14ac:dyDescent="0.25"/>
    <row r="65477" customFormat="1" x14ac:dyDescent="0.25"/>
    <row r="65478" customFormat="1" x14ac:dyDescent="0.25"/>
    <row r="65479" customFormat="1" x14ac:dyDescent="0.25"/>
    <row r="65480" customFormat="1" x14ac:dyDescent="0.25"/>
    <row r="65481" customFormat="1" x14ac:dyDescent="0.25"/>
    <row r="65482" customFormat="1" x14ac:dyDescent="0.25"/>
    <row r="65483" customFormat="1" x14ac:dyDescent="0.25"/>
    <row r="65484" customFormat="1" x14ac:dyDescent="0.25"/>
    <row r="65485" customFormat="1" x14ac:dyDescent="0.25"/>
    <row r="65486" customFormat="1" x14ac:dyDescent="0.25"/>
    <row r="65487" customFormat="1" x14ac:dyDescent="0.25"/>
    <row r="65488" customFormat="1" x14ac:dyDescent="0.25"/>
    <row r="65489" customFormat="1" x14ac:dyDescent="0.25"/>
    <row r="65490" customFormat="1" x14ac:dyDescent="0.25"/>
    <row r="65491" customFormat="1" x14ac:dyDescent="0.25"/>
    <row r="65492" customFormat="1" x14ac:dyDescent="0.25"/>
    <row r="65493" customFormat="1" x14ac:dyDescent="0.25"/>
    <row r="65494" customFormat="1" x14ac:dyDescent="0.25"/>
    <row r="65495" customFormat="1" x14ac:dyDescent="0.25"/>
    <row r="65496" customFormat="1" x14ac:dyDescent="0.25"/>
    <row r="65497" customFormat="1" x14ac:dyDescent="0.25"/>
    <row r="65498" customFormat="1" x14ac:dyDescent="0.25"/>
    <row r="65499" customFormat="1" x14ac:dyDescent="0.25"/>
    <row r="65500" customFormat="1" x14ac:dyDescent="0.25"/>
    <row r="65501" customFormat="1" x14ac:dyDescent="0.25"/>
    <row r="65502" customFormat="1" x14ac:dyDescent="0.25"/>
    <row r="65503" customFormat="1" x14ac:dyDescent="0.25"/>
    <row r="65504" customFormat="1" x14ac:dyDescent="0.25"/>
    <row r="65505" customFormat="1" x14ac:dyDescent="0.25"/>
    <row r="65506" customFormat="1" x14ac:dyDescent="0.25"/>
    <row r="65507" customFormat="1" x14ac:dyDescent="0.25"/>
    <row r="65508" customFormat="1" x14ac:dyDescent="0.25"/>
    <row r="65509" customFormat="1" x14ac:dyDescent="0.25"/>
    <row r="65510" customFormat="1" x14ac:dyDescent="0.25"/>
    <row r="65511" customFormat="1" x14ac:dyDescent="0.25"/>
    <row r="65512" customFormat="1" x14ac:dyDescent="0.25"/>
    <row r="65513" customFormat="1" x14ac:dyDescent="0.25"/>
    <row r="65514" customFormat="1" x14ac:dyDescent="0.25"/>
    <row r="65515" customFormat="1" x14ac:dyDescent="0.25"/>
    <row r="65516" customFormat="1" x14ac:dyDescent="0.25"/>
    <row r="65517" customFormat="1" x14ac:dyDescent="0.25"/>
    <row r="65518" customFormat="1" x14ac:dyDescent="0.25"/>
    <row r="65519" customFormat="1" x14ac:dyDescent="0.25"/>
    <row r="65520" customFormat="1" x14ac:dyDescent="0.25"/>
    <row r="65521" customFormat="1" x14ac:dyDescent="0.25"/>
    <row r="65522" customFormat="1" x14ac:dyDescent="0.25"/>
    <row r="65523" customFormat="1" x14ac:dyDescent="0.25"/>
    <row r="65524" customFormat="1" x14ac:dyDescent="0.25"/>
    <row r="65525" customFormat="1" x14ac:dyDescent="0.25"/>
    <row r="65526" customFormat="1" x14ac:dyDescent="0.25"/>
    <row r="65527" customFormat="1" x14ac:dyDescent="0.25"/>
    <row r="65528" customFormat="1" x14ac:dyDescent="0.25"/>
    <row r="65529" customFormat="1" x14ac:dyDescent="0.25"/>
    <row r="65530" customFormat="1" x14ac:dyDescent="0.25"/>
    <row r="65531" customFormat="1" x14ac:dyDescent="0.25"/>
    <row r="65532" customFormat="1" x14ac:dyDescent="0.25"/>
    <row r="65533" customFormat="1" x14ac:dyDescent="0.25"/>
    <row r="65534" customFormat="1" x14ac:dyDescent="0.25"/>
    <row r="65535" customFormat="1" x14ac:dyDescent="0.25"/>
    <row r="65536" customFormat="1" x14ac:dyDescent="0.25"/>
    <row r="65537" customFormat="1" x14ac:dyDescent="0.25"/>
    <row r="65538" customFormat="1" x14ac:dyDescent="0.25"/>
    <row r="65539" customFormat="1" x14ac:dyDescent="0.25"/>
    <row r="65540" customFormat="1" x14ac:dyDescent="0.25"/>
    <row r="65541" customFormat="1" x14ac:dyDescent="0.25"/>
    <row r="65542" customFormat="1" x14ac:dyDescent="0.25"/>
    <row r="65543" customFormat="1" x14ac:dyDescent="0.25"/>
    <row r="65544" customFormat="1" x14ac:dyDescent="0.25"/>
    <row r="65545" customFormat="1" x14ac:dyDescent="0.25"/>
    <row r="65546" customFormat="1" x14ac:dyDescent="0.25"/>
    <row r="65547" customFormat="1" x14ac:dyDescent="0.25"/>
    <row r="65548" customFormat="1" x14ac:dyDescent="0.25"/>
    <row r="65549" customFormat="1" x14ac:dyDescent="0.25"/>
    <row r="65550" customFormat="1" x14ac:dyDescent="0.25"/>
    <row r="65551" customFormat="1" x14ac:dyDescent="0.25"/>
    <row r="65552" customFormat="1" x14ac:dyDescent="0.25"/>
    <row r="65553" customFormat="1" x14ac:dyDescent="0.25"/>
    <row r="65554" customFormat="1" x14ac:dyDescent="0.25"/>
    <row r="65555" customFormat="1" x14ac:dyDescent="0.25"/>
    <row r="65556" customFormat="1" x14ac:dyDescent="0.25"/>
    <row r="65557" customFormat="1" x14ac:dyDescent="0.25"/>
    <row r="65558" customFormat="1" x14ac:dyDescent="0.25"/>
    <row r="65559" customFormat="1" x14ac:dyDescent="0.25"/>
    <row r="65560" customFormat="1" x14ac:dyDescent="0.25"/>
    <row r="65561" customFormat="1" x14ac:dyDescent="0.25"/>
    <row r="65562" customFormat="1" x14ac:dyDescent="0.25"/>
    <row r="65563" customFormat="1" x14ac:dyDescent="0.25"/>
    <row r="65564" customFormat="1" x14ac:dyDescent="0.25"/>
    <row r="65565" customFormat="1" x14ac:dyDescent="0.25"/>
    <row r="65566" customFormat="1" x14ac:dyDescent="0.25"/>
    <row r="65567" customFormat="1" x14ac:dyDescent="0.25"/>
    <row r="65568" customFormat="1" x14ac:dyDescent="0.25"/>
    <row r="65569" customFormat="1" x14ac:dyDescent="0.25"/>
    <row r="65570" customFormat="1" x14ac:dyDescent="0.25"/>
    <row r="65571" customFormat="1" x14ac:dyDescent="0.25"/>
    <row r="65572" customFormat="1" x14ac:dyDescent="0.25"/>
    <row r="65573" customFormat="1" x14ac:dyDescent="0.25"/>
    <row r="65574" customFormat="1" x14ac:dyDescent="0.25"/>
    <row r="65575" customFormat="1" x14ac:dyDescent="0.25"/>
    <row r="65576" customFormat="1" x14ac:dyDescent="0.25"/>
    <row r="65577" customFormat="1" x14ac:dyDescent="0.25"/>
    <row r="65578" customFormat="1" x14ac:dyDescent="0.25"/>
    <row r="65579" customFormat="1" x14ac:dyDescent="0.25"/>
    <row r="65580" customFormat="1" x14ac:dyDescent="0.25"/>
    <row r="65581" customFormat="1" x14ac:dyDescent="0.25"/>
    <row r="65582" customFormat="1" x14ac:dyDescent="0.25"/>
    <row r="65583" customFormat="1" x14ac:dyDescent="0.25"/>
    <row r="65584" customFormat="1" x14ac:dyDescent="0.25"/>
    <row r="65585" customFormat="1" x14ac:dyDescent="0.25"/>
    <row r="65586" customFormat="1" x14ac:dyDescent="0.25"/>
    <row r="65587" customFormat="1" x14ac:dyDescent="0.25"/>
    <row r="65588" customFormat="1" x14ac:dyDescent="0.25"/>
    <row r="65589" customFormat="1" x14ac:dyDescent="0.25"/>
    <row r="65590" customFormat="1" x14ac:dyDescent="0.25"/>
    <row r="65591" customFormat="1" x14ac:dyDescent="0.25"/>
    <row r="65592" customFormat="1" x14ac:dyDescent="0.25"/>
    <row r="65593" customFormat="1" x14ac:dyDescent="0.25"/>
    <row r="65594" customFormat="1" x14ac:dyDescent="0.25"/>
    <row r="65595" customFormat="1" x14ac:dyDescent="0.25"/>
    <row r="65596" customFormat="1" x14ac:dyDescent="0.25"/>
    <row r="65597" customFormat="1" x14ac:dyDescent="0.25"/>
    <row r="65598" customFormat="1" x14ac:dyDescent="0.25"/>
    <row r="65599" customFormat="1" x14ac:dyDescent="0.25"/>
    <row r="65600" customFormat="1" x14ac:dyDescent="0.25"/>
    <row r="65601" customFormat="1" x14ac:dyDescent="0.25"/>
    <row r="65602" customFormat="1" x14ac:dyDescent="0.25"/>
    <row r="65603" customFormat="1" x14ac:dyDescent="0.25"/>
    <row r="65604" customFormat="1" x14ac:dyDescent="0.25"/>
    <row r="65605" customFormat="1" x14ac:dyDescent="0.25"/>
    <row r="65606" customFormat="1" x14ac:dyDescent="0.25"/>
    <row r="65607" customFormat="1" x14ac:dyDescent="0.25"/>
    <row r="65608" customFormat="1" x14ac:dyDescent="0.25"/>
    <row r="65609" customFormat="1" x14ac:dyDescent="0.25"/>
    <row r="65610" customFormat="1" x14ac:dyDescent="0.25"/>
    <row r="65611" customFormat="1" x14ac:dyDescent="0.25"/>
    <row r="65612" customFormat="1" x14ac:dyDescent="0.25"/>
    <row r="65613" customFormat="1" x14ac:dyDescent="0.25"/>
    <row r="65614" customFormat="1" x14ac:dyDescent="0.25"/>
    <row r="65615" customFormat="1" x14ac:dyDescent="0.25"/>
    <row r="65616" customFormat="1" x14ac:dyDescent="0.25"/>
    <row r="65617" customFormat="1" x14ac:dyDescent="0.25"/>
    <row r="65618" customFormat="1" x14ac:dyDescent="0.25"/>
    <row r="65619" customFormat="1" x14ac:dyDescent="0.25"/>
    <row r="65620" customFormat="1" x14ac:dyDescent="0.25"/>
    <row r="65621" customFormat="1" x14ac:dyDescent="0.25"/>
    <row r="65622" customFormat="1" x14ac:dyDescent="0.25"/>
    <row r="65623" customFormat="1" x14ac:dyDescent="0.25"/>
    <row r="65624" customFormat="1" x14ac:dyDescent="0.25"/>
    <row r="65625" customFormat="1" x14ac:dyDescent="0.25"/>
    <row r="65626" customFormat="1" x14ac:dyDescent="0.25"/>
    <row r="65627" customFormat="1" x14ac:dyDescent="0.25"/>
    <row r="65628" customFormat="1" x14ac:dyDescent="0.25"/>
    <row r="65629" customFormat="1" x14ac:dyDescent="0.25"/>
    <row r="65630" customFormat="1" x14ac:dyDescent="0.25"/>
    <row r="65631" customFormat="1" x14ac:dyDescent="0.25"/>
    <row r="65632" customFormat="1" x14ac:dyDescent="0.25"/>
    <row r="65633" customFormat="1" x14ac:dyDescent="0.25"/>
    <row r="65634" customFormat="1" x14ac:dyDescent="0.25"/>
    <row r="65635" customFormat="1" x14ac:dyDescent="0.25"/>
    <row r="65636" customFormat="1" x14ac:dyDescent="0.25"/>
    <row r="65637" customFormat="1" x14ac:dyDescent="0.25"/>
    <row r="65638" customFormat="1" x14ac:dyDescent="0.25"/>
    <row r="65639" customFormat="1" x14ac:dyDescent="0.25"/>
    <row r="65640" customFormat="1" x14ac:dyDescent="0.25"/>
    <row r="65641" customFormat="1" x14ac:dyDescent="0.25"/>
    <row r="65642" customFormat="1" x14ac:dyDescent="0.25"/>
    <row r="65643" customFormat="1" x14ac:dyDescent="0.25"/>
    <row r="65644" customFormat="1" x14ac:dyDescent="0.25"/>
    <row r="65645" customFormat="1" x14ac:dyDescent="0.25"/>
    <row r="65646" customFormat="1" x14ac:dyDescent="0.25"/>
    <row r="65647" customFormat="1" x14ac:dyDescent="0.25"/>
    <row r="65648" customFormat="1" x14ac:dyDescent="0.25"/>
    <row r="65649" customFormat="1" x14ac:dyDescent="0.25"/>
    <row r="65650" customFormat="1" x14ac:dyDescent="0.25"/>
    <row r="65651" customFormat="1" x14ac:dyDescent="0.25"/>
    <row r="65652" customFormat="1" x14ac:dyDescent="0.25"/>
    <row r="65653" customFormat="1" x14ac:dyDescent="0.25"/>
    <row r="65654" customFormat="1" x14ac:dyDescent="0.25"/>
    <row r="65655" customFormat="1" x14ac:dyDescent="0.25"/>
    <row r="65656" customFormat="1" x14ac:dyDescent="0.25"/>
    <row r="65657" customFormat="1" x14ac:dyDescent="0.25"/>
    <row r="65658" customFormat="1" x14ac:dyDescent="0.25"/>
    <row r="65659" customFormat="1" x14ac:dyDescent="0.25"/>
    <row r="65660" customFormat="1" x14ac:dyDescent="0.25"/>
    <row r="65661" customFormat="1" x14ac:dyDescent="0.25"/>
    <row r="65662" customFormat="1" x14ac:dyDescent="0.25"/>
    <row r="65663" customFormat="1" x14ac:dyDescent="0.25"/>
    <row r="65664" customFormat="1" x14ac:dyDescent="0.25"/>
    <row r="65665" customFormat="1" x14ac:dyDescent="0.25"/>
    <row r="65666" customFormat="1" x14ac:dyDescent="0.25"/>
    <row r="65667" customFormat="1" x14ac:dyDescent="0.25"/>
    <row r="65668" customFormat="1" x14ac:dyDescent="0.25"/>
    <row r="65669" customFormat="1" x14ac:dyDescent="0.25"/>
    <row r="65670" customFormat="1" x14ac:dyDescent="0.25"/>
    <row r="65671" customFormat="1" x14ac:dyDescent="0.25"/>
    <row r="65672" customFormat="1" x14ac:dyDescent="0.25"/>
    <row r="65673" customFormat="1" x14ac:dyDescent="0.25"/>
    <row r="65674" customFormat="1" x14ac:dyDescent="0.25"/>
    <row r="65675" customFormat="1" x14ac:dyDescent="0.25"/>
    <row r="65676" customFormat="1" x14ac:dyDescent="0.25"/>
    <row r="65677" customFormat="1" x14ac:dyDescent="0.25"/>
    <row r="65678" customFormat="1" x14ac:dyDescent="0.25"/>
    <row r="65679" customFormat="1" x14ac:dyDescent="0.25"/>
    <row r="65680" customFormat="1" x14ac:dyDescent="0.25"/>
    <row r="65681" customFormat="1" x14ac:dyDescent="0.25"/>
    <row r="65682" customFormat="1" x14ac:dyDescent="0.25"/>
    <row r="65683" customFormat="1" x14ac:dyDescent="0.25"/>
    <row r="65684" customFormat="1" x14ac:dyDescent="0.25"/>
    <row r="65685" customFormat="1" x14ac:dyDescent="0.25"/>
    <row r="65686" customFormat="1" x14ac:dyDescent="0.25"/>
    <row r="65687" customFormat="1" x14ac:dyDescent="0.25"/>
    <row r="65688" customFormat="1" x14ac:dyDescent="0.25"/>
    <row r="65689" customFormat="1" x14ac:dyDescent="0.25"/>
    <row r="65690" customFormat="1" x14ac:dyDescent="0.25"/>
    <row r="65691" customFormat="1" x14ac:dyDescent="0.25"/>
    <row r="65692" customFormat="1" x14ac:dyDescent="0.25"/>
    <row r="65693" customFormat="1" x14ac:dyDescent="0.25"/>
    <row r="65694" customFormat="1" x14ac:dyDescent="0.25"/>
    <row r="65695" customFormat="1" x14ac:dyDescent="0.25"/>
    <row r="65696" customFormat="1" x14ac:dyDescent="0.25"/>
    <row r="65697" customFormat="1" x14ac:dyDescent="0.25"/>
    <row r="65698" customFormat="1" x14ac:dyDescent="0.25"/>
    <row r="65699" customFormat="1" x14ac:dyDescent="0.25"/>
    <row r="65700" customFormat="1" x14ac:dyDescent="0.25"/>
    <row r="65701" customFormat="1" x14ac:dyDescent="0.25"/>
    <row r="65702" customFormat="1" x14ac:dyDescent="0.25"/>
    <row r="65703" customFormat="1" x14ac:dyDescent="0.25"/>
    <row r="65704" customFormat="1" x14ac:dyDescent="0.25"/>
    <row r="65705" customFormat="1" x14ac:dyDescent="0.25"/>
    <row r="65706" customFormat="1" x14ac:dyDescent="0.25"/>
    <row r="65707" customFormat="1" x14ac:dyDescent="0.25"/>
    <row r="65708" customFormat="1" x14ac:dyDescent="0.25"/>
    <row r="65709" customFormat="1" x14ac:dyDescent="0.25"/>
    <row r="65710" customFormat="1" x14ac:dyDescent="0.25"/>
    <row r="65711" customFormat="1" x14ac:dyDescent="0.25"/>
    <row r="65712" customFormat="1" x14ac:dyDescent="0.25"/>
    <row r="65713" customFormat="1" x14ac:dyDescent="0.25"/>
    <row r="65714" customFormat="1" x14ac:dyDescent="0.25"/>
    <row r="65715" customFormat="1" x14ac:dyDescent="0.25"/>
    <row r="65716" customFormat="1" x14ac:dyDescent="0.25"/>
    <row r="65717" customFormat="1" x14ac:dyDescent="0.25"/>
    <row r="65718" customFormat="1" x14ac:dyDescent="0.25"/>
    <row r="65719" customFormat="1" x14ac:dyDescent="0.25"/>
    <row r="65720" customFormat="1" x14ac:dyDescent="0.25"/>
    <row r="65721" customFormat="1" x14ac:dyDescent="0.25"/>
    <row r="65722" customFormat="1" x14ac:dyDescent="0.25"/>
    <row r="65723" customFormat="1" x14ac:dyDescent="0.25"/>
    <row r="65724" customFormat="1" x14ac:dyDescent="0.25"/>
    <row r="65725" customFormat="1" x14ac:dyDescent="0.25"/>
    <row r="65726" customFormat="1" x14ac:dyDescent="0.25"/>
    <row r="65727" customFormat="1" x14ac:dyDescent="0.25"/>
    <row r="65728" customFormat="1" x14ac:dyDescent="0.25"/>
    <row r="65729" customFormat="1" x14ac:dyDescent="0.25"/>
    <row r="65730" customFormat="1" x14ac:dyDescent="0.25"/>
    <row r="65731" customFormat="1" x14ac:dyDescent="0.25"/>
    <row r="65732" customFormat="1" x14ac:dyDescent="0.25"/>
    <row r="65733" customFormat="1" x14ac:dyDescent="0.25"/>
    <row r="65734" customFormat="1" x14ac:dyDescent="0.25"/>
    <row r="65735" customFormat="1" x14ac:dyDescent="0.25"/>
    <row r="65736" customFormat="1" x14ac:dyDescent="0.25"/>
    <row r="65737" customFormat="1" x14ac:dyDescent="0.25"/>
    <row r="65738" customFormat="1" x14ac:dyDescent="0.25"/>
    <row r="65739" customFormat="1" x14ac:dyDescent="0.25"/>
    <row r="65740" customFormat="1" x14ac:dyDescent="0.25"/>
    <row r="65741" customFormat="1" x14ac:dyDescent="0.25"/>
    <row r="65742" customFormat="1" x14ac:dyDescent="0.25"/>
    <row r="65743" customFormat="1" x14ac:dyDescent="0.25"/>
    <row r="65744" customFormat="1" x14ac:dyDescent="0.25"/>
    <row r="65745" customFormat="1" x14ac:dyDescent="0.25"/>
    <row r="65746" customFormat="1" x14ac:dyDescent="0.25"/>
    <row r="65747" customFormat="1" x14ac:dyDescent="0.25"/>
    <row r="65748" customFormat="1" x14ac:dyDescent="0.25"/>
    <row r="65749" customFormat="1" x14ac:dyDescent="0.25"/>
    <row r="65750" customFormat="1" x14ac:dyDescent="0.25"/>
    <row r="65751" customFormat="1" x14ac:dyDescent="0.25"/>
    <row r="65752" customFormat="1" x14ac:dyDescent="0.25"/>
    <row r="65753" customFormat="1" x14ac:dyDescent="0.25"/>
    <row r="65754" customFormat="1" x14ac:dyDescent="0.25"/>
    <row r="65755" customFormat="1" x14ac:dyDescent="0.25"/>
    <row r="65756" customFormat="1" x14ac:dyDescent="0.25"/>
    <row r="65757" customFormat="1" x14ac:dyDescent="0.25"/>
    <row r="65758" customFormat="1" x14ac:dyDescent="0.25"/>
    <row r="65759" customFormat="1" x14ac:dyDescent="0.25"/>
    <row r="65760" customFormat="1" x14ac:dyDescent="0.25"/>
    <row r="65761" customFormat="1" x14ac:dyDescent="0.25"/>
    <row r="65762" customFormat="1" x14ac:dyDescent="0.25"/>
    <row r="65763" customFormat="1" x14ac:dyDescent="0.25"/>
    <row r="65764" customFormat="1" x14ac:dyDescent="0.25"/>
    <row r="65765" customFormat="1" x14ac:dyDescent="0.25"/>
    <row r="65766" customFormat="1" x14ac:dyDescent="0.25"/>
    <row r="65767" customFormat="1" x14ac:dyDescent="0.25"/>
    <row r="65768" customFormat="1" x14ac:dyDescent="0.25"/>
    <row r="65769" customFormat="1" x14ac:dyDescent="0.25"/>
    <row r="65770" customFormat="1" x14ac:dyDescent="0.25"/>
    <row r="65771" customFormat="1" x14ac:dyDescent="0.25"/>
    <row r="65772" customFormat="1" x14ac:dyDescent="0.25"/>
    <row r="65773" customFormat="1" x14ac:dyDescent="0.25"/>
    <row r="65774" customFormat="1" x14ac:dyDescent="0.25"/>
    <row r="65775" customFormat="1" x14ac:dyDescent="0.25"/>
    <row r="65776" customFormat="1" x14ac:dyDescent="0.25"/>
    <row r="65777" customFormat="1" x14ac:dyDescent="0.25"/>
    <row r="65778" customFormat="1" x14ac:dyDescent="0.25"/>
    <row r="65779" customFormat="1" x14ac:dyDescent="0.25"/>
    <row r="65780" customFormat="1" x14ac:dyDescent="0.25"/>
    <row r="65781" customFormat="1" x14ac:dyDescent="0.25"/>
    <row r="65782" customFormat="1" x14ac:dyDescent="0.25"/>
    <row r="65783" customFormat="1" x14ac:dyDescent="0.25"/>
    <row r="65784" customFormat="1" x14ac:dyDescent="0.25"/>
    <row r="65785" customFormat="1" x14ac:dyDescent="0.25"/>
    <row r="65786" customFormat="1" x14ac:dyDescent="0.25"/>
    <row r="65787" customFormat="1" x14ac:dyDescent="0.25"/>
    <row r="65788" customFormat="1" x14ac:dyDescent="0.25"/>
    <row r="65789" customFormat="1" x14ac:dyDescent="0.25"/>
    <row r="65790" customFormat="1" x14ac:dyDescent="0.25"/>
    <row r="65791" customFormat="1" x14ac:dyDescent="0.25"/>
    <row r="65792" customFormat="1" x14ac:dyDescent="0.25"/>
    <row r="65793" customFormat="1" x14ac:dyDescent="0.25"/>
    <row r="65794" customFormat="1" x14ac:dyDescent="0.25"/>
    <row r="65795" customFormat="1" x14ac:dyDescent="0.25"/>
    <row r="65796" customFormat="1" x14ac:dyDescent="0.25"/>
    <row r="65797" customFormat="1" x14ac:dyDescent="0.25"/>
    <row r="65798" customFormat="1" x14ac:dyDescent="0.25"/>
    <row r="65799" customFormat="1" x14ac:dyDescent="0.25"/>
    <row r="65800" customFormat="1" x14ac:dyDescent="0.25"/>
    <row r="65801" customFormat="1" x14ac:dyDescent="0.25"/>
    <row r="65802" customFormat="1" x14ac:dyDescent="0.25"/>
    <row r="65803" customFormat="1" x14ac:dyDescent="0.25"/>
    <row r="65804" customFormat="1" x14ac:dyDescent="0.25"/>
    <row r="65805" customFormat="1" x14ac:dyDescent="0.25"/>
    <row r="65806" customFormat="1" x14ac:dyDescent="0.25"/>
    <row r="65807" customFormat="1" x14ac:dyDescent="0.25"/>
    <row r="65808" customFormat="1" x14ac:dyDescent="0.25"/>
    <row r="65809" customFormat="1" x14ac:dyDescent="0.25"/>
    <row r="65810" customFormat="1" x14ac:dyDescent="0.25"/>
    <row r="65811" customFormat="1" x14ac:dyDescent="0.25"/>
    <row r="65812" customFormat="1" x14ac:dyDescent="0.25"/>
    <row r="65813" customFormat="1" x14ac:dyDescent="0.25"/>
    <row r="65814" customFormat="1" x14ac:dyDescent="0.25"/>
    <row r="65815" customFormat="1" x14ac:dyDescent="0.25"/>
    <row r="65816" customFormat="1" x14ac:dyDescent="0.25"/>
    <row r="65817" customFormat="1" x14ac:dyDescent="0.25"/>
    <row r="65818" customFormat="1" x14ac:dyDescent="0.25"/>
    <row r="65819" customFormat="1" x14ac:dyDescent="0.25"/>
    <row r="65820" customFormat="1" x14ac:dyDescent="0.25"/>
    <row r="65821" customFormat="1" x14ac:dyDescent="0.25"/>
    <row r="65822" customFormat="1" x14ac:dyDescent="0.25"/>
    <row r="65823" customFormat="1" x14ac:dyDescent="0.25"/>
    <row r="65824" customFormat="1" x14ac:dyDescent="0.25"/>
    <row r="65825" customFormat="1" x14ac:dyDescent="0.25"/>
    <row r="65826" customFormat="1" x14ac:dyDescent="0.25"/>
    <row r="65827" customFormat="1" x14ac:dyDescent="0.25"/>
    <row r="65828" customFormat="1" x14ac:dyDescent="0.25"/>
    <row r="65829" customFormat="1" x14ac:dyDescent="0.25"/>
    <row r="65830" customFormat="1" x14ac:dyDescent="0.25"/>
    <row r="65831" customFormat="1" x14ac:dyDescent="0.25"/>
    <row r="65832" customFormat="1" x14ac:dyDescent="0.25"/>
    <row r="65833" customFormat="1" x14ac:dyDescent="0.25"/>
    <row r="65834" customFormat="1" x14ac:dyDescent="0.25"/>
    <row r="65835" customFormat="1" x14ac:dyDescent="0.25"/>
    <row r="65836" customFormat="1" x14ac:dyDescent="0.25"/>
    <row r="65837" customFormat="1" x14ac:dyDescent="0.25"/>
    <row r="65838" customFormat="1" x14ac:dyDescent="0.25"/>
    <row r="65839" customFormat="1" x14ac:dyDescent="0.25"/>
    <row r="65840" customFormat="1" x14ac:dyDescent="0.25"/>
    <row r="65841" customFormat="1" x14ac:dyDescent="0.25"/>
    <row r="65842" customFormat="1" x14ac:dyDescent="0.25"/>
    <row r="65843" customFormat="1" x14ac:dyDescent="0.25"/>
    <row r="65844" customFormat="1" x14ac:dyDescent="0.25"/>
    <row r="65845" customFormat="1" x14ac:dyDescent="0.25"/>
    <row r="65846" customFormat="1" x14ac:dyDescent="0.25"/>
    <row r="65847" customFormat="1" x14ac:dyDescent="0.25"/>
    <row r="65848" customFormat="1" x14ac:dyDescent="0.25"/>
    <row r="65849" customFormat="1" x14ac:dyDescent="0.25"/>
    <row r="65850" customFormat="1" x14ac:dyDescent="0.25"/>
    <row r="65851" customFormat="1" x14ac:dyDescent="0.25"/>
    <row r="65852" customFormat="1" x14ac:dyDescent="0.25"/>
    <row r="65853" customFormat="1" x14ac:dyDescent="0.25"/>
    <row r="65854" customFormat="1" x14ac:dyDescent="0.25"/>
    <row r="65855" customFormat="1" x14ac:dyDescent="0.25"/>
    <row r="65856" customFormat="1" x14ac:dyDescent="0.25"/>
    <row r="65857" customFormat="1" x14ac:dyDescent="0.25"/>
    <row r="65858" customFormat="1" x14ac:dyDescent="0.25"/>
    <row r="65859" customFormat="1" x14ac:dyDescent="0.25"/>
    <row r="65860" customFormat="1" x14ac:dyDescent="0.25"/>
    <row r="65861" customFormat="1" x14ac:dyDescent="0.25"/>
    <row r="65862" customFormat="1" x14ac:dyDescent="0.25"/>
    <row r="65863" customFormat="1" x14ac:dyDescent="0.25"/>
    <row r="65864" customFormat="1" x14ac:dyDescent="0.25"/>
    <row r="65865" customFormat="1" x14ac:dyDescent="0.25"/>
    <row r="65866" customFormat="1" x14ac:dyDescent="0.25"/>
    <row r="65867" customFormat="1" x14ac:dyDescent="0.25"/>
    <row r="65868" customFormat="1" x14ac:dyDescent="0.25"/>
    <row r="65869" customFormat="1" x14ac:dyDescent="0.25"/>
    <row r="65870" customFormat="1" x14ac:dyDescent="0.25"/>
    <row r="65871" customFormat="1" x14ac:dyDescent="0.25"/>
    <row r="65872" customFormat="1" x14ac:dyDescent="0.25"/>
    <row r="65873" customFormat="1" x14ac:dyDescent="0.25"/>
    <row r="65874" customFormat="1" x14ac:dyDescent="0.25"/>
    <row r="65875" customFormat="1" x14ac:dyDescent="0.25"/>
    <row r="65876" customFormat="1" x14ac:dyDescent="0.25"/>
    <row r="65877" customFormat="1" x14ac:dyDescent="0.25"/>
    <row r="65878" customFormat="1" x14ac:dyDescent="0.25"/>
    <row r="65879" customFormat="1" x14ac:dyDescent="0.25"/>
    <row r="65880" customFormat="1" x14ac:dyDescent="0.25"/>
    <row r="65881" customFormat="1" x14ac:dyDescent="0.25"/>
    <row r="65882" customFormat="1" x14ac:dyDescent="0.25"/>
    <row r="65883" customFormat="1" x14ac:dyDescent="0.25"/>
    <row r="65884" customFormat="1" x14ac:dyDescent="0.25"/>
    <row r="65885" customFormat="1" x14ac:dyDescent="0.25"/>
    <row r="65886" customFormat="1" x14ac:dyDescent="0.25"/>
    <row r="65887" customFormat="1" x14ac:dyDescent="0.25"/>
    <row r="65888" customFormat="1" x14ac:dyDescent="0.25"/>
    <row r="65889" customFormat="1" x14ac:dyDescent="0.25"/>
    <row r="65890" customFormat="1" x14ac:dyDescent="0.25"/>
    <row r="65891" customFormat="1" x14ac:dyDescent="0.25"/>
    <row r="65892" customFormat="1" x14ac:dyDescent="0.25"/>
    <row r="65893" customFormat="1" x14ac:dyDescent="0.25"/>
    <row r="65894" customFormat="1" x14ac:dyDescent="0.25"/>
    <row r="65895" customFormat="1" x14ac:dyDescent="0.25"/>
    <row r="65896" customFormat="1" x14ac:dyDescent="0.25"/>
    <row r="65897" customFormat="1" x14ac:dyDescent="0.25"/>
    <row r="65898" customFormat="1" x14ac:dyDescent="0.25"/>
    <row r="65899" customFormat="1" x14ac:dyDescent="0.25"/>
    <row r="65900" customFormat="1" x14ac:dyDescent="0.25"/>
    <row r="65901" customFormat="1" x14ac:dyDescent="0.25"/>
    <row r="65902" customFormat="1" x14ac:dyDescent="0.25"/>
    <row r="65903" customFormat="1" x14ac:dyDescent="0.25"/>
    <row r="65904" customFormat="1" x14ac:dyDescent="0.25"/>
    <row r="65905" customFormat="1" x14ac:dyDescent="0.25"/>
    <row r="65906" customFormat="1" x14ac:dyDescent="0.25"/>
    <row r="65907" customFormat="1" x14ac:dyDescent="0.25"/>
    <row r="65908" customFormat="1" x14ac:dyDescent="0.25"/>
    <row r="65909" customFormat="1" x14ac:dyDescent="0.25"/>
    <row r="65910" customFormat="1" x14ac:dyDescent="0.25"/>
    <row r="65911" customFormat="1" x14ac:dyDescent="0.25"/>
    <row r="65912" customFormat="1" x14ac:dyDescent="0.25"/>
    <row r="65913" customFormat="1" x14ac:dyDescent="0.25"/>
    <row r="65914" customFormat="1" x14ac:dyDescent="0.25"/>
    <row r="65915" customFormat="1" x14ac:dyDescent="0.25"/>
    <row r="65916" customFormat="1" x14ac:dyDescent="0.25"/>
    <row r="65917" customFormat="1" x14ac:dyDescent="0.25"/>
    <row r="65918" customFormat="1" x14ac:dyDescent="0.25"/>
    <row r="65919" customFormat="1" x14ac:dyDescent="0.25"/>
    <row r="65920" customFormat="1" x14ac:dyDescent="0.25"/>
    <row r="65921" customFormat="1" x14ac:dyDescent="0.25"/>
    <row r="65922" customFormat="1" x14ac:dyDescent="0.25"/>
    <row r="65923" customFormat="1" x14ac:dyDescent="0.25"/>
    <row r="65924" customFormat="1" x14ac:dyDescent="0.25"/>
    <row r="65925" customFormat="1" x14ac:dyDescent="0.25"/>
    <row r="65926" customFormat="1" x14ac:dyDescent="0.25"/>
    <row r="65927" customFormat="1" x14ac:dyDescent="0.25"/>
    <row r="65928" customFormat="1" x14ac:dyDescent="0.25"/>
    <row r="65929" customFormat="1" x14ac:dyDescent="0.25"/>
    <row r="65930" customFormat="1" x14ac:dyDescent="0.25"/>
    <row r="65931" customFormat="1" x14ac:dyDescent="0.25"/>
    <row r="65932" customFormat="1" x14ac:dyDescent="0.25"/>
    <row r="65933" customFormat="1" x14ac:dyDescent="0.25"/>
    <row r="65934" customFormat="1" x14ac:dyDescent="0.25"/>
    <row r="65935" customFormat="1" x14ac:dyDescent="0.25"/>
    <row r="65936" customFormat="1" x14ac:dyDescent="0.25"/>
    <row r="65937" customFormat="1" x14ac:dyDescent="0.25"/>
    <row r="65938" customFormat="1" x14ac:dyDescent="0.25"/>
    <row r="65939" customFormat="1" x14ac:dyDescent="0.25"/>
    <row r="65940" customFormat="1" x14ac:dyDescent="0.25"/>
    <row r="65941" customFormat="1" x14ac:dyDescent="0.25"/>
    <row r="65942" customFormat="1" x14ac:dyDescent="0.25"/>
    <row r="65943" customFormat="1" x14ac:dyDescent="0.25"/>
    <row r="65944" customFormat="1" x14ac:dyDescent="0.25"/>
    <row r="65945" customFormat="1" x14ac:dyDescent="0.25"/>
    <row r="65946" customFormat="1" x14ac:dyDescent="0.25"/>
    <row r="65947" customFormat="1" x14ac:dyDescent="0.25"/>
    <row r="65948" customFormat="1" x14ac:dyDescent="0.25"/>
    <row r="65949" customFormat="1" x14ac:dyDescent="0.25"/>
    <row r="65950" customFormat="1" x14ac:dyDescent="0.25"/>
    <row r="65951" customFormat="1" x14ac:dyDescent="0.25"/>
    <row r="65952" customFormat="1" x14ac:dyDescent="0.25"/>
    <row r="65953" customFormat="1" x14ac:dyDescent="0.25"/>
    <row r="65954" customFormat="1" x14ac:dyDescent="0.25"/>
    <row r="65955" customFormat="1" x14ac:dyDescent="0.25"/>
    <row r="65956" customFormat="1" x14ac:dyDescent="0.25"/>
    <row r="65957" customFormat="1" x14ac:dyDescent="0.25"/>
    <row r="65958" customFormat="1" x14ac:dyDescent="0.25"/>
    <row r="65959" customFormat="1" x14ac:dyDescent="0.25"/>
    <row r="65960" customFormat="1" x14ac:dyDescent="0.25"/>
    <row r="65961" customFormat="1" x14ac:dyDescent="0.25"/>
    <row r="65962" customFormat="1" x14ac:dyDescent="0.25"/>
    <row r="65963" customFormat="1" x14ac:dyDescent="0.25"/>
    <row r="65964" customFormat="1" x14ac:dyDescent="0.25"/>
    <row r="65965" customFormat="1" x14ac:dyDescent="0.25"/>
    <row r="65966" customFormat="1" x14ac:dyDescent="0.25"/>
    <row r="65967" customFormat="1" x14ac:dyDescent="0.25"/>
    <row r="65968" customFormat="1" x14ac:dyDescent="0.25"/>
    <row r="65969" customFormat="1" x14ac:dyDescent="0.25"/>
    <row r="65970" customFormat="1" x14ac:dyDescent="0.25"/>
    <row r="65971" customFormat="1" x14ac:dyDescent="0.25"/>
    <row r="65972" customFormat="1" x14ac:dyDescent="0.25"/>
    <row r="65973" customFormat="1" x14ac:dyDescent="0.25"/>
    <row r="65974" customFormat="1" x14ac:dyDescent="0.25"/>
    <row r="65975" customFormat="1" x14ac:dyDescent="0.25"/>
    <row r="65976" customFormat="1" x14ac:dyDescent="0.25"/>
    <row r="65977" customFormat="1" x14ac:dyDescent="0.25"/>
    <row r="65978" customFormat="1" x14ac:dyDescent="0.25"/>
    <row r="65979" customFormat="1" x14ac:dyDescent="0.25"/>
    <row r="65980" customFormat="1" x14ac:dyDescent="0.25"/>
    <row r="65981" customFormat="1" x14ac:dyDescent="0.25"/>
    <row r="65982" customFormat="1" x14ac:dyDescent="0.25"/>
    <row r="65983" customFormat="1" x14ac:dyDescent="0.25"/>
    <row r="65984" customFormat="1" x14ac:dyDescent="0.25"/>
    <row r="65985" customFormat="1" x14ac:dyDescent="0.25"/>
    <row r="65986" customFormat="1" x14ac:dyDescent="0.25"/>
    <row r="65987" customFormat="1" x14ac:dyDescent="0.25"/>
    <row r="65988" customFormat="1" x14ac:dyDescent="0.25"/>
    <row r="65989" customFormat="1" x14ac:dyDescent="0.25"/>
    <row r="65990" customFormat="1" x14ac:dyDescent="0.25"/>
    <row r="65991" customFormat="1" x14ac:dyDescent="0.25"/>
    <row r="65992" customFormat="1" x14ac:dyDescent="0.25"/>
    <row r="65993" customFormat="1" x14ac:dyDescent="0.25"/>
    <row r="65994" customFormat="1" x14ac:dyDescent="0.25"/>
    <row r="65995" customFormat="1" x14ac:dyDescent="0.25"/>
    <row r="65996" customFormat="1" x14ac:dyDescent="0.25"/>
    <row r="65997" customFormat="1" x14ac:dyDescent="0.25"/>
    <row r="65998" customFormat="1" x14ac:dyDescent="0.25"/>
    <row r="65999" customFormat="1" x14ac:dyDescent="0.25"/>
    <row r="66000" customFormat="1" x14ac:dyDescent="0.25"/>
    <row r="66001" customFormat="1" x14ac:dyDescent="0.25"/>
    <row r="66002" customFormat="1" x14ac:dyDescent="0.25"/>
    <row r="66003" customFormat="1" x14ac:dyDescent="0.25"/>
    <row r="66004" customFormat="1" x14ac:dyDescent="0.25"/>
    <row r="66005" customFormat="1" x14ac:dyDescent="0.25"/>
    <row r="66006" customFormat="1" x14ac:dyDescent="0.25"/>
    <row r="66007" customFormat="1" x14ac:dyDescent="0.25"/>
    <row r="66008" customFormat="1" x14ac:dyDescent="0.25"/>
    <row r="66009" customFormat="1" x14ac:dyDescent="0.25"/>
    <row r="66010" customFormat="1" x14ac:dyDescent="0.25"/>
    <row r="66011" customFormat="1" x14ac:dyDescent="0.25"/>
    <row r="66012" customFormat="1" x14ac:dyDescent="0.25"/>
    <row r="66013" customFormat="1" x14ac:dyDescent="0.25"/>
    <row r="66014" customFormat="1" x14ac:dyDescent="0.25"/>
    <row r="66015" customFormat="1" x14ac:dyDescent="0.25"/>
    <row r="66016" customFormat="1" x14ac:dyDescent="0.25"/>
    <row r="66017" customFormat="1" x14ac:dyDescent="0.25"/>
    <row r="66018" customFormat="1" x14ac:dyDescent="0.25"/>
    <row r="66019" customFormat="1" x14ac:dyDescent="0.25"/>
    <row r="66020" customFormat="1" x14ac:dyDescent="0.25"/>
    <row r="66021" customFormat="1" x14ac:dyDescent="0.25"/>
    <row r="66022" customFormat="1" x14ac:dyDescent="0.25"/>
    <row r="66023" customFormat="1" x14ac:dyDescent="0.25"/>
    <row r="66024" customFormat="1" x14ac:dyDescent="0.25"/>
    <row r="66025" customFormat="1" x14ac:dyDescent="0.25"/>
    <row r="66026" customFormat="1" x14ac:dyDescent="0.25"/>
    <row r="66027" customFormat="1" x14ac:dyDescent="0.25"/>
    <row r="66028" customFormat="1" x14ac:dyDescent="0.25"/>
    <row r="66029" customFormat="1" x14ac:dyDescent="0.25"/>
    <row r="66030" customFormat="1" x14ac:dyDescent="0.25"/>
    <row r="66031" customFormat="1" x14ac:dyDescent="0.25"/>
    <row r="66032" customFormat="1" x14ac:dyDescent="0.25"/>
    <row r="66033" customFormat="1" x14ac:dyDescent="0.25"/>
    <row r="66034" customFormat="1" x14ac:dyDescent="0.25"/>
    <row r="66035" customFormat="1" x14ac:dyDescent="0.25"/>
    <row r="66036" customFormat="1" x14ac:dyDescent="0.25"/>
    <row r="66037" customFormat="1" x14ac:dyDescent="0.25"/>
    <row r="66038" customFormat="1" x14ac:dyDescent="0.25"/>
    <row r="66039" customFormat="1" x14ac:dyDescent="0.25"/>
    <row r="66040" customFormat="1" x14ac:dyDescent="0.25"/>
    <row r="66041" customFormat="1" x14ac:dyDescent="0.25"/>
    <row r="66042" customFormat="1" x14ac:dyDescent="0.25"/>
    <row r="66043" customFormat="1" x14ac:dyDescent="0.25"/>
    <row r="66044" customFormat="1" x14ac:dyDescent="0.25"/>
    <row r="66045" customFormat="1" x14ac:dyDescent="0.25"/>
    <row r="66046" customFormat="1" x14ac:dyDescent="0.25"/>
    <row r="66047" customFormat="1" x14ac:dyDescent="0.25"/>
    <row r="66048" customFormat="1" x14ac:dyDescent="0.25"/>
    <row r="66049" customFormat="1" x14ac:dyDescent="0.25"/>
    <row r="66050" customFormat="1" x14ac:dyDescent="0.25"/>
    <row r="66051" customFormat="1" x14ac:dyDescent="0.25"/>
    <row r="66052" customFormat="1" x14ac:dyDescent="0.25"/>
    <row r="66053" customFormat="1" x14ac:dyDescent="0.25"/>
    <row r="66054" customFormat="1" x14ac:dyDescent="0.25"/>
    <row r="66055" customFormat="1" x14ac:dyDescent="0.25"/>
    <row r="66056" customFormat="1" x14ac:dyDescent="0.25"/>
    <row r="66057" customFormat="1" x14ac:dyDescent="0.25"/>
    <row r="66058" customFormat="1" x14ac:dyDescent="0.25"/>
    <row r="66059" customFormat="1" x14ac:dyDescent="0.25"/>
    <row r="66060" customFormat="1" x14ac:dyDescent="0.25"/>
    <row r="66061" customFormat="1" x14ac:dyDescent="0.25"/>
    <row r="66062" customFormat="1" x14ac:dyDescent="0.25"/>
    <row r="66063" customFormat="1" x14ac:dyDescent="0.25"/>
    <row r="66064" customFormat="1" x14ac:dyDescent="0.25"/>
    <row r="66065" customFormat="1" x14ac:dyDescent="0.25"/>
    <row r="66066" customFormat="1" x14ac:dyDescent="0.25"/>
    <row r="66067" customFormat="1" x14ac:dyDescent="0.25"/>
    <row r="66068" customFormat="1" x14ac:dyDescent="0.25"/>
    <row r="66069" customFormat="1" x14ac:dyDescent="0.25"/>
    <row r="66070" customFormat="1" x14ac:dyDescent="0.25"/>
    <row r="66071" customFormat="1" x14ac:dyDescent="0.25"/>
    <row r="66072" customFormat="1" x14ac:dyDescent="0.25"/>
    <row r="66073" customFormat="1" x14ac:dyDescent="0.25"/>
    <row r="66074" customFormat="1" x14ac:dyDescent="0.25"/>
    <row r="66075" customFormat="1" x14ac:dyDescent="0.25"/>
    <row r="66076" customFormat="1" x14ac:dyDescent="0.25"/>
    <row r="66077" customFormat="1" x14ac:dyDescent="0.25"/>
    <row r="66078" customFormat="1" x14ac:dyDescent="0.25"/>
    <row r="66079" customFormat="1" x14ac:dyDescent="0.25"/>
    <row r="66080" customFormat="1" x14ac:dyDescent="0.25"/>
    <row r="66081" customFormat="1" x14ac:dyDescent="0.25"/>
    <row r="66082" customFormat="1" x14ac:dyDescent="0.25"/>
    <row r="66083" customFormat="1" x14ac:dyDescent="0.25"/>
    <row r="66084" customFormat="1" x14ac:dyDescent="0.25"/>
    <row r="66085" customFormat="1" x14ac:dyDescent="0.25"/>
    <row r="66086" customFormat="1" x14ac:dyDescent="0.25"/>
    <row r="66087" customFormat="1" x14ac:dyDescent="0.25"/>
    <row r="66088" customFormat="1" x14ac:dyDescent="0.25"/>
    <row r="66089" customFormat="1" x14ac:dyDescent="0.25"/>
    <row r="66090" customFormat="1" x14ac:dyDescent="0.25"/>
    <row r="66091" customFormat="1" x14ac:dyDescent="0.25"/>
    <row r="66092" customFormat="1" x14ac:dyDescent="0.25"/>
    <row r="66093" customFormat="1" x14ac:dyDescent="0.25"/>
    <row r="66094" customFormat="1" x14ac:dyDescent="0.25"/>
    <row r="66095" customFormat="1" x14ac:dyDescent="0.25"/>
    <row r="66096" customFormat="1" x14ac:dyDescent="0.25"/>
    <row r="66097" customFormat="1" x14ac:dyDescent="0.25"/>
    <row r="66098" customFormat="1" x14ac:dyDescent="0.25"/>
    <row r="66099" customFormat="1" x14ac:dyDescent="0.25"/>
    <row r="66100" customFormat="1" x14ac:dyDescent="0.25"/>
    <row r="66101" customFormat="1" x14ac:dyDescent="0.25"/>
    <row r="66102" customFormat="1" x14ac:dyDescent="0.25"/>
    <row r="66103" customFormat="1" x14ac:dyDescent="0.25"/>
    <row r="66104" customFormat="1" x14ac:dyDescent="0.25"/>
    <row r="66105" customFormat="1" x14ac:dyDescent="0.25"/>
    <row r="66106" customFormat="1" x14ac:dyDescent="0.25"/>
    <row r="66107" customFormat="1" x14ac:dyDescent="0.25"/>
    <row r="66108" customFormat="1" x14ac:dyDescent="0.25"/>
    <row r="66109" customFormat="1" x14ac:dyDescent="0.25"/>
    <row r="66110" customFormat="1" x14ac:dyDescent="0.25"/>
    <row r="66111" customFormat="1" x14ac:dyDescent="0.25"/>
    <row r="66112" customFormat="1" x14ac:dyDescent="0.25"/>
    <row r="66113" customFormat="1" x14ac:dyDescent="0.25"/>
    <row r="66114" customFormat="1" x14ac:dyDescent="0.25"/>
    <row r="66115" customFormat="1" x14ac:dyDescent="0.25"/>
    <row r="66116" customFormat="1" x14ac:dyDescent="0.25"/>
    <row r="66117" customFormat="1" x14ac:dyDescent="0.25"/>
    <row r="66118" customFormat="1" x14ac:dyDescent="0.25"/>
    <row r="66119" customFormat="1" x14ac:dyDescent="0.25"/>
    <row r="66120" customFormat="1" x14ac:dyDescent="0.25"/>
    <row r="66121" customFormat="1" x14ac:dyDescent="0.25"/>
    <row r="66122" customFormat="1" x14ac:dyDescent="0.25"/>
    <row r="66123" customFormat="1" x14ac:dyDescent="0.25"/>
    <row r="66124" customFormat="1" x14ac:dyDescent="0.25"/>
    <row r="66125" customFormat="1" x14ac:dyDescent="0.25"/>
    <row r="66126" customFormat="1" x14ac:dyDescent="0.25"/>
    <row r="66127" customFormat="1" x14ac:dyDescent="0.25"/>
    <row r="66128" customFormat="1" x14ac:dyDescent="0.25"/>
    <row r="66129" customFormat="1" x14ac:dyDescent="0.25"/>
    <row r="66130" customFormat="1" x14ac:dyDescent="0.25"/>
    <row r="66131" customFormat="1" x14ac:dyDescent="0.25"/>
    <row r="66132" customFormat="1" x14ac:dyDescent="0.25"/>
    <row r="66133" customFormat="1" x14ac:dyDescent="0.25"/>
    <row r="66134" customFormat="1" x14ac:dyDescent="0.25"/>
    <row r="66135" customFormat="1" x14ac:dyDescent="0.25"/>
    <row r="66136" customFormat="1" x14ac:dyDescent="0.25"/>
    <row r="66137" customFormat="1" x14ac:dyDescent="0.25"/>
    <row r="66138" customFormat="1" x14ac:dyDescent="0.25"/>
    <row r="66139" customFormat="1" x14ac:dyDescent="0.25"/>
    <row r="66140" customFormat="1" x14ac:dyDescent="0.25"/>
    <row r="66141" customFormat="1" x14ac:dyDescent="0.25"/>
    <row r="66142" customFormat="1" x14ac:dyDescent="0.25"/>
    <row r="66143" customFormat="1" x14ac:dyDescent="0.25"/>
    <row r="66144" customFormat="1" x14ac:dyDescent="0.25"/>
    <row r="66145" customFormat="1" x14ac:dyDescent="0.25"/>
    <row r="66146" customFormat="1" x14ac:dyDescent="0.25"/>
    <row r="66147" customFormat="1" x14ac:dyDescent="0.25"/>
    <row r="66148" customFormat="1" x14ac:dyDescent="0.25"/>
    <row r="66149" customFormat="1" x14ac:dyDescent="0.25"/>
    <row r="66150" customFormat="1" x14ac:dyDescent="0.25"/>
    <row r="66151" customFormat="1" x14ac:dyDescent="0.25"/>
    <row r="66152" customFormat="1" x14ac:dyDescent="0.25"/>
    <row r="66153" customFormat="1" x14ac:dyDescent="0.25"/>
    <row r="66154" customFormat="1" x14ac:dyDescent="0.25"/>
    <row r="66155" customFormat="1" x14ac:dyDescent="0.25"/>
    <row r="66156" customFormat="1" x14ac:dyDescent="0.25"/>
    <row r="66157" customFormat="1" x14ac:dyDescent="0.25"/>
    <row r="66158" customFormat="1" x14ac:dyDescent="0.25"/>
    <row r="66159" customFormat="1" x14ac:dyDescent="0.25"/>
    <row r="66160" customFormat="1" x14ac:dyDescent="0.25"/>
    <row r="66161" customFormat="1" x14ac:dyDescent="0.25"/>
    <row r="66162" customFormat="1" x14ac:dyDescent="0.25"/>
    <row r="66163" customFormat="1" x14ac:dyDescent="0.25"/>
    <row r="66164" customFormat="1" x14ac:dyDescent="0.25"/>
    <row r="66165" customFormat="1" x14ac:dyDescent="0.25"/>
    <row r="66166" customFormat="1" x14ac:dyDescent="0.25"/>
    <row r="66167" customFormat="1" x14ac:dyDescent="0.25"/>
    <row r="66168" customFormat="1" x14ac:dyDescent="0.25"/>
    <row r="66169" customFormat="1" x14ac:dyDescent="0.25"/>
    <row r="66170" customFormat="1" x14ac:dyDescent="0.25"/>
    <row r="66171" customFormat="1" x14ac:dyDescent="0.25"/>
    <row r="66172" customFormat="1" x14ac:dyDescent="0.25"/>
    <row r="66173" customFormat="1" x14ac:dyDescent="0.25"/>
    <row r="66174" customFormat="1" x14ac:dyDescent="0.25"/>
    <row r="66175" customFormat="1" x14ac:dyDescent="0.25"/>
    <row r="66176" customFormat="1" x14ac:dyDescent="0.25"/>
    <row r="66177" customFormat="1" x14ac:dyDescent="0.25"/>
    <row r="66178" customFormat="1" x14ac:dyDescent="0.25"/>
    <row r="66179" customFormat="1" x14ac:dyDescent="0.25"/>
    <row r="66180" customFormat="1" x14ac:dyDescent="0.25"/>
    <row r="66181" customFormat="1" x14ac:dyDescent="0.25"/>
    <row r="66182" customFormat="1" x14ac:dyDescent="0.25"/>
    <row r="66183" customFormat="1" x14ac:dyDescent="0.25"/>
    <row r="66184" customFormat="1" x14ac:dyDescent="0.25"/>
    <row r="66185" customFormat="1" x14ac:dyDescent="0.25"/>
    <row r="66186" customFormat="1" x14ac:dyDescent="0.25"/>
    <row r="66187" customFormat="1" x14ac:dyDescent="0.25"/>
    <row r="66188" customFormat="1" x14ac:dyDescent="0.25"/>
    <row r="66189" customFormat="1" x14ac:dyDescent="0.25"/>
    <row r="66190" customFormat="1" x14ac:dyDescent="0.25"/>
    <row r="66191" customFormat="1" x14ac:dyDescent="0.25"/>
    <row r="66192" customFormat="1" x14ac:dyDescent="0.25"/>
    <row r="66193" customFormat="1" x14ac:dyDescent="0.25"/>
    <row r="66194" customFormat="1" x14ac:dyDescent="0.25"/>
    <row r="66195" customFormat="1" x14ac:dyDescent="0.25"/>
    <row r="66196" customFormat="1" x14ac:dyDescent="0.25"/>
    <row r="66197" customFormat="1" x14ac:dyDescent="0.25"/>
    <row r="66198" customFormat="1" x14ac:dyDescent="0.25"/>
    <row r="66199" customFormat="1" x14ac:dyDescent="0.25"/>
    <row r="66200" customFormat="1" x14ac:dyDescent="0.25"/>
    <row r="66201" customFormat="1" x14ac:dyDescent="0.25"/>
    <row r="66202" customFormat="1" x14ac:dyDescent="0.25"/>
    <row r="66203" customFormat="1" x14ac:dyDescent="0.25"/>
    <row r="66204" customFormat="1" x14ac:dyDescent="0.25"/>
    <row r="66205" customFormat="1" x14ac:dyDescent="0.25"/>
    <row r="66206" customFormat="1" x14ac:dyDescent="0.25"/>
    <row r="66207" customFormat="1" x14ac:dyDescent="0.25"/>
    <row r="66208" customFormat="1" x14ac:dyDescent="0.25"/>
    <row r="66209" customFormat="1" x14ac:dyDescent="0.25"/>
    <row r="66210" customFormat="1" x14ac:dyDescent="0.25"/>
    <row r="66211" customFormat="1" x14ac:dyDescent="0.25"/>
    <row r="66212" customFormat="1" x14ac:dyDescent="0.25"/>
    <row r="66213" customFormat="1" x14ac:dyDescent="0.25"/>
    <row r="66214" customFormat="1" x14ac:dyDescent="0.25"/>
    <row r="66215" customFormat="1" x14ac:dyDescent="0.25"/>
    <row r="66216" customFormat="1" x14ac:dyDescent="0.25"/>
    <row r="66217" customFormat="1" x14ac:dyDescent="0.25"/>
    <row r="66218" customFormat="1" x14ac:dyDescent="0.25"/>
    <row r="66219" customFormat="1" x14ac:dyDescent="0.25"/>
    <row r="66220" customFormat="1" x14ac:dyDescent="0.25"/>
    <row r="66221" customFormat="1" x14ac:dyDescent="0.25"/>
    <row r="66222" customFormat="1" x14ac:dyDescent="0.25"/>
    <row r="66223" customFormat="1" x14ac:dyDescent="0.25"/>
    <row r="66224" customFormat="1" x14ac:dyDescent="0.25"/>
    <row r="66225" customFormat="1" x14ac:dyDescent="0.25"/>
    <row r="66226" customFormat="1" x14ac:dyDescent="0.25"/>
    <row r="66227" customFormat="1" x14ac:dyDescent="0.25"/>
    <row r="66228" customFormat="1" x14ac:dyDescent="0.25"/>
    <row r="66229" customFormat="1" x14ac:dyDescent="0.25"/>
    <row r="66230" customFormat="1" x14ac:dyDescent="0.25"/>
    <row r="66231" customFormat="1" x14ac:dyDescent="0.25"/>
    <row r="66232" customFormat="1" x14ac:dyDescent="0.25"/>
    <row r="66233" customFormat="1" x14ac:dyDescent="0.25"/>
    <row r="66234" customFormat="1" x14ac:dyDescent="0.25"/>
    <row r="66235" customFormat="1" x14ac:dyDescent="0.25"/>
    <row r="66236" customFormat="1" x14ac:dyDescent="0.25"/>
    <row r="66237" customFormat="1" x14ac:dyDescent="0.25"/>
    <row r="66238" customFormat="1" x14ac:dyDescent="0.25"/>
    <row r="66239" customFormat="1" x14ac:dyDescent="0.25"/>
    <row r="66240" customFormat="1" x14ac:dyDescent="0.25"/>
    <row r="66241" customFormat="1" x14ac:dyDescent="0.25"/>
    <row r="66242" customFormat="1" x14ac:dyDescent="0.25"/>
    <row r="66243" customFormat="1" x14ac:dyDescent="0.25"/>
    <row r="66244" customFormat="1" x14ac:dyDescent="0.25"/>
    <row r="66245" customFormat="1" x14ac:dyDescent="0.25"/>
    <row r="66246" customFormat="1" x14ac:dyDescent="0.25"/>
    <row r="66247" customFormat="1" x14ac:dyDescent="0.25"/>
    <row r="66248" customFormat="1" x14ac:dyDescent="0.25"/>
    <row r="66249" customFormat="1" x14ac:dyDescent="0.25"/>
    <row r="66250" customFormat="1" x14ac:dyDescent="0.25"/>
    <row r="66251" customFormat="1" x14ac:dyDescent="0.25"/>
    <row r="66252" customFormat="1" x14ac:dyDescent="0.25"/>
    <row r="66253" customFormat="1" x14ac:dyDescent="0.25"/>
    <row r="66254" customFormat="1" x14ac:dyDescent="0.25"/>
    <row r="66255" customFormat="1" x14ac:dyDescent="0.25"/>
    <row r="66256" customFormat="1" x14ac:dyDescent="0.25"/>
    <row r="66257" customFormat="1" x14ac:dyDescent="0.25"/>
    <row r="66258" customFormat="1" x14ac:dyDescent="0.25"/>
    <row r="66259" customFormat="1" x14ac:dyDescent="0.25"/>
    <row r="66260" customFormat="1" x14ac:dyDescent="0.25"/>
    <row r="66261" customFormat="1" x14ac:dyDescent="0.25"/>
    <row r="66262" customFormat="1" x14ac:dyDescent="0.25"/>
    <row r="66263" customFormat="1" x14ac:dyDescent="0.25"/>
    <row r="66264" customFormat="1" x14ac:dyDescent="0.25"/>
    <row r="66265" customFormat="1" x14ac:dyDescent="0.25"/>
    <row r="66266" customFormat="1" x14ac:dyDescent="0.25"/>
    <row r="66267" customFormat="1" x14ac:dyDescent="0.25"/>
    <row r="66268" customFormat="1" x14ac:dyDescent="0.25"/>
    <row r="66269" customFormat="1" x14ac:dyDescent="0.25"/>
    <row r="66270" customFormat="1" x14ac:dyDescent="0.25"/>
    <row r="66271" customFormat="1" x14ac:dyDescent="0.25"/>
    <row r="66272" customFormat="1" x14ac:dyDescent="0.25"/>
    <row r="66273" customFormat="1" x14ac:dyDescent="0.25"/>
    <row r="66274" customFormat="1" x14ac:dyDescent="0.25"/>
    <row r="66275" customFormat="1" x14ac:dyDescent="0.25"/>
    <row r="66276" customFormat="1" x14ac:dyDescent="0.25"/>
    <row r="66277" customFormat="1" x14ac:dyDescent="0.25"/>
    <row r="66278" customFormat="1" x14ac:dyDescent="0.25"/>
    <row r="66279" customFormat="1" x14ac:dyDescent="0.25"/>
    <row r="66280" customFormat="1" x14ac:dyDescent="0.25"/>
    <row r="66281" customFormat="1" x14ac:dyDescent="0.25"/>
    <row r="66282" customFormat="1" x14ac:dyDescent="0.25"/>
    <row r="66283" customFormat="1" x14ac:dyDescent="0.25"/>
    <row r="66284" customFormat="1" x14ac:dyDescent="0.25"/>
    <row r="66285" customFormat="1" x14ac:dyDescent="0.25"/>
    <row r="66286" customFormat="1" x14ac:dyDescent="0.25"/>
    <row r="66287" customFormat="1" x14ac:dyDescent="0.25"/>
    <row r="66288" customFormat="1" x14ac:dyDescent="0.25"/>
    <row r="66289" customFormat="1" x14ac:dyDescent="0.25"/>
    <row r="66290" customFormat="1" x14ac:dyDescent="0.25"/>
    <row r="66291" customFormat="1" x14ac:dyDescent="0.25"/>
    <row r="66292" customFormat="1" x14ac:dyDescent="0.25"/>
    <row r="66293" customFormat="1" x14ac:dyDescent="0.25"/>
    <row r="66294" customFormat="1" x14ac:dyDescent="0.25"/>
    <row r="66295" customFormat="1" x14ac:dyDescent="0.25"/>
    <row r="66296" customFormat="1" x14ac:dyDescent="0.25"/>
    <row r="66297" customFormat="1" x14ac:dyDescent="0.25"/>
    <row r="66298" customFormat="1" x14ac:dyDescent="0.25"/>
    <row r="66299" customFormat="1" x14ac:dyDescent="0.25"/>
    <row r="66300" customFormat="1" x14ac:dyDescent="0.25"/>
    <row r="66301" customFormat="1" x14ac:dyDescent="0.25"/>
    <row r="66302" customFormat="1" x14ac:dyDescent="0.25"/>
    <row r="66303" customFormat="1" x14ac:dyDescent="0.25"/>
    <row r="66304" customFormat="1" x14ac:dyDescent="0.25"/>
    <row r="66305" customFormat="1" x14ac:dyDescent="0.25"/>
    <row r="66306" customFormat="1" x14ac:dyDescent="0.25"/>
    <row r="66307" customFormat="1" x14ac:dyDescent="0.25"/>
    <row r="66308" customFormat="1" x14ac:dyDescent="0.25"/>
    <row r="66309" customFormat="1" x14ac:dyDescent="0.25"/>
    <row r="66310" customFormat="1" x14ac:dyDescent="0.25"/>
    <row r="66311" customFormat="1" x14ac:dyDescent="0.25"/>
    <row r="66312" customFormat="1" x14ac:dyDescent="0.25"/>
    <row r="66313" customFormat="1" x14ac:dyDescent="0.25"/>
    <row r="66314" customFormat="1" x14ac:dyDescent="0.25"/>
    <row r="66315" customFormat="1" x14ac:dyDescent="0.25"/>
    <row r="66316" customFormat="1" x14ac:dyDescent="0.25"/>
    <row r="66317" customFormat="1" x14ac:dyDescent="0.25"/>
    <row r="66318" customFormat="1" x14ac:dyDescent="0.25"/>
    <row r="66319" customFormat="1" x14ac:dyDescent="0.25"/>
    <row r="66320" customFormat="1" x14ac:dyDescent="0.25"/>
    <row r="66321" customFormat="1" x14ac:dyDescent="0.25"/>
    <row r="66322" customFormat="1" x14ac:dyDescent="0.25"/>
    <row r="66323" customFormat="1" x14ac:dyDescent="0.25"/>
    <row r="66324" customFormat="1" x14ac:dyDescent="0.25"/>
    <row r="66325" customFormat="1" x14ac:dyDescent="0.25"/>
    <row r="66326" customFormat="1" x14ac:dyDescent="0.25"/>
    <row r="66327" customFormat="1" x14ac:dyDescent="0.25"/>
    <row r="66328" customFormat="1" x14ac:dyDescent="0.25"/>
    <row r="66329" customFormat="1" x14ac:dyDescent="0.25"/>
    <row r="66330" customFormat="1" x14ac:dyDescent="0.25"/>
    <row r="66331" customFormat="1" x14ac:dyDescent="0.25"/>
    <row r="66332" customFormat="1" x14ac:dyDescent="0.25"/>
    <row r="66333" customFormat="1" x14ac:dyDescent="0.25"/>
    <row r="66334" customFormat="1" x14ac:dyDescent="0.25"/>
    <row r="66335" customFormat="1" x14ac:dyDescent="0.25"/>
    <row r="66336" customFormat="1" x14ac:dyDescent="0.25"/>
    <row r="66337" customFormat="1" x14ac:dyDescent="0.25"/>
    <row r="66338" customFormat="1" x14ac:dyDescent="0.25"/>
    <row r="66339" customFormat="1" x14ac:dyDescent="0.25"/>
    <row r="66340" customFormat="1" x14ac:dyDescent="0.25"/>
    <row r="66341" customFormat="1" x14ac:dyDescent="0.25"/>
    <row r="66342" customFormat="1" x14ac:dyDescent="0.25"/>
    <row r="66343" customFormat="1" x14ac:dyDescent="0.25"/>
    <row r="66344" customFormat="1" x14ac:dyDescent="0.25"/>
    <row r="66345" customFormat="1" x14ac:dyDescent="0.25"/>
    <row r="66346" customFormat="1" x14ac:dyDescent="0.25"/>
    <row r="66347" customFormat="1" x14ac:dyDescent="0.25"/>
    <row r="66348" customFormat="1" x14ac:dyDescent="0.25"/>
    <row r="66349" customFormat="1" x14ac:dyDescent="0.25"/>
    <row r="66350" customFormat="1" x14ac:dyDescent="0.25"/>
    <row r="66351" customFormat="1" x14ac:dyDescent="0.25"/>
    <row r="66352" customFormat="1" x14ac:dyDescent="0.25"/>
    <row r="66353" customFormat="1" x14ac:dyDescent="0.25"/>
    <row r="66354" customFormat="1" x14ac:dyDescent="0.25"/>
    <row r="66355" customFormat="1" x14ac:dyDescent="0.25"/>
    <row r="66356" customFormat="1" x14ac:dyDescent="0.25"/>
    <row r="66357" customFormat="1" x14ac:dyDescent="0.25"/>
    <row r="66358" customFormat="1" x14ac:dyDescent="0.25"/>
    <row r="66359" customFormat="1" x14ac:dyDescent="0.25"/>
    <row r="66360" customFormat="1" x14ac:dyDescent="0.25"/>
    <row r="66361" customFormat="1" x14ac:dyDescent="0.25"/>
    <row r="66362" customFormat="1" x14ac:dyDescent="0.25"/>
    <row r="66363" customFormat="1" x14ac:dyDescent="0.25"/>
    <row r="66364" customFormat="1" x14ac:dyDescent="0.25"/>
    <row r="66365" customFormat="1" x14ac:dyDescent="0.25"/>
    <row r="66366" customFormat="1" x14ac:dyDescent="0.25"/>
    <row r="66367" customFormat="1" x14ac:dyDescent="0.25"/>
    <row r="66368" customFormat="1" x14ac:dyDescent="0.25"/>
    <row r="66369" customFormat="1" x14ac:dyDescent="0.25"/>
    <row r="66370" customFormat="1" x14ac:dyDescent="0.25"/>
    <row r="66371" customFormat="1" x14ac:dyDescent="0.25"/>
    <row r="66372" customFormat="1" x14ac:dyDescent="0.25"/>
    <row r="66373" customFormat="1" x14ac:dyDescent="0.25"/>
    <row r="66374" customFormat="1" x14ac:dyDescent="0.25"/>
    <row r="66375" customFormat="1" x14ac:dyDescent="0.25"/>
    <row r="66376" customFormat="1" x14ac:dyDescent="0.25"/>
    <row r="66377" customFormat="1" x14ac:dyDescent="0.25"/>
    <row r="66378" customFormat="1" x14ac:dyDescent="0.25"/>
    <row r="66379" customFormat="1" x14ac:dyDescent="0.25"/>
    <row r="66380" customFormat="1" x14ac:dyDescent="0.25"/>
    <row r="66381" customFormat="1" x14ac:dyDescent="0.25"/>
    <row r="66382" customFormat="1" x14ac:dyDescent="0.25"/>
    <row r="66383" customFormat="1" x14ac:dyDescent="0.25"/>
    <row r="66384" customFormat="1" x14ac:dyDescent="0.25"/>
    <row r="66385" customFormat="1" x14ac:dyDescent="0.25"/>
    <row r="66386" customFormat="1" x14ac:dyDescent="0.25"/>
    <row r="66387" customFormat="1" x14ac:dyDescent="0.25"/>
    <row r="66388" customFormat="1" x14ac:dyDescent="0.25"/>
    <row r="66389" customFormat="1" x14ac:dyDescent="0.25"/>
    <row r="66390" customFormat="1" x14ac:dyDescent="0.25"/>
    <row r="66391" customFormat="1" x14ac:dyDescent="0.25"/>
    <row r="66392" customFormat="1" x14ac:dyDescent="0.25"/>
    <row r="66393" customFormat="1" x14ac:dyDescent="0.25"/>
    <row r="66394" customFormat="1" x14ac:dyDescent="0.25"/>
    <row r="66395" customFormat="1" x14ac:dyDescent="0.25"/>
    <row r="66396" customFormat="1" x14ac:dyDescent="0.25"/>
    <row r="66397" customFormat="1" x14ac:dyDescent="0.25"/>
    <row r="66398" customFormat="1" x14ac:dyDescent="0.25"/>
    <row r="66399" customFormat="1" x14ac:dyDescent="0.25"/>
    <row r="66400" customFormat="1" x14ac:dyDescent="0.25"/>
    <row r="66401" customFormat="1" x14ac:dyDescent="0.25"/>
    <row r="66402" customFormat="1" x14ac:dyDescent="0.25"/>
    <row r="66403" customFormat="1" x14ac:dyDescent="0.25"/>
    <row r="66404" customFormat="1" x14ac:dyDescent="0.25"/>
    <row r="66405" customFormat="1" x14ac:dyDescent="0.25"/>
    <row r="66406" customFormat="1" x14ac:dyDescent="0.25"/>
    <row r="66407" customFormat="1" x14ac:dyDescent="0.25"/>
    <row r="66408" customFormat="1" x14ac:dyDescent="0.25"/>
    <row r="66409" customFormat="1" x14ac:dyDescent="0.25"/>
    <row r="66410" customFormat="1" x14ac:dyDescent="0.25"/>
    <row r="66411" customFormat="1" x14ac:dyDescent="0.25"/>
    <row r="66412" customFormat="1" x14ac:dyDescent="0.25"/>
    <row r="66413" customFormat="1" x14ac:dyDescent="0.25"/>
    <row r="66414" customFormat="1" x14ac:dyDescent="0.25"/>
    <row r="66415" customFormat="1" x14ac:dyDescent="0.25"/>
    <row r="66416" customFormat="1" x14ac:dyDescent="0.25"/>
    <row r="66417" customFormat="1" x14ac:dyDescent="0.25"/>
    <row r="66418" customFormat="1" x14ac:dyDescent="0.25"/>
    <row r="66419" customFormat="1" x14ac:dyDescent="0.25"/>
    <row r="66420" customFormat="1" x14ac:dyDescent="0.25"/>
    <row r="66421" customFormat="1" x14ac:dyDescent="0.25"/>
    <row r="66422" customFormat="1" x14ac:dyDescent="0.25"/>
    <row r="66423" customFormat="1" x14ac:dyDescent="0.25"/>
    <row r="66424" customFormat="1" x14ac:dyDescent="0.25"/>
    <row r="66425" customFormat="1" x14ac:dyDescent="0.25"/>
    <row r="66426" customFormat="1" x14ac:dyDescent="0.25"/>
    <row r="66427" customFormat="1" x14ac:dyDescent="0.25"/>
    <row r="66428" customFormat="1" x14ac:dyDescent="0.25"/>
    <row r="66429" customFormat="1" x14ac:dyDescent="0.25"/>
    <row r="66430" customFormat="1" x14ac:dyDescent="0.25"/>
    <row r="66431" customFormat="1" x14ac:dyDescent="0.25"/>
    <row r="66432" customFormat="1" x14ac:dyDescent="0.25"/>
    <row r="66433" customFormat="1" x14ac:dyDescent="0.25"/>
    <row r="66434" customFormat="1" x14ac:dyDescent="0.25"/>
    <row r="66435" customFormat="1" x14ac:dyDescent="0.25"/>
    <row r="66436" customFormat="1" x14ac:dyDescent="0.25"/>
    <row r="66437" customFormat="1" x14ac:dyDescent="0.25"/>
    <row r="66438" customFormat="1" x14ac:dyDescent="0.25"/>
    <row r="66439" customFormat="1" x14ac:dyDescent="0.25"/>
    <row r="66440" customFormat="1" x14ac:dyDescent="0.25"/>
    <row r="66441" customFormat="1" x14ac:dyDescent="0.25"/>
    <row r="66442" customFormat="1" x14ac:dyDescent="0.25"/>
    <row r="66443" customFormat="1" x14ac:dyDescent="0.25"/>
    <row r="66444" customFormat="1" x14ac:dyDescent="0.25"/>
    <row r="66445" customFormat="1" x14ac:dyDescent="0.25"/>
    <row r="66446" customFormat="1" x14ac:dyDescent="0.25"/>
    <row r="66447" customFormat="1" x14ac:dyDescent="0.25"/>
    <row r="66448" customFormat="1" x14ac:dyDescent="0.25"/>
    <row r="66449" customFormat="1" x14ac:dyDescent="0.25"/>
    <row r="66450" customFormat="1" x14ac:dyDescent="0.25"/>
    <row r="66451" customFormat="1" x14ac:dyDescent="0.25"/>
    <row r="66452" customFormat="1" x14ac:dyDescent="0.25"/>
    <row r="66453" customFormat="1" x14ac:dyDescent="0.25"/>
    <row r="66454" customFormat="1" x14ac:dyDescent="0.25"/>
    <row r="66455" customFormat="1" x14ac:dyDescent="0.25"/>
    <row r="66456" customFormat="1" x14ac:dyDescent="0.25"/>
    <row r="66457" customFormat="1" x14ac:dyDescent="0.25"/>
    <row r="66458" customFormat="1" x14ac:dyDescent="0.25"/>
    <row r="66459" customFormat="1" x14ac:dyDescent="0.25"/>
    <row r="66460" customFormat="1" x14ac:dyDescent="0.25"/>
    <row r="66461" customFormat="1" x14ac:dyDescent="0.25"/>
    <row r="66462" customFormat="1" x14ac:dyDescent="0.25"/>
    <row r="66463" customFormat="1" x14ac:dyDescent="0.25"/>
    <row r="66464" customFormat="1" x14ac:dyDescent="0.25"/>
    <row r="66465" customFormat="1" x14ac:dyDescent="0.25"/>
    <row r="66466" customFormat="1" x14ac:dyDescent="0.25"/>
    <row r="66467" customFormat="1" x14ac:dyDescent="0.25"/>
    <row r="66468" customFormat="1" x14ac:dyDescent="0.25"/>
    <row r="66469" customFormat="1" x14ac:dyDescent="0.25"/>
    <row r="66470" customFormat="1" x14ac:dyDescent="0.25"/>
    <row r="66471" customFormat="1" x14ac:dyDescent="0.25"/>
    <row r="66472" customFormat="1" x14ac:dyDescent="0.25"/>
    <row r="66473" customFormat="1" x14ac:dyDescent="0.25"/>
    <row r="66474" customFormat="1" x14ac:dyDescent="0.25"/>
    <row r="66475" customFormat="1" x14ac:dyDescent="0.25"/>
    <row r="66476" customFormat="1" x14ac:dyDescent="0.25"/>
    <row r="66477" customFormat="1" x14ac:dyDescent="0.25"/>
    <row r="66478" customFormat="1" x14ac:dyDescent="0.25"/>
    <row r="66479" customFormat="1" x14ac:dyDescent="0.25"/>
    <row r="66480" customFormat="1" x14ac:dyDescent="0.25"/>
    <row r="66481" customFormat="1" x14ac:dyDescent="0.25"/>
    <row r="66482" customFormat="1" x14ac:dyDescent="0.25"/>
    <row r="66483" customFormat="1" x14ac:dyDescent="0.25"/>
    <row r="66484" customFormat="1" x14ac:dyDescent="0.25"/>
    <row r="66485" customFormat="1" x14ac:dyDescent="0.25"/>
    <row r="66486" customFormat="1" x14ac:dyDescent="0.25"/>
    <row r="66487" customFormat="1" x14ac:dyDescent="0.25"/>
    <row r="66488" customFormat="1" x14ac:dyDescent="0.25"/>
    <row r="66489" customFormat="1" x14ac:dyDescent="0.25"/>
    <row r="66490" customFormat="1" x14ac:dyDescent="0.25"/>
    <row r="66491" customFormat="1" x14ac:dyDescent="0.25"/>
    <row r="66492" customFormat="1" x14ac:dyDescent="0.25"/>
    <row r="66493" customFormat="1" x14ac:dyDescent="0.25"/>
    <row r="66494" customFormat="1" x14ac:dyDescent="0.25"/>
    <row r="66495" customFormat="1" x14ac:dyDescent="0.25"/>
    <row r="66496" customFormat="1" x14ac:dyDescent="0.25"/>
    <row r="66497" customFormat="1" x14ac:dyDescent="0.25"/>
    <row r="66498" customFormat="1" x14ac:dyDescent="0.25"/>
    <row r="66499" customFormat="1" x14ac:dyDescent="0.25"/>
    <row r="66500" customFormat="1" x14ac:dyDescent="0.25"/>
    <row r="66501" customFormat="1" x14ac:dyDescent="0.25"/>
    <row r="66502" customFormat="1" x14ac:dyDescent="0.25"/>
    <row r="66503" customFormat="1" x14ac:dyDescent="0.25"/>
    <row r="66504" customFormat="1" x14ac:dyDescent="0.25"/>
    <row r="66505" customFormat="1" x14ac:dyDescent="0.25"/>
    <row r="66506" customFormat="1" x14ac:dyDescent="0.25"/>
    <row r="66507" customFormat="1" x14ac:dyDescent="0.25"/>
    <row r="66508" customFormat="1" x14ac:dyDescent="0.25"/>
    <row r="66509" customFormat="1" x14ac:dyDescent="0.25"/>
    <row r="66510" customFormat="1" x14ac:dyDescent="0.25"/>
    <row r="66511" customFormat="1" x14ac:dyDescent="0.25"/>
    <row r="66512" customFormat="1" x14ac:dyDescent="0.25"/>
    <row r="66513" customFormat="1" x14ac:dyDescent="0.25"/>
    <row r="66514" customFormat="1" x14ac:dyDescent="0.25"/>
    <row r="66515" customFormat="1" x14ac:dyDescent="0.25"/>
    <row r="66516" customFormat="1" x14ac:dyDescent="0.25"/>
    <row r="66517" customFormat="1" x14ac:dyDescent="0.25"/>
    <row r="66518" customFormat="1" x14ac:dyDescent="0.25"/>
    <row r="66519" customFormat="1" x14ac:dyDescent="0.25"/>
    <row r="66520" customFormat="1" x14ac:dyDescent="0.25"/>
    <row r="66521" customFormat="1" x14ac:dyDescent="0.25"/>
    <row r="66522" customFormat="1" x14ac:dyDescent="0.25"/>
    <row r="66523" customFormat="1" x14ac:dyDescent="0.25"/>
    <row r="66524" customFormat="1" x14ac:dyDescent="0.25"/>
    <row r="66525" customFormat="1" x14ac:dyDescent="0.25"/>
    <row r="66526" customFormat="1" x14ac:dyDescent="0.25"/>
    <row r="66527" customFormat="1" x14ac:dyDescent="0.25"/>
    <row r="66528" customFormat="1" x14ac:dyDescent="0.25"/>
    <row r="66529" customFormat="1" x14ac:dyDescent="0.25"/>
    <row r="66530" customFormat="1" x14ac:dyDescent="0.25"/>
    <row r="66531" customFormat="1" x14ac:dyDescent="0.25"/>
    <row r="66532" customFormat="1" x14ac:dyDescent="0.25"/>
    <row r="66533" customFormat="1" x14ac:dyDescent="0.25"/>
    <row r="66534" customFormat="1" x14ac:dyDescent="0.25"/>
    <row r="66535" customFormat="1" x14ac:dyDescent="0.25"/>
    <row r="66536" customFormat="1" x14ac:dyDescent="0.25"/>
    <row r="66537" customFormat="1" x14ac:dyDescent="0.25"/>
    <row r="66538" customFormat="1" x14ac:dyDescent="0.25"/>
    <row r="66539" customFormat="1" x14ac:dyDescent="0.25"/>
    <row r="66540" customFormat="1" x14ac:dyDescent="0.25"/>
    <row r="66541" customFormat="1" x14ac:dyDescent="0.25"/>
    <row r="66542" customFormat="1" x14ac:dyDescent="0.25"/>
    <row r="66543" customFormat="1" x14ac:dyDescent="0.25"/>
    <row r="66544" customFormat="1" x14ac:dyDescent="0.25"/>
    <row r="66545" customFormat="1" x14ac:dyDescent="0.25"/>
    <row r="66546" customFormat="1" x14ac:dyDescent="0.25"/>
    <row r="66547" customFormat="1" x14ac:dyDescent="0.25"/>
    <row r="66548" customFormat="1" x14ac:dyDescent="0.25"/>
    <row r="66549" customFormat="1" x14ac:dyDescent="0.25"/>
    <row r="66550" customFormat="1" x14ac:dyDescent="0.25"/>
    <row r="66551" customFormat="1" x14ac:dyDescent="0.25"/>
    <row r="66552" customFormat="1" x14ac:dyDescent="0.25"/>
    <row r="66553" customFormat="1" x14ac:dyDescent="0.25"/>
    <row r="66554" customFormat="1" x14ac:dyDescent="0.25"/>
    <row r="66555" customFormat="1" x14ac:dyDescent="0.25"/>
    <row r="66556" customFormat="1" x14ac:dyDescent="0.25"/>
    <row r="66557" customFormat="1" x14ac:dyDescent="0.25"/>
    <row r="66558" customFormat="1" x14ac:dyDescent="0.25"/>
    <row r="66559" customFormat="1" x14ac:dyDescent="0.25"/>
    <row r="66560" customFormat="1" x14ac:dyDescent="0.25"/>
    <row r="66561" customFormat="1" x14ac:dyDescent="0.25"/>
    <row r="66562" customFormat="1" x14ac:dyDescent="0.25"/>
    <row r="66563" customFormat="1" x14ac:dyDescent="0.25"/>
    <row r="66564" customFormat="1" x14ac:dyDescent="0.25"/>
    <row r="66565" customFormat="1" x14ac:dyDescent="0.25"/>
    <row r="66566" customFormat="1" x14ac:dyDescent="0.25"/>
    <row r="66567" customFormat="1" x14ac:dyDescent="0.25"/>
    <row r="66568" customFormat="1" x14ac:dyDescent="0.25"/>
    <row r="66569" customFormat="1" x14ac:dyDescent="0.25"/>
    <row r="66570" customFormat="1" x14ac:dyDescent="0.25"/>
    <row r="66571" customFormat="1" x14ac:dyDescent="0.25"/>
    <row r="66572" customFormat="1" x14ac:dyDescent="0.25"/>
    <row r="66573" customFormat="1" x14ac:dyDescent="0.25"/>
    <row r="66574" customFormat="1" x14ac:dyDescent="0.25"/>
    <row r="66575" customFormat="1" x14ac:dyDescent="0.25"/>
    <row r="66576" customFormat="1" x14ac:dyDescent="0.25"/>
    <row r="66577" customFormat="1" x14ac:dyDescent="0.25"/>
    <row r="66578" customFormat="1" x14ac:dyDescent="0.25"/>
    <row r="66579" customFormat="1" x14ac:dyDescent="0.25"/>
    <row r="66580" customFormat="1" x14ac:dyDescent="0.25"/>
    <row r="66581" customFormat="1" x14ac:dyDescent="0.25"/>
    <row r="66582" customFormat="1" x14ac:dyDescent="0.25"/>
    <row r="66583" customFormat="1" x14ac:dyDescent="0.25"/>
    <row r="66584" customFormat="1" x14ac:dyDescent="0.25"/>
    <row r="66585" customFormat="1" x14ac:dyDescent="0.25"/>
    <row r="66586" customFormat="1" x14ac:dyDescent="0.25"/>
    <row r="66587" customFormat="1" x14ac:dyDescent="0.25"/>
    <row r="66588" customFormat="1" x14ac:dyDescent="0.25"/>
    <row r="66589" customFormat="1" x14ac:dyDescent="0.25"/>
    <row r="66590" customFormat="1" x14ac:dyDescent="0.25"/>
    <row r="66591" customFormat="1" x14ac:dyDescent="0.25"/>
    <row r="66592" customFormat="1" x14ac:dyDescent="0.25"/>
    <row r="66593" customFormat="1" x14ac:dyDescent="0.25"/>
    <row r="66594" customFormat="1" x14ac:dyDescent="0.25"/>
    <row r="66595" customFormat="1" x14ac:dyDescent="0.25"/>
    <row r="66596" customFormat="1" x14ac:dyDescent="0.25"/>
    <row r="66597" customFormat="1" x14ac:dyDescent="0.25"/>
    <row r="66598" customFormat="1" x14ac:dyDescent="0.25"/>
    <row r="66599" customFormat="1" x14ac:dyDescent="0.25"/>
    <row r="66600" customFormat="1" x14ac:dyDescent="0.25"/>
    <row r="66601" customFormat="1" x14ac:dyDescent="0.25"/>
    <row r="66602" customFormat="1" x14ac:dyDescent="0.25"/>
    <row r="66603" customFormat="1" x14ac:dyDescent="0.25"/>
    <row r="66604" customFormat="1" x14ac:dyDescent="0.25"/>
    <row r="66605" customFormat="1" x14ac:dyDescent="0.25"/>
    <row r="66606" customFormat="1" x14ac:dyDescent="0.25"/>
    <row r="66607" customFormat="1" x14ac:dyDescent="0.25"/>
    <row r="66608" customFormat="1" x14ac:dyDescent="0.25"/>
    <row r="66609" customFormat="1" x14ac:dyDescent="0.25"/>
    <row r="66610" customFormat="1" x14ac:dyDescent="0.25"/>
    <row r="66611" customFormat="1" x14ac:dyDescent="0.25"/>
    <row r="66612" customFormat="1" x14ac:dyDescent="0.25"/>
    <row r="66613" customFormat="1" x14ac:dyDescent="0.25"/>
    <row r="66614" customFormat="1" x14ac:dyDescent="0.25"/>
    <row r="66615" customFormat="1" x14ac:dyDescent="0.25"/>
    <row r="66616" customFormat="1" x14ac:dyDescent="0.25"/>
    <row r="66617" customFormat="1" x14ac:dyDescent="0.25"/>
    <row r="66618" customFormat="1" x14ac:dyDescent="0.25"/>
    <row r="66619" customFormat="1" x14ac:dyDescent="0.25"/>
    <row r="66620" customFormat="1" x14ac:dyDescent="0.25"/>
    <row r="66621" customFormat="1" x14ac:dyDescent="0.25"/>
    <row r="66622" customFormat="1" x14ac:dyDescent="0.25"/>
    <row r="66623" customFormat="1" x14ac:dyDescent="0.25"/>
    <row r="66624" customFormat="1" x14ac:dyDescent="0.25"/>
    <row r="66625" customFormat="1" x14ac:dyDescent="0.25"/>
    <row r="66626" customFormat="1" x14ac:dyDescent="0.25"/>
    <row r="66627" customFormat="1" x14ac:dyDescent="0.25"/>
    <row r="66628" customFormat="1" x14ac:dyDescent="0.25"/>
    <row r="66629" customFormat="1" x14ac:dyDescent="0.25"/>
    <row r="66630" customFormat="1" x14ac:dyDescent="0.25"/>
    <row r="66631" customFormat="1" x14ac:dyDescent="0.25"/>
    <row r="66632" customFormat="1" x14ac:dyDescent="0.25"/>
    <row r="66633" customFormat="1" x14ac:dyDescent="0.25"/>
    <row r="66634" customFormat="1" x14ac:dyDescent="0.25"/>
    <row r="66635" customFormat="1" x14ac:dyDescent="0.25"/>
    <row r="66636" customFormat="1" x14ac:dyDescent="0.25"/>
    <row r="66637" customFormat="1" x14ac:dyDescent="0.25"/>
    <row r="66638" customFormat="1" x14ac:dyDescent="0.25"/>
    <row r="66639" customFormat="1" x14ac:dyDescent="0.25"/>
    <row r="66640" customFormat="1" x14ac:dyDescent="0.25"/>
    <row r="66641" customFormat="1" x14ac:dyDescent="0.25"/>
    <row r="66642" customFormat="1" x14ac:dyDescent="0.25"/>
    <row r="66643" customFormat="1" x14ac:dyDescent="0.25"/>
    <row r="66644" customFormat="1" x14ac:dyDescent="0.25"/>
    <row r="66645" customFormat="1" x14ac:dyDescent="0.25"/>
    <row r="66646" customFormat="1" x14ac:dyDescent="0.25"/>
    <row r="66647" customFormat="1" x14ac:dyDescent="0.25"/>
    <row r="66648" customFormat="1" x14ac:dyDescent="0.25"/>
    <row r="66649" customFormat="1" x14ac:dyDescent="0.25"/>
    <row r="66650" customFormat="1" x14ac:dyDescent="0.25"/>
    <row r="66651" customFormat="1" x14ac:dyDescent="0.25"/>
    <row r="66652" customFormat="1" x14ac:dyDescent="0.25"/>
    <row r="66653" customFormat="1" x14ac:dyDescent="0.25"/>
    <row r="66654" customFormat="1" x14ac:dyDescent="0.25"/>
    <row r="66655" customFormat="1" x14ac:dyDescent="0.25"/>
    <row r="66656" customFormat="1" x14ac:dyDescent="0.25"/>
    <row r="66657" customFormat="1" x14ac:dyDescent="0.25"/>
    <row r="66658" customFormat="1" x14ac:dyDescent="0.25"/>
    <row r="66659" customFormat="1" x14ac:dyDescent="0.25"/>
    <row r="66660" customFormat="1" x14ac:dyDescent="0.25"/>
    <row r="66661" customFormat="1" x14ac:dyDescent="0.25"/>
    <row r="66662" customFormat="1" x14ac:dyDescent="0.25"/>
    <row r="66663" customFormat="1" x14ac:dyDescent="0.25"/>
    <row r="66664" customFormat="1" x14ac:dyDescent="0.25"/>
    <row r="66665" customFormat="1" x14ac:dyDescent="0.25"/>
    <row r="66666" customFormat="1" x14ac:dyDescent="0.25"/>
    <row r="66667" customFormat="1" x14ac:dyDescent="0.25"/>
    <row r="66668" customFormat="1" x14ac:dyDescent="0.25"/>
    <row r="66669" customFormat="1" x14ac:dyDescent="0.25"/>
    <row r="66670" customFormat="1" x14ac:dyDescent="0.25"/>
    <row r="66671" customFormat="1" x14ac:dyDescent="0.25"/>
    <row r="66672" customFormat="1" x14ac:dyDescent="0.25"/>
    <row r="66673" customFormat="1" x14ac:dyDescent="0.25"/>
    <row r="66674" customFormat="1" x14ac:dyDescent="0.25"/>
    <row r="66675" customFormat="1" x14ac:dyDescent="0.25"/>
    <row r="66676" customFormat="1" x14ac:dyDescent="0.25"/>
    <row r="66677" customFormat="1" x14ac:dyDescent="0.25"/>
    <row r="66678" customFormat="1" x14ac:dyDescent="0.25"/>
    <row r="66679" customFormat="1" x14ac:dyDescent="0.25"/>
    <row r="66680" customFormat="1" x14ac:dyDescent="0.25"/>
    <row r="66681" customFormat="1" x14ac:dyDescent="0.25"/>
    <row r="66682" customFormat="1" x14ac:dyDescent="0.25"/>
    <row r="66683" customFormat="1" x14ac:dyDescent="0.25"/>
    <row r="66684" customFormat="1" x14ac:dyDescent="0.25"/>
    <row r="66685" customFormat="1" x14ac:dyDescent="0.25"/>
    <row r="66686" customFormat="1" x14ac:dyDescent="0.25"/>
    <row r="66687" customFormat="1" x14ac:dyDescent="0.25"/>
    <row r="66688" customFormat="1" x14ac:dyDescent="0.25"/>
    <row r="66689" customFormat="1" x14ac:dyDescent="0.25"/>
    <row r="66690" customFormat="1" x14ac:dyDescent="0.25"/>
    <row r="66691" customFormat="1" x14ac:dyDescent="0.25"/>
    <row r="66692" customFormat="1" x14ac:dyDescent="0.25"/>
    <row r="66693" customFormat="1" x14ac:dyDescent="0.25"/>
    <row r="66694" customFormat="1" x14ac:dyDescent="0.25"/>
    <row r="66695" customFormat="1" x14ac:dyDescent="0.25"/>
    <row r="66696" customFormat="1" x14ac:dyDescent="0.25"/>
    <row r="66697" customFormat="1" x14ac:dyDescent="0.25"/>
    <row r="66698" customFormat="1" x14ac:dyDescent="0.25"/>
    <row r="66699" customFormat="1" x14ac:dyDescent="0.25"/>
    <row r="66700" customFormat="1" x14ac:dyDescent="0.25"/>
    <row r="66701" customFormat="1" x14ac:dyDescent="0.25"/>
    <row r="66702" customFormat="1" x14ac:dyDescent="0.25"/>
    <row r="66703" customFormat="1" x14ac:dyDescent="0.25"/>
    <row r="66704" customFormat="1" x14ac:dyDescent="0.25"/>
    <row r="66705" customFormat="1" x14ac:dyDescent="0.25"/>
    <row r="66706" customFormat="1" x14ac:dyDescent="0.25"/>
    <row r="66707" customFormat="1" x14ac:dyDescent="0.25"/>
    <row r="66708" customFormat="1" x14ac:dyDescent="0.25"/>
    <row r="66709" customFormat="1" x14ac:dyDescent="0.25"/>
    <row r="66710" customFormat="1" x14ac:dyDescent="0.25"/>
    <row r="66711" customFormat="1" x14ac:dyDescent="0.25"/>
    <row r="66712" customFormat="1" x14ac:dyDescent="0.25"/>
    <row r="66713" customFormat="1" x14ac:dyDescent="0.25"/>
    <row r="66714" customFormat="1" x14ac:dyDescent="0.25"/>
    <row r="66715" customFormat="1" x14ac:dyDescent="0.25"/>
    <row r="66716" customFormat="1" x14ac:dyDescent="0.25"/>
    <row r="66717" customFormat="1" x14ac:dyDescent="0.25"/>
    <row r="66718" customFormat="1" x14ac:dyDescent="0.25"/>
    <row r="66719" customFormat="1" x14ac:dyDescent="0.25"/>
    <row r="66720" customFormat="1" x14ac:dyDescent="0.25"/>
    <row r="66721" customFormat="1" x14ac:dyDescent="0.25"/>
    <row r="66722" customFormat="1" x14ac:dyDescent="0.25"/>
    <row r="66723" customFormat="1" x14ac:dyDescent="0.25"/>
    <row r="66724" customFormat="1" x14ac:dyDescent="0.25"/>
    <row r="66725" customFormat="1" x14ac:dyDescent="0.25"/>
    <row r="66726" customFormat="1" x14ac:dyDescent="0.25"/>
    <row r="66727" customFormat="1" x14ac:dyDescent="0.25"/>
    <row r="66728" customFormat="1" x14ac:dyDescent="0.25"/>
    <row r="66729" customFormat="1" x14ac:dyDescent="0.25"/>
    <row r="66730" customFormat="1" x14ac:dyDescent="0.25"/>
    <row r="66731" customFormat="1" x14ac:dyDescent="0.25"/>
    <row r="66732" customFormat="1" x14ac:dyDescent="0.25"/>
    <row r="66733" customFormat="1" x14ac:dyDescent="0.25"/>
    <row r="66734" customFormat="1" x14ac:dyDescent="0.25"/>
    <row r="66735" customFormat="1" x14ac:dyDescent="0.25"/>
    <row r="66736" customFormat="1" x14ac:dyDescent="0.25"/>
    <row r="66737" customFormat="1" x14ac:dyDescent="0.25"/>
    <row r="66738" customFormat="1" x14ac:dyDescent="0.25"/>
    <row r="66739" customFormat="1" x14ac:dyDescent="0.25"/>
    <row r="66740" customFormat="1" x14ac:dyDescent="0.25"/>
    <row r="66741" customFormat="1" x14ac:dyDescent="0.25"/>
    <row r="66742" customFormat="1" x14ac:dyDescent="0.25"/>
    <row r="66743" customFormat="1" x14ac:dyDescent="0.25"/>
    <row r="66744" customFormat="1" x14ac:dyDescent="0.25"/>
    <row r="66745" customFormat="1" x14ac:dyDescent="0.25"/>
    <row r="66746" customFormat="1" x14ac:dyDescent="0.25"/>
    <row r="66747" customFormat="1" x14ac:dyDescent="0.25"/>
    <row r="66748" customFormat="1" x14ac:dyDescent="0.25"/>
    <row r="66749" customFormat="1" x14ac:dyDescent="0.25"/>
    <row r="66750" customFormat="1" x14ac:dyDescent="0.25"/>
    <row r="66751" customFormat="1" x14ac:dyDescent="0.25"/>
    <row r="66752" customFormat="1" x14ac:dyDescent="0.25"/>
    <row r="66753" customFormat="1" x14ac:dyDescent="0.25"/>
    <row r="66754" customFormat="1" x14ac:dyDescent="0.25"/>
    <row r="66755" customFormat="1" x14ac:dyDescent="0.25"/>
    <row r="66756" customFormat="1" x14ac:dyDescent="0.25"/>
    <row r="66757" customFormat="1" x14ac:dyDescent="0.25"/>
    <row r="66758" customFormat="1" x14ac:dyDescent="0.25"/>
    <row r="66759" customFormat="1" x14ac:dyDescent="0.25"/>
    <row r="66760" customFormat="1" x14ac:dyDescent="0.25"/>
    <row r="66761" customFormat="1" x14ac:dyDescent="0.25"/>
    <row r="66762" customFormat="1" x14ac:dyDescent="0.25"/>
    <row r="66763" customFormat="1" x14ac:dyDescent="0.25"/>
    <row r="66764" customFormat="1" x14ac:dyDescent="0.25"/>
    <row r="66765" customFormat="1" x14ac:dyDescent="0.25"/>
    <row r="66766" customFormat="1" x14ac:dyDescent="0.25"/>
    <row r="66767" customFormat="1" x14ac:dyDescent="0.25"/>
    <row r="66768" customFormat="1" x14ac:dyDescent="0.25"/>
    <row r="66769" customFormat="1" x14ac:dyDescent="0.25"/>
    <row r="66770" customFormat="1" x14ac:dyDescent="0.25"/>
    <row r="66771" customFormat="1" x14ac:dyDescent="0.25"/>
    <row r="66772" customFormat="1" x14ac:dyDescent="0.25"/>
    <row r="66773" customFormat="1" x14ac:dyDescent="0.25"/>
    <row r="66774" customFormat="1" x14ac:dyDescent="0.25"/>
    <row r="66775" customFormat="1" x14ac:dyDescent="0.25"/>
    <row r="66776" customFormat="1" x14ac:dyDescent="0.25"/>
    <row r="66777" customFormat="1" x14ac:dyDescent="0.25"/>
    <row r="66778" customFormat="1" x14ac:dyDescent="0.25"/>
    <row r="66779" customFormat="1" x14ac:dyDescent="0.25"/>
    <row r="66780" customFormat="1" x14ac:dyDescent="0.25"/>
    <row r="66781" customFormat="1" x14ac:dyDescent="0.25"/>
    <row r="66782" customFormat="1" x14ac:dyDescent="0.25"/>
    <row r="66783" customFormat="1" x14ac:dyDescent="0.25"/>
    <row r="66784" customFormat="1" x14ac:dyDescent="0.25"/>
    <row r="66785" customFormat="1" x14ac:dyDescent="0.25"/>
    <row r="66786" customFormat="1" x14ac:dyDescent="0.25"/>
    <row r="66787" customFormat="1" x14ac:dyDescent="0.25"/>
    <row r="66788" customFormat="1" x14ac:dyDescent="0.25"/>
    <row r="66789" customFormat="1" x14ac:dyDescent="0.25"/>
    <row r="66790" customFormat="1" x14ac:dyDescent="0.25"/>
    <row r="66791" customFormat="1" x14ac:dyDescent="0.25"/>
    <row r="66792" customFormat="1" x14ac:dyDescent="0.25"/>
    <row r="66793" customFormat="1" x14ac:dyDescent="0.25"/>
    <row r="66794" customFormat="1" x14ac:dyDescent="0.25"/>
    <row r="66795" customFormat="1" x14ac:dyDescent="0.25"/>
    <row r="66796" customFormat="1" x14ac:dyDescent="0.25"/>
    <row r="66797" customFormat="1" x14ac:dyDescent="0.25"/>
    <row r="66798" customFormat="1" x14ac:dyDescent="0.25"/>
    <row r="66799" customFormat="1" x14ac:dyDescent="0.25"/>
    <row r="66800" customFormat="1" x14ac:dyDescent="0.25"/>
    <row r="66801" customFormat="1" x14ac:dyDescent="0.25"/>
    <row r="66802" customFormat="1" x14ac:dyDescent="0.25"/>
    <row r="66803" customFormat="1" x14ac:dyDescent="0.25"/>
    <row r="66804" customFormat="1" x14ac:dyDescent="0.25"/>
    <row r="66805" customFormat="1" x14ac:dyDescent="0.25"/>
    <row r="66806" customFormat="1" x14ac:dyDescent="0.25"/>
    <row r="66807" customFormat="1" x14ac:dyDescent="0.25"/>
    <row r="66808" customFormat="1" x14ac:dyDescent="0.25"/>
    <row r="66809" customFormat="1" x14ac:dyDescent="0.25"/>
    <row r="66810" customFormat="1" x14ac:dyDescent="0.25"/>
    <row r="66811" customFormat="1" x14ac:dyDescent="0.25"/>
    <row r="66812" customFormat="1" x14ac:dyDescent="0.25"/>
    <row r="66813" customFormat="1" x14ac:dyDescent="0.25"/>
    <row r="66814" customFormat="1" x14ac:dyDescent="0.25"/>
    <row r="66815" customFormat="1" x14ac:dyDescent="0.25"/>
    <row r="66816" customFormat="1" x14ac:dyDescent="0.25"/>
    <row r="66817" customFormat="1" x14ac:dyDescent="0.25"/>
    <row r="66818" customFormat="1" x14ac:dyDescent="0.25"/>
    <row r="66819" customFormat="1" x14ac:dyDescent="0.25"/>
    <row r="66820" customFormat="1" x14ac:dyDescent="0.25"/>
    <row r="66821" customFormat="1" x14ac:dyDescent="0.25"/>
    <row r="66822" customFormat="1" x14ac:dyDescent="0.25"/>
    <row r="66823" customFormat="1" x14ac:dyDescent="0.25"/>
    <row r="66824" customFormat="1" x14ac:dyDescent="0.25"/>
    <row r="66825" customFormat="1" x14ac:dyDescent="0.25"/>
    <row r="66826" customFormat="1" x14ac:dyDescent="0.25"/>
    <row r="66827" customFormat="1" x14ac:dyDescent="0.25"/>
    <row r="66828" customFormat="1" x14ac:dyDescent="0.25"/>
    <row r="66829" customFormat="1" x14ac:dyDescent="0.25"/>
    <row r="66830" customFormat="1" x14ac:dyDescent="0.25"/>
    <row r="66831" customFormat="1" x14ac:dyDescent="0.25"/>
    <row r="66832" customFormat="1" x14ac:dyDescent="0.25"/>
    <row r="66833" customFormat="1" x14ac:dyDescent="0.25"/>
    <row r="66834" customFormat="1" x14ac:dyDescent="0.25"/>
    <row r="66835" customFormat="1" x14ac:dyDescent="0.25"/>
    <row r="66836" customFormat="1" x14ac:dyDescent="0.25"/>
    <row r="66837" customFormat="1" x14ac:dyDescent="0.25"/>
    <row r="66838" customFormat="1" x14ac:dyDescent="0.25"/>
    <row r="66839" customFormat="1" x14ac:dyDescent="0.25"/>
    <row r="66840" customFormat="1" x14ac:dyDescent="0.25"/>
    <row r="66841" customFormat="1" x14ac:dyDescent="0.25"/>
    <row r="66842" customFormat="1" x14ac:dyDescent="0.25"/>
    <row r="66843" customFormat="1" x14ac:dyDescent="0.25"/>
    <row r="66844" customFormat="1" x14ac:dyDescent="0.25"/>
    <row r="66845" customFormat="1" x14ac:dyDescent="0.25"/>
    <row r="66846" customFormat="1" x14ac:dyDescent="0.25"/>
    <row r="66847" customFormat="1" x14ac:dyDescent="0.25"/>
    <row r="66848" customFormat="1" x14ac:dyDescent="0.25"/>
    <row r="66849" customFormat="1" x14ac:dyDescent="0.25"/>
    <row r="66850" customFormat="1" x14ac:dyDescent="0.25"/>
    <row r="66851" customFormat="1" x14ac:dyDescent="0.25"/>
    <row r="66852" customFormat="1" x14ac:dyDescent="0.25"/>
    <row r="66853" customFormat="1" x14ac:dyDescent="0.25"/>
    <row r="66854" customFormat="1" x14ac:dyDescent="0.25"/>
    <row r="66855" customFormat="1" x14ac:dyDescent="0.25"/>
    <row r="66856" customFormat="1" x14ac:dyDescent="0.25"/>
    <row r="66857" customFormat="1" x14ac:dyDescent="0.25"/>
    <row r="66858" customFormat="1" x14ac:dyDescent="0.25"/>
    <row r="66859" customFormat="1" x14ac:dyDescent="0.25"/>
    <row r="66860" customFormat="1" x14ac:dyDescent="0.25"/>
    <row r="66861" customFormat="1" x14ac:dyDescent="0.25"/>
    <row r="66862" customFormat="1" x14ac:dyDescent="0.25"/>
    <row r="66863" customFormat="1" x14ac:dyDescent="0.25"/>
    <row r="66864" customFormat="1" x14ac:dyDescent="0.25"/>
    <row r="66865" customFormat="1" x14ac:dyDescent="0.25"/>
    <row r="66866" customFormat="1" x14ac:dyDescent="0.25"/>
    <row r="66867" customFormat="1" x14ac:dyDescent="0.25"/>
    <row r="66868" customFormat="1" x14ac:dyDescent="0.25"/>
    <row r="66869" customFormat="1" x14ac:dyDescent="0.25"/>
    <row r="66870" customFormat="1" x14ac:dyDescent="0.25"/>
    <row r="66871" customFormat="1" x14ac:dyDescent="0.25"/>
    <row r="66872" customFormat="1" x14ac:dyDescent="0.25"/>
    <row r="66873" customFormat="1" x14ac:dyDescent="0.25"/>
    <row r="66874" customFormat="1" x14ac:dyDescent="0.25"/>
    <row r="66875" customFormat="1" x14ac:dyDescent="0.25"/>
    <row r="66876" customFormat="1" x14ac:dyDescent="0.25"/>
    <row r="66877" customFormat="1" x14ac:dyDescent="0.25"/>
    <row r="66878" customFormat="1" x14ac:dyDescent="0.25"/>
    <row r="66879" customFormat="1" x14ac:dyDescent="0.25"/>
    <row r="66880" customFormat="1" x14ac:dyDescent="0.25"/>
    <row r="66881" customFormat="1" x14ac:dyDescent="0.25"/>
    <row r="66882" customFormat="1" x14ac:dyDescent="0.25"/>
    <row r="66883" customFormat="1" x14ac:dyDescent="0.25"/>
    <row r="66884" customFormat="1" x14ac:dyDescent="0.25"/>
    <row r="66885" customFormat="1" x14ac:dyDescent="0.25"/>
    <row r="66886" customFormat="1" x14ac:dyDescent="0.25"/>
    <row r="66887" customFormat="1" x14ac:dyDescent="0.25"/>
    <row r="66888" customFormat="1" x14ac:dyDescent="0.25"/>
    <row r="66889" customFormat="1" x14ac:dyDescent="0.25"/>
    <row r="66890" customFormat="1" x14ac:dyDescent="0.25"/>
    <row r="66891" customFormat="1" x14ac:dyDescent="0.25"/>
    <row r="66892" customFormat="1" x14ac:dyDescent="0.25"/>
    <row r="66893" customFormat="1" x14ac:dyDescent="0.25"/>
    <row r="66894" customFormat="1" x14ac:dyDescent="0.25"/>
    <row r="66895" customFormat="1" x14ac:dyDescent="0.25"/>
    <row r="66896" customFormat="1" x14ac:dyDescent="0.25"/>
    <row r="66897" customFormat="1" x14ac:dyDescent="0.25"/>
    <row r="66898" customFormat="1" x14ac:dyDescent="0.25"/>
    <row r="66899" customFormat="1" x14ac:dyDescent="0.25"/>
    <row r="66900" customFormat="1" x14ac:dyDescent="0.25"/>
    <row r="66901" customFormat="1" x14ac:dyDescent="0.25"/>
    <row r="66902" customFormat="1" x14ac:dyDescent="0.25"/>
    <row r="66903" customFormat="1" x14ac:dyDescent="0.25"/>
    <row r="66904" customFormat="1" x14ac:dyDescent="0.25"/>
    <row r="66905" customFormat="1" x14ac:dyDescent="0.25"/>
    <row r="66906" customFormat="1" x14ac:dyDescent="0.25"/>
    <row r="66907" customFormat="1" x14ac:dyDescent="0.25"/>
    <row r="66908" customFormat="1" x14ac:dyDescent="0.25"/>
    <row r="66909" customFormat="1" x14ac:dyDescent="0.25"/>
    <row r="66910" customFormat="1" x14ac:dyDescent="0.25"/>
    <row r="66911" customFormat="1" x14ac:dyDescent="0.25"/>
    <row r="66912" customFormat="1" x14ac:dyDescent="0.25"/>
    <row r="66913" customFormat="1" x14ac:dyDescent="0.25"/>
    <row r="66914" customFormat="1" x14ac:dyDescent="0.25"/>
    <row r="66915" customFormat="1" x14ac:dyDescent="0.25"/>
    <row r="66916" customFormat="1" x14ac:dyDescent="0.25"/>
    <row r="66917" customFormat="1" x14ac:dyDescent="0.25"/>
    <row r="66918" customFormat="1" x14ac:dyDescent="0.25"/>
    <row r="66919" customFormat="1" x14ac:dyDescent="0.25"/>
    <row r="66920" customFormat="1" x14ac:dyDescent="0.25"/>
    <row r="66921" customFormat="1" x14ac:dyDescent="0.25"/>
    <row r="66922" customFormat="1" x14ac:dyDescent="0.25"/>
    <row r="66923" customFormat="1" x14ac:dyDescent="0.25"/>
    <row r="66924" customFormat="1" x14ac:dyDescent="0.25"/>
    <row r="66925" customFormat="1" x14ac:dyDescent="0.25"/>
    <row r="66926" customFormat="1" x14ac:dyDescent="0.25"/>
    <row r="66927" customFormat="1" x14ac:dyDescent="0.25"/>
    <row r="66928" customFormat="1" x14ac:dyDescent="0.25"/>
    <row r="66929" customFormat="1" x14ac:dyDescent="0.25"/>
    <row r="66930" customFormat="1" x14ac:dyDescent="0.25"/>
    <row r="66931" customFormat="1" x14ac:dyDescent="0.25"/>
    <row r="66932" customFormat="1" x14ac:dyDescent="0.25"/>
    <row r="66933" customFormat="1" x14ac:dyDescent="0.25"/>
    <row r="66934" customFormat="1" x14ac:dyDescent="0.25"/>
    <row r="66935" customFormat="1" x14ac:dyDescent="0.25"/>
    <row r="66936" customFormat="1" x14ac:dyDescent="0.25"/>
    <row r="66937" customFormat="1" x14ac:dyDescent="0.25"/>
    <row r="66938" customFormat="1" x14ac:dyDescent="0.25"/>
    <row r="66939" customFormat="1" x14ac:dyDescent="0.25"/>
    <row r="66940" customFormat="1" x14ac:dyDescent="0.25"/>
    <row r="66941" customFormat="1" x14ac:dyDescent="0.25"/>
    <row r="66942" customFormat="1" x14ac:dyDescent="0.25"/>
    <row r="66943" customFormat="1" x14ac:dyDescent="0.25"/>
    <row r="66944" customFormat="1" x14ac:dyDescent="0.25"/>
    <row r="66945" customFormat="1" x14ac:dyDescent="0.25"/>
    <row r="66946" customFormat="1" x14ac:dyDescent="0.25"/>
    <row r="66947" customFormat="1" x14ac:dyDescent="0.25"/>
    <row r="66948" customFormat="1" x14ac:dyDescent="0.25"/>
    <row r="66949" customFormat="1" x14ac:dyDescent="0.25"/>
    <row r="66950" customFormat="1" x14ac:dyDescent="0.25"/>
    <row r="66951" customFormat="1" x14ac:dyDescent="0.25"/>
    <row r="66952" customFormat="1" x14ac:dyDescent="0.25"/>
    <row r="66953" customFormat="1" x14ac:dyDescent="0.25"/>
    <row r="66954" customFormat="1" x14ac:dyDescent="0.25"/>
    <row r="66955" customFormat="1" x14ac:dyDescent="0.25"/>
    <row r="66956" customFormat="1" x14ac:dyDescent="0.25"/>
    <row r="66957" customFormat="1" x14ac:dyDescent="0.25"/>
    <row r="66958" customFormat="1" x14ac:dyDescent="0.25"/>
    <row r="66959" customFormat="1" x14ac:dyDescent="0.25"/>
    <row r="66960" customFormat="1" x14ac:dyDescent="0.25"/>
    <row r="66961" customFormat="1" x14ac:dyDescent="0.25"/>
    <row r="66962" customFormat="1" x14ac:dyDescent="0.25"/>
    <row r="66963" customFormat="1" x14ac:dyDescent="0.25"/>
    <row r="66964" customFormat="1" x14ac:dyDescent="0.25"/>
    <row r="66965" customFormat="1" x14ac:dyDescent="0.25"/>
    <row r="66966" customFormat="1" x14ac:dyDescent="0.25"/>
    <row r="66967" customFormat="1" x14ac:dyDescent="0.25"/>
    <row r="66968" customFormat="1" x14ac:dyDescent="0.25"/>
    <row r="66969" customFormat="1" x14ac:dyDescent="0.25"/>
    <row r="66970" customFormat="1" x14ac:dyDescent="0.25"/>
    <row r="66971" customFormat="1" x14ac:dyDescent="0.25"/>
    <row r="66972" customFormat="1" x14ac:dyDescent="0.25"/>
    <row r="66973" customFormat="1" x14ac:dyDescent="0.25"/>
    <row r="66974" customFormat="1" x14ac:dyDescent="0.25"/>
    <row r="66975" customFormat="1" x14ac:dyDescent="0.25"/>
    <row r="66976" customFormat="1" x14ac:dyDescent="0.25"/>
    <row r="66977" customFormat="1" x14ac:dyDescent="0.25"/>
    <row r="66978" customFormat="1" x14ac:dyDescent="0.25"/>
    <row r="66979" customFormat="1" x14ac:dyDescent="0.25"/>
    <row r="66980" customFormat="1" x14ac:dyDescent="0.25"/>
    <row r="66981" customFormat="1" x14ac:dyDescent="0.25"/>
    <row r="66982" customFormat="1" x14ac:dyDescent="0.25"/>
    <row r="66983" customFormat="1" x14ac:dyDescent="0.25"/>
    <row r="66984" customFormat="1" x14ac:dyDescent="0.25"/>
    <row r="66985" customFormat="1" x14ac:dyDescent="0.25"/>
    <row r="66986" customFormat="1" x14ac:dyDescent="0.25"/>
    <row r="66987" customFormat="1" x14ac:dyDescent="0.25"/>
    <row r="66988" customFormat="1" x14ac:dyDescent="0.25"/>
    <row r="66989" customFormat="1" x14ac:dyDescent="0.25"/>
    <row r="66990" customFormat="1" x14ac:dyDescent="0.25"/>
    <row r="66991" customFormat="1" x14ac:dyDescent="0.25"/>
    <row r="66992" customFormat="1" x14ac:dyDescent="0.25"/>
    <row r="66993" customFormat="1" x14ac:dyDescent="0.25"/>
    <row r="66994" customFormat="1" x14ac:dyDescent="0.25"/>
    <row r="66995" customFormat="1" x14ac:dyDescent="0.25"/>
    <row r="66996" customFormat="1" x14ac:dyDescent="0.25"/>
    <row r="66997" customFormat="1" x14ac:dyDescent="0.25"/>
    <row r="66998" customFormat="1" x14ac:dyDescent="0.25"/>
    <row r="66999" customFormat="1" x14ac:dyDescent="0.25"/>
    <row r="67000" customFormat="1" x14ac:dyDescent="0.25"/>
    <row r="67001" customFormat="1" x14ac:dyDescent="0.25"/>
    <row r="67002" customFormat="1" x14ac:dyDescent="0.25"/>
    <row r="67003" customFormat="1" x14ac:dyDescent="0.25"/>
    <row r="67004" customFormat="1" x14ac:dyDescent="0.25"/>
    <row r="67005" customFormat="1" x14ac:dyDescent="0.25"/>
    <row r="67006" customFormat="1" x14ac:dyDescent="0.25"/>
    <row r="67007" customFormat="1" x14ac:dyDescent="0.25"/>
    <row r="67008" customFormat="1" x14ac:dyDescent="0.25"/>
    <row r="67009" customFormat="1" x14ac:dyDescent="0.25"/>
    <row r="67010" customFormat="1" x14ac:dyDescent="0.25"/>
    <row r="67011" customFormat="1" x14ac:dyDescent="0.25"/>
    <row r="67012" customFormat="1" x14ac:dyDescent="0.25"/>
    <row r="67013" customFormat="1" x14ac:dyDescent="0.25"/>
    <row r="67014" customFormat="1" x14ac:dyDescent="0.25"/>
    <row r="67015" customFormat="1" x14ac:dyDescent="0.25"/>
    <row r="67016" customFormat="1" x14ac:dyDescent="0.25"/>
    <row r="67017" customFormat="1" x14ac:dyDescent="0.25"/>
    <row r="67018" customFormat="1" x14ac:dyDescent="0.25"/>
    <row r="67019" customFormat="1" x14ac:dyDescent="0.25"/>
    <row r="67020" customFormat="1" x14ac:dyDescent="0.25"/>
    <row r="67021" customFormat="1" x14ac:dyDescent="0.25"/>
    <row r="67022" customFormat="1" x14ac:dyDescent="0.25"/>
    <row r="67023" customFormat="1" x14ac:dyDescent="0.25"/>
    <row r="67024" customFormat="1" x14ac:dyDescent="0.25"/>
    <row r="67025" customFormat="1" x14ac:dyDescent="0.25"/>
    <row r="67026" customFormat="1" x14ac:dyDescent="0.25"/>
    <row r="67027" customFormat="1" x14ac:dyDescent="0.25"/>
    <row r="67028" customFormat="1" x14ac:dyDescent="0.25"/>
    <row r="67029" customFormat="1" x14ac:dyDescent="0.25"/>
    <row r="67030" customFormat="1" x14ac:dyDescent="0.25"/>
    <row r="67031" customFormat="1" x14ac:dyDescent="0.25"/>
    <row r="67032" customFormat="1" x14ac:dyDescent="0.25"/>
    <row r="67033" customFormat="1" x14ac:dyDescent="0.25"/>
    <row r="67034" customFormat="1" x14ac:dyDescent="0.25"/>
    <row r="67035" customFormat="1" x14ac:dyDescent="0.25"/>
    <row r="67036" customFormat="1" x14ac:dyDescent="0.25"/>
    <row r="67037" customFormat="1" x14ac:dyDescent="0.25"/>
    <row r="67038" customFormat="1" x14ac:dyDescent="0.25"/>
    <row r="67039" customFormat="1" x14ac:dyDescent="0.25"/>
    <row r="67040" customFormat="1" x14ac:dyDescent="0.25"/>
    <row r="67041" customFormat="1" x14ac:dyDescent="0.25"/>
    <row r="67042" customFormat="1" x14ac:dyDescent="0.25"/>
    <row r="67043" customFormat="1" x14ac:dyDescent="0.25"/>
    <row r="67044" customFormat="1" x14ac:dyDescent="0.25"/>
    <row r="67045" customFormat="1" x14ac:dyDescent="0.25"/>
    <row r="67046" customFormat="1" x14ac:dyDescent="0.25"/>
    <row r="67047" customFormat="1" x14ac:dyDescent="0.25"/>
    <row r="67048" customFormat="1" x14ac:dyDescent="0.25"/>
    <row r="67049" customFormat="1" x14ac:dyDescent="0.25"/>
    <row r="67050" customFormat="1" x14ac:dyDescent="0.25"/>
    <row r="67051" customFormat="1" x14ac:dyDescent="0.25"/>
    <row r="67052" customFormat="1" x14ac:dyDescent="0.25"/>
    <row r="67053" customFormat="1" x14ac:dyDescent="0.25"/>
    <row r="67054" customFormat="1" x14ac:dyDescent="0.25"/>
    <row r="67055" customFormat="1" x14ac:dyDescent="0.25"/>
    <row r="67056" customFormat="1" x14ac:dyDescent="0.25"/>
    <row r="67057" customFormat="1" x14ac:dyDescent="0.25"/>
    <row r="67058" customFormat="1" x14ac:dyDescent="0.25"/>
    <row r="67059" customFormat="1" x14ac:dyDescent="0.25"/>
    <row r="67060" customFormat="1" x14ac:dyDescent="0.25"/>
    <row r="67061" customFormat="1" x14ac:dyDescent="0.25"/>
    <row r="67062" customFormat="1" x14ac:dyDescent="0.25"/>
    <row r="67063" customFormat="1" x14ac:dyDescent="0.25"/>
    <row r="67064" customFormat="1" x14ac:dyDescent="0.25"/>
    <row r="67065" customFormat="1" x14ac:dyDescent="0.25"/>
    <row r="67066" customFormat="1" x14ac:dyDescent="0.25"/>
    <row r="67067" customFormat="1" x14ac:dyDescent="0.25"/>
    <row r="67068" customFormat="1" x14ac:dyDescent="0.25"/>
    <row r="67069" customFormat="1" x14ac:dyDescent="0.25"/>
    <row r="67070" customFormat="1" x14ac:dyDescent="0.25"/>
    <row r="67071" customFormat="1" x14ac:dyDescent="0.25"/>
    <row r="67072" customFormat="1" x14ac:dyDescent="0.25"/>
    <row r="67073" customFormat="1" x14ac:dyDescent="0.25"/>
    <row r="67074" customFormat="1" x14ac:dyDescent="0.25"/>
    <row r="67075" customFormat="1" x14ac:dyDescent="0.25"/>
    <row r="67076" customFormat="1" x14ac:dyDescent="0.25"/>
    <row r="67077" customFormat="1" x14ac:dyDescent="0.25"/>
    <row r="67078" customFormat="1" x14ac:dyDescent="0.25"/>
    <row r="67079" customFormat="1" x14ac:dyDescent="0.25"/>
    <row r="67080" customFormat="1" x14ac:dyDescent="0.25"/>
    <row r="67081" customFormat="1" x14ac:dyDescent="0.25"/>
    <row r="67082" customFormat="1" x14ac:dyDescent="0.25"/>
    <row r="67083" customFormat="1" x14ac:dyDescent="0.25"/>
    <row r="67084" customFormat="1" x14ac:dyDescent="0.25"/>
    <row r="67085" customFormat="1" x14ac:dyDescent="0.25"/>
    <row r="67086" customFormat="1" x14ac:dyDescent="0.25"/>
    <row r="67087" customFormat="1" x14ac:dyDescent="0.25"/>
    <row r="67088" customFormat="1" x14ac:dyDescent="0.25"/>
    <row r="67089" customFormat="1" x14ac:dyDescent="0.25"/>
    <row r="67090" customFormat="1" x14ac:dyDescent="0.25"/>
    <row r="67091" customFormat="1" x14ac:dyDescent="0.25"/>
    <row r="67092" customFormat="1" x14ac:dyDescent="0.25"/>
    <row r="67093" customFormat="1" x14ac:dyDescent="0.25"/>
    <row r="67094" customFormat="1" x14ac:dyDescent="0.25"/>
    <row r="67095" customFormat="1" x14ac:dyDescent="0.25"/>
    <row r="67096" customFormat="1" x14ac:dyDescent="0.25"/>
    <row r="67097" customFormat="1" x14ac:dyDescent="0.25"/>
    <row r="67098" customFormat="1" x14ac:dyDescent="0.25"/>
    <row r="67099" customFormat="1" x14ac:dyDescent="0.25"/>
    <row r="67100" customFormat="1" x14ac:dyDescent="0.25"/>
    <row r="67101" customFormat="1" x14ac:dyDescent="0.25"/>
    <row r="67102" customFormat="1" x14ac:dyDescent="0.25"/>
    <row r="67103" customFormat="1" x14ac:dyDescent="0.25"/>
    <row r="67104" customFormat="1" x14ac:dyDescent="0.25"/>
    <row r="67105" customFormat="1" x14ac:dyDescent="0.25"/>
    <row r="67106" customFormat="1" x14ac:dyDescent="0.25"/>
    <row r="67107" customFormat="1" x14ac:dyDescent="0.25"/>
    <row r="67108" customFormat="1" x14ac:dyDescent="0.25"/>
    <row r="67109" customFormat="1" x14ac:dyDescent="0.25"/>
    <row r="67110" customFormat="1" x14ac:dyDescent="0.25"/>
    <row r="67111" customFormat="1" x14ac:dyDescent="0.25"/>
    <row r="67112" customFormat="1" x14ac:dyDescent="0.25"/>
    <row r="67113" customFormat="1" x14ac:dyDescent="0.25"/>
    <row r="67114" customFormat="1" x14ac:dyDescent="0.25"/>
    <row r="67115" customFormat="1" x14ac:dyDescent="0.25"/>
    <row r="67116" customFormat="1" x14ac:dyDescent="0.25"/>
    <row r="67117" customFormat="1" x14ac:dyDescent="0.25"/>
    <row r="67118" customFormat="1" x14ac:dyDescent="0.25"/>
    <row r="67119" customFormat="1" x14ac:dyDescent="0.25"/>
    <row r="67120" customFormat="1" x14ac:dyDescent="0.25"/>
    <row r="67121" customFormat="1" x14ac:dyDescent="0.25"/>
    <row r="67122" customFormat="1" x14ac:dyDescent="0.25"/>
    <row r="67123" customFormat="1" x14ac:dyDescent="0.25"/>
    <row r="67124" customFormat="1" x14ac:dyDescent="0.25"/>
    <row r="67125" customFormat="1" x14ac:dyDescent="0.25"/>
    <row r="67126" customFormat="1" x14ac:dyDescent="0.25"/>
    <row r="67127" customFormat="1" x14ac:dyDescent="0.25"/>
    <row r="67128" customFormat="1" x14ac:dyDescent="0.25"/>
    <row r="67129" customFormat="1" x14ac:dyDescent="0.25"/>
    <row r="67130" customFormat="1" x14ac:dyDescent="0.25"/>
    <row r="67131" customFormat="1" x14ac:dyDescent="0.25"/>
    <row r="67132" customFormat="1" x14ac:dyDescent="0.25"/>
    <row r="67133" customFormat="1" x14ac:dyDescent="0.25"/>
    <row r="67134" customFormat="1" x14ac:dyDescent="0.25"/>
    <row r="67135" customFormat="1" x14ac:dyDescent="0.25"/>
    <row r="67136" customFormat="1" x14ac:dyDescent="0.25"/>
    <row r="67137" customFormat="1" x14ac:dyDescent="0.25"/>
    <row r="67138" customFormat="1" x14ac:dyDescent="0.25"/>
    <row r="67139" customFormat="1" x14ac:dyDescent="0.25"/>
    <row r="67140" customFormat="1" x14ac:dyDescent="0.25"/>
    <row r="67141" customFormat="1" x14ac:dyDescent="0.25"/>
    <row r="67142" customFormat="1" x14ac:dyDescent="0.25"/>
    <row r="67143" customFormat="1" x14ac:dyDescent="0.25"/>
    <row r="67144" customFormat="1" x14ac:dyDescent="0.25"/>
    <row r="67145" customFormat="1" x14ac:dyDescent="0.25"/>
    <row r="67146" customFormat="1" x14ac:dyDescent="0.25"/>
    <row r="67147" customFormat="1" x14ac:dyDescent="0.25"/>
    <row r="67148" customFormat="1" x14ac:dyDescent="0.25"/>
    <row r="67149" customFormat="1" x14ac:dyDescent="0.25"/>
    <row r="67150" customFormat="1" x14ac:dyDescent="0.25"/>
    <row r="67151" customFormat="1" x14ac:dyDescent="0.25"/>
    <row r="67152" customFormat="1" x14ac:dyDescent="0.25"/>
    <row r="67153" customFormat="1" x14ac:dyDescent="0.25"/>
    <row r="67154" customFormat="1" x14ac:dyDescent="0.25"/>
    <row r="67155" customFormat="1" x14ac:dyDescent="0.25"/>
    <row r="67156" customFormat="1" x14ac:dyDescent="0.25"/>
    <row r="67157" customFormat="1" x14ac:dyDescent="0.25"/>
    <row r="67158" customFormat="1" x14ac:dyDescent="0.25"/>
    <row r="67159" customFormat="1" x14ac:dyDescent="0.25"/>
    <row r="67160" customFormat="1" x14ac:dyDescent="0.25"/>
    <row r="67161" customFormat="1" x14ac:dyDescent="0.25"/>
    <row r="67162" customFormat="1" x14ac:dyDescent="0.25"/>
    <row r="67163" customFormat="1" x14ac:dyDescent="0.25"/>
    <row r="67164" customFormat="1" x14ac:dyDescent="0.25"/>
    <row r="67165" customFormat="1" x14ac:dyDescent="0.25"/>
    <row r="67166" customFormat="1" x14ac:dyDescent="0.25"/>
    <row r="67167" customFormat="1" x14ac:dyDescent="0.25"/>
    <row r="67168" customFormat="1" x14ac:dyDescent="0.25"/>
    <row r="67169" customFormat="1" x14ac:dyDescent="0.25"/>
    <row r="67170" customFormat="1" x14ac:dyDescent="0.25"/>
    <row r="67171" customFormat="1" x14ac:dyDescent="0.25"/>
    <row r="67172" customFormat="1" x14ac:dyDescent="0.25"/>
    <row r="67173" customFormat="1" x14ac:dyDescent="0.25"/>
    <row r="67174" customFormat="1" x14ac:dyDescent="0.25"/>
    <row r="67175" customFormat="1" x14ac:dyDescent="0.25"/>
    <row r="67176" customFormat="1" x14ac:dyDescent="0.25"/>
    <row r="67177" customFormat="1" x14ac:dyDescent="0.25"/>
    <row r="67178" customFormat="1" x14ac:dyDescent="0.25"/>
    <row r="67179" customFormat="1" x14ac:dyDescent="0.25"/>
    <row r="67180" customFormat="1" x14ac:dyDescent="0.25"/>
    <row r="67181" customFormat="1" x14ac:dyDescent="0.25"/>
    <row r="67182" customFormat="1" x14ac:dyDescent="0.25"/>
    <row r="67183" customFormat="1" x14ac:dyDescent="0.25"/>
    <row r="67184" customFormat="1" x14ac:dyDescent="0.25"/>
    <row r="67185" customFormat="1" x14ac:dyDescent="0.25"/>
    <row r="67186" customFormat="1" x14ac:dyDescent="0.25"/>
    <row r="67187" customFormat="1" x14ac:dyDescent="0.25"/>
    <row r="67188" customFormat="1" x14ac:dyDescent="0.25"/>
    <row r="67189" customFormat="1" x14ac:dyDescent="0.25"/>
    <row r="67190" customFormat="1" x14ac:dyDescent="0.25"/>
    <row r="67191" customFormat="1" x14ac:dyDescent="0.25"/>
    <row r="67192" customFormat="1" x14ac:dyDescent="0.25"/>
    <row r="67193" customFormat="1" x14ac:dyDescent="0.25"/>
    <row r="67194" customFormat="1" x14ac:dyDescent="0.25"/>
    <row r="67195" customFormat="1" x14ac:dyDescent="0.25"/>
    <row r="67196" customFormat="1" x14ac:dyDescent="0.25"/>
    <row r="67197" customFormat="1" x14ac:dyDescent="0.25"/>
    <row r="67198" customFormat="1" x14ac:dyDescent="0.25"/>
    <row r="67199" customFormat="1" x14ac:dyDescent="0.25"/>
    <row r="67200" customFormat="1" x14ac:dyDescent="0.25"/>
    <row r="67201" customFormat="1" x14ac:dyDescent="0.25"/>
    <row r="67202" customFormat="1" x14ac:dyDescent="0.25"/>
    <row r="67203" customFormat="1" x14ac:dyDescent="0.25"/>
    <row r="67204" customFormat="1" x14ac:dyDescent="0.25"/>
    <row r="67205" customFormat="1" x14ac:dyDescent="0.25"/>
    <row r="67206" customFormat="1" x14ac:dyDescent="0.25"/>
    <row r="67207" customFormat="1" x14ac:dyDescent="0.25"/>
    <row r="67208" customFormat="1" x14ac:dyDescent="0.25"/>
    <row r="67209" customFormat="1" x14ac:dyDescent="0.25"/>
    <row r="67210" customFormat="1" x14ac:dyDescent="0.25"/>
    <row r="67211" customFormat="1" x14ac:dyDescent="0.25"/>
    <row r="67212" customFormat="1" x14ac:dyDescent="0.25"/>
    <row r="67213" customFormat="1" x14ac:dyDescent="0.25"/>
    <row r="67214" customFormat="1" x14ac:dyDescent="0.25"/>
    <row r="67215" customFormat="1" x14ac:dyDescent="0.25"/>
    <row r="67216" customFormat="1" x14ac:dyDescent="0.25"/>
    <row r="67217" customFormat="1" x14ac:dyDescent="0.25"/>
    <row r="67218" customFormat="1" x14ac:dyDescent="0.25"/>
    <row r="67219" customFormat="1" x14ac:dyDescent="0.25"/>
    <row r="67220" customFormat="1" x14ac:dyDescent="0.25"/>
    <row r="67221" customFormat="1" x14ac:dyDescent="0.25"/>
    <row r="67222" customFormat="1" x14ac:dyDescent="0.25"/>
    <row r="67223" customFormat="1" x14ac:dyDescent="0.25"/>
    <row r="67224" customFormat="1" x14ac:dyDescent="0.25"/>
    <row r="67225" customFormat="1" x14ac:dyDescent="0.25"/>
    <row r="67226" customFormat="1" x14ac:dyDescent="0.25"/>
    <row r="67227" customFormat="1" x14ac:dyDescent="0.25"/>
    <row r="67228" customFormat="1" x14ac:dyDescent="0.25"/>
    <row r="67229" customFormat="1" x14ac:dyDescent="0.25"/>
    <row r="67230" customFormat="1" x14ac:dyDescent="0.25"/>
    <row r="67231" customFormat="1" x14ac:dyDescent="0.25"/>
    <row r="67232" customFormat="1" x14ac:dyDescent="0.25"/>
    <row r="67233" customFormat="1" x14ac:dyDescent="0.25"/>
    <row r="67234" customFormat="1" x14ac:dyDescent="0.25"/>
    <row r="67235" customFormat="1" x14ac:dyDescent="0.25"/>
    <row r="67236" customFormat="1" x14ac:dyDescent="0.25"/>
    <row r="67237" customFormat="1" x14ac:dyDescent="0.25"/>
    <row r="67238" customFormat="1" x14ac:dyDescent="0.25"/>
    <row r="67239" customFormat="1" x14ac:dyDescent="0.25"/>
    <row r="67240" customFormat="1" x14ac:dyDescent="0.25"/>
    <row r="67241" customFormat="1" x14ac:dyDescent="0.25"/>
    <row r="67242" customFormat="1" x14ac:dyDescent="0.25"/>
    <row r="67243" customFormat="1" x14ac:dyDescent="0.25"/>
    <row r="67244" customFormat="1" x14ac:dyDescent="0.25"/>
    <row r="67245" customFormat="1" x14ac:dyDescent="0.25"/>
    <row r="67246" customFormat="1" x14ac:dyDescent="0.25"/>
    <row r="67247" customFormat="1" x14ac:dyDescent="0.25"/>
    <row r="67248" customFormat="1" x14ac:dyDescent="0.25"/>
    <row r="67249" customFormat="1" x14ac:dyDescent="0.25"/>
    <row r="67250" customFormat="1" x14ac:dyDescent="0.25"/>
    <row r="67251" customFormat="1" x14ac:dyDescent="0.25"/>
    <row r="67252" customFormat="1" x14ac:dyDescent="0.25"/>
    <row r="67253" customFormat="1" x14ac:dyDescent="0.25"/>
    <row r="67254" customFormat="1" x14ac:dyDescent="0.25"/>
    <row r="67255" customFormat="1" x14ac:dyDescent="0.25"/>
    <row r="67256" customFormat="1" x14ac:dyDescent="0.25"/>
    <row r="67257" customFormat="1" x14ac:dyDescent="0.25"/>
    <row r="67258" customFormat="1" x14ac:dyDescent="0.25"/>
    <row r="67259" customFormat="1" x14ac:dyDescent="0.25"/>
    <row r="67260" customFormat="1" x14ac:dyDescent="0.25"/>
    <row r="67261" customFormat="1" x14ac:dyDescent="0.25"/>
    <row r="67262" customFormat="1" x14ac:dyDescent="0.25"/>
    <row r="67263" customFormat="1" x14ac:dyDescent="0.25"/>
    <row r="67264" customFormat="1" x14ac:dyDescent="0.25"/>
    <row r="67265" customFormat="1" x14ac:dyDescent="0.25"/>
    <row r="67266" customFormat="1" x14ac:dyDescent="0.25"/>
    <row r="67267" customFormat="1" x14ac:dyDescent="0.25"/>
    <row r="67268" customFormat="1" x14ac:dyDescent="0.25"/>
    <row r="67269" customFormat="1" x14ac:dyDescent="0.25"/>
    <row r="67270" customFormat="1" x14ac:dyDescent="0.25"/>
    <row r="67271" customFormat="1" x14ac:dyDescent="0.25"/>
    <row r="67272" customFormat="1" x14ac:dyDescent="0.25"/>
    <row r="67273" customFormat="1" x14ac:dyDescent="0.25"/>
    <row r="67274" customFormat="1" x14ac:dyDescent="0.25"/>
    <row r="67275" customFormat="1" x14ac:dyDescent="0.25"/>
    <row r="67276" customFormat="1" x14ac:dyDescent="0.25"/>
    <row r="67277" customFormat="1" x14ac:dyDescent="0.25"/>
    <row r="67278" customFormat="1" x14ac:dyDescent="0.25"/>
    <row r="67279" customFormat="1" x14ac:dyDescent="0.25"/>
    <row r="67280" customFormat="1" x14ac:dyDescent="0.25"/>
    <row r="67281" customFormat="1" x14ac:dyDescent="0.25"/>
    <row r="67282" customFormat="1" x14ac:dyDescent="0.25"/>
    <row r="67283" customFormat="1" x14ac:dyDescent="0.25"/>
    <row r="67284" customFormat="1" x14ac:dyDescent="0.25"/>
    <row r="67285" customFormat="1" x14ac:dyDescent="0.25"/>
    <row r="67286" customFormat="1" x14ac:dyDescent="0.25"/>
    <row r="67287" customFormat="1" x14ac:dyDescent="0.25"/>
    <row r="67288" customFormat="1" x14ac:dyDescent="0.25"/>
    <row r="67289" customFormat="1" x14ac:dyDescent="0.25"/>
    <row r="67290" customFormat="1" x14ac:dyDescent="0.25"/>
    <row r="67291" customFormat="1" x14ac:dyDescent="0.25"/>
    <row r="67292" customFormat="1" x14ac:dyDescent="0.25"/>
    <row r="67293" customFormat="1" x14ac:dyDescent="0.25"/>
    <row r="67294" customFormat="1" x14ac:dyDescent="0.25"/>
    <row r="67295" customFormat="1" x14ac:dyDescent="0.25"/>
    <row r="67296" customFormat="1" x14ac:dyDescent="0.25"/>
    <row r="67297" customFormat="1" x14ac:dyDescent="0.25"/>
    <row r="67298" customFormat="1" x14ac:dyDescent="0.25"/>
    <row r="67299" customFormat="1" x14ac:dyDescent="0.25"/>
    <row r="67300" customFormat="1" x14ac:dyDescent="0.25"/>
    <row r="67301" customFormat="1" x14ac:dyDescent="0.25"/>
    <row r="67302" customFormat="1" x14ac:dyDescent="0.25"/>
    <row r="67303" customFormat="1" x14ac:dyDescent="0.25"/>
    <row r="67304" customFormat="1" x14ac:dyDescent="0.25"/>
    <row r="67305" customFormat="1" x14ac:dyDescent="0.25"/>
    <row r="67306" customFormat="1" x14ac:dyDescent="0.25"/>
    <row r="67307" customFormat="1" x14ac:dyDescent="0.25"/>
    <row r="67308" customFormat="1" x14ac:dyDescent="0.25"/>
    <row r="67309" customFormat="1" x14ac:dyDescent="0.25"/>
    <row r="67310" customFormat="1" x14ac:dyDescent="0.25"/>
    <row r="67311" customFormat="1" x14ac:dyDescent="0.25"/>
    <row r="67312" customFormat="1" x14ac:dyDescent="0.25"/>
    <row r="67313" customFormat="1" x14ac:dyDescent="0.25"/>
    <row r="67314" customFormat="1" x14ac:dyDescent="0.25"/>
    <row r="67315" customFormat="1" x14ac:dyDescent="0.25"/>
    <row r="67316" customFormat="1" x14ac:dyDescent="0.25"/>
    <row r="67317" customFormat="1" x14ac:dyDescent="0.25"/>
    <row r="67318" customFormat="1" x14ac:dyDescent="0.25"/>
    <row r="67319" customFormat="1" x14ac:dyDescent="0.25"/>
    <row r="67320" customFormat="1" x14ac:dyDescent="0.25"/>
    <row r="67321" customFormat="1" x14ac:dyDescent="0.25"/>
    <row r="67322" customFormat="1" x14ac:dyDescent="0.25"/>
    <row r="67323" customFormat="1" x14ac:dyDescent="0.25"/>
    <row r="67324" customFormat="1" x14ac:dyDescent="0.25"/>
    <row r="67325" customFormat="1" x14ac:dyDescent="0.25"/>
    <row r="67326" customFormat="1" x14ac:dyDescent="0.25"/>
    <row r="67327" customFormat="1" x14ac:dyDescent="0.25"/>
    <row r="67328" customFormat="1" x14ac:dyDescent="0.25"/>
    <row r="67329" customFormat="1" x14ac:dyDescent="0.25"/>
    <row r="67330" customFormat="1" x14ac:dyDescent="0.25"/>
    <row r="67331" customFormat="1" x14ac:dyDescent="0.25"/>
    <row r="67332" customFormat="1" x14ac:dyDescent="0.25"/>
    <row r="67333" customFormat="1" x14ac:dyDescent="0.25"/>
    <row r="67334" customFormat="1" x14ac:dyDescent="0.25"/>
    <row r="67335" customFormat="1" x14ac:dyDescent="0.25"/>
    <row r="67336" customFormat="1" x14ac:dyDescent="0.25"/>
    <row r="67337" customFormat="1" x14ac:dyDescent="0.25"/>
    <row r="67338" customFormat="1" x14ac:dyDescent="0.25"/>
    <row r="67339" customFormat="1" x14ac:dyDescent="0.25"/>
    <row r="67340" customFormat="1" x14ac:dyDescent="0.25"/>
    <row r="67341" customFormat="1" x14ac:dyDescent="0.25"/>
    <row r="67342" customFormat="1" x14ac:dyDescent="0.25"/>
    <row r="67343" customFormat="1" x14ac:dyDescent="0.25"/>
    <row r="67344" customFormat="1" x14ac:dyDescent="0.25"/>
    <row r="67345" customFormat="1" x14ac:dyDescent="0.25"/>
    <row r="67346" customFormat="1" x14ac:dyDescent="0.25"/>
    <row r="67347" customFormat="1" x14ac:dyDescent="0.25"/>
    <row r="67348" customFormat="1" x14ac:dyDescent="0.25"/>
    <row r="67349" customFormat="1" x14ac:dyDescent="0.25"/>
    <row r="67350" customFormat="1" x14ac:dyDescent="0.25"/>
    <row r="67351" customFormat="1" x14ac:dyDescent="0.25"/>
    <row r="67352" customFormat="1" x14ac:dyDescent="0.25"/>
    <row r="67353" customFormat="1" x14ac:dyDescent="0.25"/>
    <row r="67354" customFormat="1" x14ac:dyDescent="0.25"/>
    <row r="67355" customFormat="1" x14ac:dyDescent="0.25"/>
    <row r="67356" customFormat="1" x14ac:dyDescent="0.25"/>
    <row r="67357" customFormat="1" x14ac:dyDescent="0.25"/>
    <row r="67358" customFormat="1" x14ac:dyDescent="0.25"/>
    <row r="67359" customFormat="1" x14ac:dyDescent="0.25"/>
    <row r="67360" customFormat="1" x14ac:dyDescent="0.25"/>
    <row r="67361" customFormat="1" x14ac:dyDescent="0.25"/>
    <row r="67362" customFormat="1" x14ac:dyDescent="0.25"/>
    <row r="67363" customFormat="1" x14ac:dyDescent="0.25"/>
    <row r="67364" customFormat="1" x14ac:dyDescent="0.25"/>
    <row r="67365" customFormat="1" x14ac:dyDescent="0.25"/>
    <row r="67366" customFormat="1" x14ac:dyDescent="0.25"/>
    <row r="67367" customFormat="1" x14ac:dyDescent="0.25"/>
    <row r="67368" customFormat="1" x14ac:dyDescent="0.25"/>
    <row r="67369" customFormat="1" x14ac:dyDescent="0.25"/>
    <row r="67370" customFormat="1" x14ac:dyDescent="0.25"/>
    <row r="67371" customFormat="1" x14ac:dyDescent="0.25"/>
    <row r="67372" customFormat="1" x14ac:dyDescent="0.25"/>
    <row r="67373" customFormat="1" x14ac:dyDescent="0.25"/>
    <row r="67374" customFormat="1" x14ac:dyDescent="0.25"/>
    <row r="67375" customFormat="1" x14ac:dyDescent="0.25"/>
    <row r="67376" customFormat="1" x14ac:dyDescent="0.25"/>
    <row r="67377" customFormat="1" x14ac:dyDescent="0.25"/>
    <row r="67378" customFormat="1" x14ac:dyDescent="0.25"/>
    <row r="67379" customFormat="1" x14ac:dyDescent="0.25"/>
    <row r="67380" customFormat="1" x14ac:dyDescent="0.25"/>
    <row r="67381" customFormat="1" x14ac:dyDescent="0.25"/>
    <row r="67382" customFormat="1" x14ac:dyDescent="0.25"/>
    <row r="67383" customFormat="1" x14ac:dyDescent="0.25"/>
    <row r="67384" customFormat="1" x14ac:dyDescent="0.25"/>
    <row r="67385" customFormat="1" x14ac:dyDescent="0.25"/>
    <row r="67386" customFormat="1" x14ac:dyDescent="0.25"/>
    <row r="67387" customFormat="1" x14ac:dyDescent="0.25"/>
    <row r="67388" customFormat="1" x14ac:dyDescent="0.25"/>
    <row r="67389" customFormat="1" x14ac:dyDescent="0.25"/>
    <row r="67390" customFormat="1" x14ac:dyDescent="0.25"/>
    <row r="67391" customFormat="1" x14ac:dyDescent="0.25"/>
    <row r="67392" customFormat="1" x14ac:dyDescent="0.25"/>
    <row r="67393" customFormat="1" x14ac:dyDescent="0.25"/>
    <row r="67394" customFormat="1" x14ac:dyDescent="0.25"/>
    <row r="67395" customFormat="1" x14ac:dyDescent="0.25"/>
    <row r="67396" customFormat="1" x14ac:dyDescent="0.25"/>
    <row r="67397" customFormat="1" x14ac:dyDescent="0.25"/>
    <row r="67398" customFormat="1" x14ac:dyDescent="0.25"/>
    <row r="67399" customFormat="1" x14ac:dyDescent="0.25"/>
    <row r="67400" customFormat="1" x14ac:dyDescent="0.25"/>
    <row r="67401" customFormat="1" x14ac:dyDescent="0.25"/>
    <row r="67402" customFormat="1" x14ac:dyDescent="0.25"/>
    <row r="67403" customFormat="1" x14ac:dyDescent="0.25"/>
    <row r="67404" customFormat="1" x14ac:dyDescent="0.25"/>
    <row r="67405" customFormat="1" x14ac:dyDescent="0.25"/>
    <row r="67406" customFormat="1" x14ac:dyDescent="0.25"/>
    <row r="67407" customFormat="1" x14ac:dyDescent="0.25"/>
    <row r="67408" customFormat="1" x14ac:dyDescent="0.25"/>
    <row r="67409" customFormat="1" x14ac:dyDescent="0.25"/>
    <row r="67410" customFormat="1" x14ac:dyDescent="0.25"/>
    <row r="67411" customFormat="1" x14ac:dyDescent="0.25"/>
    <row r="67412" customFormat="1" x14ac:dyDescent="0.25"/>
    <row r="67413" customFormat="1" x14ac:dyDescent="0.25"/>
    <row r="67414" customFormat="1" x14ac:dyDescent="0.25"/>
    <row r="67415" customFormat="1" x14ac:dyDescent="0.25"/>
    <row r="67416" customFormat="1" x14ac:dyDescent="0.25"/>
    <row r="67417" customFormat="1" x14ac:dyDescent="0.25"/>
    <row r="67418" customFormat="1" x14ac:dyDescent="0.25"/>
    <row r="67419" customFormat="1" x14ac:dyDescent="0.25"/>
    <row r="67420" customFormat="1" x14ac:dyDescent="0.25"/>
    <row r="67421" customFormat="1" x14ac:dyDescent="0.25"/>
    <row r="67422" customFormat="1" x14ac:dyDescent="0.25"/>
    <row r="67423" customFormat="1" x14ac:dyDescent="0.25"/>
    <row r="67424" customFormat="1" x14ac:dyDescent="0.25"/>
    <row r="67425" customFormat="1" x14ac:dyDescent="0.25"/>
    <row r="67426" customFormat="1" x14ac:dyDescent="0.25"/>
    <row r="67427" customFormat="1" x14ac:dyDescent="0.25"/>
    <row r="67428" customFormat="1" x14ac:dyDescent="0.25"/>
    <row r="67429" customFormat="1" x14ac:dyDescent="0.25"/>
    <row r="67430" customFormat="1" x14ac:dyDescent="0.25"/>
    <row r="67431" customFormat="1" x14ac:dyDescent="0.25"/>
    <row r="67432" customFormat="1" x14ac:dyDescent="0.25"/>
    <row r="67433" customFormat="1" x14ac:dyDescent="0.25"/>
    <row r="67434" customFormat="1" x14ac:dyDescent="0.25"/>
    <row r="67435" customFormat="1" x14ac:dyDescent="0.25"/>
    <row r="67436" customFormat="1" x14ac:dyDescent="0.25"/>
    <row r="67437" customFormat="1" x14ac:dyDescent="0.25"/>
    <row r="67438" customFormat="1" x14ac:dyDescent="0.25"/>
    <row r="67439" customFormat="1" x14ac:dyDescent="0.25"/>
    <row r="67440" customFormat="1" x14ac:dyDescent="0.25"/>
    <row r="67441" customFormat="1" x14ac:dyDescent="0.25"/>
    <row r="67442" customFormat="1" x14ac:dyDescent="0.25"/>
    <row r="67443" customFormat="1" x14ac:dyDescent="0.25"/>
    <row r="67444" customFormat="1" x14ac:dyDescent="0.25"/>
    <row r="67445" customFormat="1" x14ac:dyDescent="0.25"/>
    <row r="67446" customFormat="1" x14ac:dyDescent="0.25"/>
    <row r="67447" customFormat="1" x14ac:dyDescent="0.25"/>
    <row r="67448" customFormat="1" x14ac:dyDescent="0.25"/>
    <row r="67449" customFormat="1" x14ac:dyDescent="0.25"/>
    <row r="67450" customFormat="1" x14ac:dyDescent="0.25"/>
    <row r="67451" customFormat="1" x14ac:dyDescent="0.25"/>
    <row r="67452" customFormat="1" x14ac:dyDescent="0.25"/>
    <row r="67453" customFormat="1" x14ac:dyDescent="0.25"/>
    <row r="67454" customFormat="1" x14ac:dyDescent="0.25"/>
    <row r="67455" customFormat="1" x14ac:dyDescent="0.25"/>
    <row r="67456" customFormat="1" x14ac:dyDescent="0.25"/>
    <row r="67457" customFormat="1" x14ac:dyDescent="0.25"/>
    <row r="67458" customFormat="1" x14ac:dyDescent="0.25"/>
    <row r="67459" customFormat="1" x14ac:dyDescent="0.25"/>
    <row r="67460" customFormat="1" x14ac:dyDescent="0.25"/>
    <row r="67461" customFormat="1" x14ac:dyDescent="0.25"/>
    <row r="67462" customFormat="1" x14ac:dyDescent="0.25"/>
    <row r="67463" customFormat="1" x14ac:dyDescent="0.25"/>
    <row r="67464" customFormat="1" x14ac:dyDescent="0.25"/>
    <row r="67465" customFormat="1" x14ac:dyDescent="0.25"/>
    <row r="67466" customFormat="1" x14ac:dyDescent="0.25"/>
    <row r="67467" customFormat="1" x14ac:dyDescent="0.25"/>
    <row r="67468" customFormat="1" x14ac:dyDescent="0.25"/>
    <row r="67469" customFormat="1" x14ac:dyDescent="0.25"/>
    <row r="67470" customFormat="1" x14ac:dyDescent="0.25"/>
    <row r="67471" customFormat="1" x14ac:dyDescent="0.25"/>
    <row r="67472" customFormat="1" x14ac:dyDescent="0.25"/>
    <row r="67473" customFormat="1" x14ac:dyDescent="0.25"/>
    <row r="67474" customFormat="1" x14ac:dyDescent="0.25"/>
    <row r="67475" customFormat="1" x14ac:dyDescent="0.25"/>
    <row r="67476" customFormat="1" x14ac:dyDescent="0.25"/>
    <row r="67477" customFormat="1" x14ac:dyDescent="0.25"/>
    <row r="67478" customFormat="1" x14ac:dyDescent="0.25"/>
    <row r="67479" customFormat="1" x14ac:dyDescent="0.25"/>
    <row r="67480" customFormat="1" x14ac:dyDescent="0.25"/>
    <row r="67481" customFormat="1" x14ac:dyDescent="0.25"/>
    <row r="67482" customFormat="1" x14ac:dyDescent="0.25"/>
    <row r="67483" customFormat="1" x14ac:dyDescent="0.25"/>
    <row r="67484" customFormat="1" x14ac:dyDescent="0.25"/>
    <row r="67485" customFormat="1" x14ac:dyDescent="0.25"/>
    <row r="67486" customFormat="1" x14ac:dyDescent="0.25"/>
    <row r="67487" customFormat="1" x14ac:dyDescent="0.25"/>
    <row r="67488" customFormat="1" x14ac:dyDescent="0.25"/>
    <row r="67489" customFormat="1" x14ac:dyDescent="0.25"/>
    <row r="67490" customFormat="1" x14ac:dyDescent="0.25"/>
    <row r="67491" customFormat="1" x14ac:dyDescent="0.25"/>
    <row r="67492" customFormat="1" x14ac:dyDescent="0.25"/>
    <row r="67493" customFormat="1" x14ac:dyDescent="0.25"/>
    <row r="67494" customFormat="1" x14ac:dyDescent="0.25"/>
    <row r="67495" customFormat="1" x14ac:dyDescent="0.25"/>
    <row r="67496" customFormat="1" x14ac:dyDescent="0.25"/>
    <row r="67497" customFormat="1" x14ac:dyDescent="0.25"/>
    <row r="67498" customFormat="1" x14ac:dyDescent="0.25"/>
    <row r="67499" customFormat="1" x14ac:dyDescent="0.25"/>
    <row r="67500" customFormat="1" x14ac:dyDescent="0.25"/>
    <row r="67501" customFormat="1" x14ac:dyDescent="0.25"/>
    <row r="67502" customFormat="1" x14ac:dyDescent="0.25"/>
    <row r="67503" customFormat="1" x14ac:dyDescent="0.25"/>
    <row r="67504" customFormat="1" x14ac:dyDescent="0.25"/>
    <row r="67505" customFormat="1" x14ac:dyDescent="0.25"/>
    <row r="67506" customFormat="1" x14ac:dyDescent="0.25"/>
    <row r="67507" customFormat="1" x14ac:dyDescent="0.25"/>
    <row r="67508" customFormat="1" x14ac:dyDescent="0.25"/>
    <row r="67509" customFormat="1" x14ac:dyDescent="0.25"/>
    <row r="67510" customFormat="1" x14ac:dyDescent="0.25"/>
    <row r="67511" customFormat="1" x14ac:dyDescent="0.25"/>
    <row r="67512" customFormat="1" x14ac:dyDescent="0.25"/>
    <row r="67513" customFormat="1" x14ac:dyDescent="0.25"/>
    <row r="67514" customFormat="1" x14ac:dyDescent="0.25"/>
    <row r="67515" customFormat="1" x14ac:dyDescent="0.25"/>
    <row r="67516" customFormat="1" x14ac:dyDescent="0.25"/>
    <row r="67517" customFormat="1" x14ac:dyDescent="0.25"/>
    <row r="67518" customFormat="1" x14ac:dyDescent="0.25"/>
    <row r="67519" customFormat="1" x14ac:dyDescent="0.25"/>
    <row r="67520" customFormat="1" x14ac:dyDescent="0.25"/>
    <row r="67521" customFormat="1" x14ac:dyDescent="0.25"/>
    <row r="67522" customFormat="1" x14ac:dyDescent="0.25"/>
    <row r="67523" customFormat="1" x14ac:dyDescent="0.25"/>
    <row r="67524" customFormat="1" x14ac:dyDescent="0.25"/>
    <row r="67525" customFormat="1" x14ac:dyDescent="0.25"/>
    <row r="67526" customFormat="1" x14ac:dyDescent="0.25"/>
    <row r="67527" customFormat="1" x14ac:dyDescent="0.25"/>
    <row r="67528" customFormat="1" x14ac:dyDescent="0.25"/>
    <row r="67529" customFormat="1" x14ac:dyDescent="0.25"/>
    <row r="67530" customFormat="1" x14ac:dyDescent="0.25"/>
    <row r="67531" customFormat="1" x14ac:dyDescent="0.25"/>
    <row r="67532" customFormat="1" x14ac:dyDescent="0.25"/>
    <row r="67533" customFormat="1" x14ac:dyDescent="0.25"/>
    <row r="67534" customFormat="1" x14ac:dyDescent="0.25"/>
    <row r="67535" customFormat="1" x14ac:dyDescent="0.25"/>
    <row r="67536" customFormat="1" x14ac:dyDescent="0.25"/>
    <row r="67537" customFormat="1" x14ac:dyDescent="0.25"/>
    <row r="67538" customFormat="1" x14ac:dyDescent="0.25"/>
    <row r="67539" customFormat="1" x14ac:dyDescent="0.25"/>
    <row r="67540" customFormat="1" x14ac:dyDescent="0.25"/>
    <row r="67541" customFormat="1" x14ac:dyDescent="0.25"/>
    <row r="67542" customFormat="1" x14ac:dyDescent="0.25"/>
    <row r="67543" customFormat="1" x14ac:dyDescent="0.25"/>
    <row r="67544" customFormat="1" x14ac:dyDescent="0.25"/>
    <row r="67545" customFormat="1" x14ac:dyDescent="0.25"/>
    <row r="67546" customFormat="1" x14ac:dyDescent="0.25"/>
    <row r="67547" customFormat="1" x14ac:dyDescent="0.25"/>
    <row r="67548" customFormat="1" x14ac:dyDescent="0.25"/>
    <row r="67549" customFormat="1" x14ac:dyDescent="0.25"/>
    <row r="67550" customFormat="1" x14ac:dyDescent="0.25"/>
    <row r="67551" customFormat="1" x14ac:dyDescent="0.25"/>
    <row r="67552" customFormat="1" x14ac:dyDescent="0.25"/>
    <row r="67553" customFormat="1" x14ac:dyDescent="0.25"/>
    <row r="67554" customFormat="1" x14ac:dyDescent="0.25"/>
    <row r="67555" customFormat="1" x14ac:dyDescent="0.25"/>
    <row r="67556" customFormat="1" x14ac:dyDescent="0.25"/>
    <row r="67557" customFormat="1" x14ac:dyDescent="0.25"/>
    <row r="67558" customFormat="1" x14ac:dyDescent="0.25"/>
    <row r="67559" customFormat="1" x14ac:dyDescent="0.25"/>
    <row r="67560" customFormat="1" x14ac:dyDescent="0.25"/>
    <row r="67561" customFormat="1" x14ac:dyDescent="0.25"/>
    <row r="67562" customFormat="1" x14ac:dyDescent="0.25"/>
    <row r="67563" customFormat="1" x14ac:dyDescent="0.25"/>
    <row r="67564" customFormat="1" x14ac:dyDescent="0.25"/>
    <row r="67565" customFormat="1" x14ac:dyDescent="0.25"/>
    <row r="67566" customFormat="1" x14ac:dyDescent="0.25"/>
    <row r="67567" customFormat="1" x14ac:dyDescent="0.25"/>
    <row r="67568" customFormat="1" x14ac:dyDescent="0.25"/>
    <row r="67569" customFormat="1" x14ac:dyDescent="0.25"/>
    <row r="67570" customFormat="1" x14ac:dyDescent="0.25"/>
    <row r="67571" customFormat="1" x14ac:dyDescent="0.25"/>
    <row r="67572" customFormat="1" x14ac:dyDescent="0.25"/>
    <row r="67573" customFormat="1" x14ac:dyDescent="0.25"/>
    <row r="67574" customFormat="1" x14ac:dyDescent="0.25"/>
    <row r="67575" customFormat="1" x14ac:dyDescent="0.25"/>
    <row r="67576" customFormat="1" x14ac:dyDescent="0.25"/>
    <row r="67577" customFormat="1" x14ac:dyDescent="0.25"/>
    <row r="67578" customFormat="1" x14ac:dyDescent="0.25"/>
    <row r="67579" customFormat="1" x14ac:dyDescent="0.25"/>
    <row r="67580" customFormat="1" x14ac:dyDescent="0.25"/>
    <row r="67581" customFormat="1" x14ac:dyDescent="0.25"/>
    <row r="67582" customFormat="1" x14ac:dyDescent="0.25"/>
    <row r="67583" customFormat="1" x14ac:dyDescent="0.25"/>
    <row r="67584" customFormat="1" x14ac:dyDescent="0.25"/>
    <row r="67585" customFormat="1" x14ac:dyDescent="0.25"/>
    <row r="67586" customFormat="1" x14ac:dyDescent="0.25"/>
    <row r="67587" customFormat="1" x14ac:dyDescent="0.25"/>
    <row r="67588" customFormat="1" x14ac:dyDescent="0.25"/>
    <row r="67589" customFormat="1" x14ac:dyDescent="0.25"/>
    <row r="67590" customFormat="1" x14ac:dyDescent="0.25"/>
    <row r="67591" customFormat="1" x14ac:dyDescent="0.25"/>
    <row r="67592" customFormat="1" x14ac:dyDescent="0.25"/>
    <row r="67593" customFormat="1" x14ac:dyDescent="0.25"/>
    <row r="67594" customFormat="1" x14ac:dyDescent="0.25"/>
    <row r="67595" customFormat="1" x14ac:dyDescent="0.25"/>
    <row r="67596" customFormat="1" x14ac:dyDescent="0.25"/>
    <row r="67597" customFormat="1" x14ac:dyDescent="0.25"/>
    <row r="67598" customFormat="1" x14ac:dyDescent="0.25"/>
    <row r="67599" customFormat="1" x14ac:dyDescent="0.25"/>
    <row r="67600" customFormat="1" x14ac:dyDescent="0.25"/>
    <row r="67601" customFormat="1" x14ac:dyDescent="0.25"/>
    <row r="67602" customFormat="1" x14ac:dyDescent="0.25"/>
    <row r="67603" customFormat="1" x14ac:dyDescent="0.25"/>
    <row r="67604" customFormat="1" x14ac:dyDescent="0.25"/>
    <row r="67605" customFormat="1" x14ac:dyDescent="0.25"/>
    <row r="67606" customFormat="1" x14ac:dyDescent="0.25"/>
    <row r="67607" customFormat="1" x14ac:dyDescent="0.25"/>
    <row r="67608" customFormat="1" x14ac:dyDescent="0.25"/>
    <row r="67609" customFormat="1" x14ac:dyDescent="0.25"/>
    <row r="67610" customFormat="1" x14ac:dyDescent="0.25"/>
    <row r="67611" customFormat="1" x14ac:dyDescent="0.25"/>
    <row r="67612" customFormat="1" x14ac:dyDescent="0.25"/>
    <row r="67613" customFormat="1" x14ac:dyDescent="0.25"/>
    <row r="67614" customFormat="1" x14ac:dyDescent="0.25"/>
    <row r="67615" customFormat="1" x14ac:dyDescent="0.25"/>
    <row r="67616" customFormat="1" x14ac:dyDescent="0.25"/>
    <row r="67617" customFormat="1" x14ac:dyDescent="0.25"/>
    <row r="67618" customFormat="1" x14ac:dyDescent="0.25"/>
    <row r="67619" customFormat="1" x14ac:dyDescent="0.25"/>
    <row r="67620" customFormat="1" x14ac:dyDescent="0.25"/>
    <row r="67621" customFormat="1" x14ac:dyDescent="0.25"/>
    <row r="67622" customFormat="1" x14ac:dyDescent="0.25"/>
    <row r="67623" customFormat="1" x14ac:dyDescent="0.25"/>
    <row r="67624" customFormat="1" x14ac:dyDescent="0.25"/>
    <row r="67625" customFormat="1" x14ac:dyDescent="0.25"/>
    <row r="67626" customFormat="1" x14ac:dyDescent="0.25"/>
    <row r="67627" customFormat="1" x14ac:dyDescent="0.25"/>
    <row r="67628" customFormat="1" x14ac:dyDescent="0.25"/>
    <row r="67629" customFormat="1" x14ac:dyDescent="0.25"/>
    <row r="67630" customFormat="1" x14ac:dyDescent="0.25"/>
    <row r="67631" customFormat="1" x14ac:dyDescent="0.25"/>
    <row r="67632" customFormat="1" x14ac:dyDescent="0.25"/>
    <row r="67633" customFormat="1" x14ac:dyDescent="0.25"/>
    <row r="67634" customFormat="1" x14ac:dyDescent="0.25"/>
    <row r="67635" customFormat="1" x14ac:dyDescent="0.25"/>
    <row r="67636" customFormat="1" x14ac:dyDescent="0.25"/>
    <row r="67637" customFormat="1" x14ac:dyDescent="0.25"/>
    <row r="67638" customFormat="1" x14ac:dyDescent="0.25"/>
    <row r="67639" customFormat="1" x14ac:dyDescent="0.25"/>
    <row r="67640" customFormat="1" x14ac:dyDescent="0.25"/>
    <row r="67641" customFormat="1" x14ac:dyDescent="0.25"/>
    <row r="67642" customFormat="1" x14ac:dyDescent="0.25"/>
    <row r="67643" customFormat="1" x14ac:dyDescent="0.25"/>
    <row r="67644" customFormat="1" x14ac:dyDescent="0.25"/>
    <row r="67645" customFormat="1" x14ac:dyDescent="0.25"/>
    <row r="67646" customFormat="1" x14ac:dyDescent="0.25"/>
    <row r="67647" customFormat="1" x14ac:dyDescent="0.25"/>
    <row r="67648" customFormat="1" x14ac:dyDescent="0.25"/>
    <row r="67649" customFormat="1" x14ac:dyDescent="0.25"/>
    <row r="67650" customFormat="1" x14ac:dyDescent="0.25"/>
    <row r="67651" customFormat="1" x14ac:dyDescent="0.25"/>
    <row r="67652" customFormat="1" x14ac:dyDescent="0.25"/>
    <row r="67653" customFormat="1" x14ac:dyDescent="0.25"/>
    <row r="67654" customFormat="1" x14ac:dyDescent="0.25"/>
    <row r="67655" customFormat="1" x14ac:dyDescent="0.25"/>
    <row r="67656" customFormat="1" x14ac:dyDescent="0.25"/>
    <row r="67657" customFormat="1" x14ac:dyDescent="0.25"/>
    <row r="67658" customFormat="1" x14ac:dyDescent="0.25"/>
    <row r="67659" customFormat="1" x14ac:dyDescent="0.25"/>
    <row r="67660" customFormat="1" x14ac:dyDescent="0.25"/>
    <row r="67661" customFormat="1" x14ac:dyDescent="0.25"/>
    <row r="67662" customFormat="1" x14ac:dyDescent="0.25"/>
    <row r="67663" customFormat="1" x14ac:dyDescent="0.25"/>
    <row r="67664" customFormat="1" x14ac:dyDescent="0.25"/>
    <row r="67665" customFormat="1" x14ac:dyDescent="0.25"/>
    <row r="67666" customFormat="1" x14ac:dyDescent="0.25"/>
    <row r="67667" customFormat="1" x14ac:dyDescent="0.25"/>
    <row r="67668" customFormat="1" x14ac:dyDescent="0.25"/>
    <row r="67669" customFormat="1" x14ac:dyDescent="0.25"/>
    <row r="67670" customFormat="1" x14ac:dyDescent="0.25"/>
    <row r="67671" customFormat="1" x14ac:dyDescent="0.25"/>
    <row r="67672" customFormat="1" x14ac:dyDescent="0.25"/>
    <row r="67673" customFormat="1" x14ac:dyDescent="0.25"/>
    <row r="67674" customFormat="1" x14ac:dyDescent="0.25"/>
    <row r="67675" customFormat="1" x14ac:dyDescent="0.25"/>
    <row r="67676" customFormat="1" x14ac:dyDescent="0.25"/>
    <row r="67677" customFormat="1" x14ac:dyDescent="0.25"/>
    <row r="67678" customFormat="1" x14ac:dyDescent="0.25"/>
    <row r="67679" customFormat="1" x14ac:dyDescent="0.25"/>
    <row r="67680" customFormat="1" x14ac:dyDescent="0.25"/>
    <row r="67681" customFormat="1" x14ac:dyDescent="0.25"/>
    <row r="67682" customFormat="1" x14ac:dyDescent="0.25"/>
    <row r="67683" customFormat="1" x14ac:dyDescent="0.25"/>
    <row r="67684" customFormat="1" x14ac:dyDescent="0.25"/>
    <row r="67685" customFormat="1" x14ac:dyDescent="0.25"/>
    <row r="67686" customFormat="1" x14ac:dyDescent="0.25"/>
    <row r="67687" customFormat="1" x14ac:dyDescent="0.25"/>
    <row r="67688" customFormat="1" x14ac:dyDescent="0.25"/>
    <row r="67689" customFormat="1" x14ac:dyDescent="0.25"/>
    <row r="67690" customFormat="1" x14ac:dyDescent="0.25"/>
    <row r="67691" customFormat="1" x14ac:dyDescent="0.25"/>
    <row r="67692" customFormat="1" x14ac:dyDescent="0.25"/>
    <row r="67693" customFormat="1" x14ac:dyDescent="0.25"/>
    <row r="67694" customFormat="1" x14ac:dyDescent="0.25"/>
    <row r="67695" customFormat="1" x14ac:dyDescent="0.25"/>
    <row r="67696" customFormat="1" x14ac:dyDescent="0.25"/>
    <row r="67697" customFormat="1" x14ac:dyDescent="0.25"/>
    <row r="67698" customFormat="1" x14ac:dyDescent="0.25"/>
    <row r="67699" customFormat="1" x14ac:dyDescent="0.25"/>
    <row r="67700" customFormat="1" x14ac:dyDescent="0.25"/>
    <row r="67701" customFormat="1" x14ac:dyDescent="0.25"/>
    <row r="67702" customFormat="1" x14ac:dyDescent="0.25"/>
    <row r="67703" customFormat="1" x14ac:dyDescent="0.25"/>
    <row r="67704" customFormat="1" x14ac:dyDescent="0.25"/>
    <row r="67705" customFormat="1" x14ac:dyDescent="0.25"/>
    <row r="67706" customFormat="1" x14ac:dyDescent="0.25"/>
    <row r="67707" customFormat="1" x14ac:dyDescent="0.25"/>
    <row r="67708" customFormat="1" x14ac:dyDescent="0.25"/>
    <row r="67709" customFormat="1" x14ac:dyDescent="0.25"/>
    <row r="67710" customFormat="1" x14ac:dyDescent="0.25"/>
    <row r="67711" customFormat="1" x14ac:dyDescent="0.25"/>
    <row r="67712" customFormat="1" x14ac:dyDescent="0.25"/>
    <row r="67713" customFormat="1" x14ac:dyDescent="0.25"/>
    <row r="67714" customFormat="1" x14ac:dyDescent="0.25"/>
    <row r="67715" customFormat="1" x14ac:dyDescent="0.25"/>
    <row r="67716" customFormat="1" x14ac:dyDescent="0.25"/>
    <row r="67717" customFormat="1" x14ac:dyDescent="0.25"/>
    <row r="67718" customFormat="1" x14ac:dyDescent="0.25"/>
    <row r="67719" customFormat="1" x14ac:dyDescent="0.25"/>
    <row r="67720" customFormat="1" x14ac:dyDescent="0.25"/>
    <row r="67721" customFormat="1" x14ac:dyDescent="0.25"/>
    <row r="67722" customFormat="1" x14ac:dyDescent="0.25"/>
    <row r="67723" customFormat="1" x14ac:dyDescent="0.25"/>
    <row r="67724" customFormat="1" x14ac:dyDescent="0.25"/>
    <row r="67725" customFormat="1" x14ac:dyDescent="0.25"/>
    <row r="67726" customFormat="1" x14ac:dyDescent="0.25"/>
    <row r="67727" customFormat="1" x14ac:dyDescent="0.25"/>
    <row r="67728" customFormat="1" x14ac:dyDescent="0.25"/>
    <row r="67729" customFormat="1" x14ac:dyDescent="0.25"/>
    <row r="67730" customFormat="1" x14ac:dyDescent="0.25"/>
    <row r="67731" customFormat="1" x14ac:dyDescent="0.25"/>
    <row r="67732" customFormat="1" x14ac:dyDescent="0.25"/>
    <row r="67733" customFormat="1" x14ac:dyDescent="0.25"/>
    <row r="67734" customFormat="1" x14ac:dyDescent="0.25"/>
    <row r="67735" customFormat="1" x14ac:dyDescent="0.25"/>
    <row r="67736" customFormat="1" x14ac:dyDescent="0.25"/>
    <row r="67737" customFormat="1" x14ac:dyDescent="0.25"/>
    <row r="67738" customFormat="1" x14ac:dyDescent="0.25"/>
    <row r="67739" customFormat="1" x14ac:dyDescent="0.25"/>
    <row r="67740" customFormat="1" x14ac:dyDescent="0.25"/>
    <row r="67741" customFormat="1" x14ac:dyDescent="0.25"/>
    <row r="67742" customFormat="1" x14ac:dyDescent="0.25"/>
    <row r="67743" customFormat="1" x14ac:dyDescent="0.25"/>
    <row r="67744" customFormat="1" x14ac:dyDescent="0.25"/>
    <row r="67745" customFormat="1" x14ac:dyDescent="0.25"/>
    <row r="67746" customFormat="1" x14ac:dyDescent="0.25"/>
    <row r="67747" customFormat="1" x14ac:dyDescent="0.25"/>
    <row r="67748" customFormat="1" x14ac:dyDescent="0.25"/>
    <row r="67749" customFormat="1" x14ac:dyDescent="0.25"/>
    <row r="67750" customFormat="1" x14ac:dyDescent="0.25"/>
    <row r="67751" customFormat="1" x14ac:dyDescent="0.25"/>
    <row r="67752" customFormat="1" x14ac:dyDescent="0.25"/>
    <row r="67753" customFormat="1" x14ac:dyDescent="0.25"/>
    <row r="67754" customFormat="1" x14ac:dyDescent="0.25"/>
    <row r="67755" customFormat="1" x14ac:dyDescent="0.25"/>
    <row r="67756" customFormat="1" x14ac:dyDescent="0.25"/>
    <row r="67757" customFormat="1" x14ac:dyDescent="0.25"/>
    <row r="67758" customFormat="1" x14ac:dyDescent="0.25"/>
    <row r="67759" customFormat="1" x14ac:dyDescent="0.25"/>
    <row r="67760" customFormat="1" x14ac:dyDescent="0.25"/>
    <row r="67761" customFormat="1" x14ac:dyDescent="0.25"/>
    <row r="67762" customFormat="1" x14ac:dyDescent="0.25"/>
    <row r="67763" customFormat="1" x14ac:dyDescent="0.25"/>
    <row r="67764" customFormat="1" x14ac:dyDescent="0.25"/>
    <row r="67765" customFormat="1" x14ac:dyDescent="0.25"/>
    <row r="67766" customFormat="1" x14ac:dyDescent="0.25"/>
    <row r="67767" customFormat="1" x14ac:dyDescent="0.25"/>
    <row r="67768" customFormat="1" x14ac:dyDescent="0.25"/>
    <row r="67769" customFormat="1" x14ac:dyDescent="0.25"/>
    <row r="67770" customFormat="1" x14ac:dyDescent="0.25"/>
    <row r="67771" customFormat="1" x14ac:dyDescent="0.25"/>
    <row r="67772" customFormat="1" x14ac:dyDescent="0.25"/>
    <row r="67773" customFormat="1" x14ac:dyDescent="0.25"/>
    <row r="67774" customFormat="1" x14ac:dyDescent="0.25"/>
    <row r="67775" customFormat="1" x14ac:dyDescent="0.25"/>
    <row r="67776" customFormat="1" x14ac:dyDescent="0.25"/>
    <row r="67777" customFormat="1" x14ac:dyDescent="0.25"/>
    <row r="67778" customFormat="1" x14ac:dyDescent="0.25"/>
    <row r="67779" customFormat="1" x14ac:dyDescent="0.25"/>
    <row r="67780" customFormat="1" x14ac:dyDescent="0.25"/>
    <row r="67781" customFormat="1" x14ac:dyDescent="0.25"/>
    <row r="67782" customFormat="1" x14ac:dyDescent="0.25"/>
    <row r="67783" customFormat="1" x14ac:dyDescent="0.25"/>
    <row r="67784" customFormat="1" x14ac:dyDescent="0.25"/>
    <row r="67785" customFormat="1" x14ac:dyDescent="0.25"/>
    <row r="67786" customFormat="1" x14ac:dyDescent="0.25"/>
    <row r="67787" customFormat="1" x14ac:dyDescent="0.25"/>
    <row r="67788" customFormat="1" x14ac:dyDescent="0.25"/>
    <row r="67789" customFormat="1" x14ac:dyDescent="0.25"/>
    <row r="67790" customFormat="1" x14ac:dyDescent="0.25"/>
    <row r="67791" customFormat="1" x14ac:dyDescent="0.25"/>
    <row r="67792" customFormat="1" x14ac:dyDescent="0.25"/>
    <row r="67793" customFormat="1" x14ac:dyDescent="0.25"/>
    <row r="67794" customFormat="1" x14ac:dyDescent="0.25"/>
    <row r="67795" customFormat="1" x14ac:dyDescent="0.25"/>
    <row r="67796" customFormat="1" x14ac:dyDescent="0.25"/>
    <row r="67797" customFormat="1" x14ac:dyDescent="0.25"/>
    <row r="67798" customFormat="1" x14ac:dyDescent="0.25"/>
    <row r="67799" customFormat="1" x14ac:dyDescent="0.25"/>
    <row r="67800" customFormat="1" x14ac:dyDescent="0.25"/>
    <row r="67801" customFormat="1" x14ac:dyDescent="0.25"/>
    <row r="67802" customFormat="1" x14ac:dyDescent="0.25"/>
    <row r="67803" customFormat="1" x14ac:dyDescent="0.25"/>
    <row r="67804" customFormat="1" x14ac:dyDescent="0.25"/>
    <row r="67805" customFormat="1" x14ac:dyDescent="0.25"/>
    <row r="67806" customFormat="1" x14ac:dyDescent="0.25"/>
    <row r="67807" customFormat="1" x14ac:dyDescent="0.25"/>
    <row r="67808" customFormat="1" x14ac:dyDescent="0.25"/>
    <row r="67809" customFormat="1" x14ac:dyDescent="0.25"/>
    <row r="67810" customFormat="1" x14ac:dyDescent="0.25"/>
    <row r="67811" customFormat="1" x14ac:dyDescent="0.25"/>
    <row r="67812" customFormat="1" x14ac:dyDescent="0.25"/>
    <row r="67813" customFormat="1" x14ac:dyDescent="0.25"/>
    <row r="67814" customFormat="1" x14ac:dyDescent="0.25"/>
    <row r="67815" customFormat="1" x14ac:dyDescent="0.25"/>
    <row r="67816" customFormat="1" x14ac:dyDescent="0.25"/>
    <row r="67817" customFormat="1" x14ac:dyDescent="0.25"/>
    <row r="67818" customFormat="1" x14ac:dyDescent="0.25"/>
    <row r="67819" customFormat="1" x14ac:dyDescent="0.25"/>
    <row r="67820" customFormat="1" x14ac:dyDescent="0.25"/>
    <row r="67821" customFormat="1" x14ac:dyDescent="0.25"/>
    <row r="67822" customFormat="1" x14ac:dyDescent="0.25"/>
    <row r="67823" customFormat="1" x14ac:dyDescent="0.25"/>
    <row r="67824" customFormat="1" x14ac:dyDescent="0.25"/>
    <row r="67825" customFormat="1" x14ac:dyDescent="0.25"/>
    <row r="67826" customFormat="1" x14ac:dyDescent="0.25"/>
    <row r="67827" customFormat="1" x14ac:dyDescent="0.25"/>
    <row r="67828" customFormat="1" x14ac:dyDescent="0.25"/>
    <row r="67829" customFormat="1" x14ac:dyDescent="0.25"/>
    <row r="67830" customFormat="1" x14ac:dyDescent="0.25"/>
    <row r="67831" customFormat="1" x14ac:dyDescent="0.25"/>
    <row r="67832" customFormat="1" x14ac:dyDescent="0.25"/>
    <row r="67833" customFormat="1" x14ac:dyDescent="0.25"/>
    <row r="67834" customFormat="1" x14ac:dyDescent="0.25"/>
    <row r="67835" customFormat="1" x14ac:dyDescent="0.25"/>
    <row r="67836" customFormat="1" x14ac:dyDescent="0.25"/>
    <row r="67837" customFormat="1" x14ac:dyDescent="0.25"/>
    <row r="67838" customFormat="1" x14ac:dyDescent="0.25"/>
    <row r="67839" customFormat="1" x14ac:dyDescent="0.25"/>
    <row r="67840" customFormat="1" x14ac:dyDescent="0.25"/>
    <row r="67841" customFormat="1" x14ac:dyDescent="0.25"/>
    <row r="67842" customFormat="1" x14ac:dyDescent="0.25"/>
    <row r="67843" customFormat="1" x14ac:dyDescent="0.25"/>
    <row r="67844" customFormat="1" x14ac:dyDescent="0.25"/>
    <row r="67845" customFormat="1" x14ac:dyDescent="0.25"/>
    <row r="67846" customFormat="1" x14ac:dyDescent="0.25"/>
    <row r="67847" customFormat="1" x14ac:dyDescent="0.25"/>
    <row r="67848" customFormat="1" x14ac:dyDescent="0.25"/>
    <row r="67849" customFormat="1" x14ac:dyDescent="0.25"/>
    <row r="67850" customFormat="1" x14ac:dyDescent="0.25"/>
    <row r="67851" customFormat="1" x14ac:dyDescent="0.25"/>
    <row r="67852" customFormat="1" x14ac:dyDescent="0.25"/>
    <row r="67853" customFormat="1" x14ac:dyDescent="0.25"/>
    <row r="67854" customFormat="1" x14ac:dyDescent="0.25"/>
    <row r="67855" customFormat="1" x14ac:dyDescent="0.25"/>
    <row r="67856" customFormat="1" x14ac:dyDescent="0.25"/>
    <row r="67857" customFormat="1" x14ac:dyDescent="0.25"/>
    <row r="67858" customFormat="1" x14ac:dyDescent="0.25"/>
    <row r="67859" customFormat="1" x14ac:dyDescent="0.25"/>
    <row r="67860" customFormat="1" x14ac:dyDescent="0.25"/>
    <row r="67861" customFormat="1" x14ac:dyDescent="0.25"/>
    <row r="67862" customFormat="1" x14ac:dyDescent="0.25"/>
    <row r="67863" customFormat="1" x14ac:dyDescent="0.25"/>
    <row r="67864" customFormat="1" x14ac:dyDescent="0.25"/>
    <row r="67865" customFormat="1" x14ac:dyDescent="0.25"/>
    <row r="67866" customFormat="1" x14ac:dyDescent="0.25"/>
    <row r="67867" customFormat="1" x14ac:dyDescent="0.25"/>
    <row r="67868" customFormat="1" x14ac:dyDescent="0.25"/>
    <row r="67869" customFormat="1" x14ac:dyDescent="0.25"/>
    <row r="67870" customFormat="1" x14ac:dyDescent="0.25"/>
    <row r="67871" customFormat="1" x14ac:dyDescent="0.25"/>
    <row r="67872" customFormat="1" x14ac:dyDescent="0.25"/>
    <row r="67873" customFormat="1" x14ac:dyDescent="0.25"/>
    <row r="67874" customFormat="1" x14ac:dyDescent="0.25"/>
    <row r="67875" customFormat="1" x14ac:dyDescent="0.25"/>
    <row r="67876" customFormat="1" x14ac:dyDescent="0.25"/>
    <row r="67877" customFormat="1" x14ac:dyDescent="0.25"/>
    <row r="67878" customFormat="1" x14ac:dyDescent="0.25"/>
    <row r="67879" customFormat="1" x14ac:dyDescent="0.25"/>
    <row r="67880" customFormat="1" x14ac:dyDescent="0.25"/>
    <row r="67881" customFormat="1" x14ac:dyDescent="0.25"/>
    <row r="67882" customFormat="1" x14ac:dyDescent="0.25"/>
    <row r="67883" customFormat="1" x14ac:dyDescent="0.25"/>
    <row r="67884" customFormat="1" x14ac:dyDescent="0.25"/>
    <row r="67885" customFormat="1" x14ac:dyDescent="0.25"/>
    <row r="67886" customFormat="1" x14ac:dyDescent="0.25"/>
    <row r="67887" customFormat="1" x14ac:dyDescent="0.25"/>
    <row r="67888" customFormat="1" x14ac:dyDescent="0.25"/>
    <row r="67889" customFormat="1" x14ac:dyDescent="0.25"/>
    <row r="67890" customFormat="1" x14ac:dyDescent="0.25"/>
    <row r="67891" customFormat="1" x14ac:dyDescent="0.25"/>
    <row r="67892" customFormat="1" x14ac:dyDescent="0.25"/>
    <row r="67893" customFormat="1" x14ac:dyDescent="0.25"/>
    <row r="67894" customFormat="1" x14ac:dyDescent="0.25"/>
    <row r="67895" customFormat="1" x14ac:dyDescent="0.25"/>
    <row r="67896" customFormat="1" x14ac:dyDescent="0.25"/>
    <row r="67897" customFormat="1" x14ac:dyDescent="0.25"/>
    <row r="67898" customFormat="1" x14ac:dyDescent="0.25"/>
    <row r="67899" customFormat="1" x14ac:dyDescent="0.25"/>
    <row r="67900" customFormat="1" x14ac:dyDescent="0.25"/>
    <row r="67901" customFormat="1" x14ac:dyDescent="0.25"/>
    <row r="67902" customFormat="1" x14ac:dyDescent="0.25"/>
    <row r="67903" customFormat="1" x14ac:dyDescent="0.25"/>
    <row r="67904" customFormat="1" x14ac:dyDescent="0.25"/>
    <row r="67905" customFormat="1" x14ac:dyDescent="0.25"/>
    <row r="67906" customFormat="1" x14ac:dyDescent="0.25"/>
    <row r="67907" customFormat="1" x14ac:dyDescent="0.25"/>
    <row r="67908" customFormat="1" x14ac:dyDescent="0.25"/>
    <row r="67909" customFormat="1" x14ac:dyDescent="0.25"/>
    <row r="67910" customFormat="1" x14ac:dyDescent="0.25"/>
    <row r="67911" customFormat="1" x14ac:dyDescent="0.25"/>
    <row r="67912" customFormat="1" x14ac:dyDescent="0.25"/>
    <row r="67913" customFormat="1" x14ac:dyDescent="0.25"/>
    <row r="67914" customFormat="1" x14ac:dyDescent="0.25"/>
    <row r="67915" customFormat="1" x14ac:dyDescent="0.25"/>
    <row r="67916" customFormat="1" x14ac:dyDescent="0.25"/>
    <row r="67917" customFormat="1" x14ac:dyDescent="0.25"/>
    <row r="67918" customFormat="1" x14ac:dyDescent="0.25"/>
    <row r="67919" customFormat="1" x14ac:dyDescent="0.25"/>
    <row r="67920" customFormat="1" x14ac:dyDescent="0.25"/>
    <row r="67921" customFormat="1" x14ac:dyDescent="0.25"/>
    <row r="67922" customFormat="1" x14ac:dyDescent="0.25"/>
    <row r="67923" customFormat="1" x14ac:dyDescent="0.25"/>
    <row r="67924" customFormat="1" x14ac:dyDescent="0.25"/>
    <row r="67925" customFormat="1" x14ac:dyDescent="0.25"/>
    <row r="67926" customFormat="1" x14ac:dyDescent="0.25"/>
    <row r="67927" customFormat="1" x14ac:dyDescent="0.25"/>
    <row r="67928" customFormat="1" x14ac:dyDescent="0.25"/>
    <row r="67929" customFormat="1" x14ac:dyDescent="0.25"/>
    <row r="67930" customFormat="1" x14ac:dyDescent="0.25"/>
    <row r="67931" customFormat="1" x14ac:dyDescent="0.25"/>
    <row r="67932" customFormat="1" x14ac:dyDescent="0.25"/>
    <row r="67933" customFormat="1" x14ac:dyDescent="0.25"/>
    <row r="67934" customFormat="1" x14ac:dyDescent="0.25"/>
    <row r="67935" customFormat="1" x14ac:dyDescent="0.25"/>
    <row r="67936" customFormat="1" x14ac:dyDescent="0.25"/>
    <row r="67937" customFormat="1" x14ac:dyDescent="0.25"/>
    <row r="67938" customFormat="1" x14ac:dyDescent="0.25"/>
    <row r="67939" customFormat="1" x14ac:dyDescent="0.25"/>
    <row r="67940" customFormat="1" x14ac:dyDescent="0.25"/>
    <row r="67941" customFormat="1" x14ac:dyDescent="0.25"/>
    <row r="67942" customFormat="1" x14ac:dyDescent="0.25"/>
    <row r="67943" customFormat="1" x14ac:dyDescent="0.25"/>
    <row r="67944" customFormat="1" x14ac:dyDescent="0.25"/>
    <row r="67945" customFormat="1" x14ac:dyDescent="0.25"/>
    <row r="67946" customFormat="1" x14ac:dyDescent="0.25"/>
    <row r="67947" customFormat="1" x14ac:dyDescent="0.25"/>
    <row r="67948" customFormat="1" x14ac:dyDescent="0.25"/>
    <row r="67949" customFormat="1" x14ac:dyDescent="0.25"/>
    <row r="67950" customFormat="1" x14ac:dyDescent="0.25"/>
    <row r="67951" customFormat="1" x14ac:dyDescent="0.25"/>
    <row r="67952" customFormat="1" x14ac:dyDescent="0.25"/>
    <row r="67953" customFormat="1" x14ac:dyDescent="0.25"/>
    <row r="67954" customFormat="1" x14ac:dyDescent="0.25"/>
    <row r="67955" customFormat="1" x14ac:dyDescent="0.25"/>
    <row r="67956" customFormat="1" x14ac:dyDescent="0.25"/>
    <row r="67957" customFormat="1" x14ac:dyDescent="0.25"/>
    <row r="67958" customFormat="1" x14ac:dyDescent="0.25"/>
    <row r="67959" customFormat="1" x14ac:dyDescent="0.25"/>
    <row r="67960" customFormat="1" x14ac:dyDescent="0.25"/>
    <row r="67961" customFormat="1" x14ac:dyDescent="0.25"/>
    <row r="67962" customFormat="1" x14ac:dyDescent="0.25"/>
    <row r="67963" customFormat="1" x14ac:dyDescent="0.25"/>
    <row r="67964" customFormat="1" x14ac:dyDescent="0.25"/>
    <row r="67965" customFormat="1" x14ac:dyDescent="0.25"/>
    <row r="67966" customFormat="1" x14ac:dyDescent="0.25"/>
    <row r="67967" customFormat="1" x14ac:dyDescent="0.25"/>
    <row r="67968" customFormat="1" x14ac:dyDescent="0.25"/>
    <row r="67969" customFormat="1" x14ac:dyDescent="0.25"/>
    <row r="67970" customFormat="1" x14ac:dyDescent="0.25"/>
    <row r="67971" customFormat="1" x14ac:dyDescent="0.25"/>
    <row r="67972" customFormat="1" x14ac:dyDescent="0.25"/>
    <row r="67973" customFormat="1" x14ac:dyDescent="0.25"/>
    <row r="67974" customFormat="1" x14ac:dyDescent="0.25"/>
    <row r="67975" customFormat="1" x14ac:dyDescent="0.25"/>
    <row r="67976" customFormat="1" x14ac:dyDescent="0.25"/>
    <row r="67977" customFormat="1" x14ac:dyDescent="0.25"/>
    <row r="67978" customFormat="1" x14ac:dyDescent="0.25"/>
    <row r="67979" customFormat="1" x14ac:dyDescent="0.25"/>
    <row r="67980" customFormat="1" x14ac:dyDescent="0.25"/>
    <row r="67981" customFormat="1" x14ac:dyDescent="0.25"/>
    <row r="67982" customFormat="1" x14ac:dyDescent="0.25"/>
    <row r="67983" customFormat="1" x14ac:dyDescent="0.25"/>
    <row r="67984" customFormat="1" x14ac:dyDescent="0.25"/>
    <row r="67985" customFormat="1" x14ac:dyDescent="0.25"/>
    <row r="67986" customFormat="1" x14ac:dyDescent="0.25"/>
    <row r="67987" customFormat="1" x14ac:dyDescent="0.25"/>
    <row r="67988" customFormat="1" x14ac:dyDescent="0.25"/>
    <row r="67989" customFormat="1" x14ac:dyDescent="0.25"/>
    <row r="67990" customFormat="1" x14ac:dyDescent="0.25"/>
    <row r="67991" customFormat="1" x14ac:dyDescent="0.25"/>
    <row r="67992" customFormat="1" x14ac:dyDescent="0.25"/>
    <row r="67993" customFormat="1" x14ac:dyDescent="0.25"/>
    <row r="67994" customFormat="1" x14ac:dyDescent="0.25"/>
    <row r="67995" customFormat="1" x14ac:dyDescent="0.25"/>
    <row r="67996" customFormat="1" x14ac:dyDescent="0.25"/>
    <row r="67997" customFormat="1" x14ac:dyDescent="0.25"/>
    <row r="67998" customFormat="1" x14ac:dyDescent="0.25"/>
    <row r="67999" customFormat="1" x14ac:dyDescent="0.25"/>
    <row r="68000" customFormat="1" x14ac:dyDescent="0.25"/>
    <row r="68001" customFormat="1" x14ac:dyDescent="0.25"/>
    <row r="68002" customFormat="1" x14ac:dyDescent="0.25"/>
    <row r="68003" customFormat="1" x14ac:dyDescent="0.25"/>
    <row r="68004" customFormat="1" x14ac:dyDescent="0.25"/>
    <row r="68005" customFormat="1" x14ac:dyDescent="0.25"/>
    <row r="68006" customFormat="1" x14ac:dyDescent="0.25"/>
    <row r="68007" customFormat="1" x14ac:dyDescent="0.25"/>
    <row r="68008" customFormat="1" x14ac:dyDescent="0.25"/>
    <row r="68009" customFormat="1" x14ac:dyDescent="0.25"/>
    <row r="68010" customFormat="1" x14ac:dyDescent="0.25"/>
    <row r="68011" customFormat="1" x14ac:dyDescent="0.25"/>
    <row r="68012" customFormat="1" x14ac:dyDescent="0.25"/>
    <row r="68013" customFormat="1" x14ac:dyDescent="0.25"/>
    <row r="68014" customFormat="1" x14ac:dyDescent="0.25"/>
    <row r="68015" customFormat="1" x14ac:dyDescent="0.25"/>
    <row r="68016" customFormat="1" x14ac:dyDescent="0.25"/>
    <row r="68017" customFormat="1" x14ac:dyDescent="0.25"/>
    <row r="68018" customFormat="1" x14ac:dyDescent="0.25"/>
    <row r="68019" customFormat="1" x14ac:dyDescent="0.25"/>
    <row r="68020" customFormat="1" x14ac:dyDescent="0.25"/>
    <row r="68021" customFormat="1" x14ac:dyDescent="0.25"/>
    <row r="68022" customFormat="1" x14ac:dyDescent="0.25"/>
    <row r="68023" customFormat="1" x14ac:dyDescent="0.25"/>
    <row r="68024" customFormat="1" x14ac:dyDescent="0.25"/>
    <row r="68025" customFormat="1" x14ac:dyDescent="0.25"/>
    <row r="68026" customFormat="1" x14ac:dyDescent="0.25"/>
    <row r="68027" customFormat="1" x14ac:dyDescent="0.25"/>
    <row r="68028" customFormat="1" x14ac:dyDescent="0.25"/>
    <row r="68029" customFormat="1" x14ac:dyDescent="0.25"/>
    <row r="68030" customFormat="1" x14ac:dyDescent="0.25"/>
    <row r="68031" customFormat="1" x14ac:dyDescent="0.25"/>
    <row r="68032" customFormat="1" x14ac:dyDescent="0.25"/>
    <row r="68033" customFormat="1" x14ac:dyDescent="0.25"/>
    <row r="68034" customFormat="1" x14ac:dyDescent="0.25"/>
    <row r="68035" customFormat="1" x14ac:dyDescent="0.25"/>
    <row r="68036" customFormat="1" x14ac:dyDescent="0.25"/>
    <row r="68037" customFormat="1" x14ac:dyDescent="0.25"/>
    <row r="68038" customFormat="1" x14ac:dyDescent="0.25"/>
    <row r="68039" customFormat="1" x14ac:dyDescent="0.25"/>
    <row r="68040" customFormat="1" x14ac:dyDescent="0.25"/>
    <row r="68041" customFormat="1" x14ac:dyDescent="0.25"/>
    <row r="68042" customFormat="1" x14ac:dyDescent="0.25"/>
    <row r="68043" customFormat="1" x14ac:dyDescent="0.25"/>
    <row r="68044" customFormat="1" x14ac:dyDescent="0.25"/>
    <row r="68045" customFormat="1" x14ac:dyDescent="0.25"/>
    <row r="68046" customFormat="1" x14ac:dyDescent="0.25"/>
    <row r="68047" customFormat="1" x14ac:dyDescent="0.25"/>
    <row r="68048" customFormat="1" x14ac:dyDescent="0.25"/>
    <row r="68049" customFormat="1" x14ac:dyDescent="0.25"/>
    <row r="68050" customFormat="1" x14ac:dyDescent="0.25"/>
    <row r="68051" customFormat="1" x14ac:dyDescent="0.25"/>
    <row r="68052" customFormat="1" x14ac:dyDescent="0.25"/>
    <row r="68053" customFormat="1" x14ac:dyDescent="0.25"/>
    <row r="68054" customFormat="1" x14ac:dyDescent="0.25"/>
    <row r="68055" customFormat="1" x14ac:dyDescent="0.25"/>
    <row r="68056" customFormat="1" x14ac:dyDescent="0.25"/>
    <row r="68057" customFormat="1" x14ac:dyDescent="0.25"/>
    <row r="68058" customFormat="1" x14ac:dyDescent="0.25"/>
    <row r="68059" customFormat="1" x14ac:dyDescent="0.25"/>
    <row r="68060" customFormat="1" x14ac:dyDescent="0.25"/>
    <row r="68061" customFormat="1" x14ac:dyDescent="0.25"/>
    <row r="68062" customFormat="1" x14ac:dyDescent="0.25"/>
    <row r="68063" customFormat="1" x14ac:dyDescent="0.25"/>
    <row r="68064" customFormat="1" x14ac:dyDescent="0.25"/>
    <row r="68065" customFormat="1" x14ac:dyDescent="0.25"/>
    <row r="68066" customFormat="1" x14ac:dyDescent="0.25"/>
    <row r="68067" customFormat="1" x14ac:dyDescent="0.25"/>
    <row r="68068" customFormat="1" x14ac:dyDescent="0.25"/>
    <row r="68069" customFormat="1" x14ac:dyDescent="0.25"/>
    <row r="68070" customFormat="1" x14ac:dyDescent="0.25"/>
    <row r="68071" customFormat="1" x14ac:dyDescent="0.25"/>
    <row r="68072" customFormat="1" x14ac:dyDescent="0.25"/>
    <row r="68073" customFormat="1" x14ac:dyDescent="0.25"/>
    <row r="68074" customFormat="1" x14ac:dyDescent="0.25"/>
    <row r="68075" customFormat="1" x14ac:dyDescent="0.25"/>
    <row r="68076" customFormat="1" x14ac:dyDescent="0.25"/>
    <row r="68077" customFormat="1" x14ac:dyDescent="0.25"/>
    <row r="68078" customFormat="1" x14ac:dyDescent="0.25"/>
    <row r="68079" customFormat="1" x14ac:dyDescent="0.25"/>
    <row r="68080" customFormat="1" x14ac:dyDescent="0.25"/>
    <row r="68081" customFormat="1" x14ac:dyDescent="0.25"/>
    <row r="68082" customFormat="1" x14ac:dyDescent="0.25"/>
    <row r="68083" customFormat="1" x14ac:dyDescent="0.25"/>
    <row r="68084" customFormat="1" x14ac:dyDescent="0.25"/>
    <row r="68085" customFormat="1" x14ac:dyDescent="0.25"/>
    <row r="68086" customFormat="1" x14ac:dyDescent="0.25"/>
    <row r="68087" customFormat="1" x14ac:dyDescent="0.25"/>
    <row r="68088" customFormat="1" x14ac:dyDescent="0.25"/>
    <row r="68089" customFormat="1" x14ac:dyDescent="0.25"/>
    <row r="68090" customFormat="1" x14ac:dyDescent="0.25"/>
    <row r="68091" customFormat="1" x14ac:dyDescent="0.25"/>
    <row r="68092" customFormat="1" x14ac:dyDescent="0.25"/>
    <row r="68093" customFormat="1" x14ac:dyDescent="0.25"/>
    <row r="68094" customFormat="1" x14ac:dyDescent="0.25"/>
    <row r="68095" customFormat="1" x14ac:dyDescent="0.25"/>
    <row r="68096" customFormat="1" x14ac:dyDescent="0.25"/>
    <row r="68097" customFormat="1" x14ac:dyDescent="0.25"/>
    <row r="68098" customFormat="1" x14ac:dyDescent="0.25"/>
    <row r="68099" customFormat="1" x14ac:dyDescent="0.25"/>
    <row r="68100" customFormat="1" x14ac:dyDescent="0.25"/>
    <row r="68101" customFormat="1" x14ac:dyDescent="0.25"/>
    <row r="68102" customFormat="1" x14ac:dyDescent="0.25"/>
    <row r="68103" customFormat="1" x14ac:dyDescent="0.25"/>
    <row r="68104" customFormat="1" x14ac:dyDescent="0.25"/>
    <row r="68105" customFormat="1" x14ac:dyDescent="0.25"/>
    <row r="68106" customFormat="1" x14ac:dyDescent="0.25"/>
    <row r="68107" customFormat="1" x14ac:dyDescent="0.25"/>
    <row r="68108" customFormat="1" x14ac:dyDescent="0.25"/>
    <row r="68109" customFormat="1" x14ac:dyDescent="0.25"/>
    <row r="68110" customFormat="1" x14ac:dyDescent="0.25"/>
    <row r="68111" customFormat="1" x14ac:dyDescent="0.25"/>
    <row r="68112" customFormat="1" x14ac:dyDescent="0.25"/>
    <row r="68113" customFormat="1" x14ac:dyDescent="0.25"/>
    <row r="68114" customFormat="1" x14ac:dyDescent="0.25"/>
    <row r="68115" customFormat="1" x14ac:dyDescent="0.25"/>
    <row r="68116" customFormat="1" x14ac:dyDescent="0.25"/>
    <row r="68117" customFormat="1" x14ac:dyDescent="0.25"/>
    <row r="68118" customFormat="1" x14ac:dyDescent="0.25"/>
    <row r="68119" customFormat="1" x14ac:dyDescent="0.25"/>
    <row r="68120" customFormat="1" x14ac:dyDescent="0.25"/>
    <row r="68121" customFormat="1" x14ac:dyDescent="0.25"/>
    <row r="68122" customFormat="1" x14ac:dyDescent="0.25"/>
    <row r="68123" customFormat="1" x14ac:dyDescent="0.25"/>
    <row r="68124" customFormat="1" x14ac:dyDescent="0.25"/>
    <row r="68125" customFormat="1" x14ac:dyDescent="0.25"/>
    <row r="68126" customFormat="1" x14ac:dyDescent="0.25"/>
    <row r="68127" customFormat="1" x14ac:dyDescent="0.25"/>
    <row r="68128" customFormat="1" x14ac:dyDescent="0.25"/>
    <row r="68129" customFormat="1" x14ac:dyDescent="0.25"/>
    <row r="68130" customFormat="1" x14ac:dyDescent="0.25"/>
    <row r="68131" customFormat="1" x14ac:dyDescent="0.25"/>
    <row r="68132" customFormat="1" x14ac:dyDescent="0.25"/>
    <row r="68133" customFormat="1" x14ac:dyDescent="0.25"/>
    <row r="68134" customFormat="1" x14ac:dyDescent="0.25"/>
    <row r="68135" customFormat="1" x14ac:dyDescent="0.25"/>
    <row r="68136" customFormat="1" x14ac:dyDescent="0.25"/>
    <row r="68137" customFormat="1" x14ac:dyDescent="0.25"/>
    <row r="68138" customFormat="1" x14ac:dyDescent="0.25"/>
    <row r="68139" customFormat="1" x14ac:dyDescent="0.25"/>
    <row r="68140" customFormat="1" x14ac:dyDescent="0.25"/>
    <row r="68141" customFormat="1" x14ac:dyDescent="0.25"/>
    <row r="68142" customFormat="1" x14ac:dyDescent="0.25"/>
    <row r="68143" customFormat="1" x14ac:dyDescent="0.25"/>
    <row r="68144" customFormat="1" x14ac:dyDescent="0.25"/>
    <row r="68145" customFormat="1" x14ac:dyDescent="0.25"/>
    <row r="68146" customFormat="1" x14ac:dyDescent="0.25"/>
    <row r="68147" customFormat="1" x14ac:dyDescent="0.25"/>
    <row r="68148" customFormat="1" x14ac:dyDescent="0.25"/>
    <row r="68149" customFormat="1" x14ac:dyDescent="0.25"/>
    <row r="68150" customFormat="1" x14ac:dyDescent="0.25"/>
    <row r="68151" customFormat="1" x14ac:dyDescent="0.25"/>
    <row r="68152" customFormat="1" x14ac:dyDescent="0.25"/>
    <row r="68153" customFormat="1" x14ac:dyDescent="0.25"/>
    <row r="68154" customFormat="1" x14ac:dyDescent="0.25"/>
    <row r="68155" customFormat="1" x14ac:dyDescent="0.25"/>
    <row r="68156" customFormat="1" x14ac:dyDescent="0.25"/>
    <row r="68157" customFormat="1" x14ac:dyDescent="0.25"/>
    <row r="68158" customFormat="1" x14ac:dyDescent="0.25"/>
    <row r="68159" customFormat="1" x14ac:dyDescent="0.25"/>
    <row r="68160" customFormat="1" x14ac:dyDescent="0.25"/>
    <row r="68161" customFormat="1" x14ac:dyDescent="0.25"/>
    <row r="68162" customFormat="1" x14ac:dyDescent="0.25"/>
    <row r="68163" customFormat="1" x14ac:dyDescent="0.25"/>
    <row r="68164" customFormat="1" x14ac:dyDescent="0.25"/>
    <row r="68165" customFormat="1" x14ac:dyDescent="0.25"/>
    <row r="68166" customFormat="1" x14ac:dyDescent="0.25"/>
    <row r="68167" customFormat="1" x14ac:dyDescent="0.25"/>
    <row r="68168" customFormat="1" x14ac:dyDescent="0.25"/>
    <row r="68169" customFormat="1" x14ac:dyDescent="0.25"/>
    <row r="68170" customFormat="1" x14ac:dyDescent="0.25"/>
    <row r="68171" customFormat="1" x14ac:dyDescent="0.25"/>
    <row r="68172" customFormat="1" x14ac:dyDescent="0.25"/>
    <row r="68173" customFormat="1" x14ac:dyDescent="0.25"/>
    <row r="68174" customFormat="1" x14ac:dyDescent="0.25"/>
    <row r="68175" customFormat="1" x14ac:dyDescent="0.25"/>
    <row r="68176" customFormat="1" x14ac:dyDescent="0.25"/>
    <row r="68177" customFormat="1" x14ac:dyDescent="0.25"/>
    <row r="68178" customFormat="1" x14ac:dyDescent="0.25"/>
    <row r="68179" customFormat="1" x14ac:dyDescent="0.25"/>
    <row r="68180" customFormat="1" x14ac:dyDescent="0.25"/>
    <row r="68181" customFormat="1" x14ac:dyDescent="0.25"/>
    <row r="68182" customFormat="1" x14ac:dyDescent="0.25"/>
    <row r="68183" customFormat="1" x14ac:dyDescent="0.25"/>
    <row r="68184" customFormat="1" x14ac:dyDescent="0.25"/>
    <row r="68185" customFormat="1" x14ac:dyDescent="0.25"/>
    <row r="68186" customFormat="1" x14ac:dyDescent="0.25"/>
    <row r="68187" customFormat="1" x14ac:dyDescent="0.25"/>
    <row r="68188" customFormat="1" x14ac:dyDescent="0.25"/>
    <row r="68189" customFormat="1" x14ac:dyDescent="0.25"/>
    <row r="68190" customFormat="1" x14ac:dyDescent="0.25"/>
    <row r="68191" customFormat="1" x14ac:dyDescent="0.25"/>
    <row r="68192" customFormat="1" x14ac:dyDescent="0.25"/>
    <row r="68193" customFormat="1" x14ac:dyDescent="0.25"/>
    <row r="68194" customFormat="1" x14ac:dyDescent="0.25"/>
    <row r="68195" customFormat="1" x14ac:dyDescent="0.25"/>
    <row r="68196" customFormat="1" x14ac:dyDescent="0.25"/>
    <row r="68197" customFormat="1" x14ac:dyDescent="0.25"/>
    <row r="68198" customFormat="1" x14ac:dyDescent="0.25"/>
    <row r="68199" customFormat="1" x14ac:dyDescent="0.25"/>
    <row r="68200" customFormat="1" x14ac:dyDescent="0.25"/>
    <row r="68201" customFormat="1" x14ac:dyDescent="0.25"/>
    <row r="68202" customFormat="1" x14ac:dyDescent="0.25"/>
    <row r="68203" customFormat="1" x14ac:dyDescent="0.25"/>
    <row r="68204" customFormat="1" x14ac:dyDescent="0.25"/>
    <row r="68205" customFormat="1" x14ac:dyDescent="0.25"/>
    <row r="68206" customFormat="1" x14ac:dyDescent="0.25"/>
    <row r="68207" customFormat="1" x14ac:dyDescent="0.25"/>
    <row r="68208" customFormat="1" x14ac:dyDescent="0.25"/>
    <row r="68209" customFormat="1" x14ac:dyDescent="0.25"/>
    <row r="68210" customFormat="1" x14ac:dyDescent="0.25"/>
    <row r="68211" customFormat="1" x14ac:dyDescent="0.25"/>
    <row r="68212" customFormat="1" x14ac:dyDescent="0.25"/>
    <row r="68213" customFormat="1" x14ac:dyDescent="0.25"/>
    <row r="68214" customFormat="1" x14ac:dyDescent="0.25"/>
    <row r="68215" customFormat="1" x14ac:dyDescent="0.25"/>
    <row r="68216" customFormat="1" x14ac:dyDescent="0.25"/>
    <row r="68217" customFormat="1" x14ac:dyDescent="0.25"/>
    <row r="68218" customFormat="1" x14ac:dyDescent="0.25"/>
    <row r="68219" customFormat="1" x14ac:dyDescent="0.25"/>
    <row r="68220" customFormat="1" x14ac:dyDescent="0.25"/>
    <row r="68221" customFormat="1" x14ac:dyDescent="0.25"/>
    <row r="68222" customFormat="1" x14ac:dyDescent="0.25"/>
    <row r="68223" customFormat="1" x14ac:dyDescent="0.25"/>
    <row r="68224" customFormat="1" x14ac:dyDescent="0.25"/>
    <row r="68225" customFormat="1" x14ac:dyDescent="0.25"/>
    <row r="68226" customFormat="1" x14ac:dyDescent="0.25"/>
    <row r="68227" customFormat="1" x14ac:dyDescent="0.25"/>
    <row r="68228" customFormat="1" x14ac:dyDescent="0.25"/>
    <row r="68229" customFormat="1" x14ac:dyDescent="0.25"/>
    <row r="68230" customFormat="1" x14ac:dyDescent="0.25"/>
    <row r="68231" customFormat="1" x14ac:dyDescent="0.25"/>
    <row r="68232" customFormat="1" x14ac:dyDescent="0.25"/>
    <row r="68233" customFormat="1" x14ac:dyDescent="0.25"/>
    <row r="68234" customFormat="1" x14ac:dyDescent="0.25"/>
    <row r="68235" customFormat="1" x14ac:dyDescent="0.25"/>
    <row r="68236" customFormat="1" x14ac:dyDescent="0.25"/>
    <row r="68237" customFormat="1" x14ac:dyDescent="0.25"/>
    <row r="68238" customFormat="1" x14ac:dyDescent="0.25"/>
    <row r="68239" customFormat="1" x14ac:dyDescent="0.25"/>
    <row r="68240" customFormat="1" x14ac:dyDescent="0.25"/>
    <row r="68241" customFormat="1" x14ac:dyDescent="0.25"/>
    <row r="68242" customFormat="1" x14ac:dyDescent="0.25"/>
    <row r="68243" customFormat="1" x14ac:dyDescent="0.25"/>
    <row r="68244" customFormat="1" x14ac:dyDescent="0.25"/>
    <row r="68245" customFormat="1" x14ac:dyDescent="0.25"/>
    <row r="68246" customFormat="1" x14ac:dyDescent="0.25"/>
    <row r="68247" customFormat="1" x14ac:dyDescent="0.25"/>
    <row r="68248" customFormat="1" x14ac:dyDescent="0.25"/>
    <row r="68249" customFormat="1" x14ac:dyDescent="0.25"/>
    <row r="68250" customFormat="1" x14ac:dyDescent="0.25"/>
    <row r="68251" customFormat="1" x14ac:dyDescent="0.25"/>
    <row r="68252" customFormat="1" x14ac:dyDescent="0.25"/>
    <row r="68253" customFormat="1" x14ac:dyDescent="0.25"/>
    <row r="68254" customFormat="1" x14ac:dyDescent="0.25"/>
    <row r="68255" customFormat="1" x14ac:dyDescent="0.25"/>
    <row r="68256" customFormat="1" x14ac:dyDescent="0.25"/>
    <row r="68257" customFormat="1" x14ac:dyDescent="0.25"/>
    <row r="68258" customFormat="1" x14ac:dyDescent="0.25"/>
    <row r="68259" customFormat="1" x14ac:dyDescent="0.25"/>
    <row r="68260" customFormat="1" x14ac:dyDescent="0.25"/>
    <row r="68261" customFormat="1" x14ac:dyDescent="0.25"/>
    <row r="68262" customFormat="1" x14ac:dyDescent="0.25"/>
    <row r="68263" customFormat="1" x14ac:dyDescent="0.25"/>
    <row r="68264" customFormat="1" x14ac:dyDescent="0.25"/>
    <row r="68265" customFormat="1" x14ac:dyDescent="0.25"/>
    <row r="68266" customFormat="1" x14ac:dyDescent="0.25"/>
    <row r="68267" customFormat="1" x14ac:dyDescent="0.25"/>
    <row r="68268" customFormat="1" x14ac:dyDescent="0.25"/>
    <row r="68269" customFormat="1" x14ac:dyDescent="0.25"/>
    <row r="68270" customFormat="1" x14ac:dyDescent="0.25"/>
    <row r="68271" customFormat="1" x14ac:dyDescent="0.25"/>
    <row r="68272" customFormat="1" x14ac:dyDescent="0.25"/>
    <row r="68273" customFormat="1" x14ac:dyDescent="0.25"/>
    <row r="68274" customFormat="1" x14ac:dyDescent="0.25"/>
    <row r="68275" customFormat="1" x14ac:dyDescent="0.25"/>
    <row r="68276" customFormat="1" x14ac:dyDescent="0.25"/>
    <row r="68277" customFormat="1" x14ac:dyDescent="0.25"/>
    <row r="68278" customFormat="1" x14ac:dyDescent="0.25"/>
    <row r="68279" customFormat="1" x14ac:dyDescent="0.25"/>
    <row r="68280" customFormat="1" x14ac:dyDescent="0.25"/>
    <row r="68281" customFormat="1" x14ac:dyDescent="0.25"/>
    <row r="68282" customFormat="1" x14ac:dyDescent="0.25"/>
    <row r="68283" customFormat="1" x14ac:dyDescent="0.25"/>
    <row r="68284" customFormat="1" x14ac:dyDescent="0.25"/>
    <row r="68285" customFormat="1" x14ac:dyDescent="0.25"/>
    <row r="68286" customFormat="1" x14ac:dyDescent="0.25"/>
    <row r="68287" customFormat="1" x14ac:dyDescent="0.25"/>
    <row r="68288" customFormat="1" x14ac:dyDescent="0.25"/>
    <row r="68289" customFormat="1" x14ac:dyDescent="0.25"/>
    <row r="68290" customFormat="1" x14ac:dyDescent="0.25"/>
    <row r="68291" customFormat="1" x14ac:dyDescent="0.25"/>
    <row r="68292" customFormat="1" x14ac:dyDescent="0.25"/>
    <row r="68293" customFormat="1" x14ac:dyDescent="0.25"/>
    <row r="68294" customFormat="1" x14ac:dyDescent="0.25"/>
    <row r="68295" customFormat="1" x14ac:dyDescent="0.25"/>
    <row r="68296" customFormat="1" x14ac:dyDescent="0.25"/>
    <row r="68297" customFormat="1" x14ac:dyDescent="0.25"/>
    <row r="68298" customFormat="1" x14ac:dyDescent="0.25"/>
    <row r="68299" customFormat="1" x14ac:dyDescent="0.25"/>
    <row r="68300" customFormat="1" x14ac:dyDescent="0.25"/>
    <row r="68301" customFormat="1" x14ac:dyDescent="0.25"/>
    <row r="68302" customFormat="1" x14ac:dyDescent="0.25"/>
    <row r="68303" customFormat="1" x14ac:dyDescent="0.25"/>
    <row r="68304" customFormat="1" x14ac:dyDescent="0.25"/>
    <row r="68305" customFormat="1" x14ac:dyDescent="0.25"/>
    <row r="68306" customFormat="1" x14ac:dyDescent="0.25"/>
    <row r="68307" customFormat="1" x14ac:dyDescent="0.25"/>
    <row r="68308" customFormat="1" x14ac:dyDescent="0.25"/>
    <row r="68309" customFormat="1" x14ac:dyDescent="0.25"/>
    <row r="68310" customFormat="1" x14ac:dyDescent="0.25"/>
    <row r="68311" customFormat="1" x14ac:dyDescent="0.25"/>
    <row r="68312" customFormat="1" x14ac:dyDescent="0.25"/>
    <row r="68313" customFormat="1" x14ac:dyDescent="0.25"/>
    <row r="68314" customFormat="1" x14ac:dyDescent="0.25"/>
    <row r="68315" customFormat="1" x14ac:dyDescent="0.25"/>
    <row r="68316" customFormat="1" x14ac:dyDescent="0.25"/>
    <row r="68317" customFormat="1" x14ac:dyDescent="0.25"/>
    <row r="68318" customFormat="1" x14ac:dyDescent="0.25"/>
    <row r="68319" customFormat="1" x14ac:dyDescent="0.25"/>
    <row r="68320" customFormat="1" x14ac:dyDescent="0.25"/>
    <row r="68321" customFormat="1" x14ac:dyDescent="0.25"/>
    <row r="68322" customFormat="1" x14ac:dyDescent="0.25"/>
    <row r="68323" customFormat="1" x14ac:dyDescent="0.25"/>
    <row r="68324" customFormat="1" x14ac:dyDescent="0.25"/>
    <row r="68325" customFormat="1" x14ac:dyDescent="0.25"/>
    <row r="68326" customFormat="1" x14ac:dyDescent="0.25"/>
    <row r="68327" customFormat="1" x14ac:dyDescent="0.25"/>
    <row r="68328" customFormat="1" x14ac:dyDescent="0.25"/>
    <row r="68329" customFormat="1" x14ac:dyDescent="0.25"/>
    <row r="68330" customFormat="1" x14ac:dyDescent="0.25"/>
    <row r="68331" customFormat="1" x14ac:dyDescent="0.25"/>
    <row r="68332" customFormat="1" x14ac:dyDescent="0.25"/>
    <row r="68333" customFormat="1" x14ac:dyDescent="0.25"/>
    <row r="68334" customFormat="1" x14ac:dyDescent="0.25"/>
    <row r="68335" customFormat="1" x14ac:dyDescent="0.25"/>
    <row r="68336" customFormat="1" x14ac:dyDescent="0.25"/>
    <row r="68337" customFormat="1" x14ac:dyDescent="0.25"/>
    <row r="68338" customFormat="1" x14ac:dyDescent="0.25"/>
    <row r="68339" customFormat="1" x14ac:dyDescent="0.25"/>
    <row r="68340" customFormat="1" x14ac:dyDescent="0.25"/>
    <row r="68341" customFormat="1" x14ac:dyDescent="0.25"/>
    <row r="68342" customFormat="1" x14ac:dyDescent="0.25"/>
    <row r="68343" customFormat="1" x14ac:dyDescent="0.25"/>
    <row r="68344" customFormat="1" x14ac:dyDescent="0.25"/>
    <row r="68345" customFormat="1" x14ac:dyDescent="0.25"/>
    <row r="68346" customFormat="1" x14ac:dyDescent="0.25"/>
    <row r="68347" customFormat="1" x14ac:dyDescent="0.25"/>
    <row r="68348" customFormat="1" x14ac:dyDescent="0.25"/>
    <row r="68349" customFormat="1" x14ac:dyDescent="0.25"/>
    <row r="68350" customFormat="1" x14ac:dyDescent="0.25"/>
    <row r="68351" customFormat="1" x14ac:dyDescent="0.25"/>
    <row r="68352" customFormat="1" x14ac:dyDescent="0.25"/>
    <row r="68353" customFormat="1" x14ac:dyDescent="0.25"/>
    <row r="68354" customFormat="1" x14ac:dyDescent="0.25"/>
    <row r="68355" customFormat="1" x14ac:dyDescent="0.25"/>
    <row r="68356" customFormat="1" x14ac:dyDescent="0.25"/>
    <row r="68357" customFormat="1" x14ac:dyDescent="0.25"/>
    <row r="68358" customFormat="1" x14ac:dyDescent="0.25"/>
    <row r="68359" customFormat="1" x14ac:dyDescent="0.25"/>
    <row r="68360" customFormat="1" x14ac:dyDescent="0.25"/>
    <row r="68361" customFormat="1" x14ac:dyDescent="0.25"/>
    <row r="68362" customFormat="1" x14ac:dyDescent="0.25"/>
    <row r="68363" customFormat="1" x14ac:dyDescent="0.25"/>
    <row r="68364" customFormat="1" x14ac:dyDescent="0.25"/>
    <row r="68365" customFormat="1" x14ac:dyDescent="0.25"/>
    <row r="68366" customFormat="1" x14ac:dyDescent="0.25"/>
    <row r="68367" customFormat="1" x14ac:dyDescent="0.25"/>
    <row r="68368" customFormat="1" x14ac:dyDescent="0.25"/>
    <row r="68369" customFormat="1" x14ac:dyDescent="0.25"/>
    <row r="68370" customFormat="1" x14ac:dyDescent="0.25"/>
    <row r="68371" customFormat="1" x14ac:dyDescent="0.25"/>
    <row r="68372" customFormat="1" x14ac:dyDescent="0.25"/>
    <row r="68373" customFormat="1" x14ac:dyDescent="0.25"/>
    <row r="68374" customFormat="1" x14ac:dyDescent="0.25"/>
    <row r="68375" customFormat="1" x14ac:dyDescent="0.25"/>
    <row r="68376" customFormat="1" x14ac:dyDescent="0.25"/>
    <row r="68377" customFormat="1" x14ac:dyDescent="0.25"/>
    <row r="68378" customFormat="1" x14ac:dyDescent="0.25"/>
    <row r="68379" customFormat="1" x14ac:dyDescent="0.25"/>
    <row r="68380" customFormat="1" x14ac:dyDescent="0.25"/>
    <row r="68381" customFormat="1" x14ac:dyDescent="0.25"/>
    <row r="68382" customFormat="1" x14ac:dyDescent="0.25"/>
    <row r="68383" customFormat="1" x14ac:dyDescent="0.25"/>
    <row r="68384" customFormat="1" x14ac:dyDescent="0.25"/>
    <row r="68385" customFormat="1" x14ac:dyDescent="0.25"/>
    <row r="68386" customFormat="1" x14ac:dyDescent="0.25"/>
    <row r="68387" customFormat="1" x14ac:dyDescent="0.25"/>
    <row r="68388" customFormat="1" x14ac:dyDescent="0.25"/>
    <row r="68389" customFormat="1" x14ac:dyDescent="0.25"/>
    <row r="68390" customFormat="1" x14ac:dyDescent="0.25"/>
    <row r="68391" customFormat="1" x14ac:dyDescent="0.25"/>
    <row r="68392" customFormat="1" x14ac:dyDescent="0.25"/>
    <row r="68393" customFormat="1" x14ac:dyDescent="0.25"/>
    <row r="68394" customFormat="1" x14ac:dyDescent="0.25"/>
    <row r="68395" customFormat="1" x14ac:dyDescent="0.25"/>
    <row r="68396" customFormat="1" x14ac:dyDescent="0.25"/>
    <row r="68397" customFormat="1" x14ac:dyDescent="0.25"/>
    <row r="68398" customFormat="1" x14ac:dyDescent="0.25"/>
    <row r="68399" customFormat="1" x14ac:dyDescent="0.25"/>
    <row r="68400" customFormat="1" x14ac:dyDescent="0.25"/>
    <row r="68401" customFormat="1" x14ac:dyDescent="0.25"/>
    <row r="68402" customFormat="1" x14ac:dyDescent="0.25"/>
    <row r="68403" customFormat="1" x14ac:dyDescent="0.25"/>
    <row r="68404" customFormat="1" x14ac:dyDescent="0.25"/>
    <row r="68405" customFormat="1" x14ac:dyDescent="0.25"/>
    <row r="68406" customFormat="1" x14ac:dyDescent="0.25"/>
    <row r="68407" customFormat="1" x14ac:dyDescent="0.25"/>
    <row r="68408" customFormat="1" x14ac:dyDescent="0.25"/>
    <row r="68409" customFormat="1" x14ac:dyDescent="0.25"/>
    <row r="68410" customFormat="1" x14ac:dyDescent="0.25"/>
    <row r="68411" customFormat="1" x14ac:dyDescent="0.25"/>
    <row r="68412" customFormat="1" x14ac:dyDescent="0.25"/>
    <row r="68413" customFormat="1" x14ac:dyDescent="0.25"/>
    <row r="68414" customFormat="1" x14ac:dyDescent="0.25"/>
    <row r="68415" customFormat="1" x14ac:dyDescent="0.25"/>
    <row r="68416" customFormat="1" x14ac:dyDescent="0.25"/>
    <row r="68417" customFormat="1" x14ac:dyDescent="0.25"/>
    <row r="68418" customFormat="1" x14ac:dyDescent="0.25"/>
    <row r="68419" customFormat="1" x14ac:dyDescent="0.25"/>
    <row r="68420" customFormat="1" x14ac:dyDescent="0.25"/>
    <row r="68421" customFormat="1" x14ac:dyDescent="0.25"/>
    <row r="68422" customFormat="1" x14ac:dyDescent="0.25"/>
    <row r="68423" customFormat="1" x14ac:dyDescent="0.25"/>
    <row r="68424" customFormat="1" x14ac:dyDescent="0.25"/>
    <row r="68425" customFormat="1" x14ac:dyDescent="0.25"/>
    <row r="68426" customFormat="1" x14ac:dyDescent="0.25"/>
    <row r="68427" customFormat="1" x14ac:dyDescent="0.25"/>
    <row r="68428" customFormat="1" x14ac:dyDescent="0.25"/>
    <row r="68429" customFormat="1" x14ac:dyDescent="0.25"/>
    <row r="68430" customFormat="1" x14ac:dyDescent="0.25"/>
    <row r="68431" customFormat="1" x14ac:dyDescent="0.25"/>
    <row r="68432" customFormat="1" x14ac:dyDescent="0.25"/>
    <row r="68433" customFormat="1" x14ac:dyDescent="0.25"/>
    <row r="68434" customFormat="1" x14ac:dyDescent="0.25"/>
    <row r="68435" customFormat="1" x14ac:dyDescent="0.25"/>
    <row r="68436" customFormat="1" x14ac:dyDescent="0.25"/>
    <row r="68437" customFormat="1" x14ac:dyDescent="0.25"/>
    <row r="68438" customFormat="1" x14ac:dyDescent="0.25"/>
    <row r="68439" customFormat="1" x14ac:dyDescent="0.25"/>
    <row r="68440" customFormat="1" x14ac:dyDescent="0.25"/>
    <row r="68441" customFormat="1" x14ac:dyDescent="0.25"/>
    <row r="68442" customFormat="1" x14ac:dyDescent="0.25"/>
    <row r="68443" customFormat="1" x14ac:dyDescent="0.25"/>
    <row r="68444" customFormat="1" x14ac:dyDescent="0.25"/>
    <row r="68445" customFormat="1" x14ac:dyDescent="0.25"/>
    <row r="68446" customFormat="1" x14ac:dyDescent="0.25"/>
    <row r="68447" customFormat="1" x14ac:dyDescent="0.25"/>
    <row r="68448" customFormat="1" x14ac:dyDescent="0.25"/>
    <row r="68449" customFormat="1" x14ac:dyDescent="0.25"/>
    <row r="68450" customFormat="1" x14ac:dyDescent="0.25"/>
    <row r="68451" customFormat="1" x14ac:dyDescent="0.25"/>
    <row r="68452" customFormat="1" x14ac:dyDescent="0.25"/>
    <row r="68453" customFormat="1" x14ac:dyDescent="0.25"/>
    <row r="68454" customFormat="1" x14ac:dyDescent="0.25"/>
    <row r="68455" customFormat="1" x14ac:dyDescent="0.25"/>
    <row r="68456" customFormat="1" x14ac:dyDescent="0.25"/>
    <row r="68457" customFormat="1" x14ac:dyDescent="0.25"/>
    <row r="68458" customFormat="1" x14ac:dyDescent="0.25"/>
    <row r="68459" customFormat="1" x14ac:dyDescent="0.25"/>
    <row r="68460" customFormat="1" x14ac:dyDescent="0.25"/>
    <row r="68461" customFormat="1" x14ac:dyDescent="0.25"/>
    <row r="68462" customFormat="1" x14ac:dyDescent="0.25"/>
    <row r="68463" customFormat="1" x14ac:dyDescent="0.25"/>
    <row r="68464" customFormat="1" x14ac:dyDescent="0.25"/>
    <row r="68465" customFormat="1" x14ac:dyDescent="0.25"/>
    <row r="68466" customFormat="1" x14ac:dyDescent="0.25"/>
    <row r="68467" customFormat="1" x14ac:dyDescent="0.25"/>
    <row r="68468" customFormat="1" x14ac:dyDescent="0.25"/>
    <row r="68469" customFormat="1" x14ac:dyDescent="0.25"/>
    <row r="68470" customFormat="1" x14ac:dyDescent="0.25"/>
    <row r="68471" customFormat="1" x14ac:dyDescent="0.25"/>
    <row r="68472" customFormat="1" x14ac:dyDescent="0.25"/>
    <row r="68473" customFormat="1" x14ac:dyDescent="0.25"/>
    <row r="68474" customFormat="1" x14ac:dyDescent="0.25"/>
    <row r="68475" customFormat="1" x14ac:dyDescent="0.25"/>
    <row r="68476" customFormat="1" x14ac:dyDescent="0.25"/>
    <row r="68477" customFormat="1" x14ac:dyDescent="0.25"/>
    <row r="68478" customFormat="1" x14ac:dyDescent="0.25"/>
    <row r="68479" customFormat="1" x14ac:dyDescent="0.25"/>
    <row r="68480" customFormat="1" x14ac:dyDescent="0.25"/>
    <row r="68481" customFormat="1" x14ac:dyDescent="0.25"/>
    <row r="68482" customFormat="1" x14ac:dyDescent="0.25"/>
    <row r="68483" customFormat="1" x14ac:dyDescent="0.25"/>
    <row r="68484" customFormat="1" x14ac:dyDescent="0.25"/>
    <row r="68485" customFormat="1" x14ac:dyDescent="0.25"/>
    <row r="68486" customFormat="1" x14ac:dyDescent="0.25"/>
    <row r="68487" customFormat="1" x14ac:dyDescent="0.25"/>
    <row r="68488" customFormat="1" x14ac:dyDescent="0.25"/>
    <row r="68489" customFormat="1" x14ac:dyDescent="0.25"/>
    <row r="68490" customFormat="1" x14ac:dyDescent="0.25"/>
    <row r="68491" customFormat="1" x14ac:dyDescent="0.25"/>
    <row r="68492" customFormat="1" x14ac:dyDescent="0.25"/>
    <row r="68493" customFormat="1" x14ac:dyDescent="0.25"/>
    <row r="68494" customFormat="1" x14ac:dyDescent="0.25"/>
    <row r="68495" customFormat="1" x14ac:dyDescent="0.25"/>
    <row r="68496" customFormat="1" x14ac:dyDescent="0.25"/>
    <row r="68497" customFormat="1" x14ac:dyDescent="0.25"/>
    <row r="68498" customFormat="1" x14ac:dyDescent="0.25"/>
    <row r="68499" customFormat="1" x14ac:dyDescent="0.25"/>
    <row r="68500" customFormat="1" x14ac:dyDescent="0.25"/>
    <row r="68501" customFormat="1" x14ac:dyDescent="0.25"/>
    <row r="68502" customFormat="1" x14ac:dyDescent="0.25"/>
    <row r="68503" customFormat="1" x14ac:dyDescent="0.25"/>
    <row r="68504" customFormat="1" x14ac:dyDescent="0.25"/>
    <row r="68505" customFormat="1" x14ac:dyDescent="0.25"/>
    <row r="68506" customFormat="1" x14ac:dyDescent="0.25"/>
    <row r="68507" customFormat="1" x14ac:dyDescent="0.25"/>
    <row r="68508" customFormat="1" x14ac:dyDescent="0.25"/>
    <row r="68509" customFormat="1" x14ac:dyDescent="0.25"/>
    <row r="68510" customFormat="1" x14ac:dyDescent="0.25"/>
    <row r="68511" customFormat="1" x14ac:dyDescent="0.25"/>
    <row r="68512" customFormat="1" x14ac:dyDescent="0.25"/>
    <row r="68513" customFormat="1" x14ac:dyDescent="0.25"/>
    <row r="68514" customFormat="1" x14ac:dyDescent="0.25"/>
    <row r="68515" customFormat="1" x14ac:dyDescent="0.25"/>
    <row r="68516" customFormat="1" x14ac:dyDescent="0.25"/>
    <row r="68517" customFormat="1" x14ac:dyDescent="0.25"/>
    <row r="68518" customFormat="1" x14ac:dyDescent="0.25"/>
    <row r="68519" customFormat="1" x14ac:dyDescent="0.25"/>
    <row r="68520" customFormat="1" x14ac:dyDescent="0.25"/>
    <row r="68521" customFormat="1" x14ac:dyDescent="0.25"/>
    <row r="68522" customFormat="1" x14ac:dyDescent="0.25"/>
    <row r="68523" customFormat="1" x14ac:dyDescent="0.25"/>
    <row r="68524" customFormat="1" x14ac:dyDescent="0.25"/>
    <row r="68525" customFormat="1" x14ac:dyDescent="0.25"/>
    <row r="68526" customFormat="1" x14ac:dyDescent="0.25"/>
    <row r="68527" customFormat="1" x14ac:dyDescent="0.25"/>
    <row r="68528" customFormat="1" x14ac:dyDescent="0.25"/>
    <row r="68529" customFormat="1" x14ac:dyDescent="0.25"/>
    <row r="68530" customFormat="1" x14ac:dyDescent="0.25"/>
    <row r="68531" customFormat="1" x14ac:dyDescent="0.25"/>
    <row r="68532" customFormat="1" x14ac:dyDescent="0.25"/>
    <row r="68533" customFormat="1" x14ac:dyDescent="0.25"/>
    <row r="68534" customFormat="1" x14ac:dyDescent="0.25"/>
    <row r="68535" customFormat="1" x14ac:dyDescent="0.25"/>
    <row r="68536" customFormat="1" x14ac:dyDescent="0.25"/>
    <row r="68537" customFormat="1" x14ac:dyDescent="0.25"/>
    <row r="68538" customFormat="1" x14ac:dyDescent="0.25"/>
    <row r="68539" customFormat="1" x14ac:dyDescent="0.25"/>
    <row r="68540" customFormat="1" x14ac:dyDescent="0.25"/>
    <row r="68541" customFormat="1" x14ac:dyDescent="0.25"/>
    <row r="68542" customFormat="1" x14ac:dyDescent="0.25"/>
    <row r="68543" customFormat="1" x14ac:dyDescent="0.25"/>
    <row r="68544" customFormat="1" x14ac:dyDescent="0.25"/>
    <row r="68545" customFormat="1" x14ac:dyDescent="0.25"/>
    <row r="68546" customFormat="1" x14ac:dyDescent="0.25"/>
    <row r="68547" customFormat="1" x14ac:dyDescent="0.25"/>
    <row r="68548" customFormat="1" x14ac:dyDescent="0.25"/>
    <row r="68549" customFormat="1" x14ac:dyDescent="0.25"/>
    <row r="68550" customFormat="1" x14ac:dyDescent="0.25"/>
    <row r="68551" customFormat="1" x14ac:dyDescent="0.25"/>
    <row r="68552" customFormat="1" x14ac:dyDescent="0.25"/>
    <row r="68553" customFormat="1" x14ac:dyDescent="0.25"/>
    <row r="68554" customFormat="1" x14ac:dyDescent="0.25"/>
    <row r="68555" customFormat="1" x14ac:dyDescent="0.25"/>
    <row r="68556" customFormat="1" x14ac:dyDescent="0.25"/>
    <row r="68557" customFormat="1" x14ac:dyDescent="0.25"/>
    <row r="68558" customFormat="1" x14ac:dyDescent="0.25"/>
    <row r="68559" customFormat="1" x14ac:dyDescent="0.25"/>
    <row r="68560" customFormat="1" x14ac:dyDescent="0.25"/>
    <row r="68561" customFormat="1" x14ac:dyDescent="0.25"/>
    <row r="68562" customFormat="1" x14ac:dyDescent="0.25"/>
    <row r="68563" customFormat="1" x14ac:dyDescent="0.25"/>
    <row r="68564" customFormat="1" x14ac:dyDescent="0.25"/>
    <row r="68565" customFormat="1" x14ac:dyDescent="0.25"/>
    <row r="68566" customFormat="1" x14ac:dyDescent="0.25"/>
    <row r="68567" customFormat="1" x14ac:dyDescent="0.25"/>
    <row r="68568" customFormat="1" x14ac:dyDescent="0.25"/>
    <row r="68569" customFormat="1" x14ac:dyDescent="0.25"/>
    <row r="68570" customFormat="1" x14ac:dyDescent="0.25"/>
    <row r="68571" customFormat="1" x14ac:dyDescent="0.25"/>
    <row r="68572" customFormat="1" x14ac:dyDescent="0.25"/>
    <row r="68573" customFormat="1" x14ac:dyDescent="0.25"/>
    <row r="68574" customFormat="1" x14ac:dyDescent="0.25"/>
    <row r="68575" customFormat="1" x14ac:dyDescent="0.25"/>
    <row r="68576" customFormat="1" x14ac:dyDescent="0.25"/>
    <row r="68577" customFormat="1" x14ac:dyDescent="0.25"/>
    <row r="68578" customFormat="1" x14ac:dyDescent="0.25"/>
    <row r="68579" customFormat="1" x14ac:dyDescent="0.25"/>
    <row r="68580" customFormat="1" x14ac:dyDescent="0.25"/>
    <row r="68581" customFormat="1" x14ac:dyDescent="0.25"/>
    <row r="68582" customFormat="1" x14ac:dyDescent="0.25"/>
    <row r="68583" customFormat="1" x14ac:dyDescent="0.25"/>
    <row r="68584" customFormat="1" x14ac:dyDescent="0.25"/>
    <row r="68585" customFormat="1" x14ac:dyDescent="0.25"/>
    <row r="68586" customFormat="1" x14ac:dyDescent="0.25"/>
    <row r="68587" customFormat="1" x14ac:dyDescent="0.25"/>
    <row r="68588" customFormat="1" x14ac:dyDescent="0.25"/>
    <row r="68589" customFormat="1" x14ac:dyDescent="0.25"/>
    <row r="68590" customFormat="1" x14ac:dyDescent="0.25"/>
    <row r="68591" customFormat="1" x14ac:dyDescent="0.25"/>
    <row r="68592" customFormat="1" x14ac:dyDescent="0.25"/>
    <row r="68593" customFormat="1" x14ac:dyDescent="0.25"/>
    <row r="68594" customFormat="1" x14ac:dyDescent="0.25"/>
    <row r="68595" customFormat="1" x14ac:dyDescent="0.25"/>
    <row r="68596" customFormat="1" x14ac:dyDescent="0.25"/>
    <row r="68597" customFormat="1" x14ac:dyDescent="0.25"/>
    <row r="68598" customFormat="1" x14ac:dyDescent="0.25"/>
    <row r="68599" customFormat="1" x14ac:dyDescent="0.25"/>
    <row r="68600" customFormat="1" x14ac:dyDescent="0.25"/>
    <row r="68601" customFormat="1" x14ac:dyDescent="0.25"/>
    <row r="68602" customFormat="1" x14ac:dyDescent="0.25"/>
    <row r="68603" customFormat="1" x14ac:dyDescent="0.25"/>
    <row r="68604" customFormat="1" x14ac:dyDescent="0.25"/>
    <row r="68605" customFormat="1" x14ac:dyDescent="0.25"/>
    <row r="68606" customFormat="1" x14ac:dyDescent="0.25"/>
    <row r="68607" customFormat="1" x14ac:dyDescent="0.25"/>
    <row r="68608" customFormat="1" x14ac:dyDescent="0.25"/>
    <row r="68609" customFormat="1" x14ac:dyDescent="0.25"/>
    <row r="68610" customFormat="1" x14ac:dyDescent="0.25"/>
    <row r="68611" customFormat="1" x14ac:dyDescent="0.25"/>
    <row r="68612" customFormat="1" x14ac:dyDescent="0.25"/>
    <row r="68613" customFormat="1" x14ac:dyDescent="0.25"/>
    <row r="68614" customFormat="1" x14ac:dyDescent="0.25"/>
    <row r="68615" customFormat="1" x14ac:dyDescent="0.25"/>
    <row r="68616" customFormat="1" x14ac:dyDescent="0.25"/>
    <row r="68617" customFormat="1" x14ac:dyDescent="0.25"/>
    <row r="68618" customFormat="1" x14ac:dyDescent="0.25"/>
    <row r="68619" customFormat="1" x14ac:dyDescent="0.25"/>
    <row r="68620" customFormat="1" x14ac:dyDescent="0.25"/>
    <row r="68621" customFormat="1" x14ac:dyDescent="0.25"/>
    <row r="68622" customFormat="1" x14ac:dyDescent="0.25"/>
    <row r="68623" customFormat="1" x14ac:dyDescent="0.25"/>
    <row r="68624" customFormat="1" x14ac:dyDescent="0.25"/>
    <row r="68625" customFormat="1" x14ac:dyDescent="0.25"/>
    <row r="68626" customFormat="1" x14ac:dyDescent="0.25"/>
    <row r="68627" customFormat="1" x14ac:dyDescent="0.25"/>
    <row r="68628" customFormat="1" x14ac:dyDescent="0.25"/>
    <row r="68629" customFormat="1" x14ac:dyDescent="0.25"/>
    <row r="68630" customFormat="1" x14ac:dyDescent="0.25"/>
    <row r="68631" customFormat="1" x14ac:dyDescent="0.25"/>
    <row r="68632" customFormat="1" x14ac:dyDescent="0.25"/>
    <row r="68633" customFormat="1" x14ac:dyDescent="0.25"/>
    <row r="68634" customFormat="1" x14ac:dyDescent="0.25"/>
    <row r="68635" customFormat="1" x14ac:dyDescent="0.25"/>
    <row r="68636" customFormat="1" x14ac:dyDescent="0.25"/>
    <row r="68637" customFormat="1" x14ac:dyDescent="0.25"/>
    <row r="68638" customFormat="1" x14ac:dyDescent="0.25"/>
    <row r="68639" customFormat="1" x14ac:dyDescent="0.25"/>
    <row r="68640" customFormat="1" x14ac:dyDescent="0.25"/>
    <row r="68641" customFormat="1" x14ac:dyDescent="0.25"/>
    <row r="68642" customFormat="1" x14ac:dyDescent="0.25"/>
    <row r="68643" customFormat="1" x14ac:dyDescent="0.25"/>
    <row r="68644" customFormat="1" x14ac:dyDescent="0.25"/>
    <row r="68645" customFormat="1" x14ac:dyDescent="0.25"/>
    <row r="68646" customFormat="1" x14ac:dyDescent="0.25"/>
    <row r="68647" customFormat="1" x14ac:dyDescent="0.25"/>
    <row r="68648" customFormat="1" x14ac:dyDescent="0.25"/>
    <row r="68649" customFormat="1" x14ac:dyDescent="0.25"/>
    <row r="68650" customFormat="1" x14ac:dyDescent="0.25"/>
    <row r="68651" customFormat="1" x14ac:dyDescent="0.25"/>
    <row r="68652" customFormat="1" x14ac:dyDescent="0.25"/>
    <row r="68653" customFormat="1" x14ac:dyDescent="0.25"/>
    <row r="68654" customFormat="1" x14ac:dyDescent="0.25"/>
    <row r="68655" customFormat="1" x14ac:dyDescent="0.25"/>
    <row r="68656" customFormat="1" x14ac:dyDescent="0.25"/>
    <row r="68657" customFormat="1" x14ac:dyDescent="0.25"/>
    <row r="68658" customFormat="1" x14ac:dyDescent="0.25"/>
    <row r="68659" customFormat="1" x14ac:dyDescent="0.25"/>
    <row r="68660" customFormat="1" x14ac:dyDescent="0.25"/>
    <row r="68661" customFormat="1" x14ac:dyDescent="0.25"/>
    <row r="68662" customFormat="1" x14ac:dyDescent="0.25"/>
    <row r="68663" customFormat="1" x14ac:dyDescent="0.25"/>
    <row r="68664" customFormat="1" x14ac:dyDescent="0.25"/>
    <row r="68665" customFormat="1" x14ac:dyDescent="0.25"/>
    <row r="68666" customFormat="1" x14ac:dyDescent="0.25"/>
    <row r="68667" customFormat="1" x14ac:dyDescent="0.25"/>
    <row r="68668" customFormat="1" x14ac:dyDescent="0.25"/>
    <row r="68669" customFormat="1" x14ac:dyDescent="0.25"/>
    <row r="68670" customFormat="1" x14ac:dyDescent="0.25"/>
    <row r="68671" customFormat="1" x14ac:dyDescent="0.25"/>
    <row r="68672" customFormat="1" x14ac:dyDescent="0.25"/>
    <row r="68673" customFormat="1" x14ac:dyDescent="0.25"/>
    <row r="68674" customFormat="1" x14ac:dyDescent="0.25"/>
    <row r="68675" customFormat="1" x14ac:dyDescent="0.25"/>
    <row r="68676" customFormat="1" x14ac:dyDescent="0.25"/>
    <row r="68677" customFormat="1" x14ac:dyDescent="0.25"/>
    <row r="68678" customFormat="1" x14ac:dyDescent="0.25"/>
    <row r="68679" customFormat="1" x14ac:dyDescent="0.25"/>
    <row r="68680" customFormat="1" x14ac:dyDescent="0.25"/>
    <row r="68681" customFormat="1" x14ac:dyDescent="0.25"/>
    <row r="68682" customFormat="1" x14ac:dyDescent="0.25"/>
    <row r="68683" customFormat="1" x14ac:dyDescent="0.25"/>
    <row r="68684" customFormat="1" x14ac:dyDescent="0.25"/>
    <row r="68685" customFormat="1" x14ac:dyDescent="0.25"/>
    <row r="68686" customFormat="1" x14ac:dyDescent="0.25"/>
    <row r="68687" customFormat="1" x14ac:dyDescent="0.25"/>
    <row r="68688" customFormat="1" x14ac:dyDescent="0.25"/>
    <row r="68689" customFormat="1" x14ac:dyDescent="0.25"/>
    <row r="68690" customFormat="1" x14ac:dyDescent="0.25"/>
    <row r="68691" customFormat="1" x14ac:dyDescent="0.25"/>
    <row r="68692" customFormat="1" x14ac:dyDescent="0.25"/>
    <row r="68693" customFormat="1" x14ac:dyDescent="0.25"/>
    <row r="68694" customFormat="1" x14ac:dyDescent="0.25"/>
    <row r="68695" customFormat="1" x14ac:dyDescent="0.25"/>
    <row r="68696" customFormat="1" x14ac:dyDescent="0.25"/>
    <row r="68697" customFormat="1" x14ac:dyDescent="0.25"/>
    <row r="68698" customFormat="1" x14ac:dyDescent="0.25"/>
    <row r="68699" customFormat="1" x14ac:dyDescent="0.25"/>
    <row r="68700" customFormat="1" x14ac:dyDescent="0.25"/>
    <row r="68701" customFormat="1" x14ac:dyDescent="0.25"/>
    <row r="68702" customFormat="1" x14ac:dyDescent="0.25"/>
    <row r="68703" customFormat="1" x14ac:dyDescent="0.25"/>
    <row r="68704" customFormat="1" x14ac:dyDescent="0.25"/>
    <row r="68705" customFormat="1" x14ac:dyDescent="0.25"/>
    <row r="68706" customFormat="1" x14ac:dyDescent="0.25"/>
    <row r="68707" customFormat="1" x14ac:dyDescent="0.25"/>
    <row r="68708" customFormat="1" x14ac:dyDescent="0.25"/>
    <row r="68709" customFormat="1" x14ac:dyDescent="0.25"/>
    <row r="68710" customFormat="1" x14ac:dyDescent="0.25"/>
    <row r="68711" customFormat="1" x14ac:dyDescent="0.25"/>
    <row r="68712" customFormat="1" x14ac:dyDescent="0.25"/>
    <row r="68713" customFormat="1" x14ac:dyDescent="0.25"/>
    <row r="68714" customFormat="1" x14ac:dyDescent="0.25"/>
    <row r="68715" customFormat="1" x14ac:dyDescent="0.25"/>
    <row r="68716" customFormat="1" x14ac:dyDescent="0.25"/>
    <row r="68717" customFormat="1" x14ac:dyDescent="0.25"/>
    <row r="68718" customFormat="1" x14ac:dyDescent="0.25"/>
    <row r="68719" customFormat="1" x14ac:dyDescent="0.25"/>
    <row r="68720" customFormat="1" x14ac:dyDescent="0.25"/>
    <row r="68721" customFormat="1" x14ac:dyDescent="0.25"/>
    <row r="68722" customFormat="1" x14ac:dyDescent="0.25"/>
    <row r="68723" customFormat="1" x14ac:dyDescent="0.25"/>
    <row r="68724" customFormat="1" x14ac:dyDescent="0.25"/>
    <row r="68725" customFormat="1" x14ac:dyDescent="0.25"/>
    <row r="68726" customFormat="1" x14ac:dyDescent="0.25"/>
    <row r="68727" customFormat="1" x14ac:dyDescent="0.25"/>
    <row r="68728" customFormat="1" x14ac:dyDescent="0.25"/>
    <row r="68729" customFormat="1" x14ac:dyDescent="0.25"/>
    <row r="68730" customFormat="1" x14ac:dyDescent="0.25"/>
    <row r="68731" customFormat="1" x14ac:dyDescent="0.25"/>
    <row r="68732" customFormat="1" x14ac:dyDescent="0.25"/>
    <row r="68733" customFormat="1" x14ac:dyDescent="0.25"/>
    <row r="68734" customFormat="1" x14ac:dyDescent="0.25"/>
    <row r="68735" customFormat="1" x14ac:dyDescent="0.25"/>
    <row r="68736" customFormat="1" x14ac:dyDescent="0.25"/>
    <row r="68737" customFormat="1" x14ac:dyDescent="0.25"/>
    <row r="68738" customFormat="1" x14ac:dyDescent="0.25"/>
    <row r="68739" customFormat="1" x14ac:dyDescent="0.25"/>
    <row r="68740" customFormat="1" x14ac:dyDescent="0.25"/>
    <row r="68741" customFormat="1" x14ac:dyDescent="0.25"/>
    <row r="68742" customFormat="1" x14ac:dyDescent="0.25"/>
    <row r="68743" customFormat="1" x14ac:dyDescent="0.25"/>
    <row r="68744" customFormat="1" x14ac:dyDescent="0.25"/>
    <row r="68745" customFormat="1" x14ac:dyDescent="0.25"/>
    <row r="68746" customFormat="1" x14ac:dyDescent="0.25"/>
    <row r="68747" customFormat="1" x14ac:dyDescent="0.25"/>
    <row r="68748" customFormat="1" x14ac:dyDescent="0.25"/>
    <row r="68749" customFormat="1" x14ac:dyDescent="0.25"/>
    <row r="68750" customFormat="1" x14ac:dyDescent="0.25"/>
    <row r="68751" customFormat="1" x14ac:dyDescent="0.25"/>
    <row r="68752" customFormat="1" x14ac:dyDescent="0.25"/>
    <row r="68753" customFormat="1" x14ac:dyDescent="0.25"/>
    <row r="68754" customFormat="1" x14ac:dyDescent="0.25"/>
    <row r="68755" customFormat="1" x14ac:dyDescent="0.25"/>
    <row r="68756" customFormat="1" x14ac:dyDescent="0.25"/>
    <row r="68757" customFormat="1" x14ac:dyDescent="0.25"/>
    <row r="68758" customFormat="1" x14ac:dyDescent="0.25"/>
    <row r="68759" customFormat="1" x14ac:dyDescent="0.25"/>
    <row r="68760" customFormat="1" x14ac:dyDescent="0.25"/>
    <row r="68761" customFormat="1" x14ac:dyDescent="0.25"/>
    <row r="68762" customFormat="1" x14ac:dyDescent="0.25"/>
    <row r="68763" customFormat="1" x14ac:dyDescent="0.25"/>
    <row r="68764" customFormat="1" x14ac:dyDescent="0.25"/>
    <row r="68765" customFormat="1" x14ac:dyDescent="0.25"/>
    <row r="68766" customFormat="1" x14ac:dyDescent="0.25"/>
    <row r="68767" customFormat="1" x14ac:dyDescent="0.25"/>
    <row r="68768" customFormat="1" x14ac:dyDescent="0.25"/>
    <row r="68769" customFormat="1" x14ac:dyDescent="0.25"/>
    <row r="68770" customFormat="1" x14ac:dyDescent="0.25"/>
    <row r="68771" customFormat="1" x14ac:dyDescent="0.25"/>
    <row r="68772" customFormat="1" x14ac:dyDescent="0.25"/>
    <row r="68773" customFormat="1" x14ac:dyDescent="0.25"/>
    <row r="68774" customFormat="1" x14ac:dyDescent="0.25"/>
    <row r="68775" customFormat="1" x14ac:dyDescent="0.25"/>
    <row r="68776" customFormat="1" x14ac:dyDescent="0.25"/>
    <row r="68777" customFormat="1" x14ac:dyDescent="0.25"/>
    <row r="68778" customFormat="1" x14ac:dyDescent="0.25"/>
    <row r="68779" customFormat="1" x14ac:dyDescent="0.25"/>
    <row r="68780" customFormat="1" x14ac:dyDescent="0.25"/>
    <row r="68781" customFormat="1" x14ac:dyDescent="0.25"/>
    <row r="68782" customFormat="1" x14ac:dyDescent="0.25"/>
    <row r="68783" customFormat="1" x14ac:dyDescent="0.25"/>
    <row r="68784" customFormat="1" x14ac:dyDescent="0.25"/>
    <row r="68785" customFormat="1" x14ac:dyDescent="0.25"/>
    <row r="68786" customFormat="1" x14ac:dyDescent="0.25"/>
    <row r="68787" customFormat="1" x14ac:dyDescent="0.25"/>
    <row r="68788" customFormat="1" x14ac:dyDescent="0.25"/>
    <row r="68789" customFormat="1" x14ac:dyDescent="0.25"/>
    <row r="68790" customFormat="1" x14ac:dyDescent="0.25"/>
    <row r="68791" customFormat="1" x14ac:dyDescent="0.25"/>
    <row r="68792" customFormat="1" x14ac:dyDescent="0.25"/>
    <row r="68793" customFormat="1" x14ac:dyDescent="0.25"/>
    <row r="68794" customFormat="1" x14ac:dyDescent="0.25"/>
    <row r="68795" customFormat="1" x14ac:dyDescent="0.25"/>
    <row r="68796" customFormat="1" x14ac:dyDescent="0.25"/>
    <row r="68797" customFormat="1" x14ac:dyDescent="0.25"/>
    <row r="68798" customFormat="1" x14ac:dyDescent="0.25"/>
    <row r="68799" customFormat="1" x14ac:dyDescent="0.25"/>
    <row r="68800" customFormat="1" x14ac:dyDescent="0.25"/>
    <row r="68801" customFormat="1" x14ac:dyDescent="0.25"/>
    <row r="68802" customFormat="1" x14ac:dyDescent="0.25"/>
    <row r="68803" customFormat="1" x14ac:dyDescent="0.25"/>
    <row r="68804" customFormat="1" x14ac:dyDescent="0.25"/>
    <row r="68805" customFormat="1" x14ac:dyDescent="0.25"/>
    <row r="68806" customFormat="1" x14ac:dyDescent="0.25"/>
    <row r="68807" customFormat="1" x14ac:dyDescent="0.25"/>
    <row r="68808" customFormat="1" x14ac:dyDescent="0.25"/>
    <row r="68809" customFormat="1" x14ac:dyDescent="0.25"/>
    <row r="68810" customFormat="1" x14ac:dyDescent="0.25"/>
    <row r="68811" customFormat="1" x14ac:dyDescent="0.25"/>
    <row r="68812" customFormat="1" x14ac:dyDescent="0.25"/>
    <row r="68813" customFormat="1" x14ac:dyDescent="0.25"/>
    <row r="68814" customFormat="1" x14ac:dyDescent="0.25"/>
    <row r="68815" customFormat="1" x14ac:dyDescent="0.25"/>
    <row r="68816" customFormat="1" x14ac:dyDescent="0.25"/>
    <row r="68817" customFormat="1" x14ac:dyDescent="0.25"/>
    <row r="68818" customFormat="1" x14ac:dyDescent="0.25"/>
    <row r="68819" customFormat="1" x14ac:dyDescent="0.25"/>
    <row r="68820" customFormat="1" x14ac:dyDescent="0.25"/>
    <row r="68821" customFormat="1" x14ac:dyDescent="0.25"/>
    <row r="68822" customFormat="1" x14ac:dyDescent="0.25"/>
    <row r="68823" customFormat="1" x14ac:dyDescent="0.25"/>
    <row r="68824" customFormat="1" x14ac:dyDescent="0.25"/>
    <row r="68825" customFormat="1" x14ac:dyDescent="0.25"/>
    <row r="68826" customFormat="1" x14ac:dyDescent="0.25"/>
    <row r="68827" customFormat="1" x14ac:dyDescent="0.25"/>
    <row r="68828" customFormat="1" x14ac:dyDescent="0.25"/>
    <row r="68829" customFormat="1" x14ac:dyDescent="0.25"/>
    <row r="68830" customFormat="1" x14ac:dyDescent="0.25"/>
    <row r="68831" customFormat="1" x14ac:dyDescent="0.25"/>
    <row r="68832" customFormat="1" x14ac:dyDescent="0.25"/>
    <row r="68833" customFormat="1" x14ac:dyDescent="0.25"/>
    <row r="68834" customFormat="1" x14ac:dyDescent="0.25"/>
    <row r="68835" customFormat="1" x14ac:dyDescent="0.25"/>
    <row r="68836" customFormat="1" x14ac:dyDescent="0.25"/>
    <row r="68837" customFormat="1" x14ac:dyDescent="0.25"/>
    <row r="68838" customFormat="1" x14ac:dyDescent="0.25"/>
    <row r="68839" customFormat="1" x14ac:dyDescent="0.25"/>
    <row r="68840" customFormat="1" x14ac:dyDescent="0.25"/>
    <row r="68841" customFormat="1" x14ac:dyDescent="0.25"/>
    <row r="68842" customFormat="1" x14ac:dyDescent="0.25"/>
    <row r="68843" customFormat="1" x14ac:dyDescent="0.25"/>
    <row r="68844" customFormat="1" x14ac:dyDescent="0.25"/>
    <row r="68845" customFormat="1" x14ac:dyDescent="0.25"/>
    <row r="68846" customFormat="1" x14ac:dyDescent="0.25"/>
    <row r="68847" customFormat="1" x14ac:dyDescent="0.25"/>
    <row r="68848" customFormat="1" x14ac:dyDescent="0.25"/>
    <row r="68849" customFormat="1" x14ac:dyDescent="0.25"/>
    <row r="68850" customFormat="1" x14ac:dyDescent="0.25"/>
    <row r="68851" customFormat="1" x14ac:dyDescent="0.25"/>
    <row r="68852" customFormat="1" x14ac:dyDescent="0.25"/>
    <row r="68853" customFormat="1" x14ac:dyDescent="0.25"/>
    <row r="68854" customFormat="1" x14ac:dyDescent="0.25"/>
    <row r="68855" customFormat="1" x14ac:dyDescent="0.25"/>
    <row r="68856" customFormat="1" x14ac:dyDescent="0.25"/>
    <row r="68857" customFormat="1" x14ac:dyDescent="0.25"/>
    <row r="68858" customFormat="1" x14ac:dyDescent="0.25"/>
    <row r="68859" customFormat="1" x14ac:dyDescent="0.25"/>
    <row r="68860" customFormat="1" x14ac:dyDescent="0.25"/>
    <row r="68861" customFormat="1" x14ac:dyDescent="0.25"/>
    <row r="68862" customFormat="1" x14ac:dyDescent="0.25"/>
    <row r="68863" customFormat="1" x14ac:dyDescent="0.25"/>
    <row r="68864" customFormat="1" x14ac:dyDescent="0.25"/>
    <row r="68865" customFormat="1" x14ac:dyDescent="0.25"/>
    <row r="68866" customFormat="1" x14ac:dyDescent="0.25"/>
    <row r="68867" customFormat="1" x14ac:dyDescent="0.25"/>
    <row r="68868" customFormat="1" x14ac:dyDescent="0.25"/>
    <row r="68869" customFormat="1" x14ac:dyDescent="0.25"/>
    <row r="68870" customFormat="1" x14ac:dyDescent="0.25"/>
    <row r="68871" customFormat="1" x14ac:dyDescent="0.25"/>
    <row r="68872" customFormat="1" x14ac:dyDescent="0.25"/>
    <row r="68873" customFormat="1" x14ac:dyDescent="0.25"/>
    <row r="68874" customFormat="1" x14ac:dyDescent="0.25"/>
    <row r="68875" customFormat="1" x14ac:dyDescent="0.25"/>
    <row r="68876" customFormat="1" x14ac:dyDescent="0.25"/>
    <row r="68877" customFormat="1" x14ac:dyDescent="0.25"/>
    <row r="68878" customFormat="1" x14ac:dyDescent="0.25"/>
    <row r="68879" customFormat="1" x14ac:dyDescent="0.25"/>
    <row r="68880" customFormat="1" x14ac:dyDescent="0.25"/>
    <row r="68881" customFormat="1" x14ac:dyDescent="0.25"/>
    <row r="68882" customFormat="1" x14ac:dyDescent="0.25"/>
    <row r="68883" customFormat="1" x14ac:dyDescent="0.25"/>
    <row r="68884" customFormat="1" x14ac:dyDescent="0.25"/>
    <row r="68885" customFormat="1" x14ac:dyDescent="0.25"/>
    <row r="68886" customFormat="1" x14ac:dyDescent="0.25"/>
    <row r="68887" customFormat="1" x14ac:dyDescent="0.25"/>
    <row r="68888" customFormat="1" x14ac:dyDescent="0.25"/>
    <row r="68889" customFormat="1" x14ac:dyDescent="0.25"/>
    <row r="68890" customFormat="1" x14ac:dyDescent="0.25"/>
    <row r="68891" customFormat="1" x14ac:dyDescent="0.25"/>
    <row r="68892" customFormat="1" x14ac:dyDescent="0.25"/>
    <row r="68893" customFormat="1" x14ac:dyDescent="0.25"/>
    <row r="68894" customFormat="1" x14ac:dyDescent="0.25"/>
    <row r="68895" customFormat="1" x14ac:dyDescent="0.25"/>
    <row r="68896" customFormat="1" x14ac:dyDescent="0.25"/>
    <row r="68897" customFormat="1" x14ac:dyDescent="0.25"/>
    <row r="68898" customFormat="1" x14ac:dyDescent="0.25"/>
    <row r="68899" customFormat="1" x14ac:dyDescent="0.25"/>
    <row r="68900" customFormat="1" x14ac:dyDescent="0.25"/>
    <row r="68901" customFormat="1" x14ac:dyDescent="0.25"/>
    <row r="68902" customFormat="1" x14ac:dyDescent="0.25"/>
    <row r="68903" customFormat="1" x14ac:dyDescent="0.25"/>
    <row r="68904" customFormat="1" x14ac:dyDescent="0.25"/>
    <row r="68905" customFormat="1" x14ac:dyDescent="0.25"/>
    <row r="68906" customFormat="1" x14ac:dyDescent="0.25"/>
    <row r="68907" customFormat="1" x14ac:dyDescent="0.25"/>
    <row r="68908" customFormat="1" x14ac:dyDescent="0.25"/>
    <row r="68909" customFormat="1" x14ac:dyDescent="0.25"/>
    <row r="68910" customFormat="1" x14ac:dyDescent="0.25"/>
    <row r="68911" customFormat="1" x14ac:dyDescent="0.25"/>
    <row r="68912" customFormat="1" x14ac:dyDescent="0.25"/>
    <row r="68913" customFormat="1" x14ac:dyDescent="0.25"/>
    <row r="68914" customFormat="1" x14ac:dyDescent="0.25"/>
    <row r="68915" customFormat="1" x14ac:dyDescent="0.25"/>
    <row r="68916" customFormat="1" x14ac:dyDescent="0.25"/>
    <row r="68917" customFormat="1" x14ac:dyDescent="0.25"/>
    <row r="68918" customFormat="1" x14ac:dyDescent="0.25"/>
    <row r="68919" customFormat="1" x14ac:dyDescent="0.25"/>
    <row r="68920" customFormat="1" x14ac:dyDescent="0.25"/>
    <row r="68921" customFormat="1" x14ac:dyDescent="0.25"/>
    <row r="68922" customFormat="1" x14ac:dyDescent="0.25"/>
    <row r="68923" customFormat="1" x14ac:dyDescent="0.25"/>
    <row r="68924" customFormat="1" x14ac:dyDescent="0.25"/>
    <row r="68925" customFormat="1" x14ac:dyDescent="0.25"/>
    <row r="68926" customFormat="1" x14ac:dyDescent="0.25"/>
    <row r="68927" customFormat="1" x14ac:dyDescent="0.25"/>
    <row r="68928" customFormat="1" x14ac:dyDescent="0.25"/>
    <row r="68929" customFormat="1" x14ac:dyDescent="0.25"/>
    <row r="68930" customFormat="1" x14ac:dyDescent="0.25"/>
    <row r="68931" customFormat="1" x14ac:dyDescent="0.25"/>
    <row r="68932" customFormat="1" x14ac:dyDescent="0.25"/>
    <row r="68933" customFormat="1" x14ac:dyDescent="0.25"/>
    <row r="68934" customFormat="1" x14ac:dyDescent="0.25"/>
    <row r="68935" customFormat="1" x14ac:dyDescent="0.25"/>
    <row r="68936" customFormat="1" x14ac:dyDescent="0.25"/>
    <row r="68937" customFormat="1" x14ac:dyDescent="0.25"/>
    <row r="68938" customFormat="1" x14ac:dyDescent="0.25"/>
    <row r="68939" customFormat="1" x14ac:dyDescent="0.25"/>
    <row r="68940" customFormat="1" x14ac:dyDescent="0.25"/>
    <row r="68941" customFormat="1" x14ac:dyDescent="0.25"/>
    <row r="68942" customFormat="1" x14ac:dyDescent="0.25"/>
    <row r="68943" customFormat="1" x14ac:dyDescent="0.25"/>
    <row r="68944" customFormat="1" x14ac:dyDescent="0.25"/>
    <row r="68945" customFormat="1" x14ac:dyDescent="0.25"/>
    <row r="68946" customFormat="1" x14ac:dyDescent="0.25"/>
    <row r="68947" customFormat="1" x14ac:dyDescent="0.25"/>
    <row r="68948" customFormat="1" x14ac:dyDescent="0.25"/>
    <row r="68949" customFormat="1" x14ac:dyDescent="0.25"/>
    <row r="68950" customFormat="1" x14ac:dyDescent="0.25"/>
    <row r="68951" customFormat="1" x14ac:dyDescent="0.25"/>
    <row r="68952" customFormat="1" x14ac:dyDescent="0.25"/>
    <row r="68953" customFormat="1" x14ac:dyDescent="0.25"/>
    <row r="68954" customFormat="1" x14ac:dyDescent="0.25"/>
    <row r="68955" customFormat="1" x14ac:dyDescent="0.25"/>
    <row r="68956" customFormat="1" x14ac:dyDescent="0.25"/>
    <row r="68957" customFormat="1" x14ac:dyDescent="0.25"/>
    <row r="68958" customFormat="1" x14ac:dyDescent="0.25"/>
    <row r="68959" customFormat="1" x14ac:dyDescent="0.25"/>
    <row r="68960" customFormat="1" x14ac:dyDescent="0.25"/>
    <row r="68961" customFormat="1" x14ac:dyDescent="0.25"/>
    <row r="68962" customFormat="1" x14ac:dyDescent="0.25"/>
    <row r="68963" customFormat="1" x14ac:dyDescent="0.25"/>
    <row r="68964" customFormat="1" x14ac:dyDescent="0.25"/>
    <row r="68965" customFormat="1" x14ac:dyDescent="0.25"/>
    <row r="68966" customFormat="1" x14ac:dyDescent="0.25"/>
    <row r="68967" customFormat="1" x14ac:dyDescent="0.25"/>
    <row r="68968" customFormat="1" x14ac:dyDescent="0.25"/>
    <row r="68969" customFormat="1" x14ac:dyDescent="0.25"/>
    <row r="68970" customFormat="1" x14ac:dyDescent="0.25"/>
    <row r="68971" customFormat="1" x14ac:dyDescent="0.25"/>
    <row r="68972" customFormat="1" x14ac:dyDescent="0.25"/>
    <row r="68973" customFormat="1" x14ac:dyDescent="0.25"/>
    <row r="68974" customFormat="1" x14ac:dyDescent="0.25"/>
    <row r="68975" customFormat="1" x14ac:dyDescent="0.25"/>
    <row r="68976" customFormat="1" x14ac:dyDescent="0.25"/>
    <row r="68977" customFormat="1" x14ac:dyDescent="0.25"/>
    <row r="68978" customFormat="1" x14ac:dyDescent="0.25"/>
    <row r="68979" customFormat="1" x14ac:dyDescent="0.25"/>
    <row r="68980" customFormat="1" x14ac:dyDescent="0.25"/>
    <row r="68981" customFormat="1" x14ac:dyDescent="0.25"/>
    <row r="68982" customFormat="1" x14ac:dyDescent="0.25"/>
    <row r="68983" customFormat="1" x14ac:dyDescent="0.25"/>
    <row r="68984" customFormat="1" x14ac:dyDescent="0.25"/>
    <row r="68985" customFormat="1" x14ac:dyDescent="0.25"/>
    <row r="68986" customFormat="1" x14ac:dyDescent="0.25"/>
    <row r="68987" customFormat="1" x14ac:dyDescent="0.25"/>
    <row r="68988" customFormat="1" x14ac:dyDescent="0.25"/>
    <row r="68989" customFormat="1" x14ac:dyDescent="0.25"/>
    <row r="68990" customFormat="1" x14ac:dyDescent="0.25"/>
    <row r="68991" customFormat="1" x14ac:dyDescent="0.25"/>
    <row r="68992" customFormat="1" x14ac:dyDescent="0.25"/>
    <row r="68993" customFormat="1" x14ac:dyDescent="0.25"/>
    <row r="68994" customFormat="1" x14ac:dyDescent="0.25"/>
    <row r="68995" customFormat="1" x14ac:dyDescent="0.25"/>
    <row r="68996" customFormat="1" x14ac:dyDescent="0.25"/>
    <row r="68997" customFormat="1" x14ac:dyDescent="0.25"/>
    <row r="68998" customFormat="1" x14ac:dyDescent="0.25"/>
    <row r="68999" customFormat="1" x14ac:dyDescent="0.25"/>
    <row r="69000" customFormat="1" x14ac:dyDescent="0.25"/>
    <row r="69001" customFormat="1" x14ac:dyDescent="0.25"/>
    <row r="69002" customFormat="1" x14ac:dyDescent="0.25"/>
    <row r="69003" customFormat="1" x14ac:dyDescent="0.25"/>
    <row r="69004" customFormat="1" x14ac:dyDescent="0.25"/>
    <row r="69005" customFormat="1" x14ac:dyDescent="0.25"/>
    <row r="69006" customFormat="1" x14ac:dyDescent="0.25"/>
    <row r="69007" customFormat="1" x14ac:dyDescent="0.25"/>
    <row r="69008" customFormat="1" x14ac:dyDescent="0.25"/>
    <row r="69009" customFormat="1" x14ac:dyDescent="0.25"/>
    <row r="69010" customFormat="1" x14ac:dyDescent="0.25"/>
    <row r="69011" customFormat="1" x14ac:dyDescent="0.25"/>
    <row r="69012" customFormat="1" x14ac:dyDescent="0.25"/>
    <row r="69013" customFormat="1" x14ac:dyDescent="0.25"/>
    <row r="69014" customFormat="1" x14ac:dyDescent="0.25"/>
    <row r="69015" customFormat="1" x14ac:dyDescent="0.25"/>
    <row r="69016" customFormat="1" x14ac:dyDescent="0.25"/>
    <row r="69017" customFormat="1" x14ac:dyDescent="0.25"/>
    <row r="69018" customFormat="1" x14ac:dyDescent="0.25"/>
    <row r="69019" customFormat="1" x14ac:dyDescent="0.25"/>
    <row r="69020" customFormat="1" x14ac:dyDescent="0.25"/>
    <row r="69021" customFormat="1" x14ac:dyDescent="0.25"/>
    <row r="69022" customFormat="1" x14ac:dyDescent="0.25"/>
    <row r="69023" customFormat="1" x14ac:dyDescent="0.25"/>
    <row r="69024" customFormat="1" x14ac:dyDescent="0.25"/>
    <row r="69025" customFormat="1" x14ac:dyDescent="0.25"/>
    <row r="69026" customFormat="1" x14ac:dyDescent="0.25"/>
    <row r="69027" customFormat="1" x14ac:dyDescent="0.25"/>
    <row r="69028" customFormat="1" x14ac:dyDescent="0.25"/>
    <row r="69029" customFormat="1" x14ac:dyDescent="0.25"/>
    <row r="69030" customFormat="1" x14ac:dyDescent="0.25"/>
    <row r="69031" customFormat="1" x14ac:dyDescent="0.25"/>
    <row r="69032" customFormat="1" x14ac:dyDescent="0.25"/>
    <row r="69033" customFormat="1" x14ac:dyDescent="0.25"/>
    <row r="69034" customFormat="1" x14ac:dyDescent="0.25"/>
    <row r="69035" customFormat="1" x14ac:dyDescent="0.25"/>
    <row r="69036" customFormat="1" x14ac:dyDescent="0.25"/>
    <row r="69037" customFormat="1" x14ac:dyDescent="0.25"/>
    <row r="69038" customFormat="1" x14ac:dyDescent="0.25"/>
    <row r="69039" customFormat="1" x14ac:dyDescent="0.25"/>
    <row r="69040" customFormat="1" x14ac:dyDescent="0.25"/>
    <row r="69041" customFormat="1" x14ac:dyDescent="0.25"/>
    <row r="69042" customFormat="1" x14ac:dyDescent="0.25"/>
    <row r="69043" customFormat="1" x14ac:dyDescent="0.25"/>
    <row r="69044" customFormat="1" x14ac:dyDescent="0.25"/>
    <row r="69045" customFormat="1" x14ac:dyDescent="0.25"/>
    <row r="69046" customFormat="1" x14ac:dyDescent="0.25"/>
    <row r="69047" customFormat="1" x14ac:dyDescent="0.25"/>
    <row r="69048" customFormat="1" x14ac:dyDescent="0.25"/>
    <row r="69049" customFormat="1" x14ac:dyDescent="0.25"/>
    <row r="69050" customFormat="1" x14ac:dyDescent="0.25"/>
    <row r="69051" customFormat="1" x14ac:dyDescent="0.25"/>
    <row r="69052" customFormat="1" x14ac:dyDescent="0.25"/>
    <row r="69053" customFormat="1" x14ac:dyDescent="0.25"/>
    <row r="69054" customFormat="1" x14ac:dyDescent="0.25"/>
    <row r="69055" customFormat="1" x14ac:dyDescent="0.25"/>
    <row r="69056" customFormat="1" x14ac:dyDescent="0.25"/>
    <row r="69057" customFormat="1" x14ac:dyDescent="0.25"/>
    <row r="69058" customFormat="1" x14ac:dyDescent="0.25"/>
    <row r="69059" customFormat="1" x14ac:dyDescent="0.25"/>
    <row r="69060" customFormat="1" x14ac:dyDescent="0.25"/>
    <row r="69061" customFormat="1" x14ac:dyDescent="0.25"/>
    <row r="69062" customFormat="1" x14ac:dyDescent="0.25"/>
    <row r="69063" customFormat="1" x14ac:dyDescent="0.25"/>
    <row r="69064" customFormat="1" x14ac:dyDescent="0.25"/>
    <row r="69065" customFormat="1" x14ac:dyDescent="0.25"/>
    <row r="69066" customFormat="1" x14ac:dyDescent="0.25"/>
    <row r="69067" customFormat="1" x14ac:dyDescent="0.25"/>
    <row r="69068" customFormat="1" x14ac:dyDescent="0.25"/>
    <row r="69069" customFormat="1" x14ac:dyDescent="0.25"/>
    <row r="69070" customFormat="1" x14ac:dyDescent="0.25"/>
    <row r="69071" customFormat="1" x14ac:dyDescent="0.25"/>
    <row r="69072" customFormat="1" x14ac:dyDescent="0.25"/>
    <row r="69073" customFormat="1" x14ac:dyDescent="0.25"/>
    <row r="69074" customFormat="1" x14ac:dyDescent="0.25"/>
    <row r="69075" customFormat="1" x14ac:dyDescent="0.25"/>
    <row r="69076" customFormat="1" x14ac:dyDescent="0.25"/>
    <row r="69077" customFormat="1" x14ac:dyDescent="0.25"/>
    <row r="69078" customFormat="1" x14ac:dyDescent="0.25"/>
    <row r="69079" customFormat="1" x14ac:dyDescent="0.25"/>
    <row r="69080" customFormat="1" x14ac:dyDescent="0.25"/>
    <row r="69081" customFormat="1" x14ac:dyDescent="0.25"/>
    <row r="69082" customFormat="1" x14ac:dyDescent="0.25"/>
    <row r="69083" customFormat="1" x14ac:dyDescent="0.25"/>
    <row r="69084" customFormat="1" x14ac:dyDescent="0.25"/>
    <row r="69085" customFormat="1" x14ac:dyDescent="0.25"/>
    <row r="69086" customFormat="1" x14ac:dyDescent="0.25"/>
    <row r="69087" customFormat="1" x14ac:dyDescent="0.25"/>
    <row r="69088" customFormat="1" x14ac:dyDescent="0.25"/>
    <row r="69089" customFormat="1" x14ac:dyDescent="0.25"/>
    <row r="69090" customFormat="1" x14ac:dyDescent="0.25"/>
    <row r="69091" customFormat="1" x14ac:dyDescent="0.25"/>
    <row r="69092" customFormat="1" x14ac:dyDescent="0.25"/>
    <row r="69093" customFormat="1" x14ac:dyDescent="0.25"/>
    <row r="69094" customFormat="1" x14ac:dyDescent="0.25"/>
    <row r="69095" customFormat="1" x14ac:dyDescent="0.25"/>
    <row r="69096" customFormat="1" x14ac:dyDescent="0.25"/>
    <row r="69097" customFormat="1" x14ac:dyDescent="0.25"/>
    <row r="69098" customFormat="1" x14ac:dyDescent="0.25"/>
    <row r="69099" customFormat="1" x14ac:dyDescent="0.25"/>
    <row r="69100" customFormat="1" x14ac:dyDescent="0.25"/>
    <row r="69101" customFormat="1" x14ac:dyDescent="0.25"/>
    <row r="69102" customFormat="1" x14ac:dyDescent="0.25"/>
    <row r="69103" customFormat="1" x14ac:dyDescent="0.25"/>
    <row r="69104" customFormat="1" x14ac:dyDescent="0.25"/>
    <row r="69105" customFormat="1" x14ac:dyDescent="0.25"/>
    <row r="69106" customFormat="1" x14ac:dyDescent="0.25"/>
    <row r="69107" customFormat="1" x14ac:dyDescent="0.25"/>
    <row r="69108" customFormat="1" x14ac:dyDescent="0.25"/>
    <row r="69109" customFormat="1" x14ac:dyDescent="0.25"/>
    <row r="69110" customFormat="1" x14ac:dyDescent="0.25"/>
    <row r="69111" customFormat="1" x14ac:dyDescent="0.25"/>
    <row r="69112" customFormat="1" x14ac:dyDescent="0.25"/>
    <row r="69113" customFormat="1" x14ac:dyDescent="0.25"/>
    <row r="69114" customFormat="1" x14ac:dyDescent="0.25"/>
    <row r="69115" customFormat="1" x14ac:dyDescent="0.25"/>
    <row r="69116" customFormat="1" x14ac:dyDescent="0.25"/>
    <row r="69117" customFormat="1" x14ac:dyDescent="0.25"/>
    <row r="69118" customFormat="1" x14ac:dyDescent="0.25"/>
    <row r="69119" customFormat="1" x14ac:dyDescent="0.25"/>
    <row r="69120" customFormat="1" x14ac:dyDescent="0.25"/>
    <row r="69121" customFormat="1" x14ac:dyDescent="0.25"/>
    <row r="69122" customFormat="1" x14ac:dyDescent="0.25"/>
    <row r="69123" customFormat="1" x14ac:dyDescent="0.25"/>
    <row r="69124" customFormat="1" x14ac:dyDescent="0.25"/>
    <row r="69125" customFormat="1" x14ac:dyDescent="0.25"/>
    <row r="69126" customFormat="1" x14ac:dyDescent="0.25"/>
    <row r="69127" customFormat="1" x14ac:dyDescent="0.25"/>
    <row r="69128" customFormat="1" x14ac:dyDescent="0.25"/>
    <row r="69129" customFormat="1" x14ac:dyDescent="0.25"/>
    <row r="69130" customFormat="1" x14ac:dyDescent="0.25"/>
    <row r="69131" customFormat="1" x14ac:dyDescent="0.25"/>
    <row r="69132" customFormat="1" x14ac:dyDescent="0.25"/>
    <row r="69133" customFormat="1" x14ac:dyDescent="0.25"/>
    <row r="69134" customFormat="1" x14ac:dyDescent="0.25"/>
    <row r="69135" customFormat="1" x14ac:dyDescent="0.25"/>
    <row r="69136" customFormat="1" x14ac:dyDescent="0.25"/>
    <row r="69137" customFormat="1" x14ac:dyDescent="0.25"/>
    <row r="69138" customFormat="1" x14ac:dyDescent="0.25"/>
    <row r="69139" customFormat="1" x14ac:dyDescent="0.25"/>
    <row r="69140" customFormat="1" x14ac:dyDescent="0.25"/>
    <row r="69141" customFormat="1" x14ac:dyDescent="0.25"/>
    <row r="69142" customFormat="1" x14ac:dyDescent="0.25"/>
    <row r="69143" customFormat="1" x14ac:dyDescent="0.25"/>
    <row r="69144" customFormat="1" x14ac:dyDescent="0.25"/>
    <row r="69145" customFormat="1" x14ac:dyDescent="0.25"/>
    <row r="69146" customFormat="1" x14ac:dyDescent="0.25"/>
    <row r="69147" customFormat="1" x14ac:dyDescent="0.25"/>
    <row r="69148" customFormat="1" x14ac:dyDescent="0.25"/>
    <row r="69149" customFormat="1" x14ac:dyDescent="0.25"/>
    <row r="69150" customFormat="1" x14ac:dyDescent="0.25"/>
    <row r="69151" customFormat="1" x14ac:dyDescent="0.25"/>
    <row r="69152" customFormat="1" x14ac:dyDescent="0.25"/>
    <row r="69153" customFormat="1" x14ac:dyDescent="0.25"/>
    <row r="69154" customFormat="1" x14ac:dyDescent="0.25"/>
    <row r="69155" customFormat="1" x14ac:dyDescent="0.25"/>
    <row r="69156" customFormat="1" x14ac:dyDescent="0.25"/>
    <row r="69157" customFormat="1" x14ac:dyDescent="0.25"/>
    <row r="69158" customFormat="1" x14ac:dyDescent="0.25"/>
    <row r="69159" customFormat="1" x14ac:dyDescent="0.25"/>
    <row r="69160" customFormat="1" x14ac:dyDescent="0.25"/>
    <row r="69161" customFormat="1" x14ac:dyDescent="0.25"/>
    <row r="69162" customFormat="1" x14ac:dyDescent="0.25"/>
    <row r="69163" customFormat="1" x14ac:dyDescent="0.25"/>
    <row r="69164" customFormat="1" x14ac:dyDescent="0.25"/>
    <row r="69165" customFormat="1" x14ac:dyDescent="0.25"/>
    <row r="69166" customFormat="1" x14ac:dyDescent="0.25"/>
    <row r="69167" customFormat="1" x14ac:dyDescent="0.25"/>
    <row r="69168" customFormat="1" x14ac:dyDescent="0.25"/>
    <row r="69169" customFormat="1" x14ac:dyDescent="0.25"/>
    <row r="69170" customFormat="1" x14ac:dyDescent="0.25"/>
    <row r="69171" customFormat="1" x14ac:dyDescent="0.25"/>
    <row r="69172" customFormat="1" x14ac:dyDescent="0.25"/>
    <row r="69173" customFormat="1" x14ac:dyDescent="0.25"/>
    <row r="69174" customFormat="1" x14ac:dyDescent="0.25"/>
    <row r="69175" customFormat="1" x14ac:dyDescent="0.25"/>
    <row r="69176" customFormat="1" x14ac:dyDescent="0.25"/>
    <row r="69177" customFormat="1" x14ac:dyDescent="0.25"/>
    <row r="69178" customFormat="1" x14ac:dyDescent="0.25"/>
    <row r="69179" customFormat="1" x14ac:dyDescent="0.25"/>
    <row r="69180" customFormat="1" x14ac:dyDescent="0.25"/>
    <row r="69181" customFormat="1" x14ac:dyDescent="0.25"/>
    <row r="69182" customFormat="1" x14ac:dyDescent="0.25"/>
    <row r="69183" customFormat="1" x14ac:dyDescent="0.25"/>
    <row r="69184" customFormat="1" x14ac:dyDescent="0.25"/>
    <row r="69185" customFormat="1" x14ac:dyDescent="0.25"/>
    <row r="69186" customFormat="1" x14ac:dyDescent="0.25"/>
    <row r="69187" customFormat="1" x14ac:dyDescent="0.25"/>
    <row r="69188" customFormat="1" x14ac:dyDescent="0.25"/>
    <row r="69189" customFormat="1" x14ac:dyDescent="0.25"/>
    <row r="69190" customFormat="1" x14ac:dyDescent="0.25"/>
    <row r="69191" customFormat="1" x14ac:dyDescent="0.25"/>
    <row r="69192" customFormat="1" x14ac:dyDescent="0.25"/>
    <row r="69193" customFormat="1" x14ac:dyDescent="0.25"/>
    <row r="69194" customFormat="1" x14ac:dyDescent="0.25"/>
    <row r="69195" customFormat="1" x14ac:dyDescent="0.25"/>
    <row r="69196" customFormat="1" x14ac:dyDescent="0.25"/>
    <row r="69197" customFormat="1" x14ac:dyDescent="0.25"/>
    <row r="69198" customFormat="1" x14ac:dyDescent="0.25"/>
    <row r="69199" customFormat="1" x14ac:dyDescent="0.25"/>
    <row r="69200" customFormat="1" x14ac:dyDescent="0.25"/>
    <row r="69201" customFormat="1" x14ac:dyDescent="0.25"/>
    <row r="69202" customFormat="1" x14ac:dyDescent="0.25"/>
    <row r="69203" customFormat="1" x14ac:dyDescent="0.25"/>
    <row r="69204" customFormat="1" x14ac:dyDescent="0.25"/>
    <row r="69205" customFormat="1" x14ac:dyDescent="0.25"/>
    <row r="69206" customFormat="1" x14ac:dyDescent="0.25"/>
    <row r="69207" customFormat="1" x14ac:dyDescent="0.25"/>
    <row r="69208" customFormat="1" x14ac:dyDescent="0.25"/>
    <row r="69209" customFormat="1" x14ac:dyDescent="0.25"/>
    <row r="69210" customFormat="1" x14ac:dyDescent="0.25"/>
    <row r="69211" customFormat="1" x14ac:dyDescent="0.25"/>
    <row r="69212" customFormat="1" x14ac:dyDescent="0.25"/>
    <row r="69213" customFormat="1" x14ac:dyDescent="0.25"/>
    <row r="69214" customFormat="1" x14ac:dyDescent="0.25"/>
    <row r="69215" customFormat="1" x14ac:dyDescent="0.25"/>
    <row r="69216" customFormat="1" x14ac:dyDescent="0.25"/>
    <row r="69217" customFormat="1" x14ac:dyDescent="0.25"/>
    <row r="69218" customFormat="1" x14ac:dyDescent="0.25"/>
    <row r="69219" customFormat="1" x14ac:dyDescent="0.25"/>
    <row r="69220" customFormat="1" x14ac:dyDescent="0.25"/>
    <row r="69221" customFormat="1" x14ac:dyDescent="0.25"/>
    <row r="69222" customFormat="1" x14ac:dyDescent="0.25"/>
    <row r="69223" customFormat="1" x14ac:dyDescent="0.25"/>
    <row r="69224" customFormat="1" x14ac:dyDescent="0.25"/>
    <row r="69225" customFormat="1" x14ac:dyDescent="0.25"/>
    <row r="69226" customFormat="1" x14ac:dyDescent="0.25"/>
    <row r="69227" customFormat="1" x14ac:dyDescent="0.25"/>
    <row r="69228" customFormat="1" x14ac:dyDescent="0.25"/>
    <row r="69229" customFormat="1" x14ac:dyDescent="0.25"/>
    <row r="69230" customFormat="1" x14ac:dyDescent="0.25"/>
    <row r="69231" customFormat="1" x14ac:dyDescent="0.25"/>
    <row r="69232" customFormat="1" x14ac:dyDescent="0.25"/>
    <row r="69233" customFormat="1" x14ac:dyDescent="0.25"/>
    <row r="69234" customFormat="1" x14ac:dyDescent="0.25"/>
    <row r="69235" customFormat="1" x14ac:dyDescent="0.25"/>
    <row r="69236" customFormat="1" x14ac:dyDescent="0.25"/>
    <row r="69237" customFormat="1" x14ac:dyDescent="0.25"/>
    <row r="69238" customFormat="1" x14ac:dyDescent="0.25"/>
    <row r="69239" customFormat="1" x14ac:dyDescent="0.25"/>
    <row r="69240" customFormat="1" x14ac:dyDescent="0.25"/>
    <row r="69241" customFormat="1" x14ac:dyDescent="0.25"/>
    <row r="69242" customFormat="1" x14ac:dyDescent="0.25"/>
    <row r="69243" customFormat="1" x14ac:dyDescent="0.25"/>
    <row r="69244" customFormat="1" x14ac:dyDescent="0.25"/>
    <row r="69245" customFormat="1" x14ac:dyDescent="0.25"/>
    <row r="69246" customFormat="1" x14ac:dyDescent="0.25"/>
    <row r="69247" customFormat="1" x14ac:dyDescent="0.25"/>
    <row r="69248" customFormat="1" x14ac:dyDescent="0.25"/>
    <row r="69249" customFormat="1" x14ac:dyDescent="0.25"/>
    <row r="69250" customFormat="1" x14ac:dyDescent="0.25"/>
    <row r="69251" customFormat="1" x14ac:dyDescent="0.25"/>
    <row r="69252" customFormat="1" x14ac:dyDescent="0.25"/>
    <row r="69253" customFormat="1" x14ac:dyDescent="0.25"/>
    <row r="69254" customFormat="1" x14ac:dyDescent="0.25"/>
    <row r="69255" customFormat="1" x14ac:dyDescent="0.25"/>
    <row r="69256" customFormat="1" x14ac:dyDescent="0.25"/>
    <row r="69257" customFormat="1" x14ac:dyDescent="0.25"/>
    <row r="69258" customFormat="1" x14ac:dyDescent="0.25"/>
    <row r="69259" customFormat="1" x14ac:dyDescent="0.25"/>
    <row r="69260" customFormat="1" x14ac:dyDescent="0.25"/>
    <row r="69261" customFormat="1" x14ac:dyDescent="0.25"/>
    <row r="69262" customFormat="1" x14ac:dyDescent="0.25"/>
    <row r="69263" customFormat="1" x14ac:dyDescent="0.25"/>
    <row r="69264" customFormat="1" x14ac:dyDescent="0.25"/>
    <row r="69265" customFormat="1" x14ac:dyDescent="0.25"/>
    <row r="69266" customFormat="1" x14ac:dyDescent="0.25"/>
    <row r="69267" customFormat="1" x14ac:dyDescent="0.25"/>
    <row r="69268" customFormat="1" x14ac:dyDescent="0.25"/>
    <row r="69269" customFormat="1" x14ac:dyDescent="0.25"/>
    <row r="69270" customFormat="1" x14ac:dyDescent="0.25"/>
    <row r="69271" customFormat="1" x14ac:dyDescent="0.25"/>
    <row r="69272" customFormat="1" x14ac:dyDescent="0.25"/>
    <row r="69273" customFormat="1" x14ac:dyDescent="0.25"/>
    <row r="69274" customFormat="1" x14ac:dyDescent="0.25"/>
    <row r="69275" customFormat="1" x14ac:dyDescent="0.25"/>
    <row r="69276" customFormat="1" x14ac:dyDescent="0.25"/>
    <row r="69277" customFormat="1" x14ac:dyDescent="0.25"/>
    <row r="69278" customFormat="1" x14ac:dyDescent="0.25"/>
    <row r="69279" customFormat="1" x14ac:dyDescent="0.25"/>
    <row r="69280" customFormat="1" x14ac:dyDescent="0.25"/>
    <row r="69281" customFormat="1" x14ac:dyDescent="0.25"/>
    <row r="69282" customFormat="1" x14ac:dyDescent="0.25"/>
    <row r="69283" customFormat="1" x14ac:dyDescent="0.25"/>
    <row r="69284" customFormat="1" x14ac:dyDescent="0.25"/>
    <row r="69285" customFormat="1" x14ac:dyDescent="0.25"/>
    <row r="69286" customFormat="1" x14ac:dyDescent="0.25"/>
    <row r="69287" customFormat="1" x14ac:dyDescent="0.25"/>
    <row r="69288" customFormat="1" x14ac:dyDescent="0.25"/>
    <row r="69289" customFormat="1" x14ac:dyDescent="0.25"/>
    <row r="69290" customFormat="1" x14ac:dyDescent="0.25"/>
    <row r="69291" customFormat="1" x14ac:dyDescent="0.25"/>
    <row r="69292" customFormat="1" x14ac:dyDescent="0.25"/>
    <row r="69293" customFormat="1" x14ac:dyDescent="0.25"/>
    <row r="69294" customFormat="1" x14ac:dyDescent="0.25"/>
    <row r="69295" customFormat="1" x14ac:dyDescent="0.25"/>
    <row r="69296" customFormat="1" x14ac:dyDescent="0.25"/>
    <row r="69297" customFormat="1" x14ac:dyDescent="0.25"/>
    <row r="69298" customFormat="1" x14ac:dyDescent="0.25"/>
    <row r="69299" customFormat="1" x14ac:dyDescent="0.25"/>
    <row r="69300" customFormat="1" x14ac:dyDescent="0.25"/>
    <row r="69301" customFormat="1" x14ac:dyDescent="0.25"/>
    <row r="69302" customFormat="1" x14ac:dyDescent="0.25"/>
    <row r="69303" customFormat="1" x14ac:dyDescent="0.25"/>
    <row r="69304" customFormat="1" x14ac:dyDescent="0.25"/>
    <row r="69305" customFormat="1" x14ac:dyDescent="0.25"/>
    <row r="69306" customFormat="1" x14ac:dyDescent="0.25"/>
    <row r="69307" customFormat="1" x14ac:dyDescent="0.25"/>
    <row r="69308" customFormat="1" x14ac:dyDescent="0.25"/>
    <row r="69309" customFormat="1" x14ac:dyDescent="0.25"/>
    <row r="69310" customFormat="1" x14ac:dyDescent="0.25"/>
    <row r="69311" customFormat="1" x14ac:dyDescent="0.25"/>
    <row r="69312" customFormat="1" x14ac:dyDescent="0.25"/>
    <row r="69313" customFormat="1" x14ac:dyDescent="0.25"/>
    <row r="69314" customFormat="1" x14ac:dyDescent="0.25"/>
    <row r="69315" customFormat="1" x14ac:dyDescent="0.25"/>
    <row r="69316" customFormat="1" x14ac:dyDescent="0.25"/>
    <row r="69317" customFormat="1" x14ac:dyDescent="0.25"/>
    <row r="69318" customFormat="1" x14ac:dyDescent="0.25"/>
    <row r="69319" customFormat="1" x14ac:dyDescent="0.25"/>
    <row r="69320" customFormat="1" x14ac:dyDescent="0.25"/>
    <row r="69321" customFormat="1" x14ac:dyDescent="0.25"/>
    <row r="69322" customFormat="1" x14ac:dyDescent="0.25"/>
    <row r="69323" customFormat="1" x14ac:dyDescent="0.25"/>
    <row r="69324" customFormat="1" x14ac:dyDescent="0.25"/>
    <row r="69325" customFormat="1" x14ac:dyDescent="0.25"/>
    <row r="69326" customFormat="1" x14ac:dyDescent="0.25"/>
    <row r="69327" customFormat="1" x14ac:dyDescent="0.25"/>
    <row r="69328" customFormat="1" x14ac:dyDescent="0.25"/>
    <row r="69329" customFormat="1" x14ac:dyDescent="0.25"/>
    <row r="69330" customFormat="1" x14ac:dyDescent="0.25"/>
    <row r="69331" customFormat="1" x14ac:dyDescent="0.25"/>
    <row r="69332" customFormat="1" x14ac:dyDescent="0.25"/>
    <row r="69333" customFormat="1" x14ac:dyDescent="0.25"/>
    <row r="69334" customFormat="1" x14ac:dyDescent="0.25"/>
    <row r="69335" customFormat="1" x14ac:dyDescent="0.25"/>
    <row r="69336" customFormat="1" x14ac:dyDescent="0.25"/>
    <row r="69337" customFormat="1" x14ac:dyDescent="0.25"/>
    <row r="69338" customFormat="1" x14ac:dyDescent="0.25"/>
    <row r="69339" customFormat="1" x14ac:dyDescent="0.25"/>
    <row r="69340" customFormat="1" x14ac:dyDescent="0.25"/>
    <row r="69341" customFormat="1" x14ac:dyDescent="0.25"/>
    <row r="69342" customFormat="1" x14ac:dyDescent="0.25"/>
    <row r="69343" customFormat="1" x14ac:dyDescent="0.25"/>
    <row r="69344" customFormat="1" x14ac:dyDescent="0.25"/>
    <row r="69345" customFormat="1" x14ac:dyDescent="0.25"/>
    <row r="69346" customFormat="1" x14ac:dyDescent="0.25"/>
    <row r="69347" customFormat="1" x14ac:dyDescent="0.25"/>
    <row r="69348" customFormat="1" x14ac:dyDescent="0.25"/>
    <row r="69349" customFormat="1" x14ac:dyDescent="0.25"/>
    <row r="69350" customFormat="1" x14ac:dyDescent="0.25"/>
    <row r="69351" customFormat="1" x14ac:dyDescent="0.25"/>
    <row r="69352" customFormat="1" x14ac:dyDescent="0.25"/>
    <row r="69353" customFormat="1" x14ac:dyDescent="0.25"/>
    <row r="69354" customFormat="1" x14ac:dyDescent="0.25"/>
    <row r="69355" customFormat="1" x14ac:dyDescent="0.25"/>
    <row r="69356" customFormat="1" x14ac:dyDescent="0.25"/>
    <row r="69357" customFormat="1" x14ac:dyDescent="0.25"/>
    <row r="69358" customFormat="1" x14ac:dyDescent="0.25"/>
    <row r="69359" customFormat="1" x14ac:dyDescent="0.25"/>
    <row r="69360" customFormat="1" x14ac:dyDescent="0.25"/>
    <row r="69361" customFormat="1" x14ac:dyDescent="0.25"/>
    <row r="69362" customFormat="1" x14ac:dyDescent="0.25"/>
    <row r="69363" customFormat="1" x14ac:dyDescent="0.25"/>
    <row r="69364" customFormat="1" x14ac:dyDescent="0.25"/>
    <row r="69365" customFormat="1" x14ac:dyDescent="0.25"/>
    <row r="69366" customFormat="1" x14ac:dyDescent="0.25"/>
    <row r="69367" customFormat="1" x14ac:dyDescent="0.25"/>
    <row r="69368" customFormat="1" x14ac:dyDescent="0.25"/>
    <row r="69369" customFormat="1" x14ac:dyDescent="0.25"/>
    <row r="69370" customFormat="1" x14ac:dyDescent="0.25"/>
    <row r="69371" customFormat="1" x14ac:dyDescent="0.25"/>
    <row r="69372" customFormat="1" x14ac:dyDescent="0.25"/>
    <row r="69373" customFormat="1" x14ac:dyDescent="0.25"/>
    <row r="69374" customFormat="1" x14ac:dyDescent="0.25"/>
    <row r="69375" customFormat="1" x14ac:dyDescent="0.25"/>
    <row r="69376" customFormat="1" x14ac:dyDescent="0.25"/>
    <row r="69377" customFormat="1" x14ac:dyDescent="0.25"/>
    <row r="69378" customFormat="1" x14ac:dyDescent="0.25"/>
    <row r="69379" customFormat="1" x14ac:dyDescent="0.25"/>
    <row r="69380" customFormat="1" x14ac:dyDescent="0.25"/>
    <row r="69381" customFormat="1" x14ac:dyDescent="0.25"/>
    <row r="69382" customFormat="1" x14ac:dyDescent="0.25"/>
    <row r="69383" customFormat="1" x14ac:dyDescent="0.25"/>
    <row r="69384" customFormat="1" x14ac:dyDescent="0.25"/>
    <row r="69385" customFormat="1" x14ac:dyDescent="0.25"/>
    <row r="69386" customFormat="1" x14ac:dyDescent="0.25"/>
    <row r="69387" customFormat="1" x14ac:dyDescent="0.25"/>
    <row r="69388" customFormat="1" x14ac:dyDescent="0.25"/>
    <row r="69389" customFormat="1" x14ac:dyDescent="0.25"/>
    <row r="69390" customFormat="1" x14ac:dyDescent="0.25"/>
    <row r="69391" customFormat="1" x14ac:dyDescent="0.25"/>
    <row r="69392" customFormat="1" x14ac:dyDescent="0.25"/>
    <row r="69393" customFormat="1" x14ac:dyDescent="0.25"/>
    <row r="69394" customFormat="1" x14ac:dyDescent="0.25"/>
    <row r="69395" customFormat="1" x14ac:dyDescent="0.25"/>
    <row r="69396" customFormat="1" x14ac:dyDescent="0.25"/>
    <row r="69397" customFormat="1" x14ac:dyDescent="0.25"/>
    <row r="69398" customFormat="1" x14ac:dyDescent="0.25"/>
    <row r="69399" customFormat="1" x14ac:dyDescent="0.25"/>
    <row r="69400" customFormat="1" x14ac:dyDescent="0.25"/>
    <row r="69401" customFormat="1" x14ac:dyDescent="0.25"/>
    <row r="69402" customFormat="1" x14ac:dyDescent="0.25"/>
    <row r="69403" customFormat="1" x14ac:dyDescent="0.25"/>
    <row r="69404" customFormat="1" x14ac:dyDescent="0.25"/>
    <row r="69405" customFormat="1" x14ac:dyDescent="0.25"/>
    <row r="69406" customFormat="1" x14ac:dyDescent="0.25"/>
    <row r="69407" customFormat="1" x14ac:dyDescent="0.25"/>
    <row r="69408" customFormat="1" x14ac:dyDescent="0.25"/>
    <row r="69409" customFormat="1" x14ac:dyDescent="0.25"/>
    <row r="69410" customFormat="1" x14ac:dyDescent="0.25"/>
    <row r="69411" customFormat="1" x14ac:dyDescent="0.25"/>
    <row r="69412" customFormat="1" x14ac:dyDescent="0.25"/>
    <row r="69413" customFormat="1" x14ac:dyDescent="0.25"/>
    <row r="69414" customFormat="1" x14ac:dyDescent="0.25"/>
    <row r="69415" customFormat="1" x14ac:dyDescent="0.25"/>
    <row r="69416" customFormat="1" x14ac:dyDescent="0.25"/>
    <row r="69417" customFormat="1" x14ac:dyDescent="0.25"/>
    <row r="69418" customFormat="1" x14ac:dyDescent="0.25"/>
    <row r="69419" customFormat="1" x14ac:dyDescent="0.25"/>
    <row r="69420" customFormat="1" x14ac:dyDescent="0.25"/>
    <row r="69421" customFormat="1" x14ac:dyDescent="0.25"/>
    <row r="69422" customFormat="1" x14ac:dyDescent="0.25"/>
    <row r="69423" customFormat="1" x14ac:dyDescent="0.25"/>
    <row r="69424" customFormat="1" x14ac:dyDescent="0.25"/>
    <row r="69425" customFormat="1" x14ac:dyDescent="0.25"/>
    <row r="69426" customFormat="1" x14ac:dyDescent="0.25"/>
    <row r="69427" customFormat="1" x14ac:dyDescent="0.25"/>
    <row r="69428" customFormat="1" x14ac:dyDescent="0.25"/>
    <row r="69429" customFormat="1" x14ac:dyDescent="0.25"/>
    <row r="69430" customFormat="1" x14ac:dyDescent="0.25"/>
    <row r="69431" customFormat="1" x14ac:dyDescent="0.25"/>
    <row r="69432" customFormat="1" x14ac:dyDescent="0.25"/>
    <row r="69433" customFormat="1" x14ac:dyDescent="0.25"/>
    <row r="69434" customFormat="1" x14ac:dyDescent="0.25"/>
    <row r="69435" customFormat="1" x14ac:dyDescent="0.25"/>
    <row r="69436" customFormat="1" x14ac:dyDescent="0.25"/>
    <row r="69437" customFormat="1" x14ac:dyDescent="0.25"/>
    <row r="69438" customFormat="1" x14ac:dyDescent="0.25"/>
    <row r="69439" customFormat="1" x14ac:dyDescent="0.25"/>
    <row r="69440" customFormat="1" x14ac:dyDescent="0.25"/>
    <row r="69441" customFormat="1" x14ac:dyDescent="0.25"/>
    <row r="69442" customFormat="1" x14ac:dyDescent="0.25"/>
    <row r="69443" customFormat="1" x14ac:dyDescent="0.25"/>
    <row r="69444" customFormat="1" x14ac:dyDescent="0.25"/>
    <row r="69445" customFormat="1" x14ac:dyDescent="0.25"/>
    <row r="69446" customFormat="1" x14ac:dyDescent="0.25"/>
    <row r="69447" customFormat="1" x14ac:dyDescent="0.25"/>
    <row r="69448" customFormat="1" x14ac:dyDescent="0.25"/>
    <row r="69449" customFormat="1" x14ac:dyDescent="0.25"/>
    <row r="69450" customFormat="1" x14ac:dyDescent="0.25"/>
    <row r="69451" customFormat="1" x14ac:dyDescent="0.25"/>
    <row r="69452" customFormat="1" x14ac:dyDescent="0.25"/>
    <row r="69453" customFormat="1" x14ac:dyDescent="0.25"/>
    <row r="69454" customFormat="1" x14ac:dyDescent="0.25"/>
    <row r="69455" customFormat="1" x14ac:dyDescent="0.25"/>
    <row r="69456" customFormat="1" x14ac:dyDescent="0.25"/>
    <row r="69457" customFormat="1" x14ac:dyDescent="0.25"/>
    <row r="69458" customFormat="1" x14ac:dyDescent="0.25"/>
    <row r="69459" customFormat="1" x14ac:dyDescent="0.25"/>
    <row r="69460" customFormat="1" x14ac:dyDescent="0.25"/>
    <row r="69461" customFormat="1" x14ac:dyDescent="0.25"/>
    <row r="69462" customFormat="1" x14ac:dyDescent="0.25"/>
    <row r="69463" customFormat="1" x14ac:dyDescent="0.25"/>
    <row r="69464" customFormat="1" x14ac:dyDescent="0.25"/>
    <row r="69465" customFormat="1" x14ac:dyDescent="0.25"/>
    <row r="69466" customFormat="1" x14ac:dyDescent="0.25"/>
    <row r="69467" customFormat="1" x14ac:dyDescent="0.25"/>
    <row r="69468" customFormat="1" x14ac:dyDescent="0.25"/>
    <row r="69469" customFormat="1" x14ac:dyDescent="0.25"/>
    <row r="69470" customFormat="1" x14ac:dyDescent="0.25"/>
    <row r="69471" customFormat="1" x14ac:dyDescent="0.25"/>
    <row r="69472" customFormat="1" x14ac:dyDescent="0.25"/>
    <row r="69473" customFormat="1" x14ac:dyDescent="0.25"/>
    <row r="69474" customFormat="1" x14ac:dyDescent="0.25"/>
    <row r="69475" customFormat="1" x14ac:dyDescent="0.25"/>
    <row r="69476" customFormat="1" x14ac:dyDescent="0.25"/>
    <row r="69477" customFormat="1" x14ac:dyDescent="0.25"/>
    <row r="69478" customFormat="1" x14ac:dyDescent="0.25"/>
    <row r="69479" customFormat="1" x14ac:dyDescent="0.25"/>
    <row r="69480" customFormat="1" x14ac:dyDescent="0.25"/>
    <row r="69481" customFormat="1" x14ac:dyDescent="0.25"/>
    <row r="69482" customFormat="1" x14ac:dyDescent="0.25"/>
    <row r="69483" customFormat="1" x14ac:dyDescent="0.25"/>
    <row r="69484" customFormat="1" x14ac:dyDescent="0.25"/>
    <row r="69485" customFormat="1" x14ac:dyDescent="0.25"/>
    <row r="69486" customFormat="1" x14ac:dyDescent="0.25"/>
    <row r="69487" customFormat="1" x14ac:dyDescent="0.25"/>
    <row r="69488" customFormat="1" x14ac:dyDescent="0.25"/>
    <row r="69489" customFormat="1" x14ac:dyDescent="0.25"/>
    <row r="69490" customFormat="1" x14ac:dyDescent="0.25"/>
    <row r="69491" customFormat="1" x14ac:dyDescent="0.25"/>
    <row r="69492" customFormat="1" x14ac:dyDescent="0.25"/>
    <row r="69493" customFormat="1" x14ac:dyDescent="0.25"/>
    <row r="69494" customFormat="1" x14ac:dyDescent="0.25"/>
    <row r="69495" customFormat="1" x14ac:dyDescent="0.25"/>
    <row r="69496" customFormat="1" x14ac:dyDescent="0.25"/>
    <row r="69497" customFormat="1" x14ac:dyDescent="0.25"/>
    <row r="69498" customFormat="1" x14ac:dyDescent="0.25"/>
    <row r="69499" customFormat="1" x14ac:dyDescent="0.25"/>
    <row r="69500" customFormat="1" x14ac:dyDescent="0.25"/>
    <row r="69501" customFormat="1" x14ac:dyDescent="0.25"/>
    <row r="69502" customFormat="1" x14ac:dyDescent="0.25"/>
    <row r="69503" customFormat="1" x14ac:dyDescent="0.25"/>
    <row r="69504" customFormat="1" x14ac:dyDescent="0.25"/>
    <row r="69505" customFormat="1" x14ac:dyDescent="0.25"/>
    <row r="69506" customFormat="1" x14ac:dyDescent="0.25"/>
    <row r="69507" customFormat="1" x14ac:dyDescent="0.25"/>
    <row r="69508" customFormat="1" x14ac:dyDescent="0.25"/>
    <row r="69509" customFormat="1" x14ac:dyDescent="0.25"/>
    <row r="69510" customFormat="1" x14ac:dyDescent="0.25"/>
    <row r="69511" customFormat="1" x14ac:dyDescent="0.25"/>
    <row r="69512" customFormat="1" x14ac:dyDescent="0.25"/>
    <row r="69513" customFormat="1" x14ac:dyDescent="0.25"/>
    <row r="69514" customFormat="1" x14ac:dyDescent="0.25"/>
    <row r="69515" customFormat="1" x14ac:dyDescent="0.25"/>
    <row r="69516" customFormat="1" x14ac:dyDescent="0.25"/>
    <row r="69517" customFormat="1" x14ac:dyDescent="0.25"/>
    <row r="69518" customFormat="1" x14ac:dyDescent="0.25"/>
    <row r="69519" customFormat="1" x14ac:dyDescent="0.25"/>
    <row r="69520" customFormat="1" x14ac:dyDescent="0.25"/>
    <row r="69521" customFormat="1" x14ac:dyDescent="0.25"/>
    <row r="69522" customFormat="1" x14ac:dyDescent="0.25"/>
    <row r="69523" customFormat="1" x14ac:dyDescent="0.25"/>
    <row r="69524" customFormat="1" x14ac:dyDescent="0.25"/>
    <row r="69525" customFormat="1" x14ac:dyDescent="0.25"/>
    <row r="69526" customFormat="1" x14ac:dyDescent="0.25"/>
    <row r="69527" customFormat="1" x14ac:dyDescent="0.25"/>
    <row r="69528" customFormat="1" x14ac:dyDescent="0.25"/>
    <row r="69529" customFormat="1" x14ac:dyDescent="0.25"/>
    <row r="69530" customFormat="1" x14ac:dyDescent="0.25"/>
    <row r="69531" customFormat="1" x14ac:dyDescent="0.25"/>
    <row r="69532" customFormat="1" x14ac:dyDescent="0.25"/>
    <row r="69533" customFormat="1" x14ac:dyDescent="0.25"/>
    <row r="69534" customFormat="1" x14ac:dyDescent="0.25"/>
    <row r="69535" customFormat="1" x14ac:dyDescent="0.25"/>
    <row r="69536" customFormat="1" x14ac:dyDescent="0.25"/>
    <row r="69537" customFormat="1" x14ac:dyDescent="0.25"/>
    <row r="69538" customFormat="1" x14ac:dyDescent="0.25"/>
    <row r="69539" customFormat="1" x14ac:dyDescent="0.25"/>
    <row r="69540" customFormat="1" x14ac:dyDescent="0.25"/>
    <row r="69541" customFormat="1" x14ac:dyDescent="0.25"/>
    <row r="69542" customFormat="1" x14ac:dyDescent="0.25"/>
    <row r="69543" customFormat="1" x14ac:dyDescent="0.25"/>
    <row r="69544" customFormat="1" x14ac:dyDescent="0.25"/>
    <row r="69545" customFormat="1" x14ac:dyDescent="0.25"/>
    <row r="69546" customFormat="1" x14ac:dyDescent="0.25"/>
    <row r="69547" customFormat="1" x14ac:dyDescent="0.25"/>
    <row r="69548" customFormat="1" x14ac:dyDescent="0.25"/>
    <row r="69549" customFormat="1" x14ac:dyDescent="0.25"/>
    <row r="69550" customFormat="1" x14ac:dyDescent="0.25"/>
    <row r="69551" customFormat="1" x14ac:dyDescent="0.25"/>
    <row r="69552" customFormat="1" x14ac:dyDescent="0.25"/>
    <row r="69553" customFormat="1" x14ac:dyDescent="0.25"/>
    <row r="69554" customFormat="1" x14ac:dyDescent="0.25"/>
    <row r="69555" customFormat="1" x14ac:dyDescent="0.25"/>
    <row r="69556" customFormat="1" x14ac:dyDescent="0.25"/>
    <row r="69557" customFormat="1" x14ac:dyDescent="0.25"/>
    <row r="69558" customFormat="1" x14ac:dyDescent="0.25"/>
    <row r="69559" customFormat="1" x14ac:dyDescent="0.25"/>
    <row r="69560" customFormat="1" x14ac:dyDescent="0.25"/>
    <row r="69561" customFormat="1" x14ac:dyDescent="0.25"/>
    <row r="69562" customFormat="1" x14ac:dyDescent="0.25"/>
    <row r="69563" customFormat="1" x14ac:dyDescent="0.25"/>
    <row r="69564" customFormat="1" x14ac:dyDescent="0.25"/>
    <row r="69565" customFormat="1" x14ac:dyDescent="0.25"/>
    <row r="69566" customFormat="1" x14ac:dyDescent="0.25"/>
    <row r="69567" customFormat="1" x14ac:dyDescent="0.25"/>
    <row r="69568" customFormat="1" x14ac:dyDescent="0.25"/>
    <row r="69569" customFormat="1" x14ac:dyDescent="0.25"/>
    <row r="69570" customFormat="1" x14ac:dyDescent="0.25"/>
    <row r="69571" customFormat="1" x14ac:dyDescent="0.25"/>
    <row r="69572" customFormat="1" x14ac:dyDescent="0.25"/>
    <row r="69573" customFormat="1" x14ac:dyDescent="0.25"/>
    <row r="69574" customFormat="1" x14ac:dyDescent="0.25"/>
    <row r="69575" customFormat="1" x14ac:dyDescent="0.25"/>
    <row r="69576" customFormat="1" x14ac:dyDescent="0.25"/>
    <row r="69577" customFormat="1" x14ac:dyDescent="0.25"/>
    <row r="69578" customFormat="1" x14ac:dyDescent="0.25"/>
    <row r="69579" customFormat="1" x14ac:dyDescent="0.25"/>
    <row r="69580" customFormat="1" x14ac:dyDescent="0.25"/>
    <row r="69581" customFormat="1" x14ac:dyDescent="0.25"/>
    <row r="69582" customFormat="1" x14ac:dyDescent="0.25"/>
    <row r="69583" customFormat="1" x14ac:dyDescent="0.25"/>
    <row r="69584" customFormat="1" x14ac:dyDescent="0.25"/>
    <row r="69585" customFormat="1" x14ac:dyDescent="0.25"/>
    <row r="69586" customFormat="1" x14ac:dyDescent="0.25"/>
    <row r="69587" customFormat="1" x14ac:dyDescent="0.25"/>
    <row r="69588" customFormat="1" x14ac:dyDescent="0.25"/>
    <row r="69589" customFormat="1" x14ac:dyDescent="0.25"/>
    <row r="69590" customFormat="1" x14ac:dyDescent="0.25"/>
    <row r="69591" customFormat="1" x14ac:dyDescent="0.25"/>
    <row r="69592" customFormat="1" x14ac:dyDescent="0.25"/>
    <row r="69593" customFormat="1" x14ac:dyDescent="0.25"/>
    <row r="69594" customFormat="1" x14ac:dyDescent="0.25"/>
    <row r="69595" customFormat="1" x14ac:dyDescent="0.25"/>
    <row r="69596" customFormat="1" x14ac:dyDescent="0.25"/>
    <row r="69597" customFormat="1" x14ac:dyDescent="0.25"/>
    <row r="69598" customFormat="1" x14ac:dyDescent="0.25"/>
    <row r="69599" customFormat="1" x14ac:dyDescent="0.25"/>
    <row r="69600" customFormat="1" x14ac:dyDescent="0.25"/>
    <row r="69601" customFormat="1" x14ac:dyDescent="0.25"/>
    <row r="69602" customFormat="1" x14ac:dyDescent="0.25"/>
    <row r="69603" customFormat="1" x14ac:dyDescent="0.25"/>
    <row r="69604" customFormat="1" x14ac:dyDescent="0.25"/>
    <row r="69605" customFormat="1" x14ac:dyDescent="0.25"/>
    <row r="69606" customFormat="1" x14ac:dyDescent="0.25"/>
    <row r="69607" customFormat="1" x14ac:dyDescent="0.25"/>
    <row r="69608" customFormat="1" x14ac:dyDescent="0.25"/>
    <row r="69609" customFormat="1" x14ac:dyDescent="0.25"/>
    <row r="69610" customFormat="1" x14ac:dyDescent="0.25"/>
    <row r="69611" customFormat="1" x14ac:dyDescent="0.25"/>
    <row r="69612" customFormat="1" x14ac:dyDescent="0.25"/>
    <row r="69613" customFormat="1" x14ac:dyDescent="0.25"/>
    <row r="69614" customFormat="1" x14ac:dyDescent="0.25"/>
    <row r="69615" customFormat="1" x14ac:dyDescent="0.25"/>
    <row r="69616" customFormat="1" x14ac:dyDescent="0.25"/>
    <row r="69617" customFormat="1" x14ac:dyDescent="0.25"/>
    <row r="69618" customFormat="1" x14ac:dyDescent="0.25"/>
    <row r="69619" customFormat="1" x14ac:dyDescent="0.25"/>
    <row r="69620" customFormat="1" x14ac:dyDescent="0.25"/>
    <row r="69621" customFormat="1" x14ac:dyDescent="0.25"/>
    <row r="69622" customFormat="1" x14ac:dyDescent="0.25"/>
    <row r="69623" customFormat="1" x14ac:dyDescent="0.25"/>
    <row r="69624" customFormat="1" x14ac:dyDescent="0.25"/>
    <row r="69625" customFormat="1" x14ac:dyDescent="0.25"/>
    <row r="69626" customFormat="1" x14ac:dyDescent="0.25"/>
    <row r="69627" customFormat="1" x14ac:dyDescent="0.25"/>
    <row r="69628" customFormat="1" x14ac:dyDescent="0.25"/>
    <row r="69629" customFormat="1" x14ac:dyDescent="0.25"/>
    <row r="69630" customFormat="1" x14ac:dyDescent="0.25"/>
    <row r="69631" customFormat="1" x14ac:dyDescent="0.25"/>
    <row r="69632" customFormat="1" x14ac:dyDescent="0.25"/>
    <row r="69633" customFormat="1" x14ac:dyDescent="0.25"/>
    <row r="69634" customFormat="1" x14ac:dyDescent="0.25"/>
    <row r="69635" customFormat="1" x14ac:dyDescent="0.25"/>
    <row r="69636" customFormat="1" x14ac:dyDescent="0.25"/>
    <row r="69637" customFormat="1" x14ac:dyDescent="0.25"/>
    <row r="69638" customFormat="1" x14ac:dyDescent="0.25"/>
    <row r="69639" customFormat="1" x14ac:dyDescent="0.25"/>
    <row r="69640" customFormat="1" x14ac:dyDescent="0.25"/>
    <row r="69641" customFormat="1" x14ac:dyDescent="0.25"/>
    <row r="69642" customFormat="1" x14ac:dyDescent="0.25"/>
    <row r="69643" customFormat="1" x14ac:dyDescent="0.25"/>
    <row r="69644" customFormat="1" x14ac:dyDescent="0.25"/>
    <row r="69645" customFormat="1" x14ac:dyDescent="0.25"/>
    <row r="69646" customFormat="1" x14ac:dyDescent="0.25"/>
    <row r="69647" customFormat="1" x14ac:dyDescent="0.25"/>
    <row r="69648" customFormat="1" x14ac:dyDescent="0.25"/>
    <row r="69649" customFormat="1" x14ac:dyDescent="0.25"/>
    <row r="69650" customFormat="1" x14ac:dyDescent="0.25"/>
    <row r="69651" customFormat="1" x14ac:dyDescent="0.25"/>
    <row r="69652" customFormat="1" x14ac:dyDescent="0.25"/>
    <row r="69653" customFormat="1" x14ac:dyDescent="0.25"/>
    <row r="69654" customFormat="1" x14ac:dyDescent="0.25"/>
    <row r="69655" customFormat="1" x14ac:dyDescent="0.25"/>
    <row r="69656" customFormat="1" x14ac:dyDescent="0.25"/>
    <row r="69657" customFormat="1" x14ac:dyDescent="0.25"/>
    <row r="69658" customFormat="1" x14ac:dyDescent="0.25"/>
    <row r="69659" customFormat="1" x14ac:dyDescent="0.25"/>
    <row r="69660" customFormat="1" x14ac:dyDescent="0.25"/>
    <row r="69661" customFormat="1" x14ac:dyDescent="0.25"/>
    <row r="69662" customFormat="1" x14ac:dyDescent="0.25"/>
    <row r="69663" customFormat="1" x14ac:dyDescent="0.25"/>
    <row r="69664" customFormat="1" x14ac:dyDescent="0.25"/>
    <row r="69665" customFormat="1" x14ac:dyDescent="0.25"/>
    <row r="69666" customFormat="1" x14ac:dyDescent="0.25"/>
    <row r="69667" customFormat="1" x14ac:dyDescent="0.25"/>
    <row r="69668" customFormat="1" x14ac:dyDescent="0.25"/>
    <row r="69669" customFormat="1" x14ac:dyDescent="0.25"/>
    <row r="69670" customFormat="1" x14ac:dyDescent="0.25"/>
    <row r="69671" customFormat="1" x14ac:dyDescent="0.25"/>
    <row r="69672" customFormat="1" x14ac:dyDescent="0.25"/>
    <row r="69673" customFormat="1" x14ac:dyDescent="0.25"/>
    <row r="69674" customFormat="1" x14ac:dyDescent="0.25"/>
    <row r="69675" customFormat="1" x14ac:dyDescent="0.25"/>
    <row r="69676" customFormat="1" x14ac:dyDescent="0.25"/>
    <row r="69677" customFormat="1" x14ac:dyDescent="0.25"/>
    <row r="69678" customFormat="1" x14ac:dyDescent="0.25"/>
    <row r="69679" customFormat="1" x14ac:dyDescent="0.25"/>
    <row r="69680" customFormat="1" x14ac:dyDescent="0.25"/>
    <row r="69681" customFormat="1" x14ac:dyDescent="0.25"/>
    <row r="69682" customFormat="1" x14ac:dyDescent="0.25"/>
    <row r="69683" customFormat="1" x14ac:dyDescent="0.25"/>
    <row r="69684" customFormat="1" x14ac:dyDescent="0.25"/>
    <row r="69685" customFormat="1" x14ac:dyDescent="0.25"/>
    <row r="69686" customFormat="1" x14ac:dyDescent="0.25"/>
    <row r="69687" customFormat="1" x14ac:dyDescent="0.25"/>
    <row r="69688" customFormat="1" x14ac:dyDescent="0.25"/>
    <row r="69689" customFormat="1" x14ac:dyDescent="0.25"/>
    <row r="69690" customFormat="1" x14ac:dyDescent="0.25"/>
    <row r="69691" customFormat="1" x14ac:dyDescent="0.25"/>
    <row r="69692" customFormat="1" x14ac:dyDescent="0.25"/>
    <row r="69693" customFormat="1" x14ac:dyDescent="0.25"/>
    <row r="69694" customFormat="1" x14ac:dyDescent="0.25"/>
    <row r="69695" customFormat="1" x14ac:dyDescent="0.25"/>
    <row r="69696" customFormat="1" x14ac:dyDescent="0.25"/>
    <row r="69697" customFormat="1" x14ac:dyDescent="0.25"/>
    <row r="69698" customFormat="1" x14ac:dyDescent="0.25"/>
    <row r="69699" customFormat="1" x14ac:dyDescent="0.25"/>
    <row r="69700" customFormat="1" x14ac:dyDescent="0.25"/>
    <row r="69701" customFormat="1" x14ac:dyDescent="0.25"/>
    <row r="69702" customFormat="1" x14ac:dyDescent="0.25"/>
    <row r="69703" customFormat="1" x14ac:dyDescent="0.25"/>
    <row r="69704" customFormat="1" x14ac:dyDescent="0.25"/>
    <row r="69705" customFormat="1" x14ac:dyDescent="0.25"/>
    <row r="69706" customFormat="1" x14ac:dyDescent="0.25"/>
    <row r="69707" customFormat="1" x14ac:dyDescent="0.25"/>
    <row r="69708" customFormat="1" x14ac:dyDescent="0.25"/>
    <row r="69709" customFormat="1" x14ac:dyDescent="0.25"/>
    <row r="69710" customFormat="1" x14ac:dyDescent="0.25"/>
    <row r="69711" customFormat="1" x14ac:dyDescent="0.25"/>
    <row r="69712" customFormat="1" x14ac:dyDescent="0.25"/>
    <row r="69713" customFormat="1" x14ac:dyDescent="0.25"/>
    <row r="69714" customFormat="1" x14ac:dyDescent="0.25"/>
    <row r="69715" customFormat="1" x14ac:dyDescent="0.25"/>
    <row r="69716" customFormat="1" x14ac:dyDescent="0.25"/>
    <row r="69717" customFormat="1" x14ac:dyDescent="0.25"/>
    <row r="69718" customFormat="1" x14ac:dyDescent="0.25"/>
    <row r="69719" customFormat="1" x14ac:dyDescent="0.25"/>
    <row r="69720" customFormat="1" x14ac:dyDescent="0.25"/>
    <row r="69721" customFormat="1" x14ac:dyDescent="0.25"/>
    <row r="69722" customFormat="1" x14ac:dyDescent="0.25"/>
    <row r="69723" customFormat="1" x14ac:dyDescent="0.25"/>
    <row r="69724" customFormat="1" x14ac:dyDescent="0.25"/>
    <row r="69725" customFormat="1" x14ac:dyDescent="0.25"/>
    <row r="69726" customFormat="1" x14ac:dyDescent="0.25"/>
    <row r="69727" customFormat="1" x14ac:dyDescent="0.25"/>
    <row r="69728" customFormat="1" x14ac:dyDescent="0.25"/>
    <row r="69729" customFormat="1" x14ac:dyDescent="0.25"/>
    <row r="69730" customFormat="1" x14ac:dyDescent="0.25"/>
    <row r="69731" customFormat="1" x14ac:dyDescent="0.25"/>
    <row r="69732" customFormat="1" x14ac:dyDescent="0.25"/>
    <row r="69733" customFormat="1" x14ac:dyDescent="0.25"/>
    <row r="69734" customFormat="1" x14ac:dyDescent="0.25"/>
    <row r="69735" customFormat="1" x14ac:dyDescent="0.25"/>
    <row r="69736" customFormat="1" x14ac:dyDescent="0.25"/>
    <row r="69737" customFormat="1" x14ac:dyDescent="0.25"/>
    <row r="69738" customFormat="1" x14ac:dyDescent="0.25"/>
    <row r="69739" customFormat="1" x14ac:dyDescent="0.25"/>
    <row r="69740" customFormat="1" x14ac:dyDescent="0.25"/>
    <row r="69741" customFormat="1" x14ac:dyDescent="0.25"/>
    <row r="69742" customFormat="1" x14ac:dyDescent="0.25"/>
    <row r="69743" customFormat="1" x14ac:dyDescent="0.25"/>
    <row r="69744" customFormat="1" x14ac:dyDescent="0.25"/>
    <row r="69745" customFormat="1" x14ac:dyDescent="0.25"/>
    <row r="69746" customFormat="1" x14ac:dyDescent="0.25"/>
    <row r="69747" customFormat="1" x14ac:dyDescent="0.25"/>
    <row r="69748" customFormat="1" x14ac:dyDescent="0.25"/>
    <row r="69749" customFormat="1" x14ac:dyDescent="0.25"/>
    <row r="69750" customFormat="1" x14ac:dyDescent="0.25"/>
    <row r="69751" customFormat="1" x14ac:dyDescent="0.25"/>
    <row r="69752" customFormat="1" x14ac:dyDescent="0.25"/>
    <row r="69753" customFormat="1" x14ac:dyDescent="0.25"/>
    <row r="69754" customFormat="1" x14ac:dyDescent="0.25"/>
    <row r="69755" customFormat="1" x14ac:dyDescent="0.25"/>
    <row r="69756" customFormat="1" x14ac:dyDescent="0.25"/>
    <row r="69757" customFormat="1" x14ac:dyDescent="0.25"/>
    <row r="69758" customFormat="1" x14ac:dyDescent="0.25"/>
    <row r="69759" customFormat="1" x14ac:dyDescent="0.25"/>
    <row r="69760" customFormat="1" x14ac:dyDescent="0.25"/>
    <row r="69761" customFormat="1" x14ac:dyDescent="0.25"/>
    <row r="69762" customFormat="1" x14ac:dyDescent="0.25"/>
    <row r="69763" customFormat="1" x14ac:dyDescent="0.25"/>
    <row r="69764" customFormat="1" x14ac:dyDescent="0.25"/>
    <row r="69765" customFormat="1" x14ac:dyDescent="0.25"/>
    <row r="69766" customFormat="1" x14ac:dyDescent="0.25"/>
    <row r="69767" customFormat="1" x14ac:dyDescent="0.25"/>
    <row r="69768" customFormat="1" x14ac:dyDescent="0.25"/>
    <row r="69769" customFormat="1" x14ac:dyDescent="0.25"/>
    <row r="69770" customFormat="1" x14ac:dyDescent="0.25"/>
    <row r="69771" customFormat="1" x14ac:dyDescent="0.25"/>
    <row r="69772" customFormat="1" x14ac:dyDescent="0.25"/>
    <row r="69773" customFormat="1" x14ac:dyDescent="0.25"/>
    <row r="69774" customFormat="1" x14ac:dyDescent="0.25"/>
    <row r="69775" customFormat="1" x14ac:dyDescent="0.25"/>
    <row r="69776" customFormat="1" x14ac:dyDescent="0.25"/>
    <row r="69777" customFormat="1" x14ac:dyDescent="0.25"/>
    <row r="69778" customFormat="1" x14ac:dyDescent="0.25"/>
    <row r="69779" customFormat="1" x14ac:dyDescent="0.25"/>
    <row r="69780" customFormat="1" x14ac:dyDescent="0.25"/>
    <row r="69781" customFormat="1" x14ac:dyDescent="0.25"/>
    <row r="69782" customFormat="1" x14ac:dyDescent="0.25"/>
    <row r="69783" customFormat="1" x14ac:dyDescent="0.25"/>
    <row r="69784" customFormat="1" x14ac:dyDescent="0.25"/>
    <row r="69785" customFormat="1" x14ac:dyDescent="0.25"/>
    <row r="69786" customFormat="1" x14ac:dyDescent="0.25"/>
    <row r="69787" customFormat="1" x14ac:dyDescent="0.25"/>
    <row r="69788" customFormat="1" x14ac:dyDescent="0.25"/>
    <row r="69789" customFormat="1" x14ac:dyDescent="0.25"/>
    <row r="69790" customFormat="1" x14ac:dyDescent="0.25"/>
    <row r="69791" customFormat="1" x14ac:dyDescent="0.25"/>
    <row r="69792" customFormat="1" x14ac:dyDescent="0.25"/>
    <row r="69793" customFormat="1" x14ac:dyDescent="0.25"/>
    <row r="69794" customFormat="1" x14ac:dyDescent="0.25"/>
    <row r="69795" customFormat="1" x14ac:dyDescent="0.25"/>
    <row r="69796" customFormat="1" x14ac:dyDescent="0.25"/>
    <row r="69797" customFormat="1" x14ac:dyDescent="0.25"/>
    <row r="69798" customFormat="1" x14ac:dyDescent="0.25"/>
    <row r="69799" customFormat="1" x14ac:dyDescent="0.25"/>
    <row r="69800" customFormat="1" x14ac:dyDescent="0.25"/>
    <row r="69801" customFormat="1" x14ac:dyDescent="0.25"/>
    <row r="69802" customFormat="1" x14ac:dyDescent="0.25"/>
    <row r="69803" customFormat="1" x14ac:dyDescent="0.25"/>
    <row r="69804" customFormat="1" x14ac:dyDescent="0.25"/>
    <row r="69805" customFormat="1" x14ac:dyDescent="0.25"/>
    <row r="69806" customFormat="1" x14ac:dyDescent="0.25"/>
    <row r="69807" customFormat="1" x14ac:dyDescent="0.25"/>
    <row r="69808" customFormat="1" x14ac:dyDescent="0.25"/>
    <row r="69809" customFormat="1" x14ac:dyDescent="0.25"/>
    <row r="69810" customFormat="1" x14ac:dyDescent="0.25"/>
    <row r="69811" customFormat="1" x14ac:dyDescent="0.25"/>
    <row r="69812" customFormat="1" x14ac:dyDescent="0.25"/>
    <row r="69813" customFormat="1" x14ac:dyDescent="0.25"/>
    <row r="69814" customFormat="1" x14ac:dyDescent="0.25"/>
    <row r="69815" customFormat="1" x14ac:dyDescent="0.25"/>
    <row r="69816" customFormat="1" x14ac:dyDescent="0.25"/>
    <row r="69817" customFormat="1" x14ac:dyDescent="0.25"/>
    <row r="69818" customFormat="1" x14ac:dyDescent="0.25"/>
    <row r="69819" customFormat="1" x14ac:dyDescent="0.25"/>
    <row r="69820" customFormat="1" x14ac:dyDescent="0.25"/>
    <row r="69821" customFormat="1" x14ac:dyDescent="0.25"/>
    <row r="69822" customFormat="1" x14ac:dyDescent="0.25"/>
    <row r="69823" customFormat="1" x14ac:dyDescent="0.25"/>
    <row r="69824" customFormat="1" x14ac:dyDescent="0.25"/>
    <row r="69825" customFormat="1" x14ac:dyDescent="0.25"/>
    <row r="69826" customFormat="1" x14ac:dyDescent="0.25"/>
    <row r="69827" customFormat="1" x14ac:dyDescent="0.25"/>
    <row r="69828" customFormat="1" x14ac:dyDescent="0.25"/>
    <row r="69829" customFormat="1" x14ac:dyDescent="0.25"/>
    <row r="69830" customFormat="1" x14ac:dyDescent="0.25"/>
    <row r="69831" customFormat="1" x14ac:dyDescent="0.25"/>
    <row r="69832" customFormat="1" x14ac:dyDescent="0.25"/>
    <row r="69833" customFormat="1" x14ac:dyDescent="0.25"/>
    <row r="69834" customFormat="1" x14ac:dyDescent="0.25"/>
    <row r="69835" customFormat="1" x14ac:dyDescent="0.25"/>
    <row r="69836" customFormat="1" x14ac:dyDescent="0.25"/>
    <row r="69837" customFormat="1" x14ac:dyDescent="0.25"/>
    <row r="69838" customFormat="1" x14ac:dyDescent="0.25"/>
    <row r="69839" customFormat="1" x14ac:dyDescent="0.25"/>
    <row r="69840" customFormat="1" x14ac:dyDescent="0.25"/>
    <row r="69841" customFormat="1" x14ac:dyDescent="0.25"/>
    <row r="69842" customFormat="1" x14ac:dyDescent="0.25"/>
    <row r="69843" customFormat="1" x14ac:dyDescent="0.25"/>
    <row r="69844" customFormat="1" x14ac:dyDescent="0.25"/>
    <row r="69845" customFormat="1" x14ac:dyDescent="0.25"/>
    <row r="69846" customFormat="1" x14ac:dyDescent="0.25"/>
    <row r="69847" customFormat="1" x14ac:dyDescent="0.25"/>
    <row r="69848" customFormat="1" x14ac:dyDescent="0.25"/>
    <row r="69849" customFormat="1" x14ac:dyDescent="0.25"/>
    <row r="69850" customFormat="1" x14ac:dyDescent="0.25"/>
    <row r="69851" customFormat="1" x14ac:dyDescent="0.25"/>
    <row r="69852" customFormat="1" x14ac:dyDescent="0.25"/>
    <row r="69853" customFormat="1" x14ac:dyDescent="0.25"/>
    <row r="69854" customFormat="1" x14ac:dyDescent="0.25"/>
    <row r="69855" customFormat="1" x14ac:dyDescent="0.25"/>
    <row r="69856" customFormat="1" x14ac:dyDescent="0.25"/>
    <row r="69857" customFormat="1" x14ac:dyDescent="0.25"/>
    <row r="69858" customFormat="1" x14ac:dyDescent="0.25"/>
    <row r="69859" customFormat="1" x14ac:dyDescent="0.25"/>
    <row r="69860" customFormat="1" x14ac:dyDescent="0.25"/>
    <row r="69861" customFormat="1" x14ac:dyDescent="0.25"/>
    <row r="69862" customFormat="1" x14ac:dyDescent="0.25"/>
    <row r="69863" customFormat="1" x14ac:dyDescent="0.25"/>
    <row r="69864" customFormat="1" x14ac:dyDescent="0.25"/>
    <row r="69865" customFormat="1" x14ac:dyDescent="0.25"/>
    <row r="69866" customFormat="1" x14ac:dyDescent="0.25"/>
    <row r="69867" customFormat="1" x14ac:dyDescent="0.25"/>
    <row r="69868" customFormat="1" x14ac:dyDescent="0.25"/>
    <row r="69869" customFormat="1" x14ac:dyDescent="0.25"/>
    <row r="69870" customFormat="1" x14ac:dyDescent="0.25"/>
    <row r="69871" customFormat="1" x14ac:dyDescent="0.25"/>
    <row r="69872" customFormat="1" x14ac:dyDescent="0.25"/>
    <row r="69873" customFormat="1" x14ac:dyDescent="0.25"/>
    <row r="69874" customFormat="1" x14ac:dyDescent="0.25"/>
    <row r="69875" customFormat="1" x14ac:dyDescent="0.25"/>
    <row r="69876" customFormat="1" x14ac:dyDescent="0.25"/>
    <row r="69877" customFormat="1" x14ac:dyDescent="0.25"/>
    <row r="69878" customFormat="1" x14ac:dyDescent="0.25"/>
    <row r="69879" customFormat="1" x14ac:dyDescent="0.25"/>
    <row r="69880" customFormat="1" x14ac:dyDescent="0.25"/>
    <row r="69881" customFormat="1" x14ac:dyDescent="0.25"/>
    <row r="69882" customFormat="1" x14ac:dyDescent="0.25"/>
    <row r="69883" customFormat="1" x14ac:dyDescent="0.25"/>
    <row r="69884" customFormat="1" x14ac:dyDescent="0.25"/>
    <row r="69885" customFormat="1" x14ac:dyDescent="0.25"/>
    <row r="69886" customFormat="1" x14ac:dyDescent="0.25"/>
    <row r="69887" customFormat="1" x14ac:dyDescent="0.25"/>
    <row r="69888" customFormat="1" x14ac:dyDescent="0.25"/>
    <row r="69889" customFormat="1" x14ac:dyDescent="0.25"/>
    <row r="69890" customFormat="1" x14ac:dyDescent="0.25"/>
    <row r="69891" customFormat="1" x14ac:dyDescent="0.25"/>
    <row r="69892" customFormat="1" x14ac:dyDescent="0.25"/>
    <row r="69893" customFormat="1" x14ac:dyDescent="0.25"/>
    <row r="69894" customFormat="1" x14ac:dyDescent="0.25"/>
    <row r="69895" customFormat="1" x14ac:dyDescent="0.25"/>
    <row r="69896" customFormat="1" x14ac:dyDescent="0.25"/>
    <row r="69897" customFormat="1" x14ac:dyDescent="0.25"/>
    <row r="69898" customFormat="1" x14ac:dyDescent="0.25"/>
    <row r="69899" customFormat="1" x14ac:dyDescent="0.25"/>
    <row r="69900" customFormat="1" x14ac:dyDescent="0.25"/>
    <row r="69901" customFormat="1" x14ac:dyDescent="0.25"/>
    <row r="69902" customFormat="1" x14ac:dyDescent="0.25"/>
    <row r="69903" customFormat="1" x14ac:dyDescent="0.25"/>
    <row r="69904" customFormat="1" x14ac:dyDescent="0.25"/>
    <row r="69905" customFormat="1" x14ac:dyDescent="0.25"/>
    <row r="69906" customFormat="1" x14ac:dyDescent="0.25"/>
    <row r="69907" customFormat="1" x14ac:dyDescent="0.25"/>
    <row r="69908" customFormat="1" x14ac:dyDescent="0.25"/>
    <row r="69909" customFormat="1" x14ac:dyDescent="0.25"/>
    <row r="69910" customFormat="1" x14ac:dyDescent="0.25"/>
    <row r="69911" customFormat="1" x14ac:dyDescent="0.25"/>
    <row r="69912" customFormat="1" x14ac:dyDescent="0.25"/>
    <row r="69913" customFormat="1" x14ac:dyDescent="0.25"/>
    <row r="69914" customFormat="1" x14ac:dyDescent="0.25"/>
    <row r="69915" customFormat="1" x14ac:dyDescent="0.25"/>
    <row r="69916" customFormat="1" x14ac:dyDescent="0.25"/>
    <row r="69917" customFormat="1" x14ac:dyDescent="0.25"/>
    <row r="69918" customFormat="1" x14ac:dyDescent="0.25"/>
    <row r="69919" customFormat="1" x14ac:dyDescent="0.25"/>
    <row r="69920" customFormat="1" x14ac:dyDescent="0.25"/>
    <row r="69921" customFormat="1" x14ac:dyDescent="0.25"/>
    <row r="69922" customFormat="1" x14ac:dyDescent="0.25"/>
    <row r="69923" customFormat="1" x14ac:dyDescent="0.25"/>
    <row r="69924" customFormat="1" x14ac:dyDescent="0.25"/>
    <row r="69925" customFormat="1" x14ac:dyDescent="0.25"/>
    <row r="69926" customFormat="1" x14ac:dyDescent="0.25"/>
    <row r="69927" customFormat="1" x14ac:dyDescent="0.25"/>
    <row r="69928" customFormat="1" x14ac:dyDescent="0.25"/>
    <row r="69929" customFormat="1" x14ac:dyDescent="0.25"/>
    <row r="69930" customFormat="1" x14ac:dyDescent="0.25"/>
    <row r="69931" customFormat="1" x14ac:dyDescent="0.25"/>
    <row r="69932" customFormat="1" x14ac:dyDescent="0.25"/>
    <row r="69933" customFormat="1" x14ac:dyDescent="0.25"/>
    <row r="69934" customFormat="1" x14ac:dyDescent="0.25"/>
    <row r="69935" customFormat="1" x14ac:dyDescent="0.25"/>
    <row r="69936" customFormat="1" x14ac:dyDescent="0.25"/>
    <row r="69937" customFormat="1" x14ac:dyDescent="0.25"/>
    <row r="69938" customFormat="1" x14ac:dyDescent="0.25"/>
    <row r="69939" customFormat="1" x14ac:dyDescent="0.25"/>
    <row r="69940" customFormat="1" x14ac:dyDescent="0.25"/>
    <row r="69941" customFormat="1" x14ac:dyDescent="0.25"/>
    <row r="69942" customFormat="1" x14ac:dyDescent="0.25"/>
    <row r="69943" customFormat="1" x14ac:dyDescent="0.25"/>
    <row r="69944" customFormat="1" x14ac:dyDescent="0.25"/>
    <row r="69945" customFormat="1" x14ac:dyDescent="0.25"/>
    <row r="69946" customFormat="1" x14ac:dyDescent="0.25"/>
    <row r="69947" customFormat="1" x14ac:dyDescent="0.25"/>
    <row r="69948" customFormat="1" x14ac:dyDescent="0.25"/>
    <row r="69949" customFormat="1" x14ac:dyDescent="0.25"/>
    <row r="69950" customFormat="1" x14ac:dyDescent="0.25"/>
    <row r="69951" customFormat="1" x14ac:dyDescent="0.25"/>
    <row r="69952" customFormat="1" x14ac:dyDescent="0.25"/>
    <row r="69953" customFormat="1" x14ac:dyDescent="0.25"/>
    <row r="69954" customFormat="1" x14ac:dyDescent="0.25"/>
    <row r="69955" customFormat="1" x14ac:dyDescent="0.25"/>
    <row r="69956" customFormat="1" x14ac:dyDescent="0.25"/>
    <row r="69957" customFormat="1" x14ac:dyDescent="0.25"/>
    <row r="69958" customFormat="1" x14ac:dyDescent="0.25"/>
    <row r="69959" customFormat="1" x14ac:dyDescent="0.25"/>
    <row r="69960" customFormat="1" x14ac:dyDescent="0.25"/>
    <row r="69961" customFormat="1" x14ac:dyDescent="0.25"/>
    <row r="69962" customFormat="1" x14ac:dyDescent="0.25"/>
    <row r="69963" customFormat="1" x14ac:dyDescent="0.25"/>
    <row r="69964" customFormat="1" x14ac:dyDescent="0.25"/>
    <row r="69965" customFormat="1" x14ac:dyDescent="0.25"/>
    <row r="69966" customFormat="1" x14ac:dyDescent="0.25"/>
    <row r="69967" customFormat="1" x14ac:dyDescent="0.25"/>
    <row r="69968" customFormat="1" x14ac:dyDescent="0.25"/>
    <row r="69969" customFormat="1" x14ac:dyDescent="0.25"/>
    <row r="69970" customFormat="1" x14ac:dyDescent="0.25"/>
    <row r="69971" customFormat="1" x14ac:dyDescent="0.25"/>
    <row r="69972" customFormat="1" x14ac:dyDescent="0.25"/>
    <row r="69973" customFormat="1" x14ac:dyDescent="0.25"/>
    <row r="69974" customFormat="1" x14ac:dyDescent="0.25"/>
    <row r="69975" customFormat="1" x14ac:dyDescent="0.25"/>
    <row r="69976" customFormat="1" x14ac:dyDescent="0.25"/>
    <row r="69977" customFormat="1" x14ac:dyDescent="0.25"/>
    <row r="69978" customFormat="1" x14ac:dyDescent="0.25"/>
    <row r="69979" customFormat="1" x14ac:dyDescent="0.25"/>
    <row r="69980" customFormat="1" x14ac:dyDescent="0.25"/>
    <row r="69981" customFormat="1" x14ac:dyDescent="0.25"/>
    <row r="69982" customFormat="1" x14ac:dyDescent="0.25"/>
    <row r="69983" customFormat="1" x14ac:dyDescent="0.25"/>
    <row r="69984" customFormat="1" x14ac:dyDescent="0.25"/>
    <row r="69985" customFormat="1" x14ac:dyDescent="0.25"/>
    <row r="69986" customFormat="1" x14ac:dyDescent="0.25"/>
    <row r="69987" customFormat="1" x14ac:dyDescent="0.25"/>
    <row r="69988" customFormat="1" x14ac:dyDescent="0.25"/>
    <row r="69989" customFormat="1" x14ac:dyDescent="0.25"/>
    <row r="69990" customFormat="1" x14ac:dyDescent="0.25"/>
    <row r="69991" customFormat="1" x14ac:dyDescent="0.25"/>
    <row r="69992" customFormat="1" x14ac:dyDescent="0.25"/>
    <row r="69993" customFormat="1" x14ac:dyDescent="0.25"/>
    <row r="69994" customFormat="1" x14ac:dyDescent="0.25"/>
    <row r="69995" customFormat="1" x14ac:dyDescent="0.25"/>
    <row r="69996" customFormat="1" x14ac:dyDescent="0.25"/>
    <row r="69997" customFormat="1" x14ac:dyDescent="0.25"/>
    <row r="69998" customFormat="1" x14ac:dyDescent="0.25"/>
    <row r="69999" customFormat="1" x14ac:dyDescent="0.25"/>
    <row r="70000" customFormat="1" x14ac:dyDescent="0.25"/>
    <row r="70001" customFormat="1" x14ac:dyDescent="0.25"/>
    <row r="70002" customFormat="1" x14ac:dyDescent="0.25"/>
    <row r="70003" customFormat="1" x14ac:dyDescent="0.25"/>
    <row r="70004" customFormat="1" x14ac:dyDescent="0.25"/>
    <row r="70005" customFormat="1" x14ac:dyDescent="0.25"/>
    <row r="70006" customFormat="1" x14ac:dyDescent="0.25"/>
    <row r="70007" customFormat="1" x14ac:dyDescent="0.25"/>
    <row r="70008" customFormat="1" x14ac:dyDescent="0.25"/>
    <row r="70009" customFormat="1" x14ac:dyDescent="0.25"/>
    <row r="70010" customFormat="1" x14ac:dyDescent="0.25"/>
    <row r="70011" customFormat="1" x14ac:dyDescent="0.25"/>
    <row r="70012" customFormat="1" x14ac:dyDescent="0.25"/>
    <row r="70013" customFormat="1" x14ac:dyDescent="0.25"/>
    <row r="70014" customFormat="1" x14ac:dyDescent="0.25"/>
    <row r="70015" customFormat="1" x14ac:dyDescent="0.25"/>
    <row r="70016" customFormat="1" x14ac:dyDescent="0.25"/>
    <row r="70017" customFormat="1" x14ac:dyDescent="0.25"/>
    <row r="70018" customFormat="1" x14ac:dyDescent="0.25"/>
    <row r="70019" customFormat="1" x14ac:dyDescent="0.25"/>
    <row r="70020" customFormat="1" x14ac:dyDescent="0.25"/>
    <row r="70021" customFormat="1" x14ac:dyDescent="0.25"/>
    <row r="70022" customFormat="1" x14ac:dyDescent="0.25"/>
    <row r="70023" customFormat="1" x14ac:dyDescent="0.25"/>
    <row r="70024" customFormat="1" x14ac:dyDescent="0.25"/>
    <row r="70025" customFormat="1" x14ac:dyDescent="0.25"/>
    <row r="70026" customFormat="1" x14ac:dyDescent="0.25"/>
    <row r="70027" customFormat="1" x14ac:dyDescent="0.25"/>
    <row r="70028" customFormat="1" x14ac:dyDescent="0.25"/>
    <row r="70029" customFormat="1" x14ac:dyDescent="0.25"/>
    <row r="70030" customFormat="1" x14ac:dyDescent="0.25"/>
    <row r="70031" customFormat="1" x14ac:dyDescent="0.25"/>
    <row r="70032" customFormat="1" x14ac:dyDescent="0.25"/>
    <row r="70033" customFormat="1" x14ac:dyDescent="0.25"/>
    <row r="70034" customFormat="1" x14ac:dyDescent="0.25"/>
    <row r="70035" customFormat="1" x14ac:dyDescent="0.25"/>
    <row r="70036" customFormat="1" x14ac:dyDescent="0.25"/>
    <row r="70037" customFormat="1" x14ac:dyDescent="0.25"/>
    <row r="70038" customFormat="1" x14ac:dyDescent="0.25"/>
    <row r="70039" customFormat="1" x14ac:dyDescent="0.25"/>
    <row r="70040" customFormat="1" x14ac:dyDescent="0.25"/>
    <row r="70041" customFormat="1" x14ac:dyDescent="0.25"/>
    <row r="70042" customFormat="1" x14ac:dyDescent="0.25"/>
    <row r="70043" customFormat="1" x14ac:dyDescent="0.25"/>
    <row r="70044" customFormat="1" x14ac:dyDescent="0.25"/>
    <row r="70045" customFormat="1" x14ac:dyDescent="0.25"/>
    <row r="70046" customFormat="1" x14ac:dyDescent="0.25"/>
    <row r="70047" customFormat="1" x14ac:dyDescent="0.25"/>
    <row r="70048" customFormat="1" x14ac:dyDescent="0.25"/>
    <row r="70049" customFormat="1" x14ac:dyDescent="0.25"/>
    <row r="70050" customFormat="1" x14ac:dyDescent="0.25"/>
    <row r="70051" customFormat="1" x14ac:dyDescent="0.25"/>
    <row r="70052" customFormat="1" x14ac:dyDescent="0.25"/>
    <row r="70053" customFormat="1" x14ac:dyDescent="0.25"/>
    <row r="70054" customFormat="1" x14ac:dyDescent="0.25"/>
    <row r="70055" customFormat="1" x14ac:dyDescent="0.25"/>
    <row r="70056" customFormat="1" x14ac:dyDescent="0.25"/>
    <row r="70057" customFormat="1" x14ac:dyDescent="0.25"/>
    <row r="70058" customFormat="1" x14ac:dyDescent="0.25"/>
    <row r="70059" customFormat="1" x14ac:dyDescent="0.25"/>
    <row r="70060" customFormat="1" x14ac:dyDescent="0.25"/>
    <row r="70061" customFormat="1" x14ac:dyDescent="0.25"/>
    <row r="70062" customFormat="1" x14ac:dyDescent="0.25"/>
    <row r="70063" customFormat="1" x14ac:dyDescent="0.25"/>
    <row r="70064" customFormat="1" x14ac:dyDescent="0.25"/>
    <row r="70065" customFormat="1" x14ac:dyDescent="0.25"/>
    <row r="70066" customFormat="1" x14ac:dyDescent="0.25"/>
    <row r="70067" customFormat="1" x14ac:dyDescent="0.25"/>
    <row r="70068" customFormat="1" x14ac:dyDescent="0.25"/>
    <row r="70069" customFormat="1" x14ac:dyDescent="0.25"/>
    <row r="70070" customFormat="1" x14ac:dyDescent="0.25"/>
    <row r="70071" customFormat="1" x14ac:dyDescent="0.25"/>
    <row r="70072" customFormat="1" x14ac:dyDescent="0.25"/>
    <row r="70073" customFormat="1" x14ac:dyDescent="0.25"/>
    <row r="70074" customFormat="1" x14ac:dyDescent="0.25"/>
    <row r="70075" customFormat="1" x14ac:dyDescent="0.25"/>
    <row r="70076" customFormat="1" x14ac:dyDescent="0.25"/>
    <row r="70077" customFormat="1" x14ac:dyDescent="0.25"/>
    <row r="70078" customFormat="1" x14ac:dyDescent="0.25"/>
    <row r="70079" customFormat="1" x14ac:dyDescent="0.25"/>
    <row r="70080" customFormat="1" x14ac:dyDescent="0.25"/>
    <row r="70081" customFormat="1" x14ac:dyDescent="0.25"/>
    <row r="70082" customFormat="1" x14ac:dyDescent="0.25"/>
    <row r="70083" customFormat="1" x14ac:dyDescent="0.25"/>
    <row r="70084" customFormat="1" x14ac:dyDescent="0.25"/>
    <row r="70085" customFormat="1" x14ac:dyDescent="0.25"/>
    <row r="70086" customFormat="1" x14ac:dyDescent="0.25"/>
    <row r="70087" customFormat="1" x14ac:dyDescent="0.25"/>
    <row r="70088" customFormat="1" x14ac:dyDescent="0.25"/>
    <row r="70089" customFormat="1" x14ac:dyDescent="0.25"/>
    <row r="70090" customFormat="1" x14ac:dyDescent="0.25"/>
    <row r="70091" customFormat="1" x14ac:dyDescent="0.25"/>
    <row r="70092" customFormat="1" x14ac:dyDescent="0.25"/>
    <row r="70093" customFormat="1" x14ac:dyDescent="0.25"/>
    <row r="70094" customFormat="1" x14ac:dyDescent="0.25"/>
    <row r="70095" customFormat="1" x14ac:dyDescent="0.25"/>
    <row r="70096" customFormat="1" x14ac:dyDescent="0.25"/>
    <row r="70097" customFormat="1" x14ac:dyDescent="0.25"/>
    <row r="70098" customFormat="1" x14ac:dyDescent="0.25"/>
    <row r="70099" customFormat="1" x14ac:dyDescent="0.25"/>
    <row r="70100" customFormat="1" x14ac:dyDescent="0.25"/>
    <row r="70101" customFormat="1" x14ac:dyDescent="0.25"/>
    <row r="70102" customFormat="1" x14ac:dyDescent="0.25"/>
    <row r="70103" customFormat="1" x14ac:dyDescent="0.25"/>
    <row r="70104" customFormat="1" x14ac:dyDescent="0.25"/>
    <row r="70105" customFormat="1" x14ac:dyDescent="0.25"/>
    <row r="70106" customFormat="1" x14ac:dyDescent="0.25"/>
    <row r="70107" customFormat="1" x14ac:dyDescent="0.25"/>
    <row r="70108" customFormat="1" x14ac:dyDescent="0.25"/>
    <row r="70109" customFormat="1" x14ac:dyDescent="0.25"/>
    <row r="70110" customFormat="1" x14ac:dyDescent="0.25"/>
    <row r="70111" customFormat="1" x14ac:dyDescent="0.25"/>
    <row r="70112" customFormat="1" x14ac:dyDescent="0.25"/>
    <row r="70113" customFormat="1" x14ac:dyDescent="0.25"/>
    <row r="70114" customFormat="1" x14ac:dyDescent="0.25"/>
    <row r="70115" customFormat="1" x14ac:dyDescent="0.25"/>
    <row r="70116" customFormat="1" x14ac:dyDescent="0.25"/>
    <row r="70117" customFormat="1" x14ac:dyDescent="0.25"/>
    <row r="70118" customFormat="1" x14ac:dyDescent="0.25"/>
    <row r="70119" customFormat="1" x14ac:dyDescent="0.25"/>
    <row r="70120" customFormat="1" x14ac:dyDescent="0.25"/>
    <row r="70121" customFormat="1" x14ac:dyDescent="0.25"/>
    <row r="70122" customFormat="1" x14ac:dyDescent="0.25"/>
    <row r="70123" customFormat="1" x14ac:dyDescent="0.25"/>
    <row r="70124" customFormat="1" x14ac:dyDescent="0.25"/>
    <row r="70125" customFormat="1" x14ac:dyDescent="0.25"/>
    <row r="70126" customFormat="1" x14ac:dyDescent="0.25"/>
    <row r="70127" customFormat="1" x14ac:dyDescent="0.25"/>
    <row r="70128" customFormat="1" x14ac:dyDescent="0.25"/>
    <row r="70129" customFormat="1" x14ac:dyDescent="0.25"/>
    <row r="70130" customFormat="1" x14ac:dyDescent="0.25"/>
    <row r="70131" customFormat="1" x14ac:dyDescent="0.25"/>
    <row r="70132" customFormat="1" x14ac:dyDescent="0.25"/>
    <row r="70133" customFormat="1" x14ac:dyDescent="0.25"/>
    <row r="70134" customFormat="1" x14ac:dyDescent="0.25"/>
    <row r="70135" customFormat="1" x14ac:dyDescent="0.25"/>
    <row r="70136" customFormat="1" x14ac:dyDescent="0.25"/>
    <row r="70137" customFormat="1" x14ac:dyDescent="0.25"/>
    <row r="70138" customFormat="1" x14ac:dyDescent="0.25"/>
    <row r="70139" customFormat="1" x14ac:dyDescent="0.25"/>
    <row r="70140" customFormat="1" x14ac:dyDescent="0.25"/>
    <row r="70141" customFormat="1" x14ac:dyDescent="0.25"/>
    <row r="70142" customFormat="1" x14ac:dyDescent="0.25"/>
    <row r="70143" customFormat="1" x14ac:dyDescent="0.25"/>
    <row r="70144" customFormat="1" x14ac:dyDescent="0.25"/>
    <row r="70145" customFormat="1" x14ac:dyDescent="0.25"/>
    <row r="70146" customFormat="1" x14ac:dyDescent="0.25"/>
    <row r="70147" customFormat="1" x14ac:dyDescent="0.25"/>
    <row r="70148" customFormat="1" x14ac:dyDescent="0.25"/>
    <row r="70149" customFormat="1" x14ac:dyDescent="0.25"/>
    <row r="70150" customFormat="1" x14ac:dyDescent="0.25"/>
    <row r="70151" customFormat="1" x14ac:dyDescent="0.25"/>
    <row r="70152" customFormat="1" x14ac:dyDescent="0.25"/>
    <row r="70153" customFormat="1" x14ac:dyDescent="0.25"/>
    <row r="70154" customFormat="1" x14ac:dyDescent="0.25"/>
    <row r="70155" customFormat="1" x14ac:dyDescent="0.25"/>
    <row r="70156" customFormat="1" x14ac:dyDescent="0.25"/>
    <row r="70157" customFormat="1" x14ac:dyDescent="0.25"/>
    <row r="70158" customFormat="1" x14ac:dyDescent="0.25"/>
    <row r="70159" customFormat="1" x14ac:dyDescent="0.25"/>
    <row r="70160" customFormat="1" x14ac:dyDescent="0.25"/>
    <row r="70161" customFormat="1" x14ac:dyDescent="0.25"/>
    <row r="70162" customFormat="1" x14ac:dyDescent="0.25"/>
    <row r="70163" customFormat="1" x14ac:dyDescent="0.25"/>
    <row r="70164" customFormat="1" x14ac:dyDescent="0.25"/>
    <row r="70165" customFormat="1" x14ac:dyDescent="0.25"/>
    <row r="70166" customFormat="1" x14ac:dyDescent="0.25"/>
    <row r="70167" customFormat="1" x14ac:dyDescent="0.25"/>
    <row r="70168" customFormat="1" x14ac:dyDescent="0.25"/>
    <row r="70169" customFormat="1" x14ac:dyDescent="0.25"/>
    <row r="70170" customFormat="1" x14ac:dyDescent="0.25"/>
    <row r="70171" customFormat="1" x14ac:dyDescent="0.25"/>
    <row r="70172" customFormat="1" x14ac:dyDescent="0.25"/>
    <row r="70173" customFormat="1" x14ac:dyDescent="0.25"/>
    <row r="70174" customFormat="1" x14ac:dyDescent="0.25"/>
    <row r="70175" customFormat="1" x14ac:dyDescent="0.25"/>
    <row r="70176" customFormat="1" x14ac:dyDescent="0.25"/>
    <row r="70177" customFormat="1" x14ac:dyDescent="0.25"/>
    <row r="70178" customFormat="1" x14ac:dyDescent="0.25"/>
    <row r="70179" customFormat="1" x14ac:dyDescent="0.25"/>
    <row r="70180" customFormat="1" x14ac:dyDescent="0.25"/>
    <row r="70181" customFormat="1" x14ac:dyDescent="0.25"/>
    <row r="70182" customFormat="1" x14ac:dyDescent="0.25"/>
    <row r="70183" customFormat="1" x14ac:dyDescent="0.25"/>
    <row r="70184" customFormat="1" x14ac:dyDescent="0.25"/>
    <row r="70185" customFormat="1" x14ac:dyDescent="0.25"/>
    <row r="70186" customFormat="1" x14ac:dyDescent="0.25"/>
    <row r="70187" customFormat="1" x14ac:dyDescent="0.25"/>
    <row r="70188" customFormat="1" x14ac:dyDescent="0.25"/>
    <row r="70189" customFormat="1" x14ac:dyDescent="0.25"/>
    <row r="70190" customFormat="1" x14ac:dyDescent="0.25"/>
    <row r="70191" customFormat="1" x14ac:dyDescent="0.25"/>
    <row r="70192" customFormat="1" x14ac:dyDescent="0.25"/>
    <row r="70193" customFormat="1" x14ac:dyDescent="0.25"/>
    <row r="70194" customFormat="1" x14ac:dyDescent="0.25"/>
    <row r="70195" customFormat="1" x14ac:dyDescent="0.25"/>
    <row r="70196" customFormat="1" x14ac:dyDescent="0.25"/>
    <row r="70197" customFormat="1" x14ac:dyDescent="0.25"/>
    <row r="70198" customFormat="1" x14ac:dyDescent="0.25"/>
    <row r="70199" customFormat="1" x14ac:dyDescent="0.25"/>
    <row r="70200" customFormat="1" x14ac:dyDescent="0.25"/>
    <row r="70201" customFormat="1" x14ac:dyDescent="0.25"/>
    <row r="70202" customFormat="1" x14ac:dyDescent="0.25"/>
    <row r="70203" customFormat="1" x14ac:dyDescent="0.25"/>
    <row r="70204" customFormat="1" x14ac:dyDescent="0.25"/>
    <row r="70205" customFormat="1" x14ac:dyDescent="0.25"/>
    <row r="70206" customFormat="1" x14ac:dyDescent="0.25"/>
    <row r="70207" customFormat="1" x14ac:dyDescent="0.25"/>
    <row r="70208" customFormat="1" x14ac:dyDescent="0.25"/>
    <row r="70209" customFormat="1" x14ac:dyDescent="0.25"/>
    <row r="70210" customFormat="1" x14ac:dyDescent="0.25"/>
    <row r="70211" customFormat="1" x14ac:dyDescent="0.25"/>
    <row r="70212" customFormat="1" x14ac:dyDescent="0.25"/>
    <row r="70213" customFormat="1" x14ac:dyDescent="0.25"/>
    <row r="70214" customFormat="1" x14ac:dyDescent="0.25"/>
    <row r="70215" customFormat="1" x14ac:dyDescent="0.25"/>
    <row r="70216" customFormat="1" x14ac:dyDescent="0.25"/>
    <row r="70217" customFormat="1" x14ac:dyDescent="0.25"/>
    <row r="70218" customFormat="1" x14ac:dyDescent="0.25"/>
    <row r="70219" customFormat="1" x14ac:dyDescent="0.25"/>
    <row r="70220" customFormat="1" x14ac:dyDescent="0.25"/>
    <row r="70221" customFormat="1" x14ac:dyDescent="0.25"/>
    <row r="70222" customFormat="1" x14ac:dyDescent="0.25"/>
    <row r="70223" customFormat="1" x14ac:dyDescent="0.25"/>
    <row r="70224" customFormat="1" x14ac:dyDescent="0.25"/>
    <row r="70225" customFormat="1" x14ac:dyDescent="0.25"/>
    <row r="70226" customFormat="1" x14ac:dyDescent="0.25"/>
    <row r="70227" customFormat="1" x14ac:dyDescent="0.25"/>
    <row r="70228" customFormat="1" x14ac:dyDescent="0.25"/>
    <row r="70229" customFormat="1" x14ac:dyDescent="0.25"/>
    <row r="70230" customFormat="1" x14ac:dyDescent="0.25"/>
    <row r="70231" customFormat="1" x14ac:dyDescent="0.25"/>
    <row r="70232" customFormat="1" x14ac:dyDescent="0.25"/>
    <row r="70233" customFormat="1" x14ac:dyDescent="0.25"/>
    <row r="70234" customFormat="1" x14ac:dyDescent="0.25"/>
    <row r="70235" customFormat="1" x14ac:dyDescent="0.25"/>
    <row r="70236" customFormat="1" x14ac:dyDescent="0.25"/>
    <row r="70237" customFormat="1" x14ac:dyDescent="0.25"/>
    <row r="70238" customFormat="1" x14ac:dyDescent="0.25"/>
    <row r="70239" customFormat="1" x14ac:dyDescent="0.25"/>
    <row r="70240" customFormat="1" x14ac:dyDescent="0.25"/>
    <row r="70241" customFormat="1" x14ac:dyDescent="0.25"/>
    <row r="70242" customFormat="1" x14ac:dyDescent="0.25"/>
    <row r="70243" customFormat="1" x14ac:dyDescent="0.25"/>
    <row r="70244" customFormat="1" x14ac:dyDescent="0.25"/>
    <row r="70245" customFormat="1" x14ac:dyDescent="0.25"/>
    <row r="70246" customFormat="1" x14ac:dyDescent="0.25"/>
    <row r="70247" customFormat="1" x14ac:dyDescent="0.25"/>
    <row r="70248" customFormat="1" x14ac:dyDescent="0.25"/>
    <row r="70249" customFormat="1" x14ac:dyDescent="0.25"/>
    <row r="70250" customFormat="1" x14ac:dyDescent="0.25"/>
    <row r="70251" customFormat="1" x14ac:dyDescent="0.25"/>
    <row r="70252" customFormat="1" x14ac:dyDescent="0.25"/>
    <row r="70253" customFormat="1" x14ac:dyDescent="0.25"/>
    <row r="70254" customFormat="1" x14ac:dyDescent="0.25"/>
    <row r="70255" customFormat="1" x14ac:dyDescent="0.25"/>
    <row r="70256" customFormat="1" x14ac:dyDescent="0.25"/>
    <row r="70257" customFormat="1" x14ac:dyDescent="0.25"/>
    <row r="70258" customFormat="1" x14ac:dyDescent="0.25"/>
    <row r="70259" customFormat="1" x14ac:dyDescent="0.25"/>
    <row r="70260" customFormat="1" x14ac:dyDescent="0.25"/>
    <row r="70261" customFormat="1" x14ac:dyDescent="0.25"/>
    <row r="70262" customFormat="1" x14ac:dyDescent="0.25"/>
    <row r="70263" customFormat="1" x14ac:dyDescent="0.25"/>
    <row r="70264" customFormat="1" x14ac:dyDescent="0.25"/>
    <row r="70265" customFormat="1" x14ac:dyDescent="0.25"/>
    <row r="70266" customFormat="1" x14ac:dyDescent="0.25"/>
    <row r="70267" customFormat="1" x14ac:dyDescent="0.25"/>
    <row r="70268" customFormat="1" x14ac:dyDescent="0.25"/>
    <row r="70269" customFormat="1" x14ac:dyDescent="0.25"/>
    <row r="70270" customFormat="1" x14ac:dyDescent="0.25"/>
    <row r="70271" customFormat="1" x14ac:dyDescent="0.25"/>
    <row r="70272" customFormat="1" x14ac:dyDescent="0.25"/>
    <row r="70273" customFormat="1" x14ac:dyDescent="0.25"/>
    <row r="70274" customFormat="1" x14ac:dyDescent="0.25"/>
    <row r="70275" customFormat="1" x14ac:dyDescent="0.25"/>
    <row r="70276" customFormat="1" x14ac:dyDescent="0.25"/>
    <row r="70277" customFormat="1" x14ac:dyDescent="0.25"/>
    <row r="70278" customFormat="1" x14ac:dyDescent="0.25"/>
    <row r="70279" customFormat="1" x14ac:dyDescent="0.25"/>
    <row r="70280" customFormat="1" x14ac:dyDescent="0.25"/>
    <row r="70281" customFormat="1" x14ac:dyDescent="0.25"/>
    <row r="70282" customFormat="1" x14ac:dyDescent="0.25"/>
    <row r="70283" customFormat="1" x14ac:dyDescent="0.25"/>
    <row r="70284" customFormat="1" x14ac:dyDescent="0.25"/>
    <row r="70285" customFormat="1" x14ac:dyDescent="0.25"/>
    <row r="70286" customFormat="1" x14ac:dyDescent="0.25"/>
    <row r="70287" customFormat="1" x14ac:dyDescent="0.25"/>
    <row r="70288" customFormat="1" x14ac:dyDescent="0.25"/>
    <row r="70289" customFormat="1" x14ac:dyDescent="0.25"/>
    <row r="70290" customFormat="1" x14ac:dyDescent="0.25"/>
    <row r="70291" customFormat="1" x14ac:dyDescent="0.25"/>
    <row r="70292" customFormat="1" x14ac:dyDescent="0.25"/>
    <row r="70293" customFormat="1" x14ac:dyDescent="0.25"/>
    <row r="70294" customFormat="1" x14ac:dyDescent="0.25"/>
    <row r="70295" customFormat="1" x14ac:dyDescent="0.25"/>
    <row r="70296" customFormat="1" x14ac:dyDescent="0.25"/>
    <row r="70297" customFormat="1" x14ac:dyDescent="0.25"/>
    <row r="70298" customFormat="1" x14ac:dyDescent="0.25"/>
    <row r="70299" customFormat="1" x14ac:dyDescent="0.25"/>
    <row r="70300" customFormat="1" x14ac:dyDescent="0.25"/>
    <row r="70301" customFormat="1" x14ac:dyDescent="0.25"/>
    <row r="70302" customFormat="1" x14ac:dyDescent="0.25"/>
    <row r="70303" customFormat="1" x14ac:dyDescent="0.25"/>
    <row r="70304" customFormat="1" x14ac:dyDescent="0.25"/>
    <row r="70305" customFormat="1" x14ac:dyDescent="0.25"/>
    <row r="70306" customFormat="1" x14ac:dyDescent="0.25"/>
    <row r="70307" customFormat="1" x14ac:dyDescent="0.25"/>
    <row r="70308" customFormat="1" x14ac:dyDescent="0.25"/>
    <row r="70309" customFormat="1" x14ac:dyDescent="0.25"/>
    <row r="70310" customFormat="1" x14ac:dyDescent="0.25"/>
    <row r="70311" customFormat="1" x14ac:dyDescent="0.25"/>
    <row r="70312" customFormat="1" x14ac:dyDescent="0.25"/>
    <row r="70313" customFormat="1" x14ac:dyDescent="0.25"/>
    <row r="70314" customFormat="1" x14ac:dyDescent="0.25"/>
    <row r="70315" customFormat="1" x14ac:dyDescent="0.25"/>
    <row r="70316" customFormat="1" x14ac:dyDescent="0.25"/>
    <row r="70317" customFormat="1" x14ac:dyDescent="0.25"/>
    <row r="70318" customFormat="1" x14ac:dyDescent="0.25"/>
    <row r="70319" customFormat="1" x14ac:dyDescent="0.25"/>
    <row r="70320" customFormat="1" x14ac:dyDescent="0.25"/>
    <row r="70321" customFormat="1" x14ac:dyDescent="0.25"/>
    <row r="70322" customFormat="1" x14ac:dyDescent="0.25"/>
    <row r="70323" customFormat="1" x14ac:dyDescent="0.25"/>
    <row r="70324" customFormat="1" x14ac:dyDescent="0.25"/>
    <row r="70325" customFormat="1" x14ac:dyDescent="0.25"/>
    <row r="70326" customFormat="1" x14ac:dyDescent="0.25"/>
    <row r="70327" customFormat="1" x14ac:dyDescent="0.25"/>
    <row r="70328" customFormat="1" x14ac:dyDescent="0.25"/>
    <row r="70329" customFormat="1" x14ac:dyDescent="0.25"/>
    <row r="70330" customFormat="1" x14ac:dyDescent="0.25"/>
    <row r="70331" customFormat="1" x14ac:dyDescent="0.25"/>
    <row r="70332" customFormat="1" x14ac:dyDescent="0.25"/>
    <row r="70333" customFormat="1" x14ac:dyDescent="0.25"/>
    <row r="70334" customFormat="1" x14ac:dyDescent="0.25"/>
    <row r="70335" customFormat="1" x14ac:dyDescent="0.25"/>
    <row r="70336" customFormat="1" x14ac:dyDescent="0.25"/>
    <row r="70337" customFormat="1" x14ac:dyDescent="0.25"/>
    <row r="70338" customFormat="1" x14ac:dyDescent="0.25"/>
    <row r="70339" customFormat="1" x14ac:dyDescent="0.25"/>
    <row r="70340" customFormat="1" x14ac:dyDescent="0.25"/>
    <row r="70341" customFormat="1" x14ac:dyDescent="0.25"/>
    <row r="70342" customFormat="1" x14ac:dyDescent="0.25"/>
    <row r="70343" customFormat="1" x14ac:dyDescent="0.25"/>
    <row r="70344" customFormat="1" x14ac:dyDescent="0.25"/>
    <row r="70345" customFormat="1" x14ac:dyDescent="0.25"/>
    <row r="70346" customFormat="1" x14ac:dyDescent="0.25"/>
    <row r="70347" customFormat="1" x14ac:dyDescent="0.25"/>
    <row r="70348" customFormat="1" x14ac:dyDescent="0.25"/>
    <row r="70349" customFormat="1" x14ac:dyDescent="0.25"/>
    <row r="70350" customFormat="1" x14ac:dyDescent="0.25"/>
    <row r="70351" customFormat="1" x14ac:dyDescent="0.25"/>
    <row r="70352" customFormat="1" x14ac:dyDescent="0.25"/>
    <row r="70353" customFormat="1" x14ac:dyDescent="0.25"/>
    <row r="70354" customFormat="1" x14ac:dyDescent="0.25"/>
    <row r="70355" customFormat="1" x14ac:dyDescent="0.25"/>
    <row r="70356" customFormat="1" x14ac:dyDescent="0.25"/>
    <row r="70357" customFormat="1" x14ac:dyDescent="0.25"/>
    <row r="70358" customFormat="1" x14ac:dyDescent="0.25"/>
    <row r="70359" customFormat="1" x14ac:dyDescent="0.25"/>
    <row r="70360" customFormat="1" x14ac:dyDescent="0.25"/>
    <row r="70361" customFormat="1" x14ac:dyDescent="0.25"/>
    <row r="70362" customFormat="1" x14ac:dyDescent="0.25"/>
    <row r="70363" customFormat="1" x14ac:dyDescent="0.25"/>
    <row r="70364" customFormat="1" x14ac:dyDescent="0.25"/>
    <row r="70365" customFormat="1" x14ac:dyDescent="0.25"/>
    <row r="70366" customFormat="1" x14ac:dyDescent="0.25"/>
    <row r="70367" customFormat="1" x14ac:dyDescent="0.25"/>
    <row r="70368" customFormat="1" x14ac:dyDescent="0.25"/>
    <row r="70369" customFormat="1" x14ac:dyDescent="0.25"/>
    <row r="70370" customFormat="1" x14ac:dyDescent="0.25"/>
    <row r="70371" customFormat="1" x14ac:dyDescent="0.25"/>
    <row r="70372" customFormat="1" x14ac:dyDescent="0.25"/>
    <row r="70373" customFormat="1" x14ac:dyDescent="0.25"/>
    <row r="70374" customFormat="1" x14ac:dyDescent="0.25"/>
    <row r="70375" customFormat="1" x14ac:dyDescent="0.25"/>
    <row r="70376" customFormat="1" x14ac:dyDescent="0.25"/>
    <row r="70377" customFormat="1" x14ac:dyDescent="0.25"/>
    <row r="70378" customFormat="1" x14ac:dyDescent="0.25"/>
    <row r="70379" customFormat="1" x14ac:dyDescent="0.25"/>
    <row r="70380" customFormat="1" x14ac:dyDescent="0.25"/>
    <row r="70381" customFormat="1" x14ac:dyDescent="0.25"/>
    <row r="70382" customFormat="1" x14ac:dyDescent="0.25"/>
    <row r="70383" customFormat="1" x14ac:dyDescent="0.25"/>
    <row r="70384" customFormat="1" x14ac:dyDescent="0.25"/>
    <row r="70385" customFormat="1" x14ac:dyDescent="0.25"/>
    <row r="70386" customFormat="1" x14ac:dyDescent="0.25"/>
    <row r="70387" customFormat="1" x14ac:dyDescent="0.25"/>
    <row r="70388" customFormat="1" x14ac:dyDescent="0.25"/>
    <row r="70389" customFormat="1" x14ac:dyDescent="0.25"/>
    <row r="70390" customFormat="1" x14ac:dyDescent="0.25"/>
    <row r="70391" customFormat="1" x14ac:dyDescent="0.25"/>
    <row r="70392" customFormat="1" x14ac:dyDescent="0.25"/>
    <row r="70393" customFormat="1" x14ac:dyDescent="0.25"/>
    <row r="70394" customFormat="1" x14ac:dyDescent="0.25"/>
    <row r="70395" customFormat="1" x14ac:dyDescent="0.25"/>
    <row r="70396" customFormat="1" x14ac:dyDescent="0.25"/>
    <row r="70397" customFormat="1" x14ac:dyDescent="0.25"/>
    <row r="70398" customFormat="1" x14ac:dyDescent="0.25"/>
    <row r="70399" customFormat="1" x14ac:dyDescent="0.25"/>
    <row r="70400" customFormat="1" x14ac:dyDescent="0.25"/>
    <row r="70401" customFormat="1" x14ac:dyDescent="0.25"/>
    <row r="70402" customFormat="1" x14ac:dyDescent="0.25"/>
    <row r="70403" customFormat="1" x14ac:dyDescent="0.25"/>
    <row r="70404" customFormat="1" x14ac:dyDescent="0.25"/>
    <row r="70405" customFormat="1" x14ac:dyDescent="0.25"/>
    <row r="70406" customFormat="1" x14ac:dyDescent="0.25"/>
    <row r="70407" customFormat="1" x14ac:dyDescent="0.25"/>
    <row r="70408" customFormat="1" x14ac:dyDescent="0.25"/>
    <row r="70409" customFormat="1" x14ac:dyDescent="0.25"/>
    <row r="70410" customFormat="1" x14ac:dyDescent="0.25"/>
    <row r="70411" customFormat="1" x14ac:dyDescent="0.25"/>
    <row r="70412" customFormat="1" x14ac:dyDescent="0.25"/>
    <row r="70413" customFormat="1" x14ac:dyDescent="0.25"/>
    <row r="70414" customFormat="1" x14ac:dyDescent="0.25"/>
    <row r="70415" customFormat="1" x14ac:dyDescent="0.25"/>
    <row r="70416" customFormat="1" x14ac:dyDescent="0.25"/>
    <row r="70417" customFormat="1" x14ac:dyDescent="0.25"/>
    <row r="70418" customFormat="1" x14ac:dyDescent="0.25"/>
    <row r="70419" customFormat="1" x14ac:dyDescent="0.25"/>
    <row r="70420" customFormat="1" x14ac:dyDescent="0.25"/>
    <row r="70421" customFormat="1" x14ac:dyDescent="0.25"/>
    <row r="70422" customFormat="1" x14ac:dyDescent="0.25"/>
    <row r="70423" customFormat="1" x14ac:dyDescent="0.25"/>
    <row r="70424" customFormat="1" x14ac:dyDescent="0.25"/>
    <row r="70425" customFormat="1" x14ac:dyDescent="0.25"/>
    <row r="70426" customFormat="1" x14ac:dyDescent="0.25"/>
    <row r="70427" customFormat="1" x14ac:dyDescent="0.25"/>
    <row r="70428" customFormat="1" x14ac:dyDescent="0.25"/>
    <row r="70429" customFormat="1" x14ac:dyDescent="0.25"/>
    <row r="70430" customFormat="1" x14ac:dyDescent="0.25"/>
    <row r="70431" customFormat="1" x14ac:dyDescent="0.25"/>
    <row r="70432" customFormat="1" x14ac:dyDescent="0.25"/>
    <row r="70433" customFormat="1" x14ac:dyDescent="0.25"/>
    <row r="70434" customFormat="1" x14ac:dyDescent="0.25"/>
    <row r="70435" customFormat="1" x14ac:dyDescent="0.25"/>
    <row r="70436" customFormat="1" x14ac:dyDescent="0.25"/>
    <row r="70437" customFormat="1" x14ac:dyDescent="0.25"/>
    <row r="70438" customFormat="1" x14ac:dyDescent="0.25"/>
    <row r="70439" customFormat="1" x14ac:dyDescent="0.25"/>
    <row r="70440" customFormat="1" x14ac:dyDescent="0.25"/>
    <row r="70441" customFormat="1" x14ac:dyDescent="0.25"/>
    <row r="70442" customFormat="1" x14ac:dyDescent="0.25"/>
    <row r="70443" customFormat="1" x14ac:dyDescent="0.25"/>
    <row r="70444" customFormat="1" x14ac:dyDescent="0.25"/>
    <row r="70445" customFormat="1" x14ac:dyDescent="0.25"/>
    <row r="70446" customFormat="1" x14ac:dyDescent="0.25"/>
    <row r="70447" customFormat="1" x14ac:dyDescent="0.25"/>
    <row r="70448" customFormat="1" x14ac:dyDescent="0.25"/>
    <row r="70449" customFormat="1" x14ac:dyDescent="0.25"/>
    <row r="70450" customFormat="1" x14ac:dyDescent="0.25"/>
    <row r="70451" customFormat="1" x14ac:dyDescent="0.25"/>
    <row r="70452" customFormat="1" x14ac:dyDescent="0.25"/>
    <row r="70453" customFormat="1" x14ac:dyDescent="0.25"/>
    <row r="70454" customFormat="1" x14ac:dyDescent="0.25"/>
    <row r="70455" customFormat="1" x14ac:dyDescent="0.25"/>
    <row r="70456" customFormat="1" x14ac:dyDescent="0.25"/>
    <row r="70457" customFormat="1" x14ac:dyDescent="0.25"/>
    <row r="70458" customFormat="1" x14ac:dyDescent="0.25"/>
    <row r="70459" customFormat="1" x14ac:dyDescent="0.25"/>
    <row r="70460" customFormat="1" x14ac:dyDescent="0.25"/>
    <row r="70461" customFormat="1" x14ac:dyDescent="0.25"/>
    <row r="70462" customFormat="1" x14ac:dyDescent="0.25"/>
    <row r="70463" customFormat="1" x14ac:dyDescent="0.25"/>
    <row r="70464" customFormat="1" x14ac:dyDescent="0.25"/>
    <row r="70465" customFormat="1" x14ac:dyDescent="0.25"/>
    <row r="70466" customFormat="1" x14ac:dyDescent="0.25"/>
    <row r="70467" customFormat="1" x14ac:dyDescent="0.25"/>
    <row r="70468" customFormat="1" x14ac:dyDescent="0.25"/>
    <row r="70469" customFormat="1" x14ac:dyDescent="0.25"/>
    <row r="70470" customFormat="1" x14ac:dyDescent="0.25"/>
    <row r="70471" customFormat="1" x14ac:dyDescent="0.25"/>
    <row r="70472" customFormat="1" x14ac:dyDescent="0.25"/>
    <row r="70473" customFormat="1" x14ac:dyDescent="0.25"/>
    <row r="70474" customFormat="1" x14ac:dyDescent="0.25"/>
    <row r="70475" customFormat="1" x14ac:dyDescent="0.25"/>
    <row r="70476" customFormat="1" x14ac:dyDescent="0.25"/>
    <row r="70477" customFormat="1" x14ac:dyDescent="0.25"/>
    <row r="70478" customFormat="1" x14ac:dyDescent="0.25"/>
    <row r="70479" customFormat="1" x14ac:dyDescent="0.25"/>
    <row r="70480" customFormat="1" x14ac:dyDescent="0.25"/>
    <row r="70481" customFormat="1" x14ac:dyDescent="0.25"/>
    <row r="70482" customFormat="1" x14ac:dyDescent="0.25"/>
    <row r="70483" customFormat="1" x14ac:dyDescent="0.25"/>
    <row r="70484" customFormat="1" x14ac:dyDescent="0.25"/>
    <row r="70485" customFormat="1" x14ac:dyDescent="0.25"/>
    <row r="70486" customFormat="1" x14ac:dyDescent="0.25"/>
    <row r="70487" customFormat="1" x14ac:dyDescent="0.25"/>
    <row r="70488" customFormat="1" x14ac:dyDescent="0.25"/>
    <row r="70489" customFormat="1" x14ac:dyDescent="0.25"/>
    <row r="70490" customFormat="1" x14ac:dyDescent="0.25"/>
    <row r="70491" customFormat="1" x14ac:dyDescent="0.25"/>
    <row r="70492" customFormat="1" x14ac:dyDescent="0.25"/>
    <row r="70493" customFormat="1" x14ac:dyDescent="0.25"/>
    <row r="70494" customFormat="1" x14ac:dyDescent="0.25"/>
    <row r="70495" customFormat="1" x14ac:dyDescent="0.25"/>
    <row r="70496" customFormat="1" x14ac:dyDescent="0.25"/>
    <row r="70497" customFormat="1" x14ac:dyDescent="0.25"/>
    <row r="70498" customFormat="1" x14ac:dyDescent="0.25"/>
    <row r="70499" customFormat="1" x14ac:dyDescent="0.25"/>
    <row r="70500" customFormat="1" x14ac:dyDescent="0.25"/>
    <row r="70501" customFormat="1" x14ac:dyDescent="0.25"/>
    <row r="70502" customFormat="1" x14ac:dyDescent="0.25"/>
    <row r="70503" customFormat="1" x14ac:dyDescent="0.25"/>
    <row r="70504" customFormat="1" x14ac:dyDescent="0.25"/>
    <row r="70505" customFormat="1" x14ac:dyDescent="0.25"/>
    <row r="70506" customFormat="1" x14ac:dyDescent="0.25"/>
    <row r="70507" customFormat="1" x14ac:dyDescent="0.25"/>
    <row r="70508" customFormat="1" x14ac:dyDescent="0.25"/>
    <row r="70509" customFormat="1" x14ac:dyDescent="0.25"/>
    <row r="70510" customFormat="1" x14ac:dyDescent="0.25"/>
    <row r="70511" customFormat="1" x14ac:dyDescent="0.25"/>
    <row r="70512" customFormat="1" x14ac:dyDescent="0.25"/>
    <row r="70513" customFormat="1" x14ac:dyDescent="0.25"/>
    <row r="70514" customFormat="1" x14ac:dyDescent="0.25"/>
    <row r="70515" customFormat="1" x14ac:dyDescent="0.25"/>
    <row r="70516" customFormat="1" x14ac:dyDescent="0.25"/>
    <row r="70517" customFormat="1" x14ac:dyDescent="0.25"/>
    <row r="70518" customFormat="1" x14ac:dyDescent="0.25"/>
    <row r="70519" customFormat="1" x14ac:dyDescent="0.25"/>
    <row r="70520" customFormat="1" x14ac:dyDescent="0.25"/>
    <row r="70521" customFormat="1" x14ac:dyDescent="0.25"/>
    <row r="70522" customFormat="1" x14ac:dyDescent="0.25"/>
    <row r="70523" customFormat="1" x14ac:dyDescent="0.25"/>
    <row r="70524" customFormat="1" x14ac:dyDescent="0.25"/>
    <row r="70525" customFormat="1" x14ac:dyDescent="0.25"/>
    <row r="70526" customFormat="1" x14ac:dyDescent="0.25"/>
    <row r="70527" customFormat="1" x14ac:dyDescent="0.25"/>
    <row r="70528" customFormat="1" x14ac:dyDescent="0.25"/>
    <row r="70529" customFormat="1" x14ac:dyDescent="0.25"/>
    <row r="70530" customFormat="1" x14ac:dyDescent="0.25"/>
    <row r="70531" customFormat="1" x14ac:dyDescent="0.25"/>
    <row r="70532" customFormat="1" x14ac:dyDescent="0.25"/>
    <row r="70533" customFormat="1" x14ac:dyDescent="0.25"/>
    <row r="70534" customFormat="1" x14ac:dyDescent="0.25"/>
    <row r="70535" customFormat="1" x14ac:dyDescent="0.25"/>
    <row r="70536" customFormat="1" x14ac:dyDescent="0.25"/>
    <row r="70537" customFormat="1" x14ac:dyDescent="0.25"/>
    <row r="70538" customFormat="1" x14ac:dyDescent="0.25"/>
    <row r="70539" customFormat="1" x14ac:dyDescent="0.25"/>
    <row r="70540" customFormat="1" x14ac:dyDescent="0.25"/>
    <row r="70541" customFormat="1" x14ac:dyDescent="0.25"/>
    <row r="70542" customFormat="1" x14ac:dyDescent="0.25"/>
    <row r="70543" customFormat="1" x14ac:dyDescent="0.25"/>
    <row r="70544" customFormat="1" x14ac:dyDescent="0.25"/>
    <row r="70545" customFormat="1" x14ac:dyDescent="0.25"/>
    <row r="70546" customFormat="1" x14ac:dyDescent="0.25"/>
    <row r="70547" customFormat="1" x14ac:dyDescent="0.25"/>
    <row r="70548" customFormat="1" x14ac:dyDescent="0.25"/>
    <row r="70549" customFormat="1" x14ac:dyDescent="0.25"/>
    <row r="70550" customFormat="1" x14ac:dyDescent="0.25"/>
    <row r="70551" customFormat="1" x14ac:dyDescent="0.25"/>
    <row r="70552" customFormat="1" x14ac:dyDescent="0.25"/>
    <row r="70553" customFormat="1" x14ac:dyDescent="0.25"/>
    <row r="70554" customFormat="1" x14ac:dyDescent="0.25"/>
    <row r="70555" customFormat="1" x14ac:dyDescent="0.25"/>
    <row r="70556" customFormat="1" x14ac:dyDescent="0.25"/>
    <row r="70557" customFormat="1" x14ac:dyDescent="0.25"/>
    <row r="70558" customFormat="1" x14ac:dyDescent="0.25"/>
    <row r="70559" customFormat="1" x14ac:dyDescent="0.25"/>
    <row r="70560" customFormat="1" x14ac:dyDescent="0.25"/>
    <row r="70561" customFormat="1" x14ac:dyDescent="0.25"/>
    <row r="70562" customFormat="1" x14ac:dyDescent="0.25"/>
    <row r="70563" customFormat="1" x14ac:dyDescent="0.25"/>
    <row r="70564" customFormat="1" x14ac:dyDescent="0.25"/>
    <row r="70565" customFormat="1" x14ac:dyDescent="0.25"/>
    <row r="70566" customFormat="1" x14ac:dyDescent="0.25"/>
    <row r="70567" customFormat="1" x14ac:dyDescent="0.25"/>
    <row r="70568" customFormat="1" x14ac:dyDescent="0.25"/>
    <row r="70569" customFormat="1" x14ac:dyDescent="0.25"/>
    <row r="70570" customFormat="1" x14ac:dyDescent="0.25"/>
    <row r="70571" customFormat="1" x14ac:dyDescent="0.25"/>
    <row r="70572" customFormat="1" x14ac:dyDescent="0.25"/>
    <row r="70573" customFormat="1" x14ac:dyDescent="0.25"/>
    <row r="70574" customFormat="1" x14ac:dyDescent="0.25"/>
    <row r="70575" customFormat="1" x14ac:dyDescent="0.25"/>
    <row r="70576" customFormat="1" x14ac:dyDescent="0.25"/>
    <row r="70577" customFormat="1" x14ac:dyDescent="0.25"/>
    <row r="70578" customFormat="1" x14ac:dyDescent="0.25"/>
    <row r="70579" customFormat="1" x14ac:dyDescent="0.25"/>
    <row r="70580" customFormat="1" x14ac:dyDescent="0.25"/>
    <row r="70581" customFormat="1" x14ac:dyDescent="0.25"/>
    <row r="70582" customFormat="1" x14ac:dyDescent="0.25"/>
    <row r="70583" customFormat="1" x14ac:dyDescent="0.25"/>
    <row r="70584" customFormat="1" x14ac:dyDescent="0.25"/>
    <row r="70585" customFormat="1" x14ac:dyDescent="0.25"/>
    <row r="70586" customFormat="1" x14ac:dyDescent="0.25"/>
    <row r="70587" customFormat="1" x14ac:dyDescent="0.25"/>
    <row r="70588" customFormat="1" x14ac:dyDescent="0.25"/>
    <row r="70589" customFormat="1" x14ac:dyDescent="0.25"/>
    <row r="70590" customFormat="1" x14ac:dyDescent="0.25"/>
    <row r="70591" customFormat="1" x14ac:dyDescent="0.25"/>
    <row r="70592" customFormat="1" x14ac:dyDescent="0.25"/>
    <row r="70593" customFormat="1" x14ac:dyDescent="0.25"/>
    <row r="70594" customFormat="1" x14ac:dyDescent="0.25"/>
    <row r="70595" customFormat="1" x14ac:dyDescent="0.25"/>
    <row r="70596" customFormat="1" x14ac:dyDescent="0.25"/>
    <row r="70597" customFormat="1" x14ac:dyDescent="0.25"/>
    <row r="70598" customFormat="1" x14ac:dyDescent="0.25"/>
    <row r="70599" customFormat="1" x14ac:dyDescent="0.25"/>
    <row r="70600" customFormat="1" x14ac:dyDescent="0.25"/>
    <row r="70601" customFormat="1" x14ac:dyDescent="0.25"/>
    <row r="70602" customFormat="1" x14ac:dyDescent="0.25"/>
    <row r="70603" customFormat="1" x14ac:dyDescent="0.25"/>
    <row r="70604" customFormat="1" x14ac:dyDescent="0.25"/>
    <row r="70605" customFormat="1" x14ac:dyDescent="0.25"/>
    <row r="70606" customFormat="1" x14ac:dyDescent="0.25"/>
    <row r="70607" customFormat="1" x14ac:dyDescent="0.25"/>
    <row r="70608" customFormat="1" x14ac:dyDescent="0.25"/>
    <row r="70609" customFormat="1" x14ac:dyDescent="0.25"/>
    <row r="70610" customFormat="1" x14ac:dyDescent="0.25"/>
    <row r="70611" customFormat="1" x14ac:dyDescent="0.25"/>
    <row r="70612" customFormat="1" x14ac:dyDescent="0.25"/>
    <row r="70613" customFormat="1" x14ac:dyDescent="0.25"/>
    <row r="70614" customFormat="1" x14ac:dyDescent="0.25"/>
    <row r="70615" customFormat="1" x14ac:dyDescent="0.25"/>
    <row r="70616" customFormat="1" x14ac:dyDescent="0.25"/>
    <row r="70617" customFormat="1" x14ac:dyDescent="0.25"/>
    <row r="70618" customFormat="1" x14ac:dyDescent="0.25"/>
    <row r="70619" customFormat="1" x14ac:dyDescent="0.25"/>
    <row r="70620" customFormat="1" x14ac:dyDescent="0.25"/>
    <row r="70621" customFormat="1" x14ac:dyDescent="0.25"/>
    <row r="70622" customFormat="1" x14ac:dyDescent="0.25"/>
    <row r="70623" customFormat="1" x14ac:dyDescent="0.25"/>
    <row r="70624" customFormat="1" x14ac:dyDescent="0.25"/>
    <row r="70625" customFormat="1" x14ac:dyDescent="0.25"/>
    <row r="70626" customFormat="1" x14ac:dyDescent="0.25"/>
    <row r="70627" customFormat="1" x14ac:dyDescent="0.25"/>
    <row r="70628" customFormat="1" x14ac:dyDescent="0.25"/>
    <row r="70629" customFormat="1" x14ac:dyDescent="0.25"/>
    <row r="70630" customFormat="1" x14ac:dyDescent="0.25"/>
    <row r="70631" customFormat="1" x14ac:dyDescent="0.25"/>
    <row r="70632" customFormat="1" x14ac:dyDescent="0.25"/>
    <row r="70633" customFormat="1" x14ac:dyDescent="0.25"/>
    <row r="70634" customFormat="1" x14ac:dyDescent="0.25"/>
    <row r="70635" customFormat="1" x14ac:dyDescent="0.25"/>
    <row r="70636" customFormat="1" x14ac:dyDescent="0.25"/>
    <row r="70637" customFormat="1" x14ac:dyDescent="0.25"/>
    <row r="70638" customFormat="1" x14ac:dyDescent="0.25"/>
    <row r="70639" customFormat="1" x14ac:dyDescent="0.25"/>
    <row r="70640" customFormat="1" x14ac:dyDescent="0.25"/>
    <row r="70641" customFormat="1" x14ac:dyDescent="0.25"/>
    <row r="70642" customFormat="1" x14ac:dyDescent="0.25"/>
    <row r="70643" customFormat="1" x14ac:dyDescent="0.25"/>
    <row r="70644" customFormat="1" x14ac:dyDescent="0.25"/>
    <row r="70645" customFormat="1" x14ac:dyDescent="0.25"/>
    <row r="70646" customFormat="1" x14ac:dyDescent="0.25"/>
    <row r="70647" customFormat="1" x14ac:dyDescent="0.25"/>
    <row r="70648" customFormat="1" x14ac:dyDescent="0.25"/>
    <row r="70649" customFormat="1" x14ac:dyDescent="0.25"/>
    <row r="70650" customFormat="1" x14ac:dyDescent="0.25"/>
    <row r="70651" customFormat="1" x14ac:dyDescent="0.25"/>
    <row r="70652" customFormat="1" x14ac:dyDescent="0.25"/>
    <row r="70653" customFormat="1" x14ac:dyDescent="0.25"/>
    <row r="70654" customFormat="1" x14ac:dyDescent="0.25"/>
    <row r="70655" customFormat="1" x14ac:dyDescent="0.25"/>
    <row r="70656" customFormat="1" x14ac:dyDescent="0.25"/>
    <row r="70657" customFormat="1" x14ac:dyDescent="0.25"/>
    <row r="70658" customFormat="1" x14ac:dyDescent="0.25"/>
    <row r="70659" customFormat="1" x14ac:dyDescent="0.25"/>
    <row r="70660" customFormat="1" x14ac:dyDescent="0.25"/>
    <row r="70661" customFormat="1" x14ac:dyDescent="0.25"/>
    <row r="70662" customFormat="1" x14ac:dyDescent="0.25"/>
    <row r="70663" customFormat="1" x14ac:dyDescent="0.25"/>
    <row r="70664" customFormat="1" x14ac:dyDescent="0.25"/>
    <row r="70665" customFormat="1" x14ac:dyDescent="0.25"/>
    <row r="70666" customFormat="1" x14ac:dyDescent="0.25"/>
    <row r="70667" customFormat="1" x14ac:dyDescent="0.25"/>
    <row r="70668" customFormat="1" x14ac:dyDescent="0.25"/>
    <row r="70669" customFormat="1" x14ac:dyDescent="0.25"/>
    <row r="70670" customFormat="1" x14ac:dyDescent="0.25"/>
    <row r="70671" customFormat="1" x14ac:dyDescent="0.25"/>
    <row r="70672" customFormat="1" x14ac:dyDescent="0.25"/>
    <row r="70673" customFormat="1" x14ac:dyDescent="0.25"/>
    <row r="70674" customFormat="1" x14ac:dyDescent="0.25"/>
    <row r="70675" customFormat="1" x14ac:dyDescent="0.25"/>
    <row r="70676" customFormat="1" x14ac:dyDescent="0.25"/>
    <row r="70677" customFormat="1" x14ac:dyDescent="0.25"/>
    <row r="70678" customFormat="1" x14ac:dyDescent="0.25"/>
    <row r="70679" customFormat="1" x14ac:dyDescent="0.25"/>
    <row r="70680" customFormat="1" x14ac:dyDescent="0.25"/>
    <row r="70681" customFormat="1" x14ac:dyDescent="0.25"/>
    <row r="70682" customFormat="1" x14ac:dyDescent="0.25"/>
    <row r="70683" customFormat="1" x14ac:dyDescent="0.25"/>
    <row r="70684" customFormat="1" x14ac:dyDescent="0.25"/>
    <row r="70685" customFormat="1" x14ac:dyDescent="0.25"/>
    <row r="70686" customFormat="1" x14ac:dyDescent="0.25"/>
    <row r="70687" customFormat="1" x14ac:dyDescent="0.25"/>
    <row r="70688" customFormat="1" x14ac:dyDescent="0.25"/>
    <row r="70689" customFormat="1" x14ac:dyDescent="0.25"/>
    <row r="70690" customFormat="1" x14ac:dyDescent="0.25"/>
    <row r="70691" customFormat="1" x14ac:dyDescent="0.25"/>
    <row r="70692" customFormat="1" x14ac:dyDescent="0.25"/>
    <row r="70693" customFormat="1" x14ac:dyDescent="0.25"/>
    <row r="70694" customFormat="1" x14ac:dyDescent="0.25"/>
    <row r="70695" customFormat="1" x14ac:dyDescent="0.25"/>
    <row r="70696" customFormat="1" x14ac:dyDescent="0.25"/>
    <row r="70697" customFormat="1" x14ac:dyDescent="0.25"/>
    <row r="70698" customFormat="1" x14ac:dyDescent="0.25"/>
    <row r="70699" customFormat="1" x14ac:dyDescent="0.25"/>
    <row r="70700" customFormat="1" x14ac:dyDescent="0.25"/>
    <row r="70701" customFormat="1" x14ac:dyDescent="0.25"/>
    <row r="70702" customFormat="1" x14ac:dyDescent="0.25"/>
    <row r="70703" customFormat="1" x14ac:dyDescent="0.25"/>
    <row r="70704" customFormat="1" x14ac:dyDescent="0.25"/>
    <row r="70705" customFormat="1" x14ac:dyDescent="0.25"/>
    <row r="70706" customFormat="1" x14ac:dyDescent="0.25"/>
    <row r="70707" customFormat="1" x14ac:dyDescent="0.25"/>
    <row r="70708" customFormat="1" x14ac:dyDescent="0.25"/>
    <row r="70709" customFormat="1" x14ac:dyDescent="0.25"/>
    <row r="70710" customFormat="1" x14ac:dyDescent="0.25"/>
    <row r="70711" customFormat="1" x14ac:dyDescent="0.25"/>
    <row r="70712" customFormat="1" x14ac:dyDescent="0.25"/>
    <row r="70713" customFormat="1" x14ac:dyDescent="0.25"/>
    <row r="70714" customFormat="1" x14ac:dyDescent="0.25"/>
    <row r="70715" customFormat="1" x14ac:dyDescent="0.25"/>
    <row r="70716" customFormat="1" x14ac:dyDescent="0.25"/>
    <row r="70717" customFormat="1" x14ac:dyDescent="0.25"/>
    <row r="70718" customFormat="1" x14ac:dyDescent="0.25"/>
    <row r="70719" customFormat="1" x14ac:dyDescent="0.25"/>
    <row r="70720" customFormat="1" x14ac:dyDescent="0.25"/>
    <row r="70721" customFormat="1" x14ac:dyDescent="0.25"/>
    <row r="70722" customFormat="1" x14ac:dyDescent="0.25"/>
    <row r="70723" customFormat="1" x14ac:dyDescent="0.25"/>
    <row r="70724" customFormat="1" x14ac:dyDescent="0.25"/>
    <row r="70725" customFormat="1" x14ac:dyDescent="0.25"/>
    <row r="70726" customFormat="1" x14ac:dyDescent="0.25"/>
    <row r="70727" customFormat="1" x14ac:dyDescent="0.25"/>
    <row r="70728" customFormat="1" x14ac:dyDescent="0.25"/>
    <row r="70729" customFormat="1" x14ac:dyDescent="0.25"/>
    <row r="70730" customFormat="1" x14ac:dyDescent="0.25"/>
    <row r="70731" customFormat="1" x14ac:dyDescent="0.25"/>
    <row r="70732" customFormat="1" x14ac:dyDescent="0.25"/>
    <row r="70733" customFormat="1" x14ac:dyDescent="0.25"/>
    <row r="70734" customFormat="1" x14ac:dyDescent="0.25"/>
    <row r="70735" customFormat="1" x14ac:dyDescent="0.25"/>
    <row r="70736" customFormat="1" x14ac:dyDescent="0.25"/>
    <row r="70737" customFormat="1" x14ac:dyDescent="0.25"/>
    <row r="70738" customFormat="1" x14ac:dyDescent="0.25"/>
    <row r="70739" customFormat="1" x14ac:dyDescent="0.25"/>
    <row r="70740" customFormat="1" x14ac:dyDescent="0.25"/>
    <row r="70741" customFormat="1" x14ac:dyDescent="0.25"/>
    <row r="70742" customFormat="1" x14ac:dyDescent="0.25"/>
    <row r="70743" customFormat="1" x14ac:dyDescent="0.25"/>
    <row r="70744" customFormat="1" x14ac:dyDescent="0.25"/>
    <row r="70745" customFormat="1" x14ac:dyDescent="0.25"/>
    <row r="70746" customFormat="1" x14ac:dyDescent="0.25"/>
    <row r="70747" customFormat="1" x14ac:dyDescent="0.25"/>
    <row r="70748" customFormat="1" x14ac:dyDescent="0.25"/>
    <row r="70749" customFormat="1" x14ac:dyDescent="0.25"/>
    <row r="70750" customFormat="1" x14ac:dyDescent="0.25"/>
    <row r="70751" customFormat="1" x14ac:dyDescent="0.25"/>
    <row r="70752" customFormat="1" x14ac:dyDescent="0.25"/>
    <row r="70753" customFormat="1" x14ac:dyDescent="0.25"/>
    <row r="70754" customFormat="1" x14ac:dyDescent="0.25"/>
    <row r="70755" customFormat="1" x14ac:dyDescent="0.25"/>
    <row r="70756" customFormat="1" x14ac:dyDescent="0.25"/>
    <row r="70757" customFormat="1" x14ac:dyDescent="0.25"/>
    <row r="70758" customFormat="1" x14ac:dyDescent="0.25"/>
    <row r="70759" customFormat="1" x14ac:dyDescent="0.25"/>
    <row r="70760" customFormat="1" x14ac:dyDescent="0.25"/>
    <row r="70761" customFormat="1" x14ac:dyDescent="0.25"/>
    <row r="70762" customFormat="1" x14ac:dyDescent="0.25"/>
    <row r="70763" customFormat="1" x14ac:dyDescent="0.25"/>
    <row r="70764" customFormat="1" x14ac:dyDescent="0.25"/>
    <row r="70765" customFormat="1" x14ac:dyDescent="0.25"/>
    <row r="70766" customFormat="1" x14ac:dyDescent="0.25"/>
    <row r="70767" customFormat="1" x14ac:dyDescent="0.25"/>
    <row r="70768" customFormat="1" x14ac:dyDescent="0.25"/>
    <row r="70769" customFormat="1" x14ac:dyDescent="0.25"/>
    <row r="70770" customFormat="1" x14ac:dyDescent="0.25"/>
    <row r="70771" customFormat="1" x14ac:dyDescent="0.25"/>
    <row r="70772" customFormat="1" x14ac:dyDescent="0.25"/>
    <row r="70773" customFormat="1" x14ac:dyDescent="0.25"/>
    <row r="70774" customFormat="1" x14ac:dyDescent="0.25"/>
    <row r="70775" customFormat="1" x14ac:dyDescent="0.25"/>
    <row r="70776" customFormat="1" x14ac:dyDescent="0.25"/>
    <row r="70777" customFormat="1" x14ac:dyDescent="0.25"/>
    <row r="70778" customFormat="1" x14ac:dyDescent="0.25"/>
    <row r="70779" customFormat="1" x14ac:dyDescent="0.25"/>
    <row r="70780" customFormat="1" x14ac:dyDescent="0.25"/>
    <row r="70781" customFormat="1" x14ac:dyDescent="0.25"/>
    <row r="70782" customFormat="1" x14ac:dyDescent="0.25"/>
    <row r="70783" customFormat="1" x14ac:dyDescent="0.25"/>
    <row r="70784" customFormat="1" x14ac:dyDescent="0.25"/>
    <row r="70785" customFormat="1" x14ac:dyDescent="0.25"/>
    <row r="70786" customFormat="1" x14ac:dyDescent="0.25"/>
    <row r="70787" customFormat="1" x14ac:dyDescent="0.25"/>
    <row r="70788" customFormat="1" x14ac:dyDescent="0.25"/>
    <row r="70789" customFormat="1" x14ac:dyDescent="0.25"/>
    <row r="70790" customFormat="1" x14ac:dyDescent="0.25"/>
    <row r="70791" customFormat="1" x14ac:dyDescent="0.25"/>
    <row r="70792" customFormat="1" x14ac:dyDescent="0.25"/>
    <row r="70793" customFormat="1" x14ac:dyDescent="0.25"/>
    <row r="70794" customFormat="1" x14ac:dyDescent="0.25"/>
    <row r="70795" customFormat="1" x14ac:dyDescent="0.25"/>
    <row r="70796" customFormat="1" x14ac:dyDescent="0.25"/>
    <row r="70797" customFormat="1" x14ac:dyDescent="0.25"/>
    <row r="70798" customFormat="1" x14ac:dyDescent="0.25"/>
    <row r="70799" customFormat="1" x14ac:dyDescent="0.25"/>
    <row r="70800" customFormat="1" x14ac:dyDescent="0.25"/>
    <row r="70801" customFormat="1" x14ac:dyDescent="0.25"/>
    <row r="70802" customFormat="1" x14ac:dyDescent="0.25"/>
    <row r="70803" customFormat="1" x14ac:dyDescent="0.25"/>
    <row r="70804" customFormat="1" x14ac:dyDescent="0.25"/>
    <row r="70805" customFormat="1" x14ac:dyDescent="0.25"/>
    <row r="70806" customFormat="1" x14ac:dyDescent="0.25"/>
    <row r="70807" customFormat="1" x14ac:dyDescent="0.25"/>
    <row r="70808" customFormat="1" x14ac:dyDescent="0.25"/>
    <row r="70809" customFormat="1" x14ac:dyDescent="0.25"/>
    <row r="70810" customFormat="1" x14ac:dyDescent="0.25"/>
    <row r="70811" customFormat="1" x14ac:dyDescent="0.25"/>
    <row r="70812" customFormat="1" x14ac:dyDescent="0.25"/>
    <row r="70813" customFormat="1" x14ac:dyDescent="0.25"/>
    <row r="70814" customFormat="1" x14ac:dyDescent="0.25"/>
    <row r="70815" customFormat="1" x14ac:dyDescent="0.25"/>
    <row r="70816" customFormat="1" x14ac:dyDescent="0.25"/>
    <row r="70817" customFormat="1" x14ac:dyDescent="0.25"/>
    <row r="70818" customFormat="1" x14ac:dyDescent="0.25"/>
    <row r="70819" customFormat="1" x14ac:dyDescent="0.25"/>
    <row r="70820" customFormat="1" x14ac:dyDescent="0.25"/>
    <row r="70821" customFormat="1" x14ac:dyDescent="0.25"/>
    <row r="70822" customFormat="1" x14ac:dyDescent="0.25"/>
    <row r="70823" customFormat="1" x14ac:dyDescent="0.25"/>
    <row r="70824" customFormat="1" x14ac:dyDescent="0.25"/>
    <row r="70825" customFormat="1" x14ac:dyDescent="0.25"/>
    <row r="70826" customFormat="1" x14ac:dyDescent="0.25"/>
    <row r="70827" customFormat="1" x14ac:dyDescent="0.25"/>
    <row r="70828" customFormat="1" x14ac:dyDescent="0.25"/>
    <row r="70829" customFormat="1" x14ac:dyDescent="0.25"/>
    <row r="70830" customFormat="1" x14ac:dyDescent="0.25"/>
    <row r="70831" customFormat="1" x14ac:dyDescent="0.25"/>
    <row r="70832" customFormat="1" x14ac:dyDescent="0.25"/>
    <row r="70833" customFormat="1" x14ac:dyDescent="0.25"/>
    <row r="70834" customFormat="1" x14ac:dyDescent="0.25"/>
    <row r="70835" customFormat="1" x14ac:dyDescent="0.25"/>
    <row r="70836" customFormat="1" x14ac:dyDescent="0.25"/>
    <row r="70837" customFormat="1" x14ac:dyDescent="0.25"/>
    <row r="70838" customFormat="1" x14ac:dyDescent="0.25"/>
    <row r="70839" customFormat="1" x14ac:dyDescent="0.25"/>
    <row r="70840" customFormat="1" x14ac:dyDescent="0.25"/>
    <row r="70841" customFormat="1" x14ac:dyDescent="0.25"/>
    <row r="70842" customFormat="1" x14ac:dyDescent="0.25"/>
    <row r="70843" customFormat="1" x14ac:dyDescent="0.25"/>
    <row r="70844" customFormat="1" x14ac:dyDescent="0.25"/>
    <row r="70845" customFormat="1" x14ac:dyDescent="0.25"/>
    <row r="70846" customFormat="1" x14ac:dyDescent="0.25"/>
    <row r="70847" customFormat="1" x14ac:dyDescent="0.25"/>
    <row r="70848" customFormat="1" x14ac:dyDescent="0.25"/>
    <row r="70849" customFormat="1" x14ac:dyDescent="0.25"/>
    <row r="70850" customFormat="1" x14ac:dyDescent="0.25"/>
    <row r="70851" customFormat="1" x14ac:dyDescent="0.25"/>
    <row r="70852" customFormat="1" x14ac:dyDescent="0.25"/>
    <row r="70853" customFormat="1" x14ac:dyDescent="0.25"/>
    <row r="70854" customFormat="1" x14ac:dyDescent="0.25"/>
    <row r="70855" customFormat="1" x14ac:dyDescent="0.25"/>
    <row r="70856" customFormat="1" x14ac:dyDescent="0.25"/>
    <row r="70857" customFormat="1" x14ac:dyDescent="0.25"/>
    <row r="70858" customFormat="1" x14ac:dyDescent="0.25"/>
    <row r="70859" customFormat="1" x14ac:dyDescent="0.25"/>
    <row r="70860" customFormat="1" x14ac:dyDescent="0.25"/>
    <row r="70861" customFormat="1" x14ac:dyDescent="0.25"/>
    <row r="70862" customFormat="1" x14ac:dyDescent="0.25"/>
    <row r="70863" customFormat="1" x14ac:dyDescent="0.25"/>
    <row r="70864" customFormat="1" x14ac:dyDescent="0.25"/>
    <row r="70865" customFormat="1" x14ac:dyDescent="0.25"/>
    <row r="70866" customFormat="1" x14ac:dyDescent="0.25"/>
    <row r="70867" customFormat="1" x14ac:dyDescent="0.25"/>
    <row r="70868" customFormat="1" x14ac:dyDescent="0.25"/>
    <row r="70869" customFormat="1" x14ac:dyDescent="0.25"/>
    <row r="70870" customFormat="1" x14ac:dyDescent="0.25"/>
    <row r="70871" customFormat="1" x14ac:dyDescent="0.25"/>
    <row r="70872" customFormat="1" x14ac:dyDescent="0.25"/>
    <row r="70873" customFormat="1" x14ac:dyDescent="0.25"/>
    <row r="70874" customFormat="1" x14ac:dyDescent="0.25"/>
    <row r="70875" customFormat="1" x14ac:dyDescent="0.25"/>
    <row r="70876" customFormat="1" x14ac:dyDescent="0.25"/>
    <row r="70877" customFormat="1" x14ac:dyDescent="0.25"/>
    <row r="70878" customFormat="1" x14ac:dyDescent="0.25"/>
    <row r="70879" customFormat="1" x14ac:dyDescent="0.25"/>
    <row r="70880" customFormat="1" x14ac:dyDescent="0.25"/>
    <row r="70881" customFormat="1" x14ac:dyDescent="0.25"/>
    <row r="70882" customFormat="1" x14ac:dyDescent="0.25"/>
    <row r="70883" customFormat="1" x14ac:dyDescent="0.25"/>
    <row r="70884" customFormat="1" x14ac:dyDescent="0.25"/>
    <row r="70885" customFormat="1" x14ac:dyDescent="0.25"/>
    <row r="70886" customFormat="1" x14ac:dyDescent="0.25"/>
    <row r="70887" customFormat="1" x14ac:dyDescent="0.25"/>
    <row r="70888" customFormat="1" x14ac:dyDescent="0.25"/>
    <row r="70889" customFormat="1" x14ac:dyDescent="0.25"/>
    <row r="70890" customFormat="1" x14ac:dyDescent="0.25"/>
    <row r="70891" customFormat="1" x14ac:dyDescent="0.25"/>
    <row r="70892" customFormat="1" x14ac:dyDescent="0.25"/>
    <row r="70893" customFormat="1" x14ac:dyDescent="0.25"/>
    <row r="70894" customFormat="1" x14ac:dyDescent="0.25"/>
    <row r="70895" customFormat="1" x14ac:dyDescent="0.25"/>
    <row r="70896" customFormat="1" x14ac:dyDescent="0.25"/>
    <row r="70897" customFormat="1" x14ac:dyDescent="0.25"/>
    <row r="70898" customFormat="1" x14ac:dyDescent="0.25"/>
    <row r="70899" customFormat="1" x14ac:dyDescent="0.25"/>
    <row r="70900" customFormat="1" x14ac:dyDescent="0.25"/>
    <row r="70901" customFormat="1" x14ac:dyDescent="0.25"/>
    <row r="70902" customFormat="1" x14ac:dyDescent="0.25"/>
    <row r="70903" customFormat="1" x14ac:dyDescent="0.25"/>
    <row r="70904" customFormat="1" x14ac:dyDescent="0.25"/>
    <row r="70905" customFormat="1" x14ac:dyDescent="0.25"/>
    <row r="70906" customFormat="1" x14ac:dyDescent="0.25"/>
    <row r="70907" customFormat="1" x14ac:dyDescent="0.25"/>
    <row r="70908" customFormat="1" x14ac:dyDescent="0.25"/>
    <row r="70909" customFormat="1" x14ac:dyDescent="0.25"/>
    <row r="70910" customFormat="1" x14ac:dyDescent="0.25"/>
    <row r="70911" customFormat="1" x14ac:dyDescent="0.25"/>
    <row r="70912" customFormat="1" x14ac:dyDescent="0.25"/>
    <row r="70913" customFormat="1" x14ac:dyDescent="0.25"/>
    <row r="70914" customFormat="1" x14ac:dyDescent="0.25"/>
    <row r="70915" customFormat="1" x14ac:dyDescent="0.25"/>
    <row r="70916" customFormat="1" x14ac:dyDescent="0.25"/>
    <row r="70917" customFormat="1" x14ac:dyDescent="0.25"/>
    <row r="70918" customFormat="1" x14ac:dyDescent="0.25"/>
    <row r="70919" customFormat="1" x14ac:dyDescent="0.25"/>
    <row r="70920" customFormat="1" x14ac:dyDescent="0.25"/>
    <row r="70921" customFormat="1" x14ac:dyDescent="0.25"/>
    <row r="70922" customFormat="1" x14ac:dyDescent="0.25"/>
    <row r="70923" customFormat="1" x14ac:dyDescent="0.25"/>
    <row r="70924" customFormat="1" x14ac:dyDescent="0.25"/>
    <row r="70925" customFormat="1" x14ac:dyDescent="0.25"/>
    <row r="70926" customFormat="1" x14ac:dyDescent="0.25"/>
    <row r="70927" customFormat="1" x14ac:dyDescent="0.25"/>
    <row r="70928" customFormat="1" x14ac:dyDescent="0.25"/>
    <row r="70929" customFormat="1" x14ac:dyDescent="0.25"/>
    <row r="70930" customFormat="1" x14ac:dyDescent="0.25"/>
    <row r="70931" customFormat="1" x14ac:dyDescent="0.25"/>
    <row r="70932" customFormat="1" x14ac:dyDescent="0.25"/>
    <row r="70933" customFormat="1" x14ac:dyDescent="0.25"/>
    <row r="70934" customFormat="1" x14ac:dyDescent="0.25"/>
    <row r="70935" customFormat="1" x14ac:dyDescent="0.25"/>
    <row r="70936" customFormat="1" x14ac:dyDescent="0.25"/>
    <row r="70937" customFormat="1" x14ac:dyDescent="0.25"/>
    <row r="70938" customFormat="1" x14ac:dyDescent="0.25"/>
    <row r="70939" customFormat="1" x14ac:dyDescent="0.25"/>
    <row r="70940" customFormat="1" x14ac:dyDescent="0.25"/>
    <row r="70941" customFormat="1" x14ac:dyDescent="0.25"/>
    <row r="70942" customFormat="1" x14ac:dyDescent="0.25"/>
    <row r="70943" customFormat="1" x14ac:dyDescent="0.25"/>
    <row r="70944" customFormat="1" x14ac:dyDescent="0.25"/>
    <row r="70945" customFormat="1" x14ac:dyDescent="0.25"/>
    <row r="70946" customFormat="1" x14ac:dyDescent="0.25"/>
    <row r="70947" customFormat="1" x14ac:dyDescent="0.25"/>
    <row r="70948" customFormat="1" x14ac:dyDescent="0.25"/>
    <row r="70949" customFormat="1" x14ac:dyDescent="0.25"/>
    <row r="70950" customFormat="1" x14ac:dyDescent="0.25"/>
    <row r="70951" customFormat="1" x14ac:dyDescent="0.25"/>
    <row r="70952" customFormat="1" x14ac:dyDescent="0.25"/>
    <row r="70953" customFormat="1" x14ac:dyDescent="0.25"/>
    <row r="70954" customFormat="1" x14ac:dyDescent="0.25"/>
    <row r="70955" customFormat="1" x14ac:dyDescent="0.25"/>
    <row r="70956" customFormat="1" x14ac:dyDescent="0.25"/>
    <row r="70957" customFormat="1" x14ac:dyDescent="0.25"/>
    <row r="70958" customFormat="1" x14ac:dyDescent="0.25"/>
    <row r="70959" customFormat="1" x14ac:dyDescent="0.25"/>
    <row r="70960" customFormat="1" x14ac:dyDescent="0.25"/>
    <row r="70961" customFormat="1" x14ac:dyDescent="0.25"/>
    <row r="70962" customFormat="1" x14ac:dyDescent="0.25"/>
    <row r="70963" customFormat="1" x14ac:dyDescent="0.25"/>
    <row r="70964" customFormat="1" x14ac:dyDescent="0.25"/>
    <row r="70965" customFormat="1" x14ac:dyDescent="0.25"/>
    <row r="70966" customFormat="1" x14ac:dyDescent="0.25"/>
    <row r="70967" customFormat="1" x14ac:dyDescent="0.25"/>
    <row r="70968" customFormat="1" x14ac:dyDescent="0.25"/>
    <row r="70969" customFormat="1" x14ac:dyDescent="0.25"/>
    <row r="70970" customFormat="1" x14ac:dyDescent="0.25"/>
    <row r="70971" customFormat="1" x14ac:dyDescent="0.25"/>
    <row r="70972" customFormat="1" x14ac:dyDescent="0.25"/>
    <row r="70973" customFormat="1" x14ac:dyDescent="0.25"/>
    <row r="70974" customFormat="1" x14ac:dyDescent="0.25"/>
    <row r="70975" customFormat="1" x14ac:dyDescent="0.25"/>
    <row r="70976" customFormat="1" x14ac:dyDescent="0.25"/>
    <row r="70977" customFormat="1" x14ac:dyDescent="0.25"/>
    <row r="70978" customFormat="1" x14ac:dyDescent="0.25"/>
    <row r="70979" customFormat="1" x14ac:dyDescent="0.25"/>
    <row r="70980" customFormat="1" x14ac:dyDescent="0.25"/>
    <row r="70981" customFormat="1" x14ac:dyDescent="0.25"/>
    <row r="70982" customFormat="1" x14ac:dyDescent="0.25"/>
    <row r="70983" customFormat="1" x14ac:dyDescent="0.25"/>
    <row r="70984" customFormat="1" x14ac:dyDescent="0.25"/>
    <row r="70985" customFormat="1" x14ac:dyDescent="0.25"/>
    <row r="70986" customFormat="1" x14ac:dyDescent="0.25"/>
    <row r="70987" customFormat="1" x14ac:dyDescent="0.25"/>
    <row r="70988" customFormat="1" x14ac:dyDescent="0.25"/>
    <row r="70989" customFormat="1" x14ac:dyDescent="0.25"/>
    <row r="70990" customFormat="1" x14ac:dyDescent="0.25"/>
    <row r="70991" customFormat="1" x14ac:dyDescent="0.25"/>
    <row r="70992" customFormat="1" x14ac:dyDescent="0.25"/>
    <row r="70993" customFormat="1" x14ac:dyDescent="0.25"/>
    <row r="70994" customFormat="1" x14ac:dyDescent="0.25"/>
    <row r="70995" customFormat="1" x14ac:dyDescent="0.25"/>
    <row r="70996" customFormat="1" x14ac:dyDescent="0.25"/>
    <row r="70997" customFormat="1" x14ac:dyDescent="0.25"/>
    <row r="70998" customFormat="1" x14ac:dyDescent="0.25"/>
    <row r="70999" customFormat="1" x14ac:dyDescent="0.25"/>
    <row r="71000" customFormat="1" x14ac:dyDescent="0.25"/>
    <row r="71001" customFormat="1" x14ac:dyDescent="0.25"/>
    <row r="71002" customFormat="1" x14ac:dyDescent="0.25"/>
    <row r="71003" customFormat="1" x14ac:dyDescent="0.25"/>
    <row r="71004" customFormat="1" x14ac:dyDescent="0.25"/>
    <row r="71005" customFormat="1" x14ac:dyDescent="0.25"/>
    <row r="71006" customFormat="1" x14ac:dyDescent="0.25"/>
    <row r="71007" customFormat="1" x14ac:dyDescent="0.25"/>
    <row r="71008" customFormat="1" x14ac:dyDescent="0.25"/>
    <row r="71009" customFormat="1" x14ac:dyDescent="0.25"/>
    <row r="71010" customFormat="1" x14ac:dyDescent="0.25"/>
    <row r="71011" customFormat="1" x14ac:dyDescent="0.25"/>
    <row r="71012" customFormat="1" x14ac:dyDescent="0.25"/>
    <row r="71013" customFormat="1" x14ac:dyDescent="0.25"/>
    <row r="71014" customFormat="1" x14ac:dyDescent="0.25"/>
    <row r="71015" customFormat="1" x14ac:dyDescent="0.25"/>
    <row r="71016" customFormat="1" x14ac:dyDescent="0.25"/>
    <row r="71017" customFormat="1" x14ac:dyDescent="0.25"/>
    <row r="71018" customFormat="1" x14ac:dyDescent="0.25"/>
    <row r="71019" customFormat="1" x14ac:dyDescent="0.25"/>
    <row r="71020" customFormat="1" x14ac:dyDescent="0.25"/>
    <row r="71021" customFormat="1" x14ac:dyDescent="0.25"/>
    <row r="71022" customFormat="1" x14ac:dyDescent="0.25"/>
    <row r="71023" customFormat="1" x14ac:dyDescent="0.25"/>
    <row r="71024" customFormat="1" x14ac:dyDescent="0.25"/>
    <row r="71025" customFormat="1" x14ac:dyDescent="0.25"/>
    <row r="71026" customFormat="1" x14ac:dyDescent="0.25"/>
    <row r="71027" customFormat="1" x14ac:dyDescent="0.25"/>
    <row r="71028" customFormat="1" x14ac:dyDescent="0.25"/>
    <row r="71029" customFormat="1" x14ac:dyDescent="0.25"/>
    <row r="71030" customFormat="1" x14ac:dyDescent="0.25"/>
    <row r="71031" customFormat="1" x14ac:dyDescent="0.25"/>
    <row r="71032" customFormat="1" x14ac:dyDescent="0.25"/>
    <row r="71033" customFormat="1" x14ac:dyDescent="0.25"/>
    <row r="71034" customFormat="1" x14ac:dyDescent="0.25"/>
    <row r="71035" customFormat="1" x14ac:dyDescent="0.25"/>
    <row r="71036" customFormat="1" x14ac:dyDescent="0.25"/>
    <row r="71037" customFormat="1" x14ac:dyDescent="0.25"/>
    <row r="71038" customFormat="1" x14ac:dyDescent="0.25"/>
    <row r="71039" customFormat="1" x14ac:dyDescent="0.25"/>
    <row r="71040" customFormat="1" x14ac:dyDescent="0.25"/>
    <row r="71041" customFormat="1" x14ac:dyDescent="0.25"/>
    <row r="71042" customFormat="1" x14ac:dyDescent="0.25"/>
    <row r="71043" customFormat="1" x14ac:dyDescent="0.25"/>
    <row r="71044" customFormat="1" x14ac:dyDescent="0.25"/>
    <row r="71045" customFormat="1" x14ac:dyDescent="0.25"/>
    <row r="71046" customFormat="1" x14ac:dyDescent="0.25"/>
    <row r="71047" customFormat="1" x14ac:dyDescent="0.25"/>
    <row r="71048" customFormat="1" x14ac:dyDescent="0.25"/>
    <row r="71049" customFormat="1" x14ac:dyDescent="0.25"/>
    <row r="71050" customFormat="1" x14ac:dyDescent="0.25"/>
    <row r="71051" customFormat="1" x14ac:dyDescent="0.25"/>
    <row r="71052" customFormat="1" x14ac:dyDescent="0.25"/>
    <row r="71053" customFormat="1" x14ac:dyDescent="0.25"/>
    <row r="71054" customFormat="1" x14ac:dyDescent="0.25"/>
    <row r="71055" customFormat="1" x14ac:dyDescent="0.25"/>
    <row r="71056" customFormat="1" x14ac:dyDescent="0.25"/>
    <row r="71057" customFormat="1" x14ac:dyDescent="0.25"/>
    <row r="71058" customFormat="1" x14ac:dyDescent="0.25"/>
    <row r="71059" customFormat="1" x14ac:dyDescent="0.25"/>
    <row r="71060" customFormat="1" x14ac:dyDescent="0.25"/>
    <row r="71061" customFormat="1" x14ac:dyDescent="0.25"/>
    <row r="71062" customFormat="1" x14ac:dyDescent="0.25"/>
    <row r="71063" customFormat="1" x14ac:dyDescent="0.25"/>
    <row r="71064" customFormat="1" x14ac:dyDescent="0.25"/>
    <row r="71065" customFormat="1" x14ac:dyDescent="0.25"/>
    <row r="71066" customFormat="1" x14ac:dyDescent="0.25"/>
    <row r="71067" customFormat="1" x14ac:dyDescent="0.25"/>
    <row r="71068" customFormat="1" x14ac:dyDescent="0.25"/>
    <row r="71069" customFormat="1" x14ac:dyDescent="0.25"/>
    <row r="71070" customFormat="1" x14ac:dyDescent="0.25"/>
    <row r="71071" customFormat="1" x14ac:dyDescent="0.25"/>
    <row r="71072" customFormat="1" x14ac:dyDescent="0.25"/>
    <row r="71073" customFormat="1" x14ac:dyDescent="0.25"/>
    <row r="71074" customFormat="1" x14ac:dyDescent="0.25"/>
    <row r="71075" customFormat="1" x14ac:dyDescent="0.25"/>
    <row r="71076" customFormat="1" x14ac:dyDescent="0.25"/>
    <row r="71077" customFormat="1" x14ac:dyDescent="0.25"/>
    <row r="71078" customFormat="1" x14ac:dyDescent="0.25"/>
    <row r="71079" customFormat="1" x14ac:dyDescent="0.25"/>
    <row r="71080" customFormat="1" x14ac:dyDescent="0.25"/>
    <row r="71081" customFormat="1" x14ac:dyDescent="0.25"/>
    <row r="71082" customFormat="1" x14ac:dyDescent="0.25"/>
    <row r="71083" customFormat="1" x14ac:dyDescent="0.25"/>
    <row r="71084" customFormat="1" x14ac:dyDescent="0.25"/>
    <row r="71085" customFormat="1" x14ac:dyDescent="0.25"/>
    <row r="71086" customFormat="1" x14ac:dyDescent="0.25"/>
    <row r="71087" customFormat="1" x14ac:dyDescent="0.25"/>
    <row r="71088" customFormat="1" x14ac:dyDescent="0.25"/>
    <row r="71089" customFormat="1" x14ac:dyDescent="0.25"/>
    <row r="71090" customFormat="1" x14ac:dyDescent="0.25"/>
    <row r="71091" customFormat="1" x14ac:dyDescent="0.25"/>
    <row r="71092" customFormat="1" x14ac:dyDescent="0.25"/>
    <row r="71093" customFormat="1" x14ac:dyDescent="0.25"/>
    <row r="71094" customFormat="1" x14ac:dyDescent="0.25"/>
    <row r="71095" customFormat="1" x14ac:dyDescent="0.25"/>
    <row r="71096" customFormat="1" x14ac:dyDescent="0.25"/>
    <row r="71097" customFormat="1" x14ac:dyDescent="0.25"/>
    <row r="71098" customFormat="1" x14ac:dyDescent="0.25"/>
    <row r="71099" customFormat="1" x14ac:dyDescent="0.25"/>
    <row r="71100" customFormat="1" x14ac:dyDescent="0.25"/>
    <row r="71101" customFormat="1" x14ac:dyDescent="0.25"/>
    <row r="71102" customFormat="1" x14ac:dyDescent="0.25"/>
    <row r="71103" customFormat="1" x14ac:dyDescent="0.25"/>
    <row r="71104" customFormat="1" x14ac:dyDescent="0.25"/>
    <row r="71105" customFormat="1" x14ac:dyDescent="0.25"/>
    <row r="71106" customFormat="1" x14ac:dyDescent="0.25"/>
    <row r="71107" customFormat="1" x14ac:dyDescent="0.25"/>
    <row r="71108" customFormat="1" x14ac:dyDescent="0.25"/>
    <row r="71109" customFormat="1" x14ac:dyDescent="0.25"/>
    <row r="71110" customFormat="1" x14ac:dyDescent="0.25"/>
    <row r="71111" customFormat="1" x14ac:dyDescent="0.25"/>
    <row r="71112" customFormat="1" x14ac:dyDescent="0.25"/>
    <row r="71113" customFormat="1" x14ac:dyDescent="0.25"/>
    <row r="71114" customFormat="1" x14ac:dyDescent="0.25"/>
    <row r="71115" customFormat="1" x14ac:dyDescent="0.25"/>
    <row r="71116" customFormat="1" x14ac:dyDescent="0.25"/>
    <row r="71117" customFormat="1" x14ac:dyDescent="0.25"/>
    <row r="71118" customFormat="1" x14ac:dyDescent="0.25"/>
    <row r="71119" customFormat="1" x14ac:dyDescent="0.25"/>
    <row r="71120" customFormat="1" x14ac:dyDescent="0.25"/>
    <row r="71121" customFormat="1" x14ac:dyDescent="0.25"/>
    <row r="71122" customFormat="1" x14ac:dyDescent="0.25"/>
    <row r="71123" customFormat="1" x14ac:dyDescent="0.25"/>
    <row r="71124" customFormat="1" x14ac:dyDescent="0.25"/>
    <row r="71125" customFormat="1" x14ac:dyDescent="0.25"/>
    <row r="71126" customFormat="1" x14ac:dyDescent="0.25"/>
    <row r="71127" customFormat="1" x14ac:dyDescent="0.25"/>
    <row r="71128" customFormat="1" x14ac:dyDescent="0.25"/>
    <row r="71129" customFormat="1" x14ac:dyDescent="0.25"/>
    <row r="71130" customFormat="1" x14ac:dyDescent="0.25"/>
    <row r="71131" customFormat="1" x14ac:dyDescent="0.25"/>
    <row r="71132" customFormat="1" x14ac:dyDescent="0.25"/>
    <row r="71133" customFormat="1" x14ac:dyDescent="0.25"/>
    <row r="71134" customFormat="1" x14ac:dyDescent="0.25"/>
    <row r="71135" customFormat="1" x14ac:dyDescent="0.25"/>
    <row r="71136" customFormat="1" x14ac:dyDescent="0.25"/>
    <row r="71137" customFormat="1" x14ac:dyDescent="0.25"/>
    <row r="71138" customFormat="1" x14ac:dyDescent="0.25"/>
    <row r="71139" customFormat="1" x14ac:dyDescent="0.25"/>
    <row r="71140" customFormat="1" x14ac:dyDescent="0.25"/>
    <row r="71141" customFormat="1" x14ac:dyDescent="0.25"/>
    <row r="71142" customFormat="1" x14ac:dyDescent="0.25"/>
    <row r="71143" customFormat="1" x14ac:dyDescent="0.25"/>
    <row r="71144" customFormat="1" x14ac:dyDescent="0.25"/>
    <row r="71145" customFormat="1" x14ac:dyDescent="0.25"/>
    <row r="71146" customFormat="1" x14ac:dyDescent="0.25"/>
    <row r="71147" customFormat="1" x14ac:dyDescent="0.25"/>
    <row r="71148" customFormat="1" x14ac:dyDescent="0.25"/>
    <row r="71149" customFormat="1" x14ac:dyDescent="0.25"/>
    <row r="71150" customFormat="1" x14ac:dyDescent="0.25"/>
    <row r="71151" customFormat="1" x14ac:dyDescent="0.25"/>
    <row r="71152" customFormat="1" x14ac:dyDescent="0.25"/>
    <row r="71153" customFormat="1" x14ac:dyDescent="0.25"/>
    <row r="71154" customFormat="1" x14ac:dyDescent="0.25"/>
    <row r="71155" customFormat="1" x14ac:dyDescent="0.25"/>
    <row r="71156" customFormat="1" x14ac:dyDescent="0.25"/>
    <row r="71157" customFormat="1" x14ac:dyDescent="0.25"/>
    <row r="71158" customFormat="1" x14ac:dyDescent="0.25"/>
    <row r="71159" customFormat="1" x14ac:dyDescent="0.25"/>
    <row r="71160" customFormat="1" x14ac:dyDescent="0.25"/>
    <row r="71161" customFormat="1" x14ac:dyDescent="0.25"/>
    <row r="71162" customFormat="1" x14ac:dyDescent="0.25"/>
    <row r="71163" customFormat="1" x14ac:dyDescent="0.25"/>
    <row r="71164" customFormat="1" x14ac:dyDescent="0.25"/>
    <row r="71165" customFormat="1" x14ac:dyDescent="0.25"/>
    <row r="71166" customFormat="1" x14ac:dyDescent="0.25"/>
    <row r="71167" customFormat="1" x14ac:dyDescent="0.25"/>
    <row r="71168" customFormat="1" x14ac:dyDescent="0.25"/>
    <row r="71169" customFormat="1" x14ac:dyDescent="0.25"/>
    <row r="71170" customFormat="1" x14ac:dyDescent="0.25"/>
    <row r="71171" customFormat="1" x14ac:dyDescent="0.25"/>
    <row r="71172" customFormat="1" x14ac:dyDescent="0.25"/>
    <row r="71173" customFormat="1" x14ac:dyDescent="0.25"/>
    <row r="71174" customFormat="1" x14ac:dyDescent="0.25"/>
    <row r="71175" customFormat="1" x14ac:dyDescent="0.25"/>
    <row r="71176" customFormat="1" x14ac:dyDescent="0.25"/>
    <row r="71177" customFormat="1" x14ac:dyDescent="0.25"/>
    <row r="71178" customFormat="1" x14ac:dyDescent="0.25"/>
    <row r="71179" customFormat="1" x14ac:dyDescent="0.25"/>
    <row r="71180" customFormat="1" x14ac:dyDescent="0.25"/>
    <row r="71181" customFormat="1" x14ac:dyDescent="0.25"/>
    <row r="71182" customFormat="1" x14ac:dyDescent="0.25"/>
    <row r="71183" customFormat="1" x14ac:dyDescent="0.25"/>
    <row r="71184" customFormat="1" x14ac:dyDescent="0.25"/>
    <row r="71185" customFormat="1" x14ac:dyDescent="0.25"/>
    <row r="71186" customFormat="1" x14ac:dyDescent="0.25"/>
    <row r="71187" customFormat="1" x14ac:dyDescent="0.25"/>
    <row r="71188" customFormat="1" x14ac:dyDescent="0.25"/>
    <row r="71189" customFormat="1" x14ac:dyDescent="0.25"/>
    <row r="71190" customFormat="1" x14ac:dyDescent="0.25"/>
    <row r="71191" customFormat="1" x14ac:dyDescent="0.25"/>
    <row r="71192" customFormat="1" x14ac:dyDescent="0.25"/>
    <row r="71193" customFormat="1" x14ac:dyDescent="0.25"/>
    <row r="71194" customFormat="1" x14ac:dyDescent="0.25"/>
    <row r="71195" customFormat="1" x14ac:dyDescent="0.25"/>
    <row r="71196" customFormat="1" x14ac:dyDescent="0.25"/>
    <row r="71197" customFormat="1" x14ac:dyDescent="0.25"/>
    <row r="71198" customFormat="1" x14ac:dyDescent="0.25"/>
    <row r="71199" customFormat="1" x14ac:dyDescent="0.25"/>
    <row r="71200" customFormat="1" x14ac:dyDescent="0.25"/>
    <row r="71201" customFormat="1" x14ac:dyDescent="0.25"/>
    <row r="71202" customFormat="1" x14ac:dyDescent="0.25"/>
    <row r="71203" customFormat="1" x14ac:dyDescent="0.25"/>
    <row r="71204" customFormat="1" x14ac:dyDescent="0.25"/>
    <row r="71205" customFormat="1" x14ac:dyDescent="0.25"/>
    <row r="71206" customFormat="1" x14ac:dyDescent="0.25"/>
    <row r="71207" customFormat="1" x14ac:dyDescent="0.25"/>
    <row r="71208" customFormat="1" x14ac:dyDescent="0.25"/>
    <row r="71209" customFormat="1" x14ac:dyDescent="0.25"/>
    <row r="71210" customFormat="1" x14ac:dyDescent="0.25"/>
    <row r="71211" customFormat="1" x14ac:dyDescent="0.25"/>
    <row r="71212" customFormat="1" x14ac:dyDescent="0.25"/>
    <row r="71213" customFormat="1" x14ac:dyDescent="0.25"/>
    <row r="71214" customFormat="1" x14ac:dyDescent="0.25"/>
    <row r="71215" customFormat="1" x14ac:dyDescent="0.25"/>
    <row r="71216" customFormat="1" x14ac:dyDescent="0.25"/>
    <row r="71217" customFormat="1" x14ac:dyDescent="0.25"/>
    <row r="71218" customFormat="1" x14ac:dyDescent="0.25"/>
    <row r="71219" customFormat="1" x14ac:dyDescent="0.25"/>
    <row r="71220" customFormat="1" x14ac:dyDescent="0.25"/>
    <row r="71221" customFormat="1" x14ac:dyDescent="0.25"/>
    <row r="71222" customFormat="1" x14ac:dyDescent="0.25"/>
    <row r="71223" customFormat="1" x14ac:dyDescent="0.25"/>
    <row r="71224" customFormat="1" x14ac:dyDescent="0.25"/>
    <row r="71225" customFormat="1" x14ac:dyDescent="0.25"/>
    <row r="71226" customFormat="1" x14ac:dyDescent="0.25"/>
    <row r="71227" customFormat="1" x14ac:dyDescent="0.25"/>
    <row r="71228" customFormat="1" x14ac:dyDescent="0.25"/>
    <row r="71229" customFormat="1" x14ac:dyDescent="0.25"/>
    <row r="71230" customFormat="1" x14ac:dyDescent="0.25"/>
    <row r="71231" customFormat="1" x14ac:dyDescent="0.25"/>
    <row r="71232" customFormat="1" x14ac:dyDescent="0.25"/>
    <row r="71233" customFormat="1" x14ac:dyDescent="0.25"/>
    <row r="71234" customFormat="1" x14ac:dyDescent="0.25"/>
    <row r="71235" customFormat="1" x14ac:dyDescent="0.25"/>
    <row r="71236" customFormat="1" x14ac:dyDescent="0.25"/>
    <row r="71237" customFormat="1" x14ac:dyDescent="0.25"/>
    <row r="71238" customFormat="1" x14ac:dyDescent="0.25"/>
    <row r="71239" customFormat="1" x14ac:dyDescent="0.25"/>
    <row r="71240" customFormat="1" x14ac:dyDescent="0.25"/>
    <row r="71241" customFormat="1" x14ac:dyDescent="0.25"/>
    <row r="71242" customFormat="1" x14ac:dyDescent="0.25"/>
    <row r="71243" customFormat="1" x14ac:dyDescent="0.25"/>
    <row r="71244" customFormat="1" x14ac:dyDescent="0.25"/>
    <row r="71245" customFormat="1" x14ac:dyDescent="0.25"/>
    <row r="71246" customFormat="1" x14ac:dyDescent="0.25"/>
    <row r="71247" customFormat="1" x14ac:dyDescent="0.25"/>
    <row r="71248" customFormat="1" x14ac:dyDescent="0.25"/>
    <row r="71249" customFormat="1" x14ac:dyDescent="0.25"/>
    <row r="71250" customFormat="1" x14ac:dyDescent="0.25"/>
    <row r="71251" customFormat="1" x14ac:dyDescent="0.25"/>
    <row r="71252" customFormat="1" x14ac:dyDescent="0.25"/>
    <row r="71253" customFormat="1" x14ac:dyDescent="0.25"/>
    <row r="71254" customFormat="1" x14ac:dyDescent="0.25"/>
    <row r="71255" customFormat="1" x14ac:dyDescent="0.25"/>
    <row r="71256" customFormat="1" x14ac:dyDescent="0.25"/>
    <row r="71257" customFormat="1" x14ac:dyDescent="0.25"/>
    <row r="71258" customFormat="1" x14ac:dyDescent="0.25"/>
    <row r="71259" customFormat="1" x14ac:dyDescent="0.25"/>
    <row r="71260" customFormat="1" x14ac:dyDescent="0.25"/>
    <row r="71261" customFormat="1" x14ac:dyDescent="0.25"/>
    <row r="71262" customFormat="1" x14ac:dyDescent="0.25"/>
    <row r="71263" customFormat="1" x14ac:dyDescent="0.25"/>
    <row r="71264" customFormat="1" x14ac:dyDescent="0.25"/>
    <row r="71265" customFormat="1" x14ac:dyDescent="0.25"/>
    <row r="71266" customFormat="1" x14ac:dyDescent="0.25"/>
    <row r="71267" customFormat="1" x14ac:dyDescent="0.25"/>
    <row r="71268" customFormat="1" x14ac:dyDescent="0.25"/>
    <row r="71269" customFormat="1" x14ac:dyDescent="0.25"/>
    <row r="71270" customFormat="1" x14ac:dyDescent="0.25"/>
    <row r="71271" customFormat="1" x14ac:dyDescent="0.25"/>
    <row r="71272" customFormat="1" x14ac:dyDescent="0.25"/>
    <row r="71273" customFormat="1" x14ac:dyDescent="0.25"/>
    <row r="71274" customFormat="1" x14ac:dyDescent="0.25"/>
    <row r="71275" customFormat="1" x14ac:dyDescent="0.25"/>
    <row r="71276" customFormat="1" x14ac:dyDescent="0.25"/>
    <row r="71277" customFormat="1" x14ac:dyDescent="0.25"/>
    <row r="71278" customFormat="1" x14ac:dyDescent="0.25"/>
    <row r="71279" customFormat="1" x14ac:dyDescent="0.25"/>
    <row r="71280" customFormat="1" x14ac:dyDescent="0.25"/>
    <row r="71281" customFormat="1" x14ac:dyDescent="0.25"/>
    <row r="71282" customFormat="1" x14ac:dyDescent="0.25"/>
    <row r="71283" customFormat="1" x14ac:dyDescent="0.25"/>
    <row r="71284" customFormat="1" x14ac:dyDescent="0.25"/>
    <row r="71285" customFormat="1" x14ac:dyDescent="0.25"/>
    <row r="71286" customFormat="1" x14ac:dyDescent="0.25"/>
    <row r="71287" customFormat="1" x14ac:dyDescent="0.25"/>
    <row r="71288" customFormat="1" x14ac:dyDescent="0.25"/>
    <row r="71289" customFormat="1" x14ac:dyDescent="0.25"/>
    <row r="71290" customFormat="1" x14ac:dyDescent="0.25"/>
    <row r="71291" customFormat="1" x14ac:dyDescent="0.25"/>
    <row r="71292" customFormat="1" x14ac:dyDescent="0.25"/>
    <row r="71293" customFormat="1" x14ac:dyDescent="0.25"/>
    <row r="71294" customFormat="1" x14ac:dyDescent="0.25"/>
    <row r="71295" customFormat="1" x14ac:dyDescent="0.25"/>
    <row r="71296" customFormat="1" x14ac:dyDescent="0.25"/>
    <row r="71297" customFormat="1" x14ac:dyDescent="0.25"/>
    <row r="71298" customFormat="1" x14ac:dyDescent="0.25"/>
    <row r="71299" customFormat="1" x14ac:dyDescent="0.25"/>
    <row r="71300" customFormat="1" x14ac:dyDescent="0.25"/>
    <row r="71301" customFormat="1" x14ac:dyDescent="0.25"/>
    <row r="71302" customFormat="1" x14ac:dyDescent="0.25"/>
    <row r="71303" customFormat="1" x14ac:dyDescent="0.25"/>
    <row r="71304" customFormat="1" x14ac:dyDescent="0.25"/>
    <row r="71305" customFormat="1" x14ac:dyDescent="0.25"/>
    <row r="71306" customFormat="1" x14ac:dyDescent="0.25"/>
    <row r="71307" customFormat="1" x14ac:dyDescent="0.25"/>
    <row r="71308" customFormat="1" x14ac:dyDescent="0.25"/>
    <row r="71309" customFormat="1" x14ac:dyDescent="0.25"/>
    <row r="71310" customFormat="1" x14ac:dyDescent="0.25"/>
    <row r="71311" customFormat="1" x14ac:dyDescent="0.25"/>
    <row r="71312" customFormat="1" x14ac:dyDescent="0.25"/>
    <row r="71313" customFormat="1" x14ac:dyDescent="0.25"/>
    <row r="71314" customFormat="1" x14ac:dyDescent="0.25"/>
    <row r="71315" customFormat="1" x14ac:dyDescent="0.25"/>
    <row r="71316" customFormat="1" x14ac:dyDescent="0.25"/>
    <row r="71317" customFormat="1" x14ac:dyDescent="0.25"/>
    <row r="71318" customFormat="1" x14ac:dyDescent="0.25"/>
    <row r="71319" customFormat="1" x14ac:dyDescent="0.25"/>
    <row r="71320" customFormat="1" x14ac:dyDescent="0.25"/>
    <row r="71321" customFormat="1" x14ac:dyDescent="0.25"/>
    <row r="71322" customFormat="1" x14ac:dyDescent="0.25"/>
    <row r="71323" customFormat="1" x14ac:dyDescent="0.25"/>
    <row r="71324" customFormat="1" x14ac:dyDescent="0.25"/>
    <row r="71325" customFormat="1" x14ac:dyDescent="0.25"/>
    <row r="71326" customFormat="1" x14ac:dyDescent="0.25"/>
    <row r="71327" customFormat="1" x14ac:dyDescent="0.25"/>
    <row r="71328" customFormat="1" x14ac:dyDescent="0.25"/>
    <row r="71329" customFormat="1" x14ac:dyDescent="0.25"/>
    <row r="71330" customFormat="1" x14ac:dyDescent="0.25"/>
    <row r="71331" customFormat="1" x14ac:dyDescent="0.25"/>
    <row r="71332" customFormat="1" x14ac:dyDescent="0.25"/>
    <row r="71333" customFormat="1" x14ac:dyDescent="0.25"/>
    <row r="71334" customFormat="1" x14ac:dyDescent="0.25"/>
    <row r="71335" customFormat="1" x14ac:dyDescent="0.25"/>
    <row r="71336" customFormat="1" x14ac:dyDescent="0.25"/>
    <row r="71337" customFormat="1" x14ac:dyDescent="0.25"/>
    <row r="71338" customFormat="1" x14ac:dyDescent="0.25"/>
    <row r="71339" customFormat="1" x14ac:dyDescent="0.25"/>
    <row r="71340" customFormat="1" x14ac:dyDescent="0.25"/>
    <row r="71341" customFormat="1" x14ac:dyDescent="0.25"/>
    <row r="71342" customFormat="1" x14ac:dyDescent="0.25"/>
    <row r="71343" customFormat="1" x14ac:dyDescent="0.25"/>
    <row r="71344" customFormat="1" x14ac:dyDescent="0.25"/>
    <row r="71345" customFormat="1" x14ac:dyDescent="0.25"/>
    <row r="71346" customFormat="1" x14ac:dyDescent="0.25"/>
    <row r="71347" customFormat="1" x14ac:dyDescent="0.25"/>
    <row r="71348" customFormat="1" x14ac:dyDescent="0.25"/>
    <row r="71349" customFormat="1" x14ac:dyDescent="0.25"/>
    <row r="71350" customFormat="1" x14ac:dyDescent="0.25"/>
    <row r="71351" customFormat="1" x14ac:dyDescent="0.25"/>
    <row r="71352" customFormat="1" x14ac:dyDescent="0.25"/>
    <row r="71353" customFormat="1" x14ac:dyDescent="0.25"/>
    <row r="71354" customFormat="1" x14ac:dyDescent="0.25"/>
    <row r="71355" customFormat="1" x14ac:dyDescent="0.25"/>
    <row r="71356" customFormat="1" x14ac:dyDescent="0.25"/>
    <row r="71357" customFormat="1" x14ac:dyDescent="0.25"/>
    <row r="71358" customFormat="1" x14ac:dyDescent="0.25"/>
    <row r="71359" customFormat="1" x14ac:dyDescent="0.25"/>
    <row r="71360" customFormat="1" x14ac:dyDescent="0.25"/>
    <row r="71361" customFormat="1" x14ac:dyDescent="0.25"/>
    <row r="71362" customFormat="1" x14ac:dyDescent="0.25"/>
    <row r="71363" customFormat="1" x14ac:dyDescent="0.25"/>
    <row r="71364" customFormat="1" x14ac:dyDescent="0.25"/>
    <row r="71365" customFormat="1" x14ac:dyDescent="0.25"/>
    <row r="71366" customFormat="1" x14ac:dyDescent="0.25"/>
    <row r="71367" customFormat="1" x14ac:dyDescent="0.25"/>
    <row r="71368" customFormat="1" x14ac:dyDescent="0.25"/>
    <row r="71369" customFormat="1" x14ac:dyDescent="0.25"/>
    <row r="71370" customFormat="1" x14ac:dyDescent="0.25"/>
    <row r="71371" customFormat="1" x14ac:dyDescent="0.25"/>
    <row r="71372" customFormat="1" x14ac:dyDescent="0.25"/>
    <row r="71373" customFormat="1" x14ac:dyDescent="0.25"/>
    <row r="71374" customFormat="1" x14ac:dyDescent="0.25"/>
    <row r="71375" customFormat="1" x14ac:dyDescent="0.25"/>
    <row r="71376" customFormat="1" x14ac:dyDescent="0.25"/>
    <row r="71377" customFormat="1" x14ac:dyDescent="0.25"/>
    <row r="71378" customFormat="1" x14ac:dyDescent="0.25"/>
    <row r="71379" customFormat="1" x14ac:dyDescent="0.25"/>
    <row r="71380" customFormat="1" x14ac:dyDescent="0.25"/>
    <row r="71381" customFormat="1" x14ac:dyDescent="0.25"/>
    <row r="71382" customFormat="1" x14ac:dyDescent="0.25"/>
    <row r="71383" customFormat="1" x14ac:dyDescent="0.25"/>
    <row r="71384" customFormat="1" x14ac:dyDescent="0.25"/>
    <row r="71385" customFormat="1" x14ac:dyDescent="0.25"/>
    <row r="71386" customFormat="1" x14ac:dyDescent="0.25"/>
    <row r="71387" customFormat="1" x14ac:dyDescent="0.25"/>
    <row r="71388" customFormat="1" x14ac:dyDescent="0.25"/>
    <row r="71389" customFormat="1" x14ac:dyDescent="0.25"/>
    <row r="71390" customFormat="1" x14ac:dyDescent="0.25"/>
    <row r="71391" customFormat="1" x14ac:dyDescent="0.25"/>
    <row r="71392" customFormat="1" x14ac:dyDescent="0.25"/>
    <row r="71393" customFormat="1" x14ac:dyDescent="0.25"/>
    <row r="71394" customFormat="1" x14ac:dyDescent="0.25"/>
    <row r="71395" customFormat="1" x14ac:dyDescent="0.25"/>
    <row r="71396" customFormat="1" x14ac:dyDescent="0.25"/>
    <row r="71397" customFormat="1" x14ac:dyDescent="0.25"/>
    <row r="71398" customFormat="1" x14ac:dyDescent="0.25"/>
    <row r="71399" customFormat="1" x14ac:dyDescent="0.25"/>
    <row r="71400" customFormat="1" x14ac:dyDescent="0.25"/>
    <row r="71401" customFormat="1" x14ac:dyDescent="0.25"/>
    <row r="71402" customFormat="1" x14ac:dyDescent="0.25"/>
    <row r="71403" customFormat="1" x14ac:dyDescent="0.25"/>
    <row r="71404" customFormat="1" x14ac:dyDescent="0.25"/>
    <row r="71405" customFormat="1" x14ac:dyDescent="0.25"/>
    <row r="71406" customFormat="1" x14ac:dyDescent="0.25"/>
    <row r="71407" customFormat="1" x14ac:dyDescent="0.25"/>
    <row r="71408" customFormat="1" x14ac:dyDescent="0.25"/>
    <row r="71409" customFormat="1" x14ac:dyDescent="0.25"/>
    <row r="71410" customFormat="1" x14ac:dyDescent="0.25"/>
    <row r="71411" customFormat="1" x14ac:dyDescent="0.25"/>
    <row r="71412" customFormat="1" x14ac:dyDescent="0.25"/>
    <row r="71413" customFormat="1" x14ac:dyDescent="0.25"/>
    <row r="71414" customFormat="1" x14ac:dyDescent="0.25"/>
    <row r="71415" customFormat="1" x14ac:dyDescent="0.25"/>
    <row r="71416" customFormat="1" x14ac:dyDescent="0.25"/>
    <row r="71417" customFormat="1" x14ac:dyDescent="0.25"/>
    <row r="71418" customFormat="1" x14ac:dyDescent="0.25"/>
    <row r="71419" customFormat="1" x14ac:dyDescent="0.25"/>
    <row r="71420" customFormat="1" x14ac:dyDescent="0.25"/>
    <row r="71421" customFormat="1" x14ac:dyDescent="0.25"/>
    <row r="71422" customFormat="1" x14ac:dyDescent="0.25"/>
    <row r="71423" customFormat="1" x14ac:dyDescent="0.25"/>
    <row r="71424" customFormat="1" x14ac:dyDescent="0.25"/>
    <row r="71425" customFormat="1" x14ac:dyDescent="0.25"/>
    <row r="71426" customFormat="1" x14ac:dyDescent="0.25"/>
    <row r="71427" customFormat="1" x14ac:dyDescent="0.25"/>
    <row r="71428" customFormat="1" x14ac:dyDescent="0.25"/>
    <row r="71429" customFormat="1" x14ac:dyDescent="0.25"/>
    <row r="71430" customFormat="1" x14ac:dyDescent="0.25"/>
    <row r="71431" customFormat="1" x14ac:dyDescent="0.25"/>
    <row r="71432" customFormat="1" x14ac:dyDescent="0.25"/>
    <row r="71433" customFormat="1" x14ac:dyDescent="0.25"/>
    <row r="71434" customFormat="1" x14ac:dyDescent="0.25"/>
    <row r="71435" customFormat="1" x14ac:dyDescent="0.25"/>
    <row r="71436" customFormat="1" x14ac:dyDescent="0.25"/>
    <row r="71437" customFormat="1" x14ac:dyDescent="0.25"/>
    <row r="71438" customFormat="1" x14ac:dyDescent="0.25"/>
    <row r="71439" customFormat="1" x14ac:dyDescent="0.25"/>
    <row r="71440" customFormat="1" x14ac:dyDescent="0.25"/>
    <row r="71441" customFormat="1" x14ac:dyDescent="0.25"/>
    <row r="71442" customFormat="1" x14ac:dyDescent="0.25"/>
    <row r="71443" customFormat="1" x14ac:dyDescent="0.25"/>
    <row r="71444" customFormat="1" x14ac:dyDescent="0.25"/>
    <row r="71445" customFormat="1" x14ac:dyDescent="0.25"/>
    <row r="71446" customFormat="1" x14ac:dyDescent="0.25"/>
    <row r="71447" customFormat="1" x14ac:dyDescent="0.25"/>
    <row r="71448" customFormat="1" x14ac:dyDescent="0.25"/>
    <row r="71449" customFormat="1" x14ac:dyDescent="0.25"/>
    <row r="71450" customFormat="1" x14ac:dyDescent="0.25"/>
    <row r="71451" customFormat="1" x14ac:dyDescent="0.25"/>
    <row r="71452" customFormat="1" x14ac:dyDescent="0.25"/>
    <row r="71453" customFormat="1" x14ac:dyDescent="0.25"/>
    <row r="71454" customFormat="1" x14ac:dyDescent="0.25"/>
    <row r="71455" customFormat="1" x14ac:dyDescent="0.25"/>
    <row r="71456" customFormat="1" x14ac:dyDescent="0.25"/>
    <row r="71457" customFormat="1" x14ac:dyDescent="0.25"/>
    <row r="71458" customFormat="1" x14ac:dyDescent="0.25"/>
    <row r="71459" customFormat="1" x14ac:dyDescent="0.25"/>
    <row r="71460" customFormat="1" x14ac:dyDescent="0.25"/>
    <row r="71461" customFormat="1" x14ac:dyDescent="0.25"/>
    <row r="71462" customFormat="1" x14ac:dyDescent="0.25"/>
    <row r="71463" customFormat="1" x14ac:dyDescent="0.25"/>
    <row r="71464" customFormat="1" x14ac:dyDescent="0.25"/>
    <row r="71465" customFormat="1" x14ac:dyDescent="0.25"/>
    <row r="71466" customFormat="1" x14ac:dyDescent="0.25"/>
    <row r="71467" customFormat="1" x14ac:dyDescent="0.25"/>
    <row r="71468" customFormat="1" x14ac:dyDescent="0.25"/>
    <row r="71469" customFormat="1" x14ac:dyDescent="0.25"/>
    <row r="71470" customFormat="1" x14ac:dyDescent="0.25"/>
    <row r="71471" customFormat="1" x14ac:dyDescent="0.25"/>
    <row r="71472" customFormat="1" x14ac:dyDescent="0.25"/>
    <row r="71473" customFormat="1" x14ac:dyDescent="0.25"/>
    <row r="71474" customFormat="1" x14ac:dyDescent="0.25"/>
    <row r="71475" customFormat="1" x14ac:dyDescent="0.25"/>
    <row r="71476" customFormat="1" x14ac:dyDescent="0.25"/>
    <row r="71477" customFormat="1" x14ac:dyDescent="0.25"/>
    <row r="71478" customFormat="1" x14ac:dyDescent="0.25"/>
    <row r="71479" customFormat="1" x14ac:dyDescent="0.25"/>
    <row r="71480" customFormat="1" x14ac:dyDescent="0.25"/>
    <row r="71481" customFormat="1" x14ac:dyDescent="0.25"/>
    <row r="71482" customFormat="1" x14ac:dyDescent="0.25"/>
    <row r="71483" customFormat="1" x14ac:dyDescent="0.25"/>
    <row r="71484" customFormat="1" x14ac:dyDescent="0.25"/>
    <row r="71485" customFormat="1" x14ac:dyDescent="0.25"/>
    <row r="71486" customFormat="1" x14ac:dyDescent="0.25"/>
    <row r="71487" customFormat="1" x14ac:dyDescent="0.25"/>
    <row r="71488" customFormat="1" x14ac:dyDescent="0.25"/>
    <row r="71489" customFormat="1" x14ac:dyDescent="0.25"/>
    <row r="71490" customFormat="1" x14ac:dyDescent="0.25"/>
    <row r="71491" customFormat="1" x14ac:dyDescent="0.25"/>
    <row r="71492" customFormat="1" x14ac:dyDescent="0.25"/>
    <row r="71493" customFormat="1" x14ac:dyDescent="0.25"/>
    <row r="71494" customFormat="1" x14ac:dyDescent="0.25"/>
    <row r="71495" customFormat="1" x14ac:dyDescent="0.25"/>
    <row r="71496" customFormat="1" x14ac:dyDescent="0.25"/>
    <row r="71497" customFormat="1" x14ac:dyDescent="0.25"/>
    <row r="71498" customFormat="1" x14ac:dyDescent="0.25"/>
    <row r="71499" customFormat="1" x14ac:dyDescent="0.25"/>
    <row r="71500" customFormat="1" x14ac:dyDescent="0.25"/>
    <row r="71501" customFormat="1" x14ac:dyDescent="0.25"/>
    <row r="71502" customFormat="1" x14ac:dyDescent="0.25"/>
    <row r="71503" customFormat="1" x14ac:dyDescent="0.25"/>
    <row r="71504" customFormat="1" x14ac:dyDescent="0.25"/>
    <row r="71505" customFormat="1" x14ac:dyDescent="0.25"/>
    <row r="71506" customFormat="1" x14ac:dyDescent="0.25"/>
    <row r="71507" customFormat="1" x14ac:dyDescent="0.25"/>
    <row r="71508" customFormat="1" x14ac:dyDescent="0.25"/>
    <row r="71509" customFormat="1" x14ac:dyDescent="0.25"/>
    <row r="71510" customFormat="1" x14ac:dyDescent="0.25"/>
    <row r="71511" customFormat="1" x14ac:dyDescent="0.25"/>
    <row r="71512" customFormat="1" x14ac:dyDescent="0.25"/>
    <row r="71513" customFormat="1" x14ac:dyDescent="0.25"/>
    <row r="71514" customFormat="1" x14ac:dyDescent="0.25"/>
    <row r="71515" customFormat="1" x14ac:dyDescent="0.25"/>
    <row r="71516" customFormat="1" x14ac:dyDescent="0.25"/>
    <row r="71517" customFormat="1" x14ac:dyDescent="0.25"/>
    <row r="71518" customFormat="1" x14ac:dyDescent="0.25"/>
    <row r="71519" customFormat="1" x14ac:dyDescent="0.25"/>
    <row r="71520" customFormat="1" x14ac:dyDescent="0.25"/>
    <row r="71521" customFormat="1" x14ac:dyDescent="0.25"/>
    <row r="71522" customFormat="1" x14ac:dyDescent="0.25"/>
    <row r="71523" customFormat="1" x14ac:dyDescent="0.25"/>
    <row r="71524" customFormat="1" x14ac:dyDescent="0.25"/>
    <row r="71525" customFormat="1" x14ac:dyDescent="0.25"/>
    <row r="71526" customFormat="1" x14ac:dyDescent="0.25"/>
    <row r="71527" customFormat="1" x14ac:dyDescent="0.25"/>
    <row r="71528" customFormat="1" x14ac:dyDescent="0.25"/>
    <row r="71529" customFormat="1" x14ac:dyDescent="0.25"/>
    <row r="71530" customFormat="1" x14ac:dyDescent="0.25"/>
    <row r="71531" customFormat="1" x14ac:dyDescent="0.25"/>
    <row r="71532" customFormat="1" x14ac:dyDescent="0.25"/>
    <row r="71533" customFormat="1" x14ac:dyDescent="0.25"/>
    <row r="71534" customFormat="1" x14ac:dyDescent="0.25"/>
    <row r="71535" customFormat="1" x14ac:dyDescent="0.25"/>
    <row r="71536" customFormat="1" x14ac:dyDescent="0.25"/>
    <row r="71537" customFormat="1" x14ac:dyDescent="0.25"/>
    <row r="71538" customFormat="1" x14ac:dyDescent="0.25"/>
    <row r="71539" customFormat="1" x14ac:dyDescent="0.25"/>
    <row r="71540" customFormat="1" x14ac:dyDescent="0.25"/>
    <row r="71541" customFormat="1" x14ac:dyDescent="0.25"/>
    <row r="71542" customFormat="1" x14ac:dyDescent="0.25"/>
    <row r="71543" customFormat="1" x14ac:dyDescent="0.25"/>
    <row r="71544" customFormat="1" x14ac:dyDescent="0.25"/>
    <row r="71545" customFormat="1" x14ac:dyDescent="0.25"/>
    <row r="71546" customFormat="1" x14ac:dyDescent="0.25"/>
    <row r="71547" customFormat="1" x14ac:dyDescent="0.25"/>
    <row r="71548" customFormat="1" x14ac:dyDescent="0.25"/>
    <row r="71549" customFormat="1" x14ac:dyDescent="0.25"/>
    <row r="71550" customFormat="1" x14ac:dyDescent="0.25"/>
    <row r="71551" customFormat="1" x14ac:dyDescent="0.25"/>
    <row r="71552" customFormat="1" x14ac:dyDescent="0.25"/>
    <row r="71553" customFormat="1" x14ac:dyDescent="0.25"/>
    <row r="71554" customFormat="1" x14ac:dyDescent="0.25"/>
    <row r="71555" customFormat="1" x14ac:dyDescent="0.25"/>
    <row r="71556" customFormat="1" x14ac:dyDescent="0.25"/>
    <row r="71557" customFormat="1" x14ac:dyDescent="0.25"/>
    <row r="71558" customFormat="1" x14ac:dyDescent="0.25"/>
    <row r="71559" customFormat="1" x14ac:dyDescent="0.25"/>
    <row r="71560" customFormat="1" x14ac:dyDescent="0.25"/>
    <row r="71561" customFormat="1" x14ac:dyDescent="0.25"/>
    <row r="71562" customFormat="1" x14ac:dyDescent="0.25"/>
    <row r="71563" customFormat="1" x14ac:dyDescent="0.25"/>
    <row r="71564" customFormat="1" x14ac:dyDescent="0.25"/>
    <row r="71565" customFormat="1" x14ac:dyDescent="0.25"/>
    <row r="71566" customFormat="1" x14ac:dyDescent="0.25"/>
    <row r="71567" customFormat="1" x14ac:dyDescent="0.25"/>
    <row r="71568" customFormat="1" x14ac:dyDescent="0.25"/>
    <row r="71569" customFormat="1" x14ac:dyDescent="0.25"/>
    <row r="71570" customFormat="1" x14ac:dyDescent="0.25"/>
    <row r="71571" customFormat="1" x14ac:dyDescent="0.25"/>
    <row r="71572" customFormat="1" x14ac:dyDescent="0.25"/>
    <row r="71573" customFormat="1" x14ac:dyDescent="0.25"/>
    <row r="71574" customFormat="1" x14ac:dyDescent="0.25"/>
    <row r="71575" customFormat="1" x14ac:dyDescent="0.25"/>
    <row r="71576" customFormat="1" x14ac:dyDescent="0.25"/>
    <row r="71577" customFormat="1" x14ac:dyDescent="0.25"/>
    <row r="71578" customFormat="1" x14ac:dyDescent="0.25"/>
    <row r="71579" customFormat="1" x14ac:dyDescent="0.25"/>
    <row r="71580" customFormat="1" x14ac:dyDescent="0.25"/>
    <row r="71581" customFormat="1" x14ac:dyDescent="0.25"/>
    <row r="71582" customFormat="1" x14ac:dyDescent="0.25"/>
    <row r="71583" customFormat="1" x14ac:dyDescent="0.25"/>
    <row r="71584" customFormat="1" x14ac:dyDescent="0.25"/>
    <row r="71585" customFormat="1" x14ac:dyDescent="0.25"/>
    <row r="71586" customFormat="1" x14ac:dyDescent="0.25"/>
    <row r="71587" customFormat="1" x14ac:dyDescent="0.25"/>
    <row r="71588" customFormat="1" x14ac:dyDescent="0.25"/>
    <row r="71589" customFormat="1" x14ac:dyDescent="0.25"/>
    <row r="71590" customFormat="1" x14ac:dyDescent="0.25"/>
    <row r="71591" customFormat="1" x14ac:dyDescent="0.25"/>
    <row r="71592" customFormat="1" x14ac:dyDescent="0.25"/>
    <row r="71593" customFormat="1" x14ac:dyDescent="0.25"/>
    <row r="71594" customFormat="1" x14ac:dyDescent="0.25"/>
    <row r="71595" customFormat="1" x14ac:dyDescent="0.25"/>
    <row r="71596" customFormat="1" x14ac:dyDescent="0.25"/>
    <row r="71597" customFormat="1" x14ac:dyDescent="0.25"/>
    <row r="71598" customFormat="1" x14ac:dyDescent="0.25"/>
    <row r="71599" customFormat="1" x14ac:dyDescent="0.25"/>
    <row r="71600" customFormat="1" x14ac:dyDescent="0.25"/>
    <row r="71601" customFormat="1" x14ac:dyDescent="0.25"/>
    <row r="71602" customFormat="1" x14ac:dyDescent="0.25"/>
    <row r="71603" customFormat="1" x14ac:dyDescent="0.25"/>
    <row r="71604" customFormat="1" x14ac:dyDescent="0.25"/>
    <row r="71605" customFormat="1" x14ac:dyDescent="0.25"/>
    <row r="71606" customFormat="1" x14ac:dyDescent="0.25"/>
    <row r="71607" customFormat="1" x14ac:dyDescent="0.25"/>
    <row r="71608" customFormat="1" x14ac:dyDescent="0.25"/>
    <row r="71609" customFormat="1" x14ac:dyDescent="0.25"/>
    <row r="71610" customFormat="1" x14ac:dyDescent="0.25"/>
    <row r="71611" customFormat="1" x14ac:dyDescent="0.25"/>
    <row r="71612" customFormat="1" x14ac:dyDescent="0.25"/>
    <row r="71613" customFormat="1" x14ac:dyDescent="0.25"/>
    <row r="71614" customFormat="1" x14ac:dyDescent="0.25"/>
    <row r="71615" customFormat="1" x14ac:dyDescent="0.25"/>
    <row r="71616" customFormat="1" x14ac:dyDescent="0.25"/>
    <row r="71617" customFormat="1" x14ac:dyDescent="0.25"/>
    <row r="71618" customFormat="1" x14ac:dyDescent="0.25"/>
    <row r="71619" customFormat="1" x14ac:dyDescent="0.25"/>
    <row r="71620" customFormat="1" x14ac:dyDescent="0.25"/>
    <row r="71621" customFormat="1" x14ac:dyDescent="0.25"/>
    <row r="71622" customFormat="1" x14ac:dyDescent="0.25"/>
    <row r="71623" customFormat="1" x14ac:dyDescent="0.25"/>
    <row r="71624" customFormat="1" x14ac:dyDescent="0.25"/>
    <row r="71625" customFormat="1" x14ac:dyDescent="0.25"/>
    <row r="71626" customFormat="1" x14ac:dyDescent="0.25"/>
    <row r="71627" customFormat="1" x14ac:dyDescent="0.25"/>
    <row r="71628" customFormat="1" x14ac:dyDescent="0.25"/>
    <row r="71629" customFormat="1" x14ac:dyDescent="0.25"/>
    <row r="71630" customFormat="1" x14ac:dyDescent="0.25"/>
    <row r="71631" customFormat="1" x14ac:dyDescent="0.25"/>
    <row r="71632" customFormat="1" x14ac:dyDescent="0.25"/>
    <row r="71633" customFormat="1" x14ac:dyDescent="0.25"/>
    <row r="71634" customFormat="1" x14ac:dyDescent="0.25"/>
    <row r="71635" customFormat="1" x14ac:dyDescent="0.25"/>
    <row r="71636" customFormat="1" x14ac:dyDescent="0.25"/>
    <row r="71637" customFormat="1" x14ac:dyDescent="0.25"/>
    <row r="71638" customFormat="1" x14ac:dyDescent="0.25"/>
    <row r="71639" customFormat="1" x14ac:dyDescent="0.25"/>
    <row r="71640" customFormat="1" x14ac:dyDescent="0.25"/>
    <row r="71641" customFormat="1" x14ac:dyDescent="0.25"/>
    <row r="71642" customFormat="1" x14ac:dyDescent="0.25"/>
    <row r="71643" customFormat="1" x14ac:dyDescent="0.25"/>
    <row r="71644" customFormat="1" x14ac:dyDescent="0.25"/>
    <row r="71645" customFormat="1" x14ac:dyDescent="0.25"/>
    <row r="71646" customFormat="1" x14ac:dyDescent="0.25"/>
    <row r="71647" customFormat="1" x14ac:dyDescent="0.25"/>
    <row r="71648" customFormat="1" x14ac:dyDescent="0.25"/>
    <row r="71649" customFormat="1" x14ac:dyDescent="0.25"/>
    <row r="71650" customFormat="1" x14ac:dyDescent="0.25"/>
    <row r="71651" customFormat="1" x14ac:dyDescent="0.25"/>
    <row r="71652" customFormat="1" x14ac:dyDescent="0.25"/>
    <row r="71653" customFormat="1" x14ac:dyDescent="0.25"/>
    <row r="71654" customFormat="1" x14ac:dyDescent="0.25"/>
    <row r="71655" customFormat="1" x14ac:dyDescent="0.25"/>
    <row r="71656" customFormat="1" x14ac:dyDescent="0.25"/>
    <row r="71657" customFormat="1" x14ac:dyDescent="0.25"/>
    <row r="71658" customFormat="1" x14ac:dyDescent="0.25"/>
    <row r="71659" customFormat="1" x14ac:dyDescent="0.25"/>
    <row r="71660" customFormat="1" x14ac:dyDescent="0.25"/>
    <row r="71661" customFormat="1" x14ac:dyDescent="0.25"/>
    <row r="71662" customFormat="1" x14ac:dyDescent="0.25"/>
    <row r="71663" customFormat="1" x14ac:dyDescent="0.25"/>
    <row r="71664" customFormat="1" x14ac:dyDescent="0.25"/>
    <row r="71665" customFormat="1" x14ac:dyDescent="0.25"/>
    <row r="71666" customFormat="1" x14ac:dyDescent="0.25"/>
    <row r="71667" customFormat="1" x14ac:dyDescent="0.25"/>
    <row r="71668" customFormat="1" x14ac:dyDescent="0.25"/>
    <row r="71669" customFormat="1" x14ac:dyDescent="0.25"/>
    <row r="71670" customFormat="1" x14ac:dyDescent="0.25"/>
    <row r="71671" customFormat="1" x14ac:dyDescent="0.25"/>
    <row r="71672" customFormat="1" x14ac:dyDescent="0.25"/>
    <row r="71673" customFormat="1" x14ac:dyDescent="0.25"/>
    <row r="71674" customFormat="1" x14ac:dyDescent="0.25"/>
    <row r="71675" customFormat="1" x14ac:dyDescent="0.25"/>
    <row r="71676" customFormat="1" x14ac:dyDescent="0.25"/>
    <row r="71677" customFormat="1" x14ac:dyDescent="0.25"/>
    <row r="71678" customFormat="1" x14ac:dyDescent="0.25"/>
    <row r="71679" customFormat="1" x14ac:dyDescent="0.25"/>
    <row r="71680" customFormat="1" x14ac:dyDescent="0.25"/>
    <row r="71681" customFormat="1" x14ac:dyDescent="0.25"/>
    <row r="71682" customFormat="1" x14ac:dyDescent="0.25"/>
    <row r="71683" customFormat="1" x14ac:dyDescent="0.25"/>
    <row r="71684" customFormat="1" x14ac:dyDescent="0.25"/>
    <row r="71685" customFormat="1" x14ac:dyDescent="0.25"/>
    <row r="71686" customFormat="1" x14ac:dyDescent="0.25"/>
    <row r="71687" customFormat="1" x14ac:dyDescent="0.25"/>
    <row r="71688" customFormat="1" x14ac:dyDescent="0.25"/>
    <row r="71689" customFormat="1" x14ac:dyDescent="0.25"/>
    <row r="71690" customFormat="1" x14ac:dyDescent="0.25"/>
    <row r="71691" customFormat="1" x14ac:dyDescent="0.25"/>
    <row r="71692" customFormat="1" x14ac:dyDescent="0.25"/>
    <row r="71693" customFormat="1" x14ac:dyDescent="0.25"/>
    <row r="71694" customFormat="1" x14ac:dyDescent="0.25"/>
    <row r="71695" customFormat="1" x14ac:dyDescent="0.25"/>
    <row r="71696" customFormat="1" x14ac:dyDescent="0.25"/>
    <row r="71697" customFormat="1" x14ac:dyDescent="0.25"/>
    <row r="71698" customFormat="1" x14ac:dyDescent="0.25"/>
    <row r="71699" customFormat="1" x14ac:dyDescent="0.25"/>
    <row r="71700" customFormat="1" x14ac:dyDescent="0.25"/>
    <row r="71701" customFormat="1" x14ac:dyDescent="0.25"/>
    <row r="71702" customFormat="1" x14ac:dyDescent="0.25"/>
    <row r="71703" customFormat="1" x14ac:dyDescent="0.25"/>
    <row r="71704" customFormat="1" x14ac:dyDescent="0.25"/>
    <row r="71705" customFormat="1" x14ac:dyDescent="0.25"/>
    <row r="71706" customFormat="1" x14ac:dyDescent="0.25"/>
    <row r="71707" customFormat="1" x14ac:dyDescent="0.25"/>
    <row r="71708" customFormat="1" x14ac:dyDescent="0.25"/>
    <row r="71709" customFormat="1" x14ac:dyDescent="0.25"/>
    <row r="71710" customFormat="1" x14ac:dyDescent="0.25"/>
    <row r="71711" customFormat="1" x14ac:dyDescent="0.25"/>
    <row r="71712" customFormat="1" x14ac:dyDescent="0.25"/>
    <row r="71713" customFormat="1" x14ac:dyDescent="0.25"/>
    <row r="71714" customFormat="1" x14ac:dyDescent="0.25"/>
    <row r="71715" customFormat="1" x14ac:dyDescent="0.25"/>
    <row r="71716" customFormat="1" x14ac:dyDescent="0.25"/>
    <row r="71717" customFormat="1" x14ac:dyDescent="0.25"/>
    <row r="71718" customFormat="1" x14ac:dyDescent="0.25"/>
    <row r="71719" customFormat="1" x14ac:dyDescent="0.25"/>
    <row r="71720" customFormat="1" x14ac:dyDescent="0.25"/>
    <row r="71721" customFormat="1" x14ac:dyDescent="0.25"/>
    <row r="71722" customFormat="1" x14ac:dyDescent="0.25"/>
    <row r="71723" customFormat="1" x14ac:dyDescent="0.25"/>
    <row r="71724" customFormat="1" x14ac:dyDescent="0.25"/>
    <row r="71725" customFormat="1" x14ac:dyDescent="0.25"/>
    <row r="71726" customFormat="1" x14ac:dyDescent="0.25"/>
    <row r="71727" customFormat="1" x14ac:dyDescent="0.25"/>
    <row r="71728" customFormat="1" x14ac:dyDescent="0.25"/>
    <row r="71729" customFormat="1" x14ac:dyDescent="0.25"/>
    <row r="71730" customFormat="1" x14ac:dyDescent="0.25"/>
    <row r="71731" customFormat="1" x14ac:dyDescent="0.25"/>
    <row r="71732" customFormat="1" x14ac:dyDescent="0.25"/>
    <row r="71733" customFormat="1" x14ac:dyDescent="0.25"/>
    <row r="71734" customFormat="1" x14ac:dyDescent="0.25"/>
    <row r="71735" customFormat="1" x14ac:dyDescent="0.25"/>
    <row r="71736" customFormat="1" x14ac:dyDescent="0.25"/>
    <row r="71737" customFormat="1" x14ac:dyDescent="0.25"/>
    <row r="71738" customFormat="1" x14ac:dyDescent="0.25"/>
    <row r="71739" customFormat="1" x14ac:dyDescent="0.25"/>
    <row r="71740" customFormat="1" x14ac:dyDescent="0.25"/>
    <row r="71741" customFormat="1" x14ac:dyDescent="0.25"/>
    <row r="71742" customFormat="1" x14ac:dyDescent="0.25"/>
    <row r="71743" customFormat="1" x14ac:dyDescent="0.25"/>
    <row r="71744" customFormat="1" x14ac:dyDescent="0.25"/>
    <row r="71745" customFormat="1" x14ac:dyDescent="0.25"/>
    <row r="71746" customFormat="1" x14ac:dyDescent="0.25"/>
    <row r="71747" customFormat="1" x14ac:dyDescent="0.25"/>
    <row r="71748" customFormat="1" x14ac:dyDescent="0.25"/>
    <row r="71749" customFormat="1" x14ac:dyDescent="0.25"/>
    <row r="71750" customFormat="1" x14ac:dyDescent="0.25"/>
    <row r="71751" customFormat="1" x14ac:dyDescent="0.25"/>
    <row r="71752" customFormat="1" x14ac:dyDescent="0.25"/>
    <row r="71753" customFormat="1" x14ac:dyDescent="0.25"/>
    <row r="71754" customFormat="1" x14ac:dyDescent="0.25"/>
    <row r="71755" customFormat="1" x14ac:dyDescent="0.25"/>
    <row r="71756" customFormat="1" x14ac:dyDescent="0.25"/>
    <row r="71757" customFormat="1" x14ac:dyDescent="0.25"/>
    <row r="71758" customFormat="1" x14ac:dyDescent="0.25"/>
    <row r="71759" customFormat="1" x14ac:dyDescent="0.25"/>
    <row r="71760" customFormat="1" x14ac:dyDescent="0.25"/>
    <row r="71761" customFormat="1" x14ac:dyDescent="0.25"/>
    <row r="71762" customFormat="1" x14ac:dyDescent="0.25"/>
    <row r="71763" customFormat="1" x14ac:dyDescent="0.25"/>
    <row r="71764" customFormat="1" x14ac:dyDescent="0.25"/>
    <row r="71765" customFormat="1" x14ac:dyDescent="0.25"/>
    <row r="71766" customFormat="1" x14ac:dyDescent="0.25"/>
    <row r="71767" customFormat="1" x14ac:dyDescent="0.25"/>
    <row r="71768" customFormat="1" x14ac:dyDescent="0.25"/>
    <row r="71769" customFormat="1" x14ac:dyDescent="0.25"/>
    <row r="71770" customFormat="1" x14ac:dyDescent="0.25"/>
    <row r="71771" customFormat="1" x14ac:dyDescent="0.25"/>
    <row r="71772" customFormat="1" x14ac:dyDescent="0.25"/>
    <row r="71773" customFormat="1" x14ac:dyDescent="0.25"/>
    <row r="71774" customFormat="1" x14ac:dyDescent="0.25"/>
    <row r="71775" customFormat="1" x14ac:dyDescent="0.25"/>
    <row r="71776" customFormat="1" x14ac:dyDescent="0.25"/>
    <row r="71777" customFormat="1" x14ac:dyDescent="0.25"/>
    <row r="71778" customFormat="1" x14ac:dyDescent="0.25"/>
    <row r="71779" customFormat="1" x14ac:dyDescent="0.25"/>
    <row r="71780" customFormat="1" x14ac:dyDescent="0.25"/>
    <row r="71781" customFormat="1" x14ac:dyDescent="0.25"/>
    <row r="71782" customFormat="1" x14ac:dyDescent="0.25"/>
    <row r="71783" customFormat="1" x14ac:dyDescent="0.25"/>
    <row r="71784" customFormat="1" x14ac:dyDescent="0.25"/>
    <row r="71785" customFormat="1" x14ac:dyDescent="0.25"/>
    <row r="71786" customFormat="1" x14ac:dyDescent="0.25"/>
    <row r="71787" customFormat="1" x14ac:dyDescent="0.25"/>
    <row r="71788" customFormat="1" x14ac:dyDescent="0.25"/>
    <row r="71789" customFormat="1" x14ac:dyDescent="0.25"/>
    <row r="71790" customFormat="1" x14ac:dyDescent="0.25"/>
    <row r="71791" customFormat="1" x14ac:dyDescent="0.25"/>
    <row r="71792" customFormat="1" x14ac:dyDescent="0.25"/>
    <row r="71793" customFormat="1" x14ac:dyDescent="0.25"/>
    <row r="71794" customFormat="1" x14ac:dyDescent="0.25"/>
    <row r="71795" customFormat="1" x14ac:dyDescent="0.25"/>
    <row r="71796" customFormat="1" x14ac:dyDescent="0.25"/>
    <row r="71797" customFormat="1" x14ac:dyDescent="0.25"/>
    <row r="71798" customFormat="1" x14ac:dyDescent="0.25"/>
    <row r="71799" customFormat="1" x14ac:dyDescent="0.25"/>
    <row r="71800" customFormat="1" x14ac:dyDescent="0.25"/>
    <row r="71801" customFormat="1" x14ac:dyDescent="0.25"/>
    <row r="71802" customFormat="1" x14ac:dyDescent="0.25"/>
    <row r="71803" customFormat="1" x14ac:dyDescent="0.25"/>
    <row r="71804" customFormat="1" x14ac:dyDescent="0.25"/>
    <row r="71805" customFormat="1" x14ac:dyDescent="0.25"/>
    <row r="71806" customFormat="1" x14ac:dyDescent="0.25"/>
    <row r="71807" customFormat="1" x14ac:dyDescent="0.25"/>
    <row r="71808" customFormat="1" x14ac:dyDescent="0.25"/>
    <row r="71809" customFormat="1" x14ac:dyDescent="0.25"/>
    <row r="71810" customFormat="1" x14ac:dyDescent="0.25"/>
    <row r="71811" customFormat="1" x14ac:dyDescent="0.25"/>
    <row r="71812" customFormat="1" x14ac:dyDescent="0.25"/>
    <row r="71813" customFormat="1" x14ac:dyDescent="0.25"/>
    <row r="71814" customFormat="1" x14ac:dyDescent="0.25"/>
    <row r="71815" customFormat="1" x14ac:dyDescent="0.25"/>
    <row r="71816" customFormat="1" x14ac:dyDescent="0.25"/>
    <row r="71817" customFormat="1" x14ac:dyDescent="0.25"/>
    <row r="71818" customFormat="1" x14ac:dyDescent="0.25"/>
    <row r="71819" customFormat="1" x14ac:dyDescent="0.25"/>
    <row r="71820" customFormat="1" x14ac:dyDescent="0.25"/>
    <row r="71821" customFormat="1" x14ac:dyDescent="0.25"/>
    <row r="71822" customFormat="1" x14ac:dyDescent="0.25"/>
    <row r="71823" customFormat="1" x14ac:dyDescent="0.25"/>
    <row r="71824" customFormat="1" x14ac:dyDescent="0.25"/>
    <row r="71825" customFormat="1" x14ac:dyDescent="0.25"/>
    <row r="71826" customFormat="1" x14ac:dyDescent="0.25"/>
    <row r="71827" customFormat="1" x14ac:dyDescent="0.25"/>
    <row r="71828" customFormat="1" x14ac:dyDescent="0.25"/>
    <row r="71829" customFormat="1" x14ac:dyDescent="0.25"/>
    <row r="71830" customFormat="1" x14ac:dyDescent="0.25"/>
    <row r="71831" customFormat="1" x14ac:dyDescent="0.25"/>
    <row r="71832" customFormat="1" x14ac:dyDescent="0.25"/>
    <row r="71833" customFormat="1" x14ac:dyDescent="0.25"/>
    <row r="71834" customFormat="1" x14ac:dyDescent="0.25"/>
    <row r="71835" customFormat="1" x14ac:dyDescent="0.25"/>
    <row r="71836" customFormat="1" x14ac:dyDescent="0.25"/>
    <row r="71837" customFormat="1" x14ac:dyDescent="0.25"/>
    <row r="71838" customFormat="1" x14ac:dyDescent="0.25"/>
    <row r="71839" customFormat="1" x14ac:dyDescent="0.25"/>
    <row r="71840" customFormat="1" x14ac:dyDescent="0.25"/>
    <row r="71841" customFormat="1" x14ac:dyDescent="0.25"/>
    <row r="71842" customFormat="1" x14ac:dyDescent="0.25"/>
    <row r="71843" customFormat="1" x14ac:dyDescent="0.25"/>
    <row r="71844" customFormat="1" x14ac:dyDescent="0.25"/>
    <row r="71845" customFormat="1" x14ac:dyDescent="0.25"/>
    <row r="71846" customFormat="1" x14ac:dyDescent="0.25"/>
    <row r="71847" customFormat="1" x14ac:dyDescent="0.25"/>
    <row r="71848" customFormat="1" x14ac:dyDescent="0.25"/>
    <row r="71849" customFormat="1" x14ac:dyDescent="0.25"/>
    <row r="71850" customFormat="1" x14ac:dyDescent="0.25"/>
    <row r="71851" customFormat="1" x14ac:dyDescent="0.25"/>
    <row r="71852" customFormat="1" x14ac:dyDescent="0.25"/>
    <row r="71853" customFormat="1" x14ac:dyDescent="0.25"/>
    <row r="71854" customFormat="1" x14ac:dyDescent="0.25"/>
    <row r="71855" customFormat="1" x14ac:dyDescent="0.25"/>
    <row r="71856" customFormat="1" x14ac:dyDescent="0.25"/>
    <row r="71857" customFormat="1" x14ac:dyDescent="0.25"/>
    <row r="71858" customFormat="1" x14ac:dyDescent="0.25"/>
    <row r="71859" customFormat="1" x14ac:dyDescent="0.25"/>
    <row r="71860" customFormat="1" x14ac:dyDescent="0.25"/>
    <row r="71861" customFormat="1" x14ac:dyDescent="0.25"/>
    <row r="71862" customFormat="1" x14ac:dyDescent="0.25"/>
    <row r="71863" customFormat="1" x14ac:dyDescent="0.25"/>
    <row r="71864" customFormat="1" x14ac:dyDescent="0.25"/>
    <row r="71865" customFormat="1" x14ac:dyDescent="0.25"/>
    <row r="71866" customFormat="1" x14ac:dyDescent="0.25"/>
    <row r="71867" customFormat="1" x14ac:dyDescent="0.25"/>
    <row r="71868" customFormat="1" x14ac:dyDescent="0.25"/>
    <row r="71869" customFormat="1" x14ac:dyDescent="0.25"/>
    <row r="71870" customFormat="1" x14ac:dyDescent="0.25"/>
    <row r="71871" customFormat="1" x14ac:dyDescent="0.25"/>
    <row r="71872" customFormat="1" x14ac:dyDescent="0.25"/>
    <row r="71873" customFormat="1" x14ac:dyDescent="0.25"/>
    <row r="71874" customFormat="1" x14ac:dyDescent="0.25"/>
    <row r="71875" customFormat="1" x14ac:dyDescent="0.25"/>
    <row r="71876" customFormat="1" x14ac:dyDescent="0.25"/>
    <row r="71877" customFormat="1" x14ac:dyDescent="0.25"/>
    <row r="71878" customFormat="1" x14ac:dyDescent="0.25"/>
    <row r="71879" customFormat="1" x14ac:dyDescent="0.25"/>
    <row r="71880" customFormat="1" x14ac:dyDescent="0.25"/>
    <row r="71881" customFormat="1" x14ac:dyDescent="0.25"/>
    <row r="71882" customFormat="1" x14ac:dyDescent="0.25"/>
    <row r="71883" customFormat="1" x14ac:dyDescent="0.25"/>
    <row r="71884" customFormat="1" x14ac:dyDescent="0.25"/>
    <row r="71885" customFormat="1" x14ac:dyDescent="0.25"/>
    <row r="71886" customFormat="1" x14ac:dyDescent="0.25"/>
    <row r="71887" customFormat="1" x14ac:dyDescent="0.25"/>
    <row r="71888" customFormat="1" x14ac:dyDescent="0.25"/>
    <row r="71889" customFormat="1" x14ac:dyDescent="0.25"/>
    <row r="71890" customFormat="1" x14ac:dyDescent="0.25"/>
    <row r="71891" customFormat="1" x14ac:dyDescent="0.25"/>
    <row r="71892" customFormat="1" x14ac:dyDescent="0.25"/>
    <row r="71893" customFormat="1" x14ac:dyDescent="0.25"/>
    <row r="71894" customFormat="1" x14ac:dyDescent="0.25"/>
    <row r="71895" customFormat="1" x14ac:dyDescent="0.25"/>
    <row r="71896" customFormat="1" x14ac:dyDescent="0.25"/>
    <row r="71897" customFormat="1" x14ac:dyDescent="0.25"/>
    <row r="71898" customFormat="1" x14ac:dyDescent="0.25"/>
    <row r="71899" customFormat="1" x14ac:dyDescent="0.25"/>
    <row r="71900" customFormat="1" x14ac:dyDescent="0.25"/>
    <row r="71901" customFormat="1" x14ac:dyDescent="0.25"/>
    <row r="71902" customFormat="1" x14ac:dyDescent="0.25"/>
    <row r="71903" customFormat="1" x14ac:dyDescent="0.25"/>
    <row r="71904" customFormat="1" x14ac:dyDescent="0.25"/>
    <row r="71905" customFormat="1" x14ac:dyDescent="0.25"/>
    <row r="71906" customFormat="1" x14ac:dyDescent="0.25"/>
    <row r="71907" customFormat="1" x14ac:dyDescent="0.25"/>
    <row r="71908" customFormat="1" x14ac:dyDescent="0.25"/>
    <row r="71909" customFormat="1" x14ac:dyDescent="0.25"/>
    <row r="71910" customFormat="1" x14ac:dyDescent="0.25"/>
    <row r="71911" customFormat="1" x14ac:dyDescent="0.25"/>
    <row r="71912" customFormat="1" x14ac:dyDescent="0.25"/>
    <row r="71913" customFormat="1" x14ac:dyDescent="0.25"/>
    <row r="71914" customFormat="1" x14ac:dyDescent="0.25"/>
    <row r="71915" customFormat="1" x14ac:dyDescent="0.25"/>
    <row r="71916" customFormat="1" x14ac:dyDescent="0.25"/>
    <row r="71917" customFormat="1" x14ac:dyDescent="0.25"/>
    <row r="71918" customFormat="1" x14ac:dyDescent="0.25"/>
    <row r="71919" customFormat="1" x14ac:dyDescent="0.25"/>
    <row r="71920" customFormat="1" x14ac:dyDescent="0.25"/>
    <row r="71921" customFormat="1" x14ac:dyDescent="0.25"/>
    <row r="71922" customFormat="1" x14ac:dyDescent="0.25"/>
    <row r="71923" customFormat="1" x14ac:dyDescent="0.25"/>
    <row r="71924" customFormat="1" x14ac:dyDescent="0.25"/>
    <row r="71925" customFormat="1" x14ac:dyDescent="0.25"/>
    <row r="71926" customFormat="1" x14ac:dyDescent="0.25"/>
    <row r="71927" customFormat="1" x14ac:dyDescent="0.25"/>
    <row r="71928" customFormat="1" x14ac:dyDescent="0.25"/>
    <row r="71929" customFormat="1" x14ac:dyDescent="0.25"/>
    <row r="71930" customFormat="1" x14ac:dyDescent="0.25"/>
    <row r="71931" customFormat="1" x14ac:dyDescent="0.25"/>
    <row r="71932" customFormat="1" x14ac:dyDescent="0.25"/>
    <row r="71933" customFormat="1" x14ac:dyDescent="0.25"/>
    <row r="71934" customFormat="1" x14ac:dyDescent="0.25"/>
    <row r="71935" customFormat="1" x14ac:dyDescent="0.25"/>
    <row r="71936" customFormat="1" x14ac:dyDescent="0.25"/>
    <row r="71937" customFormat="1" x14ac:dyDescent="0.25"/>
    <row r="71938" customFormat="1" x14ac:dyDescent="0.25"/>
    <row r="71939" customFormat="1" x14ac:dyDescent="0.25"/>
    <row r="71940" customFormat="1" x14ac:dyDescent="0.25"/>
    <row r="71941" customFormat="1" x14ac:dyDescent="0.25"/>
    <row r="71942" customFormat="1" x14ac:dyDescent="0.25"/>
    <row r="71943" customFormat="1" x14ac:dyDescent="0.25"/>
    <row r="71944" customFormat="1" x14ac:dyDescent="0.25"/>
    <row r="71945" customFormat="1" x14ac:dyDescent="0.25"/>
    <row r="71946" customFormat="1" x14ac:dyDescent="0.25"/>
    <row r="71947" customFormat="1" x14ac:dyDescent="0.25"/>
    <row r="71948" customFormat="1" x14ac:dyDescent="0.25"/>
    <row r="71949" customFormat="1" x14ac:dyDescent="0.25"/>
    <row r="71950" customFormat="1" x14ac:dyDescent="0.25"/>
    <row r="71951" customFormat="1" x14ac:dyDescent="0.25"/>
    <row r="71952" customFormat="1" x14ac:dyDescent="0.25"/>
    <row r="71953" customFormat="1" x14ac:dyDescent="0.25"/>
    <row r="71954" customFormat="1" x14ac:dyDescent="0.25"/>
    <row r="71955" customFormat="1" x14ac:dyDescent="0.25"/>
    <row r="71956" customFormat="1" x14ac:dyDescent="0.25"/>
    <row r="71957" customFormat="1" x14ac:dyDescent="0.25"/>
    <row r="71958" customFormat="1" x14ac:dyDescent="0.25"/>
    <row r="71959" customFormat="1" x14ac:dyDescent="0.25"/>
    <row r="71960" customFormat="1" x14ac:dyDescent="0.25"/>
    <row r="71961" customFormat="1" x14ac:dyDescent="0.25"/>
    <row r="71962" customFormat="1" x14ac:dyDescent="0.25"/>
    <row r="71963" customFormat="1" x14ac:dyDescent="0.25"/>
    <row r="71964" customFormat="1" x14ac:dyDescent="0.25"/>
    <row r="71965" customFormat="1" x14ac:dyDescent="0.25"/>
    <row r="71966" customFormat="1" x14ac:dyDescent="0.25"/>
    <row r="71967" customFormat="1" x14ac:dyDescent="0.25"/>
    <row r="71968" customFormat="1" x14ac:dyDescent="0.25"/>
    <row r="71969" customFormat="1" x14ac:dyDescent="0.25"/>
    <row r="71970" customFormat="1" x14ac:dyDescent="0.25"/>
    <row r="71971" customFormat="1" x14ac:dyDescent="0.25"/>
    <row r="71972" customFormat="1" x14ac:dyDescent="0.25"/>
    <row r="71973" customFormat="1" x14ac:dyDescent="0.25"/>
    <row r="71974" customFormat="1" x14ac:dyDescent="0.25"/>
    <row r="71975" customFormat="1" x14ac:dyDescent="0.25"/>
    <row r="71976" customFormat="1" x14ac:dyDescent="0.25"/>
    <row r="71977" customFormat="1" x14ac:dyDescent="0.25"/>
    <row r="71978" customFormat="1" x14ac:dyDescent="0.25"/>
    <row r="71979" customFormat="1" x14ac:dyDescent="0.25"/>
    <row r="71980" customFormat="1" x14ac:dyDescent="0.25"/>
    <row r="71981" customFormat="1" x14ac:dyDescent="0.25"/>
    <row r="71982" customFormat="1" x14ac:dyDescent="0.25"/>
    <row r="71983" customFormat="1" x14ac:dyDescent="0.25"/>
    <row r="71984" customFormat="1" x14ac:dyDescent="0.25"/>
    <row r="71985" customFormat="1" x14ac:dyDescent="0.25"/>
    <row r="71986" customFormat="1" x14ac:dyDescent="0.25"/>
    <row r="71987" customFormat="1" x14ac:dyDescent="0.25"/>
    <row r="71988" customFormat="1" x14ac:dyDescent="0.25"/>
    <row r="71989" customFormat="1" x14ac:dyDescent="0.25"/>
    <row r="71990" customFormat="1" x14ac:dyDescent="0.25"/>
    <row r="71991" customFormat="1" x14ac:dyDescent="0.25"/>
    <row r="71992" customFormat="1" x14ac:dyDescent="0.25"/>
    <row r="71993" customFormat="1" x14ac:dyDescent="0.25"/>
    <row r="71994" customFormat="1" x14ac:dyDescent="0.25"/>
    <row r="71995" customFormat="1" x14ac:dyDescent="0.25"/>
    <row r="71996" customFormat="1" x14ac:dyDescent="0.25"/>
    <row r="71997" customFormat="1" x14ac:dyDescent="0.25"/>
    <row r="71998" customFormat="1" x14ac:dyDescent="0.25"/>
    <row r="71999" customFormat="1" x14ac:dyDescent="0.25"/>
    <row r="72000" customFormat="1" x14ac:dyDescent="0.25"/>
    <row r="72001" customFormat="1" x14ac:dyDescent="0.25"/>
    <row r="72002" customFormat="1" x14ac:dyDescent="0.25"/>
    <row r="72003" customFormat="1" x14ac:dyDescent="0.25"/>
    <row r="72004" customFormat="1" x14ac:dyDescent="0.25"/>
    <row r="72005" customFormat="1" x14ac:dyDescent="0.25"/>
    <row r="72006" customFormat="1" x14ac:dyDescent="0.25"/>
    <row r="72007" customFormat="1" x14ac:dyDescent="0.25"/>
    <row r="72008" customFormat="1" x14ac:dyDescent="0.25"/>
    <row r="72009" customFormat="1" x14ac:dyDescent="0.25"/>
    <row r="72010" customFormat="1" x14ac:dyDescent="0.25"/>
    <row r="72011" customFormat="1" x14ac:dyDescent="0.25"/>
    <row r="72012" customFormat="1" x14ac:dyDescent="0.25"/>
    <row r="72013" customFormat="1" x14ac:dyDescent="0.25"/>
    <row r="72014" customFormat="1" x14ac:dyDescent="0.25"/>
    <row r="72015" customFormat="1" x14ac:dyDescent="0.25"/>
    <row r="72016" customFormat="1" x14ac:dyDescent="0.25"/>
    <row r="72017" customFormat="1" x14ac:dyDescent="0.25"/>
    <row r="72018" customFormat="1" x14ac:dyDescent="0.25"/>
    <row r="72019" customFormat="1" x14ac:dyDescent="0.25"/>
    <row r="72020" customFormat="1" x14ac:dyDescent="0.25"/>
    <row r="72021" customFormat="1" x14ac:dyDescent="0.25"/>
    <row r="72022" customFormat="1" x14ac:dyDescent="0.25"/>
    <row r="72023" customFormat="1" x14ac:dyDescent="0.25"/>
    <row r="72024" customFormat="1" x14ac:dyDescent="0.25"/>
    <row r="72025" customFormat="1" x14ac:dyDescent="0.25"/>
    <row r="72026" customFormat="1" x14ac:dyDescent="0.25"/>
    <row r="72027" customFormat="1" x14ac:dyDescent="0.25"/>
    <row r="72028" customFormat="1" x14ac:dyDescent="0.25"/>
    <row r="72029" customFormat="1" x14ac:dyDescent="0.25"/>
    <row r="72030" customFormat="1" x14ac:dyDescent="0.25"/>
    <row r="72031" customFormat="1" x14ac:dyDescent="0.25"/>
    <row r="72032" customFormat="1" x14ac:dyDescent="0.25"/>
    <row r="72033" customFormat="1" x14ac:dyDescent="0.25"/>
    <row r="72034" customFormat="1" x14ac:dyDescent="0.25"/>
    <row r="72035" customFormat="1" x14ac:dyDescent="0.25"/>
    <row r="72036" customFormat="1" x14ac:dyDescent="0.25"/>
    <row r="72037" customFormat="1" x14ac:dyDescent="0.25"/>
    <row r="72038" customFormat="1" x14ac:dyDescent="0.25"/>
    <row r="72039" customFormat="1" x14ac:dyDescent="0.25"/>
    <row r="72040" customFormat="1" x14ac:dyDescent="0.25"/>
    <row r="72041" customFormat="1" x14ac:dyDescent="0.25"/>
    <row r="72042" customFormat="1" x14ac:dyDescent="0.25"/>
    <row r="72043" customFormat="1" x14ac:dyDescent="0.25"/>
    <row r="72044" customFormat="1" x14ac:dyDescent="0.25"/>
    <row r="72045" customFormat="1" x14ac:dyDescent="0.25"/>
    <row r="72046" customFormat="1" x14ac:dyDescent="0.25"/>
    <row r="72047" customFormat="1" x14ac:dyDescent="0.25"/>
    <row r="72048" customFormat="1" x14ac:dyDescent="0.25"/>
    <row r="72049" customFormat="1" x14ac:dyDescent="0.25"/>
    <row r="72050" customFormat="1" x14ac:dyDescent="0.25"/>
    <row r="72051" customFormat="1" x14ac:dyDescent="0.25"/>
    <row r="72052" customFormat="1" x14ac:dyDescent="0.25"/>
    <row r="72053" customFormat="1" x14ac:dyDescent="0.25"/>
    <row r="72054" customFormat="1" x14ac:dyDescent="0.25"/>
    <row r="72055" customFormat="1" x14ac:dyDescent="0.25"/>
    <row r="72056" customFormat="1" x14ac:dyDescent="0.25"/>
    <row r="72057" customFormat="1" x14ac:dyDescent="0.25"/>
    <row r="72058" customFormat="1" x14ac:dyDescent="0.25"/>
    <row r="72059" customFormat="1" x14ac:dyDescent="0.25"/>
    <row r="72060" customFormat="1" x14ac:dyDescent="0.25"/>
    <row r="72061" customFormat="1" x14ac:dyDescent="0.25"/>
    <row r="72062" customFormat="1" x14ac:dyDescent="0.25"/>
    <row r="72063" customFormat="1" x14ac:dyDescent="0.25"/>
    <row r="72064" customFormat="1" x14ac:dyDescent="0.25"/>
    <row r="72065" customFormat="1" x14ac:dyDescent="0.25"/>
    <row r="72066" customFormat="1" x14ac:dyDescent="0.25"/>
    <row r="72067" customFormat="1" x14ac:dyDescent="0.25"/>
    <row r="72068" customFormat="1" x14ac:dyDescent="0.25"/>
    <row r="72069" customFormat="1" x14ac:dyDescent="0.25"/>
    <row r="72070" customFormat="1" x14ac:dyDescent="0.25"/>
    <row r="72071" customFormat="1" x14ac:dyDescent="0.25"/>
    <row r="72072" customFormat="1" x14ac:dyDescent="0.25"/>
    <row r="72073" customFormat="1" x14ac:dyDescent="0.25"/>
    <row r="72074" customFormat="1" x14ac:dyDescent="0.25"/>
    <row r="72075" customFormat="1" x14ac:dyDescent="0.25"/>
    <row r="72076" customFormat="1" x14ac:dyDescent="0.25"/>
    <row r="72077" customFormat="1" x14ac:dyDescent="0.25"/>
    <row r="72078" customFormat="1" x14ac:dyDescent="0.25"/>
    <row r="72079" customFormat="1" x14ac:dyDescent="0.25"/>
    <row r="72080" customFormat="1" x14ac:dyDescent="0.25"/>
    <row r="72081" customFormat="1" x14ac:dyDescent="0.25"/>
    <row r="72082" customFormat="1" x14ac:dyDescent="0.25"/>
    <row r="72083" customFormat="1" x14ac:dyDescent="0.25"/>
    <row r="72084" customFormat="1" x14ac:dyDescent="0.25"/>
    <row r="72085" customFormat="1" x14ac:dyDescent="0.25"/>
    <row r="72086" customFormat="1" x14ac:dyDescent="0.25"/>
    <row r="72087" customFormat="1" x14ac:dyDescent="0.25"/>
    <row r="72088" customFormat="1" x14ac:dyDescent="0.25"/>
    <row r="72089" customFormat="1" x14ac:dyDescent="0.25"/>
    <row r="72090" customFormat="1" x14ac:dyDescent="0.25"/>
    <row r="72091" customFormat="1" x14ac:dyDescent="0.25"/>
    <row r="72092" customFormat="1" x14ac:dyDescent="0.25"/>
    <row r="72093" customFormat="1" x14ac:dyDescent="0.25"/>
    <row r="72094" customFormat="1" x14ac:dyDescent="0.25"/>
    <row r="72095" customFormat="1" x14ac:dyDescent="0.25"/>
    <row r="72096" customFormat="1" x14ac:dyDescent="0.25"/>
    <row r="72097" customFormat="1" x14ac:dyDescent="0.25"/>
    <row r="72098" customFormat="1" x14ac:dyDescent="0.25"/>
    <row r="72099" customFormat="1" x14ac:dyDescent="0.25"/>
    <row r="72100" customFormat="1" x14ac:dyDescent="0.25"/>
    <row r="72101" customFormat="1" x14ac:dyDescent="0.25"/>
    <row r="72102" customFormat="1" x14ac:dyDescent="0.25"/>
    <row r="72103" customFormat="1" x14ac:dyDescent="0.25"/>
    <row r="72104" customFormat="1" x14ac:dyDescent="0.25"/>
    <row r="72105" customFormat="1" x14ac:dyDescent="0.25"/>
    <row r="72106" customFormat="1" x14ac:dyDescent="0.25"/>
    <row r="72107" customFormat="1" x14ac:dyDescent="0.25"/>
    <row r="72108" customFormat="1" x14ac:dyDescent="0.25"/>
    <row r="72109" customFormat="1" x14ac:dyDescent="0.25"/>
    <row r="72110" customFormat="1" x14ac:dyDescent="0.25"/>
    <row r="72111" customFormat="1" x14ac:dyDescent="0.25"/>
    <row r="72112" customFormat="1" x14ac:dyDescent="0.25"/>
    <row r="72113" customFormat="1" x14ac:dyDescent="0.25"/>
    <row r="72114" customFormat="1" x14ac:dyDescent="0.25"/>
    <row r="72115" customFormat="1" x14ac:dyDescent="0.25"/>
    <row r="72116" customFormat="1" x14ac:dyDescent="0.25"/>
    <row r="72117" customFormat="1" x14ac:dyDescent="0.25"/>
    <row r="72118" customFormat="1" x14ac:dyDescent="0.25"/>
    <row r="72119" customFormat="1" x14ac:dyDescent="0.25"/>
    <row r="72120" customFormat="1" x14ac:dyDescent="0.25"/>
    <row r="72121" customFormat="1" x14ac:dyDescent="0.25"/>
    <row r="72122" customFormat="1" x14ac:dyDescent="0.25"/>
    <row r="72123" customFormat="1" x14ac:dyDescent="0.25"/>
    <row r="72124" customFormat="1" x14ac:dyDescent="0.25"/>
    <row r="72125" customFormat="1" x14ac:dyDescent="0.25"/>
    <row r="72126" customFormat="1" x14ac:dyDescent="0.25"/>
    <row r="72127" customFormat="1" x14ac:dyDescent="0.25"/>
    <row r="72128" customFormat="1" x14ac:dyDescent="0.25"/>
    <row r="72129" customFormat="1" x14ac:dyDescent="0.25"/>
    <row r="72130" customFormat="1" x14ac:dyDescent="0.25"/>
    <row r="72131" customFormat="1" x14ac:dyDescent="0.25"/>
    <row r="72132" customFormat="1" x14ac:dyDescent="0.25"/>
    <row r="72133" customFormat="1" x14ac:dyDescent="0.25"/>
    <row r="72134" customFormat="1" x14ac:dyDescent="0.25"/>
    <row r="72135" customFormat="1" x14ac:dyDescent="0.25"/>
    <row r="72136" customFormat="1" x14ac:dyDescent="0.25"/>
    <row r="72137" customFormat="1" x14ac:dyDescent="0.25"/>
    <row r="72138" customFormat="1" x14ac:dyDescent="0.25"/>
    <row r="72139" customFormat="1" x14ac:dyDescent="0.25"/>
    <row r="72140" customFormat="1" x14ac:dyDescent="0.25"/>
    <row r="72141" customFormat="1" x14ac:dyDescent="0.25"/>
    <row r="72142" customFormat="1" x14ac:dyDescent="0.25"/>
    <row r="72143" customFormat="1" x14ac:dyDescent="0.25"/>
    <row r="72144" customFormat="1" x14ac:dyDescent="0.25"/>
    <row r="72145" customFormat="1" x14ac:dyDescent="0.25"/>
    <row r="72146" customFormat="1" x14ac:dyDescent="0.25"/>
    <row r="72147" customFormat="1" x14ac:dyDescent="0.25"/>
    <row r="72148" customFormat="1" x14ac:dyDescent="0.25"/>
    <row r="72149" customFormat="1" x14ac:dyDescent="0.25"/>
    <row r="72150" customFormat="1" x14ac:dyDescent="0.25"/>
    <row r="72151" customFormat="1" x14ac:dyDescent="0.25"/>
    <row r="72152" customFormat="1" x14ac:dyDescent="0.25"/>
    <row r="72153" customFormat="1" x14ac:dyDescent="0.25"/>
    <row r="72154" customFormat="1" x14ac:dyDescent="0.25"/>
    <row r="72155" customFormat="1" x14ac:dyDescent="0.25"/>
    <row r="72156" customFormat="1" x14ac:dyDescent="0.25"/>
    <row r="72157" customFormat="1" x14ac:dyDescent="0.25"/>
    <row r="72158" customFormat="1" x14ac:dyDescent="0.25"/>
    <row r="72159" customFormat="1" x14ac:dyDescent="0.25"/>
    <row r="72160" customFormat="1" x14ac:dyDescent="0.25"/>
    <row r="72161" customFormat="1" x14ac:dyDescent="0.25"/>
    <row r="72162" customFormat="1" x14ac:dyDescent="0.25"/>
    <row r="72163" customFormat="1" x14ac:dyDescent="0.25"/>
    <row r="72164" customFormat="1" x14ac:dyDescent="0.25"/>
    <row r="72165" customFormat="1" x14ac:dyDescent="0.25"/>
    <row r="72166" customFormat="1" x14ac:dyDescent="0.25"/>
    <row r="72167" customFormat="1" x14ac:dyDescent="0.25"/>
    <row r="72168" customFormat="1" x14ac:dyDescent="0.25"/>
    <row r="72169" customFormat="1" x14ac:dyDescent="0.25"/>
    <row r="72170" customFormat="1" x14ac:dyDescent="0.25"/>
    <row r="72171" customFormat="1" x14ac:dyDescent="0.25"/>
    <row r="72172" customFormat="1" x14ac:dyDescent="0.25"/>
    <row r="72173" customFormat="1" x14ac:dyDescent="0.25"/>
    <row r="72174" customFormat="1" x14ac:dyDescent="0.25"/>
    <row r="72175" customFormat="1" x14ac:dyDescent="0.25"/>
    <row r="72176" customFormat="1" x14ac:dyDescent="0.25"/>
    <row r="72177" customFormat="1" x14ac:dyDescent="0.25"/>
    <row r="72178" customFormat="1" x14ac:dyDescent="0.25"/>
    <row r="72179" customFormat="1" x14ac:dyDescent="0.25"/>
    <row r="72180" customFormat="1" x14ac:dyDescent="0.25"/>
    <row r="72181" customFormat="1" x14ac:dyDescent="0.25"/>
    <row r="72182" customFormat="1" x14ac:dyDescent="0.25"/>
    <row r="72183" customFormat="1" x14ac:dyDescent="0.25"/>
    <row r="72184" customFormat="1" x14ac:dyDescent="0.25"/>
    <row r="72185" customFormat="1" x14ac:dyDescent="0.25"/>
    <row r="72186" customFormat="1" x14ac:dyDescent="0.25"/>
    <row r="72187" customFormat="1" x14ac:dyDescent="0.25"/>
    <row r="72188" customFormat="1" x14ac:dyDescent="0.25"/>
    <row r="72189" customFormat="1" x14ac:dyDescent="0.25"/>
    <row r="72190" customFormat="1" x14ac:dyDescent="0.25"/>
    <row r="72191" customFormat="1" x14ac:dyDescent="0.25"/>
    <row r="72192" customFormat="1" x14ac:dyDescent="0.25"/>
    <row r="72193" customFormat="1" x14ac:dyDescent="0.25"/>
    <row r="72194" customFormat="1" x14ac:dyDescent="0.25"/>
    <row r="72195" customFormat="1" x14ac:dyDescent="0.25"/>
    <row r="72196" customFormat="1" x14ac:dyDescent="0.25"/>
    <row r="72197" customFormat="1" x14ac:dyDescent="0.25"/>
    <row r="72198" customFormat="1" x14ac:dyDescent="0.25"/>
    <row r="72199" customFormat="1" x14ac:dyDescent="0.25"/>
    <row r="72200" customFormat="1" x14ac:dyDescent="0.25"/>
    <row r="72201" customFormat="1" x14ac:dyDescent="0.25"/>
    <row r="72202" customFormat="1" x14ac:dyDescent="0.25"/>
    <row r="72203" customFormat="1" x14ac:dyDescent="0.25"/>
    <row r="72204" customFormat="1" x14ac:dyDescent="0.25"/>
    <row r="72205" customFormat="1" x14ac:dyDescent="0.25"/>
    <row r="72206" customFormat="1" x14ac:dyDescent="0.25"/>
    <row r="72207" customFormat="1" x14ac:dyDescent="0.25"/>
    <row r="72208" customFormat="1" x14ac:dyDescent="0.25"/>
    <row r="72209" customFormat="1" x14ac:dyDescent="0.25"/>
    <row r="72210" customFormat="1" x14ac:dyDescent="0.25"/>
    <row r="72211" customFormat="1" x14ac:dyDescent="0.25"/>
    <row r="72212" customFormat="1" x14ac:dyDescent="0.25"/>
    <row r="72213" customFormat="1" x14ac:dyDescent="0.25"/>
    <row r="72214" customFormat="1" x14ac:dyDescent="0.25"/>
    <row r="72215" customFormat="1" x14ac:dyDescent="0.25"/>
    <row r="72216" customFormat="1" x14ac:dyDescent="0.25"/>
    <row r="72217" customFormat="1" x14ac:dyDescent="0.25"/>
    <row r="72218" customFormat="1" x14ac:dyDescent="0.25"/>
    <row r="72219" customFormat="1" x14ac:dyDescent="0.25"/>
    <row r="72220" customFormat="1" x14ac:dyDescent="0.25"/>
    <row r="72221" customFormat="1" x14ac:dyDescent="0.25"/>
    <row r="72222" customFormat="1" x14ac:dyDescent="0.25"/>
    <row r="72223" customFormat="1" x14ac:dyDescent="0.25"/>
    <row r="72224" customFormat="1" x14ac:dyDescent="0.25"/>
    <row r="72225" customFormat="1" x14ac:dyDescent="0.25"/>
    <row r="72226" customFormat="1" x14ac:dyDescent="0.25"/>
    <row r="72227" customFormat="1" x14ac:dyDescent="0.25"/>
    <row r="72228" customFormat="1" x14ac:dyDescent="0.25"/>
    <row r="72229" customFormat="1" x14ac:dyDescent="0.25"/>
    <row r="72230" customFormat="1" x14ac:dyDescent="0.25"/>
    <row r="72231" customFormat="1" x14ac:dyDescent="0.25"/>
    <row r="72232" customFormat="1" x14ac:dyDescent="0.25"/>
    <row r="72233" customFormat="1" x14ac:dyDescent="0.25"/>
    <row r="72234" customFormat="1" x14ac:dyDescent="0.25"/>
    <row r="72235" customFormat="1" x14ac:dyDescent="0.25"/>
    <row r="72236" customFormat="1" x14ac:dyDescent="0.25"/>
    <row r="72237" customFormat="1" x14ac:dyDescent="0.25"/>
    <row r="72238" customFormat="1" x14ac:dyDescent="0.25"/>
    <row r="72239" customFormat="1" x14ac:dyDescent="0.25"/>
    <row r="72240" customFormat="1" x14ac:dyDescent="0.25"/>
    <row r="72241" customFormat="1" x14ac:dyDescent="0.25"/>
    <row r="72242" customFormat="1" x14ac:dyDescent="0.25"/>
    <row r="72243" customFormat="1" x14ac:dyDescent="0.25"/>
    <row r="72244" customFormat="1" x14ac:dyDescent="0.25"/>
    <row r="72245" customFormat="1" x14ac:dyDescent="0.25"/>
    <row r="72246" customFormat="1" x14ac:dyDescent="0.25"/>
    <row r="72247" customFormat="1" x14ac:dyDescent="0.25"/>
    <row r="72248" customFormat="1" x14ac:dyDescent="0.25"/>
    <row r="72249" customFormat="1" x14ac:dyDescent="0.25"/>
    <row r="72250" customFormat="1" x14ac:dyDescent="0.25"/>
    <row r="72251" customFormat="1" x14ac:dyDescent="0.25"/>
    <row r="72252" customFormat="1" x14ac:dyDescent="0.25"/>
    <row r="72253" customFormat="1" x14ac:dyDescent="0.25"/>
    <row r="72254" customFormat="1" x14ac:dyDescent="0.25"/>
    <row r="72255" customFormat="1" x14ac:dyDescent="0.25"/>
    <row r="72256" customFormat="1" x14ac:dyDescent="0.25"/>
    <row r="72257" customFormat="1" x14ac:dyDescent="0.25"/>
    <row r="72258" customFormat="1" x14ac:dyDescent="0.25"/>
    <row r="72259" customFormat="1" x14ac:dyDescent="0.25"/>
    <row r="72260" customFormat="1" x14ac:dyDescent="0.25"/>
    <row r="72261" customFormat="1" x14ac:dyDescent="0.25"/>
    <row r="72262" customFormat="1" x14ac:dyDescent="0.25"/>
    <row r="72263" customFormat="1" x14ac:dyDescent="0.25"/>
    <row r="72264" customFormat="1" x14ac:dyDescent="0.25"/>
    <row r="72265" customFormat="1" x14ac:dyDescent="0.25"/>
    <row r="72266" customFormat="1" x14ac:dyDescent="0.25"/>
    <row r="72267" customFormat="1" x14ac:dyDescent="0.25"/>
    <row r="72268" customFormat="1" x14ac:dyDescent="0.25"/>
    <row r="72269" customFormat="1" x14ac:dyDescent="0.25"/>
    <row r="72270" customFormat="1" x14ac:dyDescent="0.25"/>
    <row r="72271" customFormat="1" x14ac:dyDescent="0.25"/>
    <row r="72272" customFormat="1" x14ac:dyDescent="0.25"/>
    <row r="72273" customFormat="1" x14ac:dyDescent="0.25"/>
    <row r="72274" customFormat="1" x14ac:dyDescent="0.25"/>
    <row r="72275" customFormat="1" x14ac:dyDescent="0.25"/>
    <row r="72276" customFormat="1" x14ac:dyDescent="0.25"/>
    <row r="72277" customFormat="1" x14ac:dyDescent="0.25"/>
    <row r="72278" customFormat="1" x14ac:dyDescent="0.25"/>
    <row r="72279" customFormat="1" x14ac:dyDescent="0.25"/>
    <row r="72280" customFormat="1" x14ac:dyDescent="0.25"/>
    <row r="72281" customFormat="1" x14ac:dyDescent="0.25"/>
    <row r="72282" customFormat="1" x14ac:dyDescent="0.25"/>
    <row r="72283" customFormat="1" x14ac:dyDescent="0.25"/>
    <row r="72284" customFormat="1" x14ac:dyDescent="0.25"/>
    <row r="72285" customFormat="1" x14ac:dyDescent="0.25"/>
    <row r="72286" customFormat="1" x14ac:dyDescent="0.25"/>
    <row r="72287" customFormat="1" x14ac:dyDescent="0.25"/>
    <row r="72288" customFormat="1" x14ac:dyDescent="0.25"/>
    <row r="72289" customFormat="1" x14ac:dyDescent="0.25"/>
    <row r="72290" customFormat="1" x14ac:dyDescent="0.25"/>
    <row r="72291" customFormat="1" x14ac:dyDescent="0.25"/>
    <row r="72292" customFormat="1" x14ac:dyDescent="0.25"/>
    <row r="72293" customFormat="1" x14ac:dyDescent="0.25"/>
    <row r="72294" customFormat="1" x14ac:dyDescent="0.25"/>
    <row r="72295" customFormat="1" x14ac:dyDescent="0.25"/>
    <row r="72296" customFormat="1" x14ac:dyDescent="0.25"/>
    <row r="72297" customFormat="1" x14ac:dyDescent="0.25"/>
    <row r="72298" customFormat="1" x14ac:dyDescent="0.25"/>
    <row r="72299" customFormat="1" x14ac:dyDescent="0.25"/>
    <row r="72300" customFormat="1" x14ac:dyDescent="0.25"/>
    <row r="72301" customFormat="1" x14ac:dyDescent="0.25"/>
    <row r="72302" customFormat="1" x14ac:dyDescent="0.25"/>
    <row r="72303" customFormat="1" x14ac:dyDescent="0.25"/>
    <row r="72304" customFormat="1" x14ac:dyDescent="0.25"/>
    <row r="72305" customFormat="1" x14ac:dyDescent="0.25"/>
    <row r="72306" customFormat="1" x14ac:dyDescent="0.25"/>
    <row r="72307" customFormat="1" x14ac:dyDescent="0.25"/>
    <row r="72308" customFormat="1" x14ac:dyDescent="0.25"/>
    <row r="72309" customFormat="1" x14ac:dyDescent="0.25"/>
    <row r="72310" customFormat="1" x14ac:dyDescent="0.25"/>
    <row r="72311" customFormat="1" x14ac:dyDescent="0.25"/>
    <row r="72312" customFormat="1" x14ac:dyDescent="0.25"/>
    <row r="72313" customFormat="1" x14ac:dyDescent="0.25"/>
    <row r="72314" customFormat="1" x14ac:dyDescent="0.25"/>
    <row r="72315" customFormat="1" x14ac:dyDescent="0.25"/>
    <row r="72316" customFormat="1" x14ac:dyDescent="0.25"/>
    <row r="72317" customFormat="1" x14ac:dyDescent="0.25"/>
    <row r="72318" customFormat="1" x14ac:dyDescent="0.25"/>
    <row r="72319" customFormat="1" x14ac:dyDescent="0.25"/>
    <row r="72320" customFormat="1" x14ac:dyDescent="0.25"/>
    <row r="72321" customFormat="1" x14ac:dyDescent="0.25"/>
    <row r="72322" customFormat="1" x14ac:dyDescent="0.25"/>
    <row r="72323" customFormat="1" x14ac:dyDescent="0.25"/>
    <row r="72324" customFormat="1" x14ac:dyDescent="0.25"/>
    <row r="72325" customFormat="1" x14ac:dyDescent="0.25"/>
    <row r="72326" customFormat="1" x14ac:dyDescent="0.25"/>
    <row r="72327" customFormat="1" x14ac:dyDescent="0.25"/>
    <row r="72328" customFormat="1" x14ac:dyDescent="0.25"/>
    <row r="72329" customFormat="1" x14ac:dyDescent="0.25"/>
    <row r="72330" customFormat="1" x14ac:dyDescent="0.25"/>
    <row r="72331" customFormat="1" x14ac:dyDescent="0.25"/>
    <row r="72332" customFormat="1" x14ac:dyDescent="0.25"/>
    <row r="72333" customFormat="1" x14ac:dyDescent="0.25"/>
    <row r="72334" customFormat="1" x14ac:dyDescent="0.25"/>
    <row r="72335" customFormat="1" x14ac:dyDescent="0.25"/>
    <row r="72336" customFormat="1" x14ac:dyDescent="0.25"/>
    <row r="72337" customFormat="1" x14ac:dyDescent="0.25"/>
    <row r="72338" customFormat="1" x14ac:dyDescent="0.25"/>
    <row r="72339" customFormat="1" x14ac:dyDescent="0.25"/>
    <row r="72340" customFormat="1" x14ac:dyDescent="0.25"/>
    <row r="72341" customFormat="1" x14ac:dyDescent="0.25"/>
    <row r="72342" customFormat="1" x14ac:dyDescent="0.25"/>
    <row r="72343" customFormat="1" x14ac:dyDescent="0.25"/>
    <row r="72344" customFormat="1" x14ac:dyDescent="0.25"/>
    <row r="72345" customFormat="1" x14ac:dyDescent="0.25"/>
    <row r="72346" customFormat="1" x14ac:dyDescent="0.25"/>
    <row r="72347" customFormat="1" x14ac:dyDescent="0.25"/>
    <row r="72348" customFormat="1" x14ac:dyDescent="0.25"/>
    <row r="72349" customFormat="1" x14ac:dyDescent="0.25"/>
    <row r="72350" customFormat="1" x14ac:dyDescent="0.25"/>
    <row r="72351" customFormat="1" x14ac:dyDescent="0.25"/>
    <row r="72352" customFormat="1" x14ac:dyDescent="0.25"/>
    <row r="72353" customFormat="1" x14ac:dyDescent="0.25"/>
    <row r="72354" customFormat="1" x14ac:dyDescent="0.25"/>
    <row r="72355" customFormat="1" x14ac:dyDescent="0.25"/>
    <row r="72356" customFormat="1" x14ac:dyDescent="0.25"/>
    <row r="72357" customFormat="1" x14ac:dyDescent="0.25"/>
    <row r="72358" customFormat="1" x14ac:dyDescent="0.25"/>
    <row r="72359" customFormat="1" x14ac:dyDescent="0.25"/>
    <row r="72360" customFormat="1" x14ac:dyDescent="0.25"/>
    <row r="72361" customFormat="1" x14ac:dyDescent="0.25"/>
    <row r="72362" customFormat="1" x14ac:dyDescent="0.25"/>
    <row r="72363" customFormat="1" x14ac:dyDescent="0.25"/>
    <row r="72364" customFormat="1" x14ac:dyDescent="0.25"/>
    <row r="72365" customFormat="1" x14ac:dyDescent="0.25"/>
    <row r="72366" customFormat="1" x14ac:dyDescent="0.25"/>
    <row r="72367" customFormat="1" x14ac:dyDescent="0.25"/>
    <row r="72368" customFormat="1" x14ac:dyDescent="0.25"/>
    <row r="72369" customFormat="1" x14ac:dyDescent="0.25"/>
    <row r="72370" customFormat="1" x14ac:dyDescent="0.25"/>
    <row r="72371" customFormat="1" x14ac:dyDescent="0.25"/>
    <row r="72372" customFormat="1" x14ac:dyDescent="0.25"/>
    <row r="72373" customFormat="1" x14ac:dyDescent="0.25"/>
    <row r="72374" customFormat="1" x14ac:dyDescent="0.25"/>
    <row r="72375" customFormat="1" x14ac:dyDescent="0.25"/>
    <row r="72376" customFormat="1" x14ac:dyDescent="0.25"/>
    <row r="72377" customFormat="1" x14ac:dyDescent="0.25"/>
    <row r="72378" customFormat="1" x14ac:dyDescent="0.25"/>
    <row r="72379" customFormat="1" x14ac:dyDescent="0.25"/>
    <row r="72380" customFormat="1" x14ac:dyDescent="0.25"/>
    <row r="72381" customFormat="1" x14ac:dyDescent="0.25"/>
    <row r="72382" customFormat="1" x14ac:dyDescent="0.25"/>
    <row r="72383" customFormat="1" x14ac:dyDescent="0.25"/>
    <row r="72384" customFormat="1" x14ac:dyDescent="0.25"/>
    <row r="72385" customFormat="1" x14ac:dyDescent="0.25"/>
    <row r="72386" customFormat="1" x14ac:dyDescent="0.25"/>
    <row r="72387" customFormat="1" x14ac:dyDescent="0.25"/>
    <row r="72388" customFormat="1" x14ac:dyDescent="0.25"/>
    <row r="72389" customFormat="1" x14ac:dyDescent="0.25"/>
    <row r="72390" customFormat="1" x14ac:dyDescent="0.25"/>
    <row r="72391" customFormat="1" x14ac:dyDescent="0.25"/>
    <row r="72392" customFormat="1" x14ac:dyDescent="0.25"/>
    <row r="72393" customFormat="1" x14ac:dyDescent="0.25"/>
    <row r="72394" customFormat="1" x14ac:dyDescent="0.25"/>
    <row r="72395" customFormat="1" x14ac:dyDescent="0.25"/>
    <row r="72396" customFormat="1" x14ac:dyDescent="0.25"/>
    <row r="72397" customFormat="1" x14ac:dyDescent="0.25"/>
    <row r="72398" customFormat="1" x14ac:dyDescent="0.25"/>
    <row r="72399" customFormat="1" x14ac:dyDescent="0.25"/>
    <row r="72400" customFormat="1" x14ac:dyDescent="0.25"/>
    <row r="72401" customFormat="1" x14ac:dyDescent="0.25"/>
    <row r="72402" customFormat="1" x14ac:dyDescent="0.25"/>
    <row r="72403" customFormat="1" x14ac:dyDescent="0.25"/>
    <row r="72404" customFormat="1" x14ac:dyDescent="0.25"/>
    <row r="72405" customFormat="1" x14ac:dyDescent="0.25"/>
    <row r="72406" customFormat="1" x14ac:dyDescent="0.25"/>
    <row r="72407" customFormat="1" x14ac:dyDescent="0.25"/>
    <row r="72408" customFormat="1" x14ac:dyDescent="0.25"/>
    <row r="72409" customFormat="1" x14ac:dyDescent="0.25"/>
    <row r="72410" customFormat="1" x14ac:dyDescent="0.25"/>
    <row r="72411" customFormat="1" x14ac:dyDescent="0.25"/>
    <row r="72412" customFormat="1" x14ac:dyDescent="0.25"/>
    <row r="72413" customFormat="1" x14ac:dyDescent="0.25"/>
    <row r="72414" customFormat="1" x14ac:dyDescent="0.25"/>
    <row r="72415" customFormat="1" x14ac:dyDescent="0.25"/>
    <row r="72416" customFormat="1" x14ac:dyDescent="0.25"/>
    <row r="72417" customFormat="1" x14ac:dyDescent="0.25"/>
    <row r="72418" customFormat="1" x14ac:dyDescent="0.25"/>
    <row r="72419" customFormat="1" x14ac:dyDescent="0.25"/>
    <row r="72420" customFormat="1" x14ac:dyDescent="0.25"/>
    <row r="72421" customFormat="1" x14ac:dyDescent="0.25"/>
    <row r="72422" customFormat="1" x14ac:dyDescent="0.25"/>
    <row r="72423" customFormat="1" x14ac:dyDescent="0.25"/>
    <row r="72424" customFormat="1" x14ac:dyDescent="0.25"/>
    <row r="72425" customFormat="1" x14ac:dyDescent="0.25"/>
    <row r="72426" customFormat="1" x14ac:dyDescent="0.25"/>
    <row r="72427" customFormat="1" x14ac:dyDescent="0.25"/>
    <row r="72428" customFormat="1" x14ac:dyDescent="0.25"/>
    <row r="72429" customFormat="1" x14ac:dyDescent="0.25"/>
    <row r="72430" customFormat="1" x14ac:dyDescent="0.25"/>
    <row r="72431" customFormat="1" x14ac:dyDescent="0.25"/>
    <row r="72432" customFormat="1" x14ac:dyDescent="0.25"/>
    <row r="72433" customFormat="1" x14ac:dyDescent="0.25"/>
    <row r="72434" customFormat="1" x14ac:dyDescent="0.25"/>
    <row r="72435" customFormat="1" x14ac:dyDescent="0.25"/>
    <row r="72436" customFormat="1" x14ac:dyDescent="0.25"/>
    <row r="72437" customFormat="1" x14ac:dyDescent="0.25"/>
    <row r="72438" customFormat="1" x14ac:dyDescent="0.25"/>
    <row r="72439" customFormat="1" x14ac:dyDescent="0.25"/>
    <row r="72440" customFormat="1" x14ac:dyDescent="0.25"/>
    <row r="72441" customFormat="1" x14ac:dyDescent="0.25"/>
    <row r="72442" customFormat="1" x14ac:dyDescent="0.25"/>
    <row r="72443" customFormat="1" x14ac:dyDescent="0.25"/>
    <row r="72444" customFormat="1" x14ac:dyDescent="0.25"/>
    <row r="72445" customFormat="1" x14ac:dyDescent="0.25"/>
    <row r="72446" customFormat="1" x14ac:dyDescent="0.25"/>
    <row r="72447" customFormat="1" x14ac:dyDescent="0.25"/>
    <row r="72448" customFormat="1" x14ac:dyDescent="0.25"/>
    <row r="72449" customFormat="1" x14ac:dyDescent="0.25"/>
    <row r="72450" customFormat="1" x14ac:dyDescent="0.25"/>
    <row r="72451" customFormat="1" x14ac:dyDescent="0.25"/>
    <row r="72452" customFormat="1" x14ac:dyDescent="0.25"/>
    <row r="72453" customFormat="1" x14ac:dyDescent="0.25"/>
    <row r="72454" customFormat="1" x14ac:dyDescent="0.25"/>
    <row r="72455" customFormat="1" x14ac:dyDescent="0.25"/>
    <row r="72456" customFormat="1" x14ac:dyDescent="0.25"/>
    <row r="72457" customFormat="1" x14ac:dyDescent="0.25"/>
    <row r="72458" customFormat="1" x14ac:dyDescent="0.25"/>
    <row r="72459" customFormat="1" x14ac:dyDescent="0.25"/>
    <row r="72460" customFormat="1" x14ac:dyDescent="0.25"/>
    <row r="72461" customFormat="1" x14ac:dyDescent="0.25"/>
    <row r="72462" customFormat="1" x14ac:dyDescent="0.25"/>
    <row r="72463" customFormat="1" x14ac:dyDescent="0.25"/>
    <row r="72464" customFormat="1" x14ac:dyDescent="0.25"/>
    <row r="72465" customFormat="1" x14ac:dyDescent="0.25"/>
    <row r="72466" customFormat="1" x14ac:dyDescent="0.25"/>
    <row r="72467" customFormat="1" x14ac:dyDescent="0.25"/>
    <row r="72468" customFormat="1" x14ac:dyDescent="0.25"/>
    <row r="72469" customFormat="1" x14ac:dyDescent="0.25"/>
    <row r="72470" customFormat="1" x14ac:dyDescent="0.25"/>
    <row r="72471" customFormat="1" x14ac:dyDescent="0.25"/>
    <row r="72472" customFormat="1" x14ac:dyDescent="0.25"/>
    <row r="72473" customFormat="1" x14ac:dyDescent="0.25"/>
    <row r="72474" customFormat="1" x14ac:dyDescent="0.25"/>
    <row r="72475" customFormat="1" x14ac:dyDescent="0.25"/>
    <row r="72476" customFormat="1" x14ac:dyDescent="0.25"/>
    <row r="72477" customFormat="1" x14ac:dyDescent="0.25"/>
    <row r="72478" customFormat="1" x14ac:dyDescent="0.25"/>
    <row r="72479" customFormat="1" x14ac:dyDescent="0.25"/>
    <row r="72480" customFormat="1" x14ac:dyDescent="0.25"/>
    <row r="72481" customFormat="1" x14ac:dyDescent="0.25"/>
    <row r="72482" customFormat="1" x14ac:dyDescent="0.25"/>
    <row r="72483" customFormat="1" x14ac:dyDescent="0.25"/>
    <row r="72484" customFormat="1" x14ac:dyDescent="0.25"/>
    <row r="72485" customFormat="1" x14ac:dyDescent="0.25"/>
    <row r="72486" customFormat="1" x14ac:dyDescent="0.25"/>
    <row r="72487" customFormat="1" x14ac:dyDescent="0.25"/>
    <row r="72488" customFormat="1" x14ac:dyDescent="0.25"/>
    <row r="72489" customFormat="1" x14ac:dyDescent="0.25"/>
    <row r="72490" customFormat="1" x14ac:dyDescent="0.25"/>
    <row r="72491" customFormat="1" x14ac:dyDescent="0.25"/>
    <row r="72492" customFormat="1" x14ac:dyDescent="0.25"/>
    <row r="72493" customFormat="1" x14ac:dyDescent="0.25"/>
    <row r="72494" customFormat="1" x14ac:dyDescent="0.25"/>
    <row r="72495" customFormat="1" x14ac:dyDescent="0.25"/>
    <row r="72496" customFormat="1" x14ac:dyDescent="0.25"/>
    <row r="72497" customFormat="1" x14ac:dyDescent="0.25"/>
    <row r="72498" customFormat="1" x14ac:dyDescent="0.25"/>
    <row r="72499" customFormat="1" x14ac:dyDescent="0.25"/>
    <row r="72500" customFormat="1" x14ac:dyDescent="0.25"/>
    <row r="72501" customFormat="1" x14ac:dyDescent="0.25"/>
    <row r="72502" customFormat="1" x14ac:dyDescent="0.25"/>
    <row r="72503" customFormat="1" x14ac:dyDescent="0.25"/>
    <row r="72504" customFormat="1" x14ac:dyDescent="0.25"/>
    <row r="72505" customFormat="1" x14ac:dyDescent="0.25"/>
    <row r="72506" customFormat="1" x14ac:dyDescent="0.25"/>
    <row r="72507" customFormat="1" x14ac:dyDescent="0.25"/>
    <row r="72508" customFormat="1" x14ac:dyDescent="0.25"/>
    <row r="72509" customFormat="1" x14ac:dyDescent="0.25"/>
    <row r="72510" customFormat="1" x14ac:dyDescent="0.25"/>
    <row r="72511" customFormat="1" x14ac:dyDescent="0.25"/>
    <row r="72512" customFormat="1" x14ac:dyDescent="0.25"/>
    <row r="72513" customFormat="1" x14ac:dyDescent="0.25"/>
    <row r="72514" customFormat="1" x14ac:dyDescent="0.25"/>
    <row r="72515" customFormat="1" x14ac:dyDescent="0.25"/>
    <row r="72516" customFormat="1" x14ac:dyDescent="0.25"/>
    <row r="72517" customFormat="1" x14ac:dyDescent="0.25"/>
    <row r="72518" customFormat="1" x14ac:dyDescent="0.25"/>
    <row r="72519" customFormat="1" x14ac:dyDescent="0.25"/>
    <row r="72520" customFormat="1" x14ac:dyDescent="0.25"/>
    <row r="72521" customFormat="1" x14ac:dyDescent="0.25"/>
    <row r="72522" customFormat="1" x14ac:dyDescent="0.25"/>
    <row r="72523" customFormat="1" x14ac:dyDescent="0.25"/>
    <row r="72524" customFormat="1" x14ac:dyDescent="0.25"/>
    <row r="72525" customFormat="1" x14ac:dyDescent="0.25"/>
    <row r="72526" customFormat="1" x14ac:dyDescent="0.25"/>
    <row r="72527" customFormat="1" x14ac:dyDescent="0.25"/>
    <row r="72528" customFormat="1" x14ac:dyDescent="0.25"/>
    <row r="72529" customFormat="1" x14ac:dyDescent="0.25"/>
    <row r="72530" customFormat="1" x14ac:dyDescent="0.25"/>
    <row r="72531" customFormat="1" x14ac:dyDescent="0.25"/>
    <row r="72532" customFormat="1" x14ac:dyDescent="0.25"/>
    <row r="72533" customFormat="1" x14ac:dyDescent="0.25"/>
    <row r="72534" customFormat="1" x14ac:dyDescent="0.25"/>
    <row r="72535" customFormat="1" x14ac:dyDescent="0.25"/>
    <row r="72536" customFormat="1" x14ac:dyDescent="0.25"/>
    <row r="72537" customFormat="1" x14ac:dyDescent="0.25"/>
    <row r="72538" customFormat="1" x14ac:dyDescent="0.25"/>
    <row r="72539" customFormat="1" x14ac:dyDescent="0.25"/>
    <row r="72540" customFormat="1" x14ac:dyDescent="0.25"/>
    <row r="72541" customFormat="1" x14ac:dyDescent="0.25"/>
    <row r="72542" customFormat="1" x14ac:dyDescent="0.25"/>
    <row r="72543" customFormat="1" x14ac:dyDescent="0.25"/>
    <row r="72544" customFormat="1" x14ac:dyDescent="0.25"/>
    <row r="72545" customFormat="1" x14ac:dyDescent="0.25"/>
    <row r="72546" customFormat="1" x14ac:dyDescent="0.25"/>
    <row r="72547" customFormat="1" x14ac:dyDescent="0.25"/>
    <row r="72548" customFormat="1" x14ac:dyDescent="0.25"/>
    <row r="72549" customFormat="1" x14ac:dyDescent="0.25"/>
    <row r="72550" customFormat="1" x14ac:dyDescent="0.25"/>
    <row r="72551" customFormat="1" x14ac:dyDescent="0.25"/>
    <row r="72552" customFormat="1" x14ac:dyDescent="0.25"/>
    <row r="72553" customFormat="1" x14ac:dyDescent="0.25"/>
    <row r="72554" customFormat="1" x14ac:dyDescent="0.25"/>
    <row r="72555" customFormat="1" x14ac:dyDescent="0.25"/>
    <row r="72556" customFormat="1" x14ac:dyDescent="0.25"/>
    <row r="72557" customFormat="1" x14ac:dyDescent="0.25"/>
    <row r="72558" customFormat="1" x14ac:dyDescent="0.25"/>
    <row r="72559" customFormat="1" x14ac:dyDescent="0.25"/>
    <row r="72560" customFormat="1" x14ac:dyDescent="0.25"/>
    <row r="72561" customFormat="1" x14ac:dyDescent="0.25"/>
    <row r="72562" customFormat="1" x14ac:dyDescent="0.25"/>
    <row r="72563" customFormat="1" x14ac:dyDescent="0.25"/>
    <row r="72564" customFormat="1" x14ac:dyDescent="0.25"/>
    <row r="72565" customFormat="1" x14ac:dyDescent="0.25"/>
    <row r="72566" customFormat="1" x14ac:dyDescent="0.25"/>
    <row r="72567" customFormat="1" x14ac:dyDescent="0.25"/>
    <row r="72568" customFormat="1" x14ac:dyDescent="0.25"/>
    <row r="72569" customFormat="1" x14ac:dyDescent="0.25"/>
    <row r="72570" customFormat="1" x14ac:dyDescent="0.25"/>
    <row r="72571" customFormat="1" x14ac:dyDescent="0.25"/>
    <row r="72572" customFormat="1" x14ac:dyDescent="0.25"/>
    <row r="72573" customFormat="1" x14ac:dyDescent="0.25"/>
    <row r="72574" customFormat="1" x14ac:dyDescent="0.25"/>
    <row r="72575" customFormat="1" x14ac:dyDescent="0.25"/>
    <row r="72576" customFormat="1" x14ac:dyDescent="0.25"/>
    <row r="72577" customFormat="1" x14ac:dyDescent="0.25"/>
    <row r="72578" customFormat="1" x14ac:dyDescent="0.25"/>
    <row r="72579" customFormat="1" x14ac:dyDescent="0.25"/>
    <row r="72580" customFormat="1" x14ac:dyDescent="0.25"/>
    <row r="72581" customFormat="1" x14ac:dyDescent="0.25"/>
    <row r="72582" customFormat="1" x14ac:dyDescent="0.25"/>
    <row r="72583" customFormat="1" x14ac:dyDescent="0.25"/>
    <row r="72584" customFormat="1" x14ac:dyDescent="0.25"/>
    <row r="72585" customFormat="1" x14ac:dyDescent="0.25"/>
    <row r="72586" customFormat="1" x14ac:dyDescent="0.25"/>
    <row r="72587" customFormat="1" x14ac:dyDescent="0.25"/>
    <row r="72588" customFormat="1" x14ac:dyDescent="0.25"/>
    <row r="72589" customFormat="1" x14ac:dyDescent="0.25"/>
    <row r="72590" customFormat="1" x14ac:dyDescent="0.25"/>
    <row r="72591" customFormat="1" x14ac:dyDescent="0.25"/>
    <row r="72592" customFormat="1" x14ac:dyDescent="0.25"/>
    <row r="72593" customFormat="1" x14ac:dyDescent="0.25"/>
    <row r="72594" customFormat="1" x14ac:dyDescent="0.25"/>
    <row r="72595" customFormat="1" x14ac:dyDescent="0.25"/>
    <row r="72596" customFormat="1" x14ac:dyDescent="0.25"/>
    <row r="72597" customFormat="1" x14ac:dyDescent="0.25"/>
    <row r="72598" customFormat="1" x14ac:dyDescent="0.25"/>
    <row r="72599" customFormat="1" x14ac:dyDescent="0.25"/>
    <row r="72600" customFormat="1" x14ac:dyDescent="0.25"/>
    <row r="72601" customFormat="1" x14ac:dyDescent="0.25"/>
    <row r="72602" customFormat="1" x14ac:dyDescent="0.25"/>
    <row r="72603" customFormat="1" x14ac:dyDescent="0.25"/>
    <row r="72604" customFormat="1" x14ac:dyDescent="0.25"/>
    <row r="72605" customFormat="1" x14ac:dyDescent="0.25"/>
    <row r="72606" customFormat="1" x14ac:dyDescent="0.25"/>
    <row r="72607" customFormat="1" x14ac:dyDescent="0.25"/>
    <row r="72608" customFormat="1" x14ac:dyDescent="0.25"/>
    <row r="72609" customFormat="1" x14ac:dyDescent="0.25"/>
    <row r="72610" customFormat="1" x14ac:dyDescent="0.25"/>
    <row r="72611" customFormat="1" x14ac:dyDescent="0.25"/>
    <row r="72612" customFormat="1" x14ac:dyDescent="0.25"/>
    <row r="72613" customFormat="1" x14ac:dyDescent="0.25"/>
    <row r="72614" customFormat="1" x14ac:dyDescent="0.25"/>
    <row r="72615" customFormat="1" x14ac:dyDescent="0.25"/>
    <row r="72616" customFormat="1" x14ac:dyDescent="0.25"/>
    <row r="72617" customFormat="1" x14ac:dyDescent="0.25"/>
    <row r="72618" customFormat="1" x14ac:dyDescent="0.25"/>
    <row r="72619" customFormat="1" x14ac:dyDescent="0.25"/>
    <row r="72620" customFormat="1" x14ac:dyDescent="0.25"/>
    <row r="72621" customFormat="1" x14ac:dyDescent="0.25"/>
    <row r="72622" customFormat="1" x14ac:dyDescent="0.25"/>
    <row r="72623" customFormat="1" x14ac:dyDescent="0.25"/>
    <row r="72624" customFormat="1" x14ac:dyDescent="0.25"/>
    <row r="72625" customFormat="1" x14ac:dyDescent="0.25"/>
    <row r="72626" customFormat="1" x14ac:dyDescent="0.25"/>
    <row r="72627" customFormat="1" x14ac:dyDescent="0.25"/>
    <row r="72628" customFormat="1" x14ac:dyDescent="0.25"/>
    <row r="72629" customFormat="1" x14ac:dyDescent="0.25"/>
    <row r="72630" customFormat="1" x14ac:dyDescent="0.25"/>
    <row r="72631" customFormat="1" x14ac:dyDescent="0.25"/>
    <row r="72632" customFormat="1" x14ac:dyDescent="0.25"/>
    <row r="72633" customFormat="1" x14ac:dyDescent="0.25"/>
    <row r="72634" customFormat="1" x14ac:dyDescent="0.25"/>
    <row r="72635" customFormat="1" x14ac:dyDescent="0.25"/>
    <row r="72636" customFormat="1" x14ac:dyDescent="0.25"/>
    <row r="72637" customFormat="1" x14ac:dyDescent="0.25"/>
    <row r="72638" customFormat="1" x14ac:dyDescent="0.25"/>
    <row r="72639" customFormat="1" x14ac:dyDescent="0.25"/>
    <row r="72640" customFormat="1" x14ac:dyDescent="0.25"/>
    <row r="72641" customFormat="1" x14ac:dyDescent="0.25"/>
    <row r="72642" customFormat="1" x14ac:dyDescent="0.25"/>
    <row r="72643" customFormat="1" x14ac:dyDescent="0.25"/>
    <row r="72644" customFormat="1" x14ac:dyDescent="0.25"/>
    <row r="72645" customFormat="1" x14ac:dyDescent="0.25"/>
    <row r="72646" customFormat="1" x14ac:dyDescent="0.25"/>
    <row r="72647" customFormat="1" x14ac:dyDescent="0.25"/>
    <row r="72648" customFormat="1" x14ac:dyDescent="0.25"/>
    <row r="72649" customFormat="1" x14ac:dyDescent="0.25"/>
    <row r="72650" customFormat="1" x14ac:dyDescent="0.25"/>
    <row r="72651" customFormat="1" x14ac:dyDescent="0.25"/>
    <row r="72652" customFormat="1" x14ac:dyDescent="0.25"/>
    <row r="72653" customFormat="1" x14ac:dyDescent="0.25"/>
    <row r="72654" customFormat="1" x14ac:dyDescent="0.25"/>
    <row r="72655" customFormat="1" x14ac:dyDescent="0.25"/>
    <row r="72656" customFormat="1" x14ac:dyDescent="0.25"/>
    <row r="72657" customFormat="1" x14ac:dyDescent="0.25"/>
    <row r="72658" customFormat="1" x14ac:dyDescent="0.25"/>
    <row r="72659" customFormat="1" x14ac:dyDescent="0.25"/>
    <row r="72660" customFormat="1" x14ac:dyDescent="0.25"/>
    <row r="72661" customFormat="1" x14ac:dyDescent="0.25"/>
    <row r="72662" customFormat="1" x14ac:dyDescent="0.25"/>
    <row r="72663" customFormat="1" x14ac:dyDescent="0.25"/>
    <row r="72664" customFormat="1" x14ac:dyDescent="0.25"/>
    <row r="72665" customFormat="1" x14ac:dyDescent="0.25"/>
    <row r="72666" customFormat="1" x14ac:dyDescent="0.25"/>
    <row r="72667" customFormat="1" x14ac:dyDescent="0.25"/>
    <row r="72668" customFormat="1" x14ac:dyDescent="0.25"/>
    <row r="72669" customFormat="1" x14ac:dyDescent="0.25"/>
    <row r="72670" customFormat="1" x14ac:dyDescent="0.25"/>
    <row r="72671" customFormat="1" x14ac:dyDescent="0.25"/>
    <row r="72672" customFormat="1" x14ac:dyDescent="0.25"/>
    <row r="72673" customFormat="1" x14ac:dyDescent="0.25"/>
    <row r="72674" customFormat="1" x14ac:dyDescent="0.25"/>
    <row r="72675" customFormat="1" x14ac:dyDescent="0.25"/>
    <row r="72676" customFormat="1" x14ac:dyDescent="0.25"/>
    <row r="72677" customFormat="1" x14ac:dyDescent="0.25"/>
    <row r="72678" customFormat="1" x14ac:dyDescent="0.25"/>
    <row r="72679" customFormat="1" x14ac:dyDescent="0.25"/>
    <row r="72680" customFormat="1" x14ac:dyDescent="0.25"/>
    <row r="72681" customFormat="1" x14ac:dyDescent="0.25"/>
    <row r="72682" customFormat="1" x14ac:dyDescent="0.25"/>
    <row r="72683" customFormat="1" x14ac:dyDescent="0.25"/>
    <row r="72684" customFormat="1" x14ac:dyDescent="0.25"/>
    <row r="72685" customFormat="1" x14ac:dyDescent="0.25"/>
    <row r="72686" customFormat="1" x14ac:dyDescent="0.25"/>
    <row r="72687" customFormat="1" x14ac:dyDescent="0.25"/>
    <row r="72688" customFormat="1" x14ac:dyDescent="0.25"/>
    <row r="72689" customFormat="1" x14ac:dyDescent="0.25"/>
    <row r="72690" customFormat="1" x14ac:dyDescent="0.25"/>
    <row r="72691" customFormat="1" x14ac:dyDescent="0.25"/>
    <row r="72692" customFormat="1" x14ac:dyDescent="0.25"/>
    <row r="72693" customFormat="1" x14ac:dyDescent="0.25"/>
    <row r="72694" customFormat="1" x14ac:dyDescent="0.25"/>
    <row r="72695" customFormat="1" x14ac:dyDescent="0.25"/>
    <row r="72696" customFormat="1" x14ac:dyDescent="0.25"/>
    <row r="72697" customFormat="1" x14ac:dyDescent="0.25"/>
    <row r="72698" customFormat="1" x14ac:dyDescent="0.25"/>
    <row r="72699" customFormat="1" x14ac:dyDescent="0.25"/>
    <row r="72700" customFormat="1" x14ac:dyDescent="0.25"/>
    <row r="72701" customFormat="1" x14ac:dyDescent="0.25"/>
    <row r="72702" customFormat="1" x14ac:dyDescent="0.25"/>
    <row r="72703" customFormat="1" x14ac:dyDescent="0.25"/>
    <row r="72704" customFormat="1" x14ac:dyDescent="0.25"/>
    <row r="72705" customFormat="1" x14ac:dyDescent="0.25"/>
    <row r="72706" customFormat="1" x14ac:dyDescent="0.25"/>
    <row r="72707" customFormat="1" x14ac:dyDescent="0.25"/>
    <row r="72708" customFormat="1" x14ac:dyDescent="0.25"/>
    <row r="72709" customFormat="1" x14ac:dyDescent="0.25"/>
    <row r="72710" customFormat="1" x14ac:dyDescent="0.25"/>
    <row r="72711" customFormat="1" x14ac:dyDescent="0.25"/>
    <row r="72712" customFormat="1" x14ac:dyDescent="0.25"/>
    <row r="72713" customFormat="1" x14ac:dyDescent="0.25"/>
    <row r="72714" customFormat="1" x14ac:dyDescent="0.25"/>
    <row r="72715" customFormat="1" x14ac:dyDescent="0.25"/>
    <row r="72716" customFormat="1" x14ac:dyDescent="0.25"/>
    <row r="72717" customFormat="1" x14ac:dyDescent="0.25"/>
    <row r="72718" customFormat="1" x14ac:dyDescent="0.25"/>
    <row r="72719" customFormat="1" x14ac:dyDescent="0.25"/>
    <row r="72720" customFormat="1" x14ac:dyDescent="0.25"/>
    <row r="72721" customFormat="1" x14ac:dyDescent="0.25"/>
    <row r="72722" customFormat="1" x14ac:dyDescent="0.25"/>
    <row r="72723" customFormat="1" x14ac:dyDescent="0.25"/>
    <row r="72724" customFormat="1" x14ac:dyDescent="0.25"/>
    <row r="72725" customFormat="1" x14ac:dyDescent="0.25"/>
    <row r="72726" customFormat="1" x14ac:dyDescent="0.25"/>
    <row r="72727" customFormat="1" x14ac:dyDescent="0.25"/>
    <row r="72728" customFormat="1" x14ac:dyDescent="0.25"/>
    <row r="72729" customFormat="1" x14ac:dyDescent="0.25"/>
    <row r="72730" customFormat="1" x14ac:dyDescent="0.25"/>
    <row r="72731" customFormat="1" x14ac:dyDescent="0.25"/>
    <row r="72732" customFormat="1" x14ac:dyDescent="0.25"/>
    <row r="72733" customFormat="1" x14ac:dyDescent="0.25"/>
    <row r="72734" customFormat="1" x14ac:dyDescent="0.25"/>
    <row r="72735" customFormat="1" x14ac:dyDescent="0.25"/>
    <row r="72736" customFormat="1" x14ac:dyDescent="0.25"/>
    <row r="72737" customFormat="1" x14ac:dyDescent="0.25"/>
    <row r="72738" customFormat="1" x14ac:dyDescent="0.25"/>
    <row r="72739" customFormat="1" x14ac:dyDescent="0.25"/>
    <row r="72740" customFormat="1" x14ac:dyDescent="0.25"/>
    <row r="72741" customFormat="1" x14ac:dyDescent="0.25"/>
    <row r="72742" customFormat="1" x14ac:dyDescent="0.25"/>
    <row r="72743" customFormat="1" x14ac:dyDescent="0.25"/>
    <row r="72744" customFormat="1" x14ac:dyDescent="0.25"/>
    <row r="72745" customFormat="1" x14ac:dyDescent="0.25"/>
    <row r="72746" customFormat="1" x14ac:dyDescent="0.25"/>
    <row r="72747" customFormat="1" x14ac:dyDescent="0.25"/>
    <row r="72748" customFormat="1" x14ac:dyDescent="0.25"/>
    <row r="72749" customFormat="1" x14ac:dyDescent="0.25"/>
    <row r="72750" customFormat="1" x14ac:dyDescent="0.25"/>
    <row r="72751" customFormat="1" x14ac:dyDescent="0.25"/>
    <row r="72752" customFormat="1" x14ac:dyDescent="0.25"/>
    <row r="72753" customFormat="1" x14ac:dyDescent="0.25"/>
    <row r="72754" customFormat="1" x14ac:dyDescent="0.25"/>
    <row r="72755" customFormat="1" x14ac:dyDescent="0.25"/>
    <row r="72756" customFormat="1" x14ac:dyDescent="0.25"/>
    <row r="72757" customFormat="1" x14ac:dyDescent="0.25"/>
    <row r="72758" customFormat="1" x14ac:dyDescent="0.25"/>
    <row r="72759" customFormat="1" x14ac:dyDescent="0.25"/>
    <row r="72760" customFormat="1" x14ac:dyDescent="0.25"/>
    <row r="72761" customFormat="1" x14ac:dyDescent="0.25"/>
    <row r="72762" customFormat="1" x14ac:dyDescent="0.25"/>
    <row r="72763" customFormat="1" x14ac:dyDescent="0.25"/>
    <row r="72764" customFormat="1" x14ac:dyDescent="0.25"/>
    <row r="72765" customFormat="1" x14ac:dyDescent="0.25"/>
    <row r="72766" customFormat="1" x14ac:dyDescent="0.25"/>
    <row r="72767" customFormat="1" x14ac:dyDescent="0.25"/>
    <row r="72768" customFormat="1" x14ac:dyDescent="0.25"/>
    <row r="72769" customFormat="1" x14ac:dyDescent="0.25"/>
    <row r="72770" customFormat="1" x14ac:dyDescent="0.25"/>
    <row r="72771" customFormat="1" x14ac:dyDescent="0.25"/>
    <row r="72772" customFormat="1" x14ac:dyDescent="0.25"/>
    <row r="72773" customFormat="1" x14ac:dyDescent="0.25"/>
    <row r="72774" customFormat="1" x14ac:dyDescent="0.25"/>
    <row r="72775" customFormat="1" x14ac:dyDescent="0.25"/>
    <row r="72776" customFormat="1" x14ac:dyDescent="0.25"/>
    <row r="72777" customFormat="1" x14ac:dyDescent="0.25"/>
    <row r="72778" customFormat="1" x14ac:dyDescent="0.25"/>
    <row r="72779" customFormat="1" x14ac:dyDescent="0.25"/>
    <row r="72780" customFormat="1" x14ac:dyDescent="0.25"/>
    <row r="72781" customFormat="1" x14ac:dyDescent="0.25"/>
    <row r="72782" customFormat="1" x14ac:dyDescent="0.25"/>
    <row r="72783" customFormat="1" x14ac:dyDescent="0.25"/>
    <row r="72784" customFormat="1" x14ac:dyDescent="0.25"/>
    <row r="72785" customFormat="1" x14ac:dyDescent="0.25"/>
    <row r="72786" customFormat="1" x14ac:dyDescent="0.25"/>
    <row r="72787" customFormat="1" x14ac:dyDescent="0.25"/>
    <row r="72788" customFormat="1" x14ac:dyDescent="0.25"/>
    <row r="72789" customFormat="1" x14ac:dyDescent="0.25"/>
    <row r="72790" customFormat="1" x14ac:dyDescent="0.25"/>
    <row r="72791" customFormat="1" x14ac:dyDescent="0.25"/>
    <row r="72792" customFormat="1" x14ac:dyDescent="0.25"/>
    <row r="72793" customFormat="1" x14ac:dyDescent="0.25"/>
    <row r="72794" customFormat="1" x14ac:dyDescent="0.25"/>
    <row r="72795" customFormat="1" x14ac:dyDescent="0.25"/>
    <row r="72796" customFormat="1" x14ac:dyDescent="0.25"/>
    <row r="72797" customFormat="1" x14ac:dyDescent="0.25"/>
    <row r="72798" customFormat="1" x14ac:dyDescent="0.25"/>
    <row r="72799" customFormat="1" x14ac:dyDescent="0.25"/>
    <row r="72800" customFormat="1" x14ac:dyDescent="0.25"/>
    <row r="72801" customFormat="1" x14ac:dyDescent="0.25"/>
    <row r="72802" customFormat="1" x14ac:dyDescent="0.25"/>
    <row r="72803" customFormat="1" x14ac:dyDescent="0.25"/>
    <row r="72804" customFormat="1" x14ac:dyDescent="0.25"/>
    <row r="72805" customFormat="1" x14ac:dyDescent="0.25"/>
    <row r="72806" customFormat="1" x14ac:dyDescent="0.25"/>
    <row r="72807" customFormat="1" x14ac:dyDescent="0.25"/>
    <row r="72808" customFormat="1" x14ac:dyDescent="0.25"/>
    <row r="72809" customFormat="1" x14ac:dyDescent="0.25"/>
    <row r="72810" customFormat="1" x14ac:dyDescent="0.25"/>
    <row r="72811" customFormat="1" x14ac:dyDescent="0.25"/>
    <row r="72812" customFormat="1" x14ac:dyDescent="0.25"/>
    <row r="72813" customFormat="1" x14ac:dyDescent="0.25"/>
    <row r="72814" customFormat="1" x14ac:dyDescent="0.25"/>
    <row r="72815" customFormat="1" x14ac:dyDescent="0.25"/>
    <row r="72816" customFormat="1" x14ac:dyDescent="0.25"/>
    <row r="72817" customFormat="1" x14ac:dyDescent="0.25"/>
    <row r="72818" customFormat="1" x14ac:dyDescent="0.25"/>
    <row r="72819" customFormat="1" x14ac:dyDescent="0.25"/>
    <row r="72820" customFormat="1" x14ac:dyDescent="0.25"/>
    <row r="72821" customFormat="1" x14ac:dyDescent="0.25"/>
    <row r="72822" customFormat="1" x14ac:dyDescent="0.25"/>
    <row r="72823" customFormat="1" x14ac:dyDescent="0.25"/>
    <row r="72824" customFormat="1" x14ac:dyDescent="0.25"/>
    <row r="72825" customFormat="1" x14ac:dyDescent="0.25"/>
    <row r="72826" customFormat="1" x14ac:dyDescent="0.25"/>
    <row r="72827" customFormat="1" x14ac:dyDescent="0.25"/>
    <row r="72828" customFormat="1" x14ac:dyDescent="0.25"/>
    <row r="72829" customFormat="1" x14ac:dyDescent="0.25"/>
    <row r="72830" customFormat="1" x14ac:dyDescent="0.25"/>
    <row r="72831" customFormat="1" x14ac:dyDescent="0.25"/>
    <row r="72832" customFormat="1" x14ac:dyDescent="0.25"/>
    <row r="72833" customFormat="1" x14ac:dyDescent="0.25"/>
    <row r="72834" customFormat="1" x14ac:dyDescent="0.25"/>
    <row r="72835" customFormat="1" x14ac:dyDescent="0.25"/>
    <row r="72836" customFormat="1" x14ac:dyDescent="0.25"/>
    <row r="72837" customFormat="1" x14ac:dyDescent="0.25"/>
    <row r="72838" customFormat="1" x14ac:dyDescent="0.25"/>
    <row r="72839" customFormat="1" x14ac:dyDescent="0.25"/>
    <row r="72840" customFormat="1" x14ac:dyDescent="0.25"/>
    <row r="72841" customFormat="1" x14ac:dyDescent="0.25"/>
    <row r="72842" customFormat="1" x14ac:dyDescent="0.25"/>
    <row r="72843" customFormat="1" x14ac:dyDescent="0.25"/>
    <row r="72844" customFormat="1" x14ac:dyDescent="0.25"/>
    <row r="72845" customFormat="1" x14ac:dyDescent="0.25"/>
    <row r="72846" customFormat="1" x14ac:dyDescent="0.25"/>
    <row r="72847" customFormat="1" x14ac:dyDescent="0.25"/>
    <row r="72848" customFormat="1" x14ac:dyDescent="0.25"/>
    <row r="72849" customFormat="1" x14ac:dyDescent="0.25"/>
    <row r="72850" customFormat="1" x14ac:dyDescent="0.25"/>
    <row r="72851" customFormat="1" x14ac:dyDescent="0.25"/>
    <row r="72852" customFormat="1" x14ac:dyDescent="0.25"/>
    <row r="72853" customFormat="1" x14ac:dyDescent="0.25"/>
    <row r="72854" customFormat="1" x14ac:dyDescent="0.25"/>
    <row r="72855" customFormat="1" x14ac:dyDescent="0.25"/>
    <row r="72856" customFormat="1" x14ac:dyDescent="0.25"/>
    <row r="72857" customFormat="1" x14ac:dyDescent="0.25"/>
    <row r="72858" customFormat="1" x14ac:dyDescent="0.25"/>
    <row r="72859" customFormat="1" x14ac:dyDescent="0.25"/>
    <row r="72860" customFormat="1" x14ac:dyDescent="0.25"/>
    <row r="72861" customFormat="1" x14ac:dyDescent="0.25"/>
    <row r="72862" customFormat="1" x14ac:dyDescent="0.25"/>
    <row r="72863" customFormat="1" x14ac:dyDescent="0.25"/>
    <row r="72864" customFormat="1" x14ac:dyDescent="0.25"/>
    <row r="72865" customFormat="1" x14ac:dyDescent="0.25"/>
    <row r="72866" customFormat="1" x14ac:dyDescent="0.25"/>
    <row r="72867" customFormat="1" x14ac:dyDescent="0.25"/>
    <row r="72868" customFormat="1" x14ac:dyDescent="0.25"/>
    <row r="72869" customFormat="1" x14ac:dyDescent="0.25"/>
    <row r="72870" customFormat="1" x14ac:dyDescent="0.25"/>
    <row r="72871" customFormat="1" x14ac:dyDescent="0.25"/>
    <row r="72872" customFormat="1" x14ac:dyDescent="0.25"/>
    <row r="72873" customFormat="1" x14ac:dyDescent="0.25"/>
    <row r="72874" customFormat="1" x14ac:dyDescent="0.25"/>
    <row r="72875" customFormat="1" x14ac:dyDescent="0.25"/>
    <row r="72876" customFormat="1" x14ac:dyDescent="0.25"/>
    <row r="72877" customFormat="1" x14ac:dyDescent="0.25"/>
    <row r="72878" customFormat="1" x14ac:dyDescent="0.25"/>
    <row r="72879" customFormat="1" x14ac:dyDescent="0.25"/>
    <row r="72880" customFormat="1" x14ac:dyDescent="0.25"/>
    <row r="72881" customFormat="1" x14ac:dyDescent="0.25"/>
    <row r="72882" customFormat="1" x14ac:dyDescent="0.25"/>
    <row r="72883" customFormat="1" x14ac:dyDescent="0.25"/>
    <row r="72884" customFormat="1" x14ac:dyDescent="0.25"/>
    <row r="72885" customFormat="1" x14ac:dyDescent="0.25"/>
    <row r="72886" customFormat="1" x14ac:dyDescent="0.25"/>
    <row r="72887" customFormat="1" x14ac:dyDescent="0.25"/>
    <row r="72888" customFormat="1" x14ac:dyDescent="0.25"/>
    <row r="72889" customFormat="1" x14ac:dyDescent="0.25"/>
    <row r="72890" customFormat="1" x14ac:dyDescent="0.25"/>
    <row r="72891" customFormat="1" x14ac:dyDescent="0.25"/>
    <row r="72892" customFormat="1" x14ac:dyDescent="0.25"/>
    <row r="72893" customFormat="1" x14ac:dyDescent="0.25"/>
    <row r="72894" customFormat="1" x14ac:dyDescent="0.25"/>
    <row r="72895" customFormat="1" x14ac:dyDescent="0.25"/>
    <row r="72896" customFormat="1" x14ac:dyDescent="0.25"/>
    <row r="72897" customFormat="1" x14ac:dyDescent="0.25"/>
    <row r="72898" customFormat="1" x14ac:dyDescent="0.25"/>
    <row r="72899" customFormat="1" x14ac:dyDescent="0.25"/>
    <row r="72900" customFormat="1" x14ac:dyDescent="0.25"/>
    <row r="72901" customFormat="1" x14ac:dyDescent="0.25"/>
    <row r="72902" customFormat="1" x14ac:dyDescent="0.25"/>
    <row r="72903" customFormat="1" x14ac:dyDescent="0.25"/>
    <row r="72904" customFormat="1" x14ac:dyDescent="0.25"/>
    <row r="72905" customFormat="1" x14ac:dyDescent="0.25"/>
    <row r="72906" customFormat="1" x14ac:dyDescent="0.25"/>
    <row r="72907" customFormat="1" x14ac:dyDescent="0.25"/>
    <row r="72908" customFormat="1" x14ac:dyDescent="0.25"/>
    <row r="72909" customFormat="1" x14ac:dyDescent="0.25"/>
    <row r="72910" customFormat="1" x14ac:dyDescent="0.25"/>
    <row r="72911" customFormat="1" x14ac:dyDescent="0.25"/>
    <row r="72912" customFormat="1" x14ac:dyDescent="0.25"/>
    <row r="72913" customFormat="1" x14ac:dyDescent="0.25"/>
    <row r="72914" customFormat="1" x14ac:dyDescent="0.25"/>
    <row r="72915" customFormat="1" x14ac:dyDescent="0.25"/>
    <row r="72916" customFormat="1" x14ac:dyDescent="0.25"/>
    <row r="72917" customFormat="1" x14ac:dyDescent="0.25"/>
    <row r="72918" customFormat="1" x14ac:dyDescent="0.25"/>
    <row r="72919" customFormat="1" x14ac:dyDescent="0.25"/>
    <row r="72920" customFormat="1" x14ac:dyDescent="0.25"/>
    <row r="72921" customFormat="1" x14ac:dyDescent="0.25"/>
    <row r="72922" customFormat="1" x14ac:dyDescent="0.25"/>
    <row r="72923" customFormat="1" x14ac:dyDescent="0.25"/>
    <row r="72924" customFormat="1" x14ac:dyDescent="0.25"/>
    <row r="72925" customFormat="1" x14ac:dyDescent="0.25"/>
    <row r="72926" customFormat="1" x14ac:dyDescent="0.25"/>
    <row r="72927" customFormat="1" x14ac:dyDescent="0.25"/>
    <row r="72928" customFormat="1" x14ac:dyDescent="0.25"/>
    <row r="72929" customFormat="1" x14ac:dyDescent="0.25"/>
    <row r="72930" customFormat="1" x14ac:dyDescent="0.25"/>
    <row r="72931" customFormat="1" x14ac:dyDescent="0.25"/>
    <row r="72932" customFormat="1" x14ac:dyDescent="0.25"/>
    <row r="72933" customFormat="1" x14ac:dyDescent="0.25"/>
    <row r="72934" customFormat="1" x14ac:dyDescent="0.25"/>
    <row r="72935" customFormat="1" x14ac:dyDescent="0.25"/>
    <row r="72936" customFormat="1" x14ac:dyDescent="0.25"/>
    <row r="72937" customFormat="1" x14ac:dyDescent="0.25"/>
    <row r="72938" customFormat="1" x14ac:dyDescent="0.25"/>
    <row r="72939" customFormat="1" x14ac:dyDescent="0.25"/>
    <row r="72940" customFormat="1" x14ac:dyDescent="0.25"/>
    <row r="72941" customFormat="1" x14ac:dyDescent="0.25"/>
    <row r="72942" customFormat="1" x14ac:dyDescent="0.25"/>
    <row r="72943" customFormat="1" x14ac:dyDescent="0.25"/>
    <row r="72944" customFormat="1" x14ac:dyDescent="0.25"/>
    <row r="72945" customFormat="1" x14ac:dyDescent="0.25"/>
    <row r="72946" customFormat="1" x14ac:dyDescent="0.25"/>
    <row r="72947" customFormat="1" x14ac:dyDescent="0.25"/>
    <row r="72948" customFormat="1" x14ac:dyDescent="0.25"/>
    <row r="72949" customFormat="1" x14ac:dyDescent="0.25"/>
    <row r="72950" customFormat="1" x14ac:dyDescent="0.25"/>
    <row r="72951" customFormat="1" x14ac:dyDescent="0.25"/>
    <row r="72952" customFormat="1" x14ac:dyDescent="0.25"/>
    <row r="72953" customFormat="1" x14ac:dyDescent="0.25"/>
    <row r="72954" customFormat="1" x14ac:dyDescent="0.25"/>
    <row r="72955" customFormat="1" x14ac:dyDescent="0.25"/>
    <row r="72956" customFormat="1" x14ac:dyDescent="0.25"/>
    <row r="72957" customFormat="1" x14ac:dyDescent="0.25"/>
    <row r="72958" customFormat="1" x14ac:dyDescent="0.25"/>
    <row r="72959" customFormat="1" x14ac:dyDescent="0.25"/>
    <row r="72960" customFormat="1" x14ac:dyDescent="0.25"/>
    <row r="72961" customFormat="1" x14ac:dyDescent="0.25"/>
    <row r="72962" customFormat="1" x14ac:dyDescent="0.25"/>
    <row r="72963" customFormat="1" x14ac:dyDescent="0.25"/>
    <row r="72964" customFormat="1" x14ac:dyDescent="0.25"/>
    <row r="72965" customFormat="1" x14ac:dyDescent="0.25"/>
    <row r="72966" customFormat="1" x14ac:dyDescent="0.25"/>
    <row r="72967" customFormat="1" x14ac:dyDescent="0.25"/>
    <row r="72968" customFormat="1" x14ac:dyDescent="0.25"/>
    <row r="72969" customFormat="1" x14ac:dyDescent="0.25"/>
    <row r="72970" customFormat="1" x14ac:dyDescent="0.25"/>
    <row r="72971" customFormat="1" x14ac:dyDescent="0.25"/>
    <row r="72972" customFormat="1" x14ac:dyDescent="0.25"/>
    <row r="72973" customFormat="1" x14ac:dyDescent="0.25"/>
    <row r="72974" customFormat="1" x14ac:dyDescent="0.25"/>
    <row r="72975" customFormat="1" x14ac:dyDescent="0.25"/>
    <row r="72976" customFormat="1" x14ac:dyDescent="0.25"/>
    <row r="72977" customFormat="1" x14ac:dyDescent="0.25"/>
    <row r="72978" customFormat="1" x14ac:dyDescent="0.25"/>
    <row r="72979" customFormat="1" x14ac:dyDescent="0.25"/>
    <row r="72980" customFormat="1" x14ac:dyDescent="0.25"/>
    <row r="72981" customFormat="1" x14ac:dyDescent="0.25"/>
    <row r="72982" customFormat="1" x14ac:dyDescent="0.25"/>
    <row r="72983" customFormat="1" x14ac:dyDescent="0.25"/>
    <row r="72984" customFormat="1" x14ac:dyDescent="0.25"/>
    <row r="72985" customFormat="1" x14ac:dyDescent="0.25"/>
    <row r="72986" customFormat="1" x14ac:dyDescent="0.25"/>
    <row r="72987" customFormat="1" x14ac:dyDescent="0.25"/>
    <row r="72988" customFormat="1" x14ac:dyDescent="0.25"/>
    <row r="72989" customFormat="1" x14ac:dyDescent="0.25"/>
    <row r="72990" customFormat="1" x14ac:dyDescent="0.25"/>
    <row r="72991" customFormat="1" x14ac:dyDescent="0.25"/>
    <row r="72992" customFormat="1" x14ac:dyDescent="0.25"/>
    <row r="72993" customFormat="1" x14ac:dyDescent="0.25"/>
    <row r="72994" customFormat="1" x14ac:dyDescent="0.25"/>
    <row r="72995" customFormat="1" x14ac:dyDescent="0.25"/>
    <row r="72996" customFormat="1" x14ac:dyDescent="0.25"/>
    <row r="72997" customFormat="1" x14ac:dyDescent="0.25"/>
    <row r="72998" customFormat="1" x14ac:dyDescent="0.25"/>
    <row r="72999" customFormat="1" x14ac:dyDescent="0.25"/>
    <row r="73000" customFormat="1" x14ac:dyDescent="0.25"/>
    <row r="73001" customFormat="1" x14ac:dyDescent="0.25"/>
    <row r="73002" customFormat="1" x14ac:dyDescent="0.25"/>
    <row r="73003" customFormat="1" x14ac:dyDescent="0.25"/>
    <row r="73004" customFormat="1" x14ac:dyDescent="0.25"/>
    <row r="73005" customFormat="1" x14ac:dyDescent="0.25"/>
    <row r="73006" customFormat="1" x14ac:dyDescent="0.25"/>
    <row r="73007" customFormat="1" x14ac:dyDescent="0.25"/>
    <row r="73008" customFormat="1" x14ac:dyDescent="0.25"/>
    <row r="73009" customFormat="1" x14ac:dyDescent="0.25"/>
    <row r="73010" customFormat="1" x14ac:dyDescent="0.25"/>
    <row r="73011" customFormat="1" x14ac:dyDescent="0.25"/>
    <row r="73012" customFormat="1" x14ac:dyDescent="0.25"/>
    <row r="73013" customFormat="1" x14ac:dyDescent="0.25"/>
    <row r="73014" customFormat="1" x14ac:dyDescent="0.25"/>
    <row r="73015" customFormat="1" x14ac:dyDescent="0.25"/>
    <row r="73016" customFormat="1" x14ac:dyDescent="0.25"/>
    <row r="73017" customFormat="1" x14ac:dyDescent="0.25"/>
    <row r="73018" customFormat="1" x14ac:dyDescent="0.25"/>
    <row r="73019" customFormat="1" x14ac:dyDescent="0.25"/>
    <row r="73020" customFormat="1" x14ac:dyDescent="0.25"/>
    <row r="73021" customFormat="1" x14ac:dyDescent="0.25"/>
    <row r="73022" customFormat="1" x14ac:dyDescent="0.25"/>
    <row r="73023" customFormat="1" x14ac:dyDescent="0.25"/>
    <row r="73024" customFormat="1" x14ac:dyDescent="0.25"/>
    <row r="73025" customFormat="1" x14ac:dyDescent="0.25"/>
    <row r="73026" customFormat="1" x14ac:dyDescent="0.25"/>
    <row r="73027" customFormat="1" x14ac:dyDescent="0.25"/>
    <row r="73028" customFormat="1" x14ac:dyDescent="0.25"/>
    <row r="73029" customFormat="1" x14ac:dyDescent="0.25"/>
    <row r="73030" customFormat="1" x14ac:dyDescent="0.25"/>
    <row r="73031" customFormat="1" x14ac:dyDescent="0.25"/>
    <row r="73032" customFormat="1" x14ac:dyDescent="0.25"/>
    <row r="73033" customFormat="1" x14ac:dyDescent="0.25"/>
    <row r="73034" customFormat="1" x14ac:dyDescent="0.25"/>
    <row r="73035" customFormat="1" x14ac:dyDescent="0.25"/>
    <row r="73036" customFormat="1" x14ac:dyDescent="0.25"/>
    <row r="73037" customFormat="1" x14ac:dyDescent="0.25"/>
    <row r="73038" customFormat="1" x14ac:dyDescent="0.25"/>
    <row r="73039" customFormat="1" x14ac:dyDescent="0.25"/>
    <row r="73040" customFormat="1" x14ac:dyDescent="0.25"/>
    <row r="73041" customFormat="1" x14ac:dyDescent="0.25"/>
    <row r="73042" customFormat="1" x14ac:dyDescent="0.25"/>
    <row r="73043" customFormat="1" x14ac:dyDescent="0.25"/>
    <row r="73044" customFormat="1" x14ac:dyDescent="0.25"/>
    <row r="73045" customFormat="1" x14ac:dyDescent="0.25"/>
    <row r="73046" customFormat="1" x14ac:dyDescent="0.25"/>
    <row r="73047" customFormat="1" x14ac:dyDescent="0.25"/>
    <row r="73048" customFormat="1" x14ac:dyDescent="0.25"/>
    <row r="73049" customFormat="1" x14ac:dyDescent="0.25"/>
    <row r="73050" customFormat="1" x14ac:dyDescent="0.25"/>
    <row r="73051" customFormat="1" x14ac:dyDescent="0.25"/>
    <row r="73052" customFormat="1" x14ac:dyDescent="0.25"/>
    <row r="73053" customFormat="1" x14ac:dyDescent="0.25"/>
    <row r="73054" customFormat="1" x14ac:dyDescent="0.25"/>
    <row r="73055" customFormat="1" x14ac:dyDescent="0.25"/>
    <row r="73056" customFormat="1" x14ac:dyDescent="0.25"/>
    <row r="73057" customFormat="1" x14ac:dyDescent="0.25"/>
    <row r="73058" customFormat="1" x14ac:dyDescent="0.25"/>
    <row r="73059" customFormat="1" x14ac:dyDescent="0.25"/>
    <row r="73060" customFormat="1" x14ac:dyDescent="0.25"/>
    <row r="73061" customFormat="1" x14ac:dyDescent="0.25"/>
    <row r="73062" customFormat="1" x14ac:dyDescent="0.25"/>
    <row r="73063" customFormat="1" x14ac:dyDescent="0.25"/>
    <row r="73064" customFormat="1" x14ac:dyDescent="0.25"/>
    <row r="73065" customFormat="1" x14ac:dyDescent="0.25"/>
    <row r="73066" customFormat="1" x14ac:dyDescent="0.25"/>
    <row r="73067" customFormat="1" x14ac:dyDescent="0.25"/>
    <row r="73068" customFormat="1" x14ac:dyDescent="0.25"/>
    <row r="73069" customFormat="1" x14ac:dyDescent="0.25"/>
    <row r="73070" customFormat="1" x14ac:dyDescent="0.25"/>
    <row r="73071" customFormat="1" x14ac:dyDescent="0.25"/>
    <row r="73072" customFormat="1" x14ac:dyDescent="0.25"/>
    <row r="73073" customFormat="1" x14ac:dyDescent="0.25"/>
    <row r="73074" customFormat="1" x14ac:dyDescent="0.25"/>
    <row r="73075" customFormat="1" x14ac:dyDescent="0.25"/>
    <row r="73076" customFormat="1" x14ac:dyDescent="0.25"/>
    <row r="73077" customFormat="1" x14ac:dyDescent="0.25"/>
    <row r="73078" customFormat="1" x14ac:dyDescent="0.25"/>
    <row r="73079" customFormat="1" x14ac:dyDescent="0.25"/>
    <row r="73080" customFormat="1" x14ac:dyDescent="0.25"/>
    <row r="73081" customFormat="1" x14ac:dyDescent="0.25"/>
    <row r="73082" customFormat="1" x14ac:dyDescent="0.25"/>
    <row r="73083" customFormat="1" x14ac:dyDescent="0.25"/>
    <row r="73084" customFormat="1" x14ac:dyDescent="0.25"/>
    <row r="73085" customFormat="1" x14ac:dyDescent="0.25"/>
    <row r="73086" customFormat="1" x14ac:dyDescent="0.25"/>
    <row r="73087" customFormat="1" x14ac:dyDescent="0.25"/>
    <row r="73088" customFormat="1" x14ac:dyDescent="0.25"/>
    <row r="73089" customFormat="1" x14ac:dyDescent="0.25"/>
    <row r="73090" customFormat="1" x14ac:dyDescent="0.25"/>
    <row r="73091" customFormat="1" x14ac:dyDescent="0.25"/>
    <row r="73092" customFormat="1" x14ac:dyDescent="0.25"/>
    <row r="73093" customFormat="1" x14ac:dyDescent="0.25"/>
    <row r="73094" customFormat="1" x14ac:dyDescent="0.25"/>
    <row r="73095" customFormat="1" x14ac:dyDescent="0.25"/>
    <row r="73096" customFormat="1" x14ac:dyDescent="0.25"/>
    <row r="73097" customFormat="1" x14ac:dyDescent="0.25"/>
    <row r="73098" customFormat="1" x14ac:dyDescent="0.25"/>
    <row r="73099" customFormat="1" x14ac:dyDescent="0.25"/>
    <row r="73100" customFormat="1" x14ac:dyDescent="0.25"/>
    <row r="73101" customFormat="1" x14ac:dyDescent="0.25"/>
    <row r="73102" customFormat="1" x14ac:dyDescent="0.25"/>
    <row r="73103" customFormat="1" x14ac:dyDescent="0.25"/>
    <row r="73104" customFormat="1" x14ac:dyDescent="0.25"/>
    <row r="73105" customFormat="1" x14ac:dyDescent="0.25"/>
    <row r="73106" customFormat="1" x14ac:dyDescent="0.25"/>
    <row r="73107" customFormat="1" x14ac:dyDescent="0.25"/>
    <row r="73108" customFormat="1" x14ac:dyDescent="0.25"/>
    <row r="73109" customFormat="1" x14ac:dyDescent="0.25"/>
    <row r="73110" customFormat="1" x14ac:dyDescent="0.25"/>
    <row r="73111" customFormat="1" x14ac:dyDescent="0.25"/>
    <row r="73112" customFormat="1" x14ac:dyDescent="0.25"/>
    <row r="73113" customFormat="1" x14ac:dyDescent="0.25"/>
    <row r="73114" customFormat="1" x14ac:dyDescent="0.25"/>
    <row r="73115" customFormat="1" x14ac:dyDescent="0.25"/>
    <row r="73116" customFormat="1" x14ac:dyDescent="0.25"/>
    <row r="73117" customFormat="1" x14ac:dyDescent="0.25"/>
    <row r="73118" customFormat="1" x14ac:dyDescent="0.25"/>
    <row r="73119" customFormat="1" x14ac:dyDescent="0.25"/>
    <row r="73120" customFormat="1" x14ac:dyDescent="0.25"/>
    <row r="73121" customFormat="1" x14ac:dyDescent="0.25"/>
    <row r="73122" customFormat="1" x14ac:dyDescent="0.25"/>
    <row r="73123" customFormat="1" x14ac:dyDescent="0.25"/>
    <row r="73124" customFormat="1" x14ac:dyDescent="0.25"/>
    <row r="73125" customFormat="1" x14ac:dyDescent="0.25"/>
    <row r="73126" customFormat="1" x14ac:dyDescent="0.25"/>
    <row r="73127" customFormat="1" x14ac:dyDescent="0.25"/>
    <row r="73128" customFormat="1" x14ac:dyDescent="0.25"/>
    <row r="73129" customFormat="1" x14ac:dyDescent="0.25"/>
    <row r="73130" customFormat="1" x14ac:dyDescent="0.25"/>
    <row r="73131" customFormat="1" x14ac:dyDescent="0.25"/>
    <row r="73132" customFormat="1" x14ac:dyDescent="0.25"/>
    <row r="73133" customFormat="1" x14ac:dyDescent="0.25"/>
    <row r="73134" customFormat="1" x14ac:dyDescent="0.25"/>
    <row r="73135" customFormat="1" x14ac:dyDescent="0.25"/>
    <row r="73136" customFormat="1" x14ac:dyDescent="0.25"/>
    <row r="73137" customFormat="1" x14ac:dyDescent="0.25"/>
    <row r="73138" customFormat="1" x14ac:dyDescent="0.25"/>
    <row r="73139" customFormat="1" x14ac:dyDescent="0.25"/>
    <row r="73140" customFormat="1" x14ac:dyDescent="0.25"/>
    <row r="73141" customFormat="1" x14ac:dyDescent="0.25"/>
    <row r="73142" customFormat="1" x14ac:dyDescent="0.25"/>
    <row r="73143" customFormat="1" x14ac:dyDescent="0.25"/>
    <row r="73144" customFormat="1" x14ac:dyDescent="0.25"/>
    <row r="73145" customFormat="1" x14ac:dyDescent="0.25"/>
    <row r="73146" customFormat="1" x14ac:dyDescent="0.25"/>
    <row r="73147" customFormat="1" x14ac:dyDescent="0.25"/>
    <row r="73148" customFormat="1" x14ac:dyDescent="0.25"/>
    <row r="73149" customFormat="1" x14ac:dyDescent="0.25"/>
    <row r="73150" customFormat="1" x14ac:dyDescent="0.25"/>
    <row r="73151" customFormat="1" x14ac:dyDescent="0.25"/>
    <row r="73152" customFormat="1" x14ac:dyDescent="0.25"/>
    <row r="73153" customFormat="1" x14ac:dyDescent="0.25"/>
    <row r="73154" customFormat="1" x14ac:dyDescent="0.25"/>
    <row r="73155" customFormat="1" x14ac:dyDescent="0.25"/>
    <row r="73156" customFormat="1" x14ac:dyDescent="0.25"/>
    <row r="73157" customFormat="1" x14ac:dyDescent="0.25"/>
    <row r="73158" customFormat="1" x14ac:dyDescent="0.25"/>
    <row r="73159" customFormat="1" x14ac:dyDescent="0.25"/>
    <row r="73160" customFormat="1" x14ac:dyDescent="0.25"/>
    <row r="73161" customFormat="1" x14ac:dyDescent="0.25"/>
    <row r="73162" customFormat="1" x14ac:dyDescent="0.25"/>
    <row r="73163" customFormat="1" x14ac:dyDescent="0.25"/>
    <row r="73164" customFormat="1" x14ac:dyDescent="0.25"/>
    <row r="73165" customFormat="1" x14ac:dyDescent="0.25"/>
    <row r="73166" customFormat="1" x14ac:dyDescent="0.25"/>
    <row r="73167" customFormat="1" x14ac:dyDescent="0.25"/>
    <row r="73168" customFormat="1" x14ac:dyDescent="0.25"/>
    <row r="73169" customFormat="1" x14ac:dyDescent="0.25"/>
    <row r="73170" customFormat="1" x14ac:dyDescent="0.25"/>
    <row r="73171" customFormat="1" x14ac:dyDescent="0.25"/>
    <row r="73172" customFormat="1" x14ac:dyDescent="0.25"/>
    <row r="73173" customFormat="1" x14ac:dyDescent="0.25"/>
    <row r="73174" customFormat="1" x14ac:dyDescent="0.25"/>
    <row r="73175" customFormat="1" x14ac:dyDescent="0.25"/>
    <row r="73176" customFormat="1" x14ac:dyDescent="0.25"/>
    <row r="73177" customFormat="1" x14ac:dyDescent="0.25"/>
    <row r="73178" customFormat="1" x14ac:dyDescent="0.25"/>
    <row r="73179" customFormat="1" x14ac:dyDescent="0.25"/>
    <row r="73180" customFormat="1" x14ac:dyDescent="0.25"/>
    <row r="73181" customFormat="1" x14ac:dyDescent="0.25"/>
    <row r="73182" customFormat="1" x14ac:dyDescent="0.25"/>
    <row r="73183" customFormat="1" x14ac:dyDescent="0.25"/>
    <row r="73184" customFormat="1" x14ac:dyDescent="0.25"/>
    <row r="73185" customFormat="1" x14ac:dyDescent="0.25"/>
    <row r="73186" customFormat="1" x14ac:dyDescent="0.25"/>
    <row r="73187" customFormat="1" x14ac:dyDescent="0.25"/>
    <row r="73188" customFormat="1" x14ac:dyDescent="0.25"/>
    <row r="73189" customFormat="1" x14ac:dyDescent="0.25"/>
    <row r="73190" customFormat="1" x14ac:dyDescent="0.25"/>
    <row r="73191" customFormat="1" x14ac:dyDescent="0.25"/>
    <row r="73192" customFormat="1" x14ac:dyDescent="0.25"/>
    <row r="73193" customFormat="1" x14ac:dyDescent="0.25"/>
    <row r="73194" customFormat="1" x14ac:dyDescent="0.25"/>
    <row r="73195" customFormat="1" x14ac:dyDescent="0.25"/>
    <row r="73196" customFormat="1" x14ac:dyDescent="0.25"/>
    <row r="73197" customFormat="1" x14ac:dyDescent="0.25"/>
    <row r="73198" customFormat="1" x14ac:dyDescent="0.25"/>
    <row r="73199" customFormat="1" x14ac:dyDescent="0.25"/>
    <row r="73200" customFormat="1" x14ac:dyDescent="0.25"/>
    <row r="73201" customFormat="1" x14ac:dyDescent="0.25"/>
    <row r="73202" customFormat="1" x14ac:dyDescent="0.25"/>
    <row r="73203" customFormat="1" x14ac:dyDescent="0.25"/>
    <row r="73204" customFormat="1" x14ac:dyDescent="0.25"/>
    <row r="73205" customFormat="1" x14ac:dyDescent="0.25"/>
    <row r="73206" customFormat="1" x14ac:dyDescent="0.25"/>
    <row r="73207" customFormat="1" x14ac:dyDescent="0.25"/>
    <row r="73208" customFormat="1" x14ac:dyDescent="0.25"/>
    <row r="73209" customFormat="1" x14ac:dyDescent="0.25"/>
    <row r="73210" customFormat="1" x14ac:dyDescent="0.25"/>
    <row r="73211" customFormat="1" x14ac:dyDescent="0.25"/>
    <row r="73212" customFormat="1" x14ac:dyDescent="0.25"/>
    <row r="73213" customFormat="1" x14ac:dyDescent="0.25"/>
    <row r="73214" customFormat="1" x14ac:dyDescent="0.25"/>
    <row r="73215" customFormat="1" x14ac:dyDescent="0.25"/>
    <row r="73216" customFormat="1" x14ac:dyDescent="0.25"/>
    <row r="73217" customFormat="1" x14ac:dyDescent="0.25"/>
    <row r="73218" customFormat="1" x14ac:dyDescent="0.25"/>
    <row r="73219" customFormat="1" x14ac:dyDescent="0.25"/>
    <row r="73220" customFormat="1" x14ac:dyDescent="0.25"/>
    <row r="73221" customFormat="1" x14ac:dyDescent="0.25"/>
    <row r="73222" customFormat="1" x14ac:dyDescent="0.25"/>
    <row r="73223" customFormat="1" x14ac:dyDescent="0.25"/>
    <row r="73224" customFormat="1" x14ac:dyDescent="0.25"/>
    <row r="73225" customFormat="1" x14ac:dyDescent="0.25"/>
    <row r="73226" customFormat="1" x14ac:dyDescent="0.25"/>
    <row r="73227" customFormat="1" x14ac:dyDescent="0.25"/>
    <row r="73228" customFormat="1" x14ac:dyDescent="0.25"/>
    <row r="73229" customFormat="1" x14ac:dyDescent="0.25"/>
    <row r="73230" customFormat="1" x14ac:dyDescent="0.25"/>
    <row r="73231" customFormat="1" x14ac:dyDescent="0.25"/>
    <row r="73232" customFormat="1" x14ac:dyDescent="0.25"/>
    <row r="73233" customFormat="1" x14ac:dyDescent="0.25"/>
    <row r="73234" customFormat="1" x14ac:dyDescent="0.25"/>
    <row r="73235" customFormat="1" x14ac:dyDescent="0.25"/>
    <row r="73236" customFormat="1" x14ac:dyDescent="0.25"/>
    <row r="73237" customFormat="1" x14ac:dyDescent="0.25"/>
    <row r="73238" customFormat="1" x14ac:dyDescent="0.25"/>
    <row r="73239" customFormat="1" x14ac:dyDescent="0.25"/>
    <row r="73240" customFormat="1" x14ac:dyDescent="0.25"/>
    <row r="73241" customFormat="1" x14ac:dyDescent="0.25"/>
    <row r="73242" customFormat="1" x14ac:dyDescent="0.25"/>
    <row r="73243" customFormat="1" x14ac:dyDescent="0.25"/>
    <row r="73244" customFormat="1" x14ac:dyDescent="0.25"/>
    <row r="73245" customFormat="1" x14ac:dyDescent="0.25"/>
    <row r="73246" customFormat="1" x14ac:dyDescent="0.25"/>
    <row r="73247" customFormat="1" x14ac:dyDescent="0.25"/>
    <row r="73248" customFormat="1" x14ac:dyDescent="0.25"/>
    <row r="73249" customFormat="1" x14ac:dyDescent="0.25"/>
    <row r="73250" customFormat="1" x14ac:dyDescent="0.25"/>
    <row r="73251" customFormat="1" x14ac:dyDescent="0.25"/>
    <row r="73252" customFormat="1" x14ac:dyDescent="0.25"/>
    <row r="73253" customFormat="1" x14ac:dyDescent="0.25"/>
    <row r="73254" customFormat="1" x14ac:dyDescent="0.25"/>
    <row r="73255" customFormat="1" x14ac:dyDescent="0.25"/>
    <row r="73256" customFormat="1" x14ac:dyDescent="0.25"/>
    <row r="73257" customFormat="1" x14ac:dyDescent="0.25"/>
    <row r="73258" customFormat="1" x14ac:dyDescent="0.25"/>
    <row r="73259" customFormat="1" x14ac:dyDescent="0.25"/>
    <row r="73260" customFormat="1" x14ac:dyDescent="0.25"/>
    <row r="73261" customFormat="1" x14ac:dyDescent="0.25"/>
    <row r="73262" customFormat="1" x14ac:dyDescent="0.25"/>
    <row r="73263" customFormat="1" x14ac:dyDescent="0.25"/>
    <row r="73264" customFormat="1" x14ac:dyDescent="0.25"/>
    <row r="73265" customFormat="1" x14ac:dyDescent="0.25"/>
    <row r="73266" customFormat="1" x14ac:dyDescent="0.25"/>
    <row r="73267" customFormat="1" x14ac:dyDescent="0.25"/>
    <row r="73268" customFormat="1" x14ac:dyDescent="0.25"/>
    <row r="73269" customFormat="1" x14ac:dyDescent="0.25"/>
    <row r="73270" customFormat="1" x14ac:dyDescent="0.25"/>
    <row r="73271" customFormat="1" x14ac:dyDescent="0.25"/>
    <row r="73272" customFormat="1" x14ac:dyDescent="0.25"/>
    <row r="73273" customFormat="1" x14ac:dyDescent="0.25"/>
    <row r="73274" customFormat="1" x14ac:dyDescent="0.25"/>
    <row r="73275" customFormat="1" x14ac:dyDescent="0.25"/>
    <row r="73276" customFormat="1" x14ac:dyDescent="0.25"/>
    <row r="73277" customFormat="1" x14ac:dyDescent="0.25"/>
    <row r="73278" customFormat="1" x14ac:dyDescent="0.25"/>
    <row r="73279" customFormat="1" x14ac:dyDescent="0.25"/>
    <row r="73280" customFormat="1" x14ac:dyDescent="0.25"/>
    <row r="73281" customFormat="1" x14ac:dyDescent="0.25"/>
    <row r="73282" customFormat="1" x14ac:dyDescent="0.25"/>
    <row r="73283" customFormat="1" x14ac:dyDescent="0.25"/>
    <row r="73284" customFormat="1" x14ac:dyDescent="0.25"/>
    <row r="73285" customFormat="1" x14ac:dyDescent="0.25"/>
    <row r="73286" customFormat="1" x14ac:dyDescent="0.25"/>
    <row r="73287" customFormat="1" x14ac:dyDescent="0.25"/>
    <row r="73288" customFormat="1" x14ac:dyDescent="0.25"/>
    <row r="73289" customFormat="1" x14ac:dyDescent="0.25"/>
    <row r="73290" customFormat="1" x14ac:dyDescent="0.25"/>
    <row r="73291" customFormat="1" x14ac:dyDescent="0.25"/>
    <row r="73292" customFormat="1" x14ac:dyDescent="0.25"/>
    <row r="73293" customFormat="1" x14ac:dyDescent="0.25"/>
    <row r="73294" customFormat="1" x14ac:dyDescent="0.25"/>
    <row r="73295" customFormat="1" x14ac:dyDescent="0.25"/>
    <row r="73296" customFormat="1" x14ac:dyDescent="0.25"/>
    <row r="73297" customFormat="1" x14ac:dyDescent="0.25"/>
    <row r="73298" customFormat="1" x14ac:dyDescent="0.25"/>
    <row r="73299" customFormat="1" x14ac:dyDescent="0.25"/>
    <row r="73300" customFormat="1" x14ac:dyDescent="0.25"/>
    <row r="73301" customFormat="1" x14ac:dyDescent="0.25"/>
    <row r="73302" customFormat="1" x14ac:dyDescent="0.25"/>
    <row r="73303" customFormat="1" x14ac:dyDescent="0.25"/>
    <row r="73304" customFormat="1" x14ac:dyDescent="0.25"/>
    <row r="73305" customFormat="1" x14ac:dyDescent="0.25"/>
    <row r="73306" customFormat="1" x14ac:dyDescent="0.25"/>
    <row r="73307" customFormat="1" x14ac:dyDescent="0.25"/>
    <row r="73308" customFormat="1" x14ac:dyDescent="0.25"/>
    <row r="73309" customFormat="1" x14ac:dyDescent="0.25"/>
    <row r="73310" customFormat="1" x14ac:dyDescent="0.25"/>
    <row r="73311" customFormat="1" x14ac:dyDescent="0.25"/>
    <row r="73312" customFormat="1" x14ac:dyDescent="0.25"/>
    <row r="73313" customFormat="1" x14ac:dyDescent="0.25"/>
    <row r="73314" customFormat="1" x14ac:dyDescent="0.25"/>
    <row r="73315" customFormat="1" x14ac:dyDescent="0.25"/>
    <row r="73316" customFormat="1" x14ac:dyDescent="0.25"/>
    <row r="73317" customFormat="1" x14ac:dyDescent="0.25"/>
    <row r="73318" customFormat="1" x14ac:dyDescent="0.25"/>
    <row r="73319" customFormat="1" x14ac:dyDescent="0.25"/>
    <row r="73320" customFormat="1" x14ac:dyDescent="0.25"/>
    <row r="73321" customFormat="1" x14ac:dyDescent="0.25"/>
    <row r="73322" customFormat="1" x14ac:dyDescent="0.25"/>
    <row r="73323" customFormat="1" x14ac:dyDescent="0.25"/>
    <row r="73324" customFormat="1" x14ac:dyDescent="0.25"/>
    <row r="73325" customFormat="1" x14ac:dyDescent="0.25"/>
    <row r="73326" customFormat="1" x14ac:dyDescent="0.25"/>
    <row r="73327" customFormat="1" x14ac:dyDescent="0.25"/>
    <row r="73328" customFormat="1" x14ac:dyDescent="0.25"/>
    <row r="73329" customFormat="1" x14ac:dyDescent="0.25"/>
    <row r="73330" customFormat="1" x14ac:dyDescent="0.25"/>
    <row r="73331" customFormat="1" x14ac:dyDescent="0.25"/>
    <row r="73332" customFormat="1" x14ac:dyDescent="0.25"/>
    <row r="73333" customFormat="1" x14ac:dyDescent="0.25"/>
    <row r="73334" customFormat="1" x14ac:dyDescent="0.25"/>
    <row r="73335" customFormat="1" x14ac:dyDescent="0.25"/>
    <row r="73336" customFormat="1" x14ac:dyDescent="0.25"/>
    <row r="73337" customFormat="1" x14ac:dyDescent="0.25"/>
    <row r="73338" customFormat="1" x14ac:dyDescent="0.25"/>
    <row r="73339" customFormat="1" x14ac:dyDescent="0.25"/>
    <row r="73340" customFormat="1" x14ac:dyDescent="0.25"/>
    <row r="73341" customFormat="1" x14ac:dyDescent="0.25"/>
    <row r="73342" customFormat="1" x14ac:dyDescent="0.25"/>
    <row r="73343" customFormat="1" x14ac:dyDescent="0.25"/>
    <row r="73344" customFormat="1" x14ac:dyDescent="0.25"/>
    <row r="73345" customFormat="1" x14ac:dyDescent="0.25"/>
    <row r="73346" customFormat="1" x14ac:dyDescent="0.25"/>
    <row r="73347" customFormat="1" x14ac:dyDescent="0.25"/>
    <row r="73348" customFormat="1" x14ac:dyDescent="0.25"/>
    <row r="73349" customFormat="1" x14ac:dyDescent="0.25"/>
    <row r="73350" customFormat="1" x14ac:dyDescent="0.25"/>
    <row r="73351" customFormat="1" x14ac:dyDescent="0.25"/>
    <row r="73352" customFormat="1" x14ac:dyDescent="0.25"/>
    <row r="73353" customFormat="1" x14ac:dyDescent="0.25"/>
    <row r="73354" customFormat="1" x14ac:dyDescent="0.25"/>
    <row r="73355" customFormat="1" x14ac:dyDescent="0.25"/>
    <row r="73356" customFormat="1" x14ac:dyDescent="0.25"/>
    <row r="73357" customFormat="1" x14ac:dyDescent="0.25"/>
    <row r="73358" customFormat="1" x14ac:dyDescent="0.25"/>
    <row r="73359" customFormat="1" x14ac:dyDescent="0.25"/>
    <row r="73360" customFormat="1" x14ac:dyDescent="0.25"/>
    <row r="73361" customFormat="1" x14ac:dyDescent="0.25"/>
    <row r="73362" customFormat="1" x14ac:dyDescent="0.25"/>
    <row r="73363" customFormat="1" x14ac:dyDescent="0.25"/>
    <row r="73364" customFormat="1" x14ac:dyDescent="0.25"/>
    <row r="73365" customFormat="1" x14ac:dyDescent="0.25"/>
    <row r="73366" customFormat="1" x14ac:dyDescent="0.25"/>
    <row r="73367" customFormat="1" x14ac:dyDescent="0.25"/>
    <row r="73368" customFormat="1" x14ac:dyDescent="0.25"/>
    <row r="73369" customFormat="1" x14ac:dyDescent="0.25"/>
    <row r="73370" customFormat="1" x14ac:dyDescent="0.25"/>
    <row r="73371" customFormat="1" x14ac:dyDescent="0.25"/>
    <row r="73372" customFormat="1" x14ac:dyDescent="0.25"/>
    <row r="73373" customFormat="1" x14ac:dyDescent="0.25"/>
    <row r="73374" customFormat="1" x14ac:dyDescent="0.25"/>
    <row r="73375" customFormat="1" x14ac:dyDescent="0.25"/>
    <row r="73376" customFormat="1" x14ac:dyDescent="0.25"/>
    <row r="73377" customFormat="1" x14ac:dyDescent="0.25"/>
    <row r="73378" customFormat="1" x14ac:dyDescent="0.25"/>
    <row r="73379" customFormat="1" x14ac:dyDescent="0.25"/>
    <row r="73380" customFormat="1" x14ac:dyDescent="0.25"/>
    <row r="73381" customFormat="1" x14ac:dyDescent="0.25"/>
    <row r="73382" customFormat="1" x14ac:dyDescent="0.25"/>
    <row r="73383" customFormat="1" x14ac:dyDescent="0.25"/>
    <row r="73384" customFormat="1" x14ac:dyDescent="0.25"/>
    <row r="73385" customFormat="1" x14ac:dyDescent="0.25"/>
    <row r="73386" customFormat="1" x14ac:dyDescent="0.25"/>
    <row r="73387" customFormat="1" x14ac:dyDescent="0.25"/>
    <row r="73388" customFormat="1" x14ac:dyDescent="0.25"/>
    <row r="73389" customFormat="1" x14ac:dyDescent="0.25"/>
    <row r="73390" customFormat="1" x14ac:dyDescent="0.25"/>
    <row r="73391" customFormat="1" x14ac:dyDescent="0.25"/>
    <row r="73392" customFormat="1" x14ac:dyDescent="0.25"/>
    <row r="73393" customFormat="1" x14ac:dyDescent="0.25"/>
    <row r="73394" customFormat="1" x14ac:dyDescent="0.25"/>
    <row r="73395" customFormat="1" x14ac:dyDescent="0.25"/>
    <row r="73396" customFormat="1" x14ac:dyDescent="0.25"/>
    <row r="73397" customFormat="1" x14ac:dyDescent="0.25"/>
    <row r="73398" customFormat="1" x14ac:dyDescent="0.25"/>
    <row r="73399" customFormat="1" x14ac:dyDescent="0.25"/>
    <row r="73400" customFormat="1" x14ac:dyDescent="0.25"/>
    <row r="73401" customFormat="1" x14ac:dyDescent="0.25"/>
    <row r="73402" customFormat="1" x14ac:dyDescent="0.25"/>
    <row r="73403" customFormat="1" x14ac:dyDescent="0.25"/>
    <row r="73404" customFormat="1" x14ac:dyDescent="0.25"/>
    <row r="73405" customFormat="1" x14ac:dyDescent="0.25"/>
    <row r="73406" customFormat="1" x14ac:dyDescent="0.25"/>
    <row r="73407" customFormat="1" x14ac:dyDescent="0.25"/>
    <row r="73408" customFormat="1" x14ac:dyDescent="0.25"/>
    <row r="73409" customFormat="1" x14ac:dyDescent="0.25"/>
    <row r="73410" customFormat="1" x14ac:dyDescent="0.25"/>
    <row r="73411" customFormat="1" x14ac:dyDescent="0.25"/>
    <row r="73412" customFormat="1" x14ac:dyDescent="0.25"/>
    <row r="73413" customFormat="1" x14ac:dyDescent="0.25"/>
    <row r="73414" customFormat="1" x14ac:dyDescent="0.25"/>
    <row r="73415" customFormat="1" x14ac:dyDescent="0.25"/>
    <row r="73416" customFormat="1" x14ac:dyDescent="0.25"/>
    <row r="73417" customFormat="1" x14ac:dyDescent="0.25"/>
    <row r="73418" customFormat="1" x14ac:dyDescent="0.25"/>
    <row r="73419" customFormat="1" x14ac:dyDescent="0.25"/>
    <row r="73420" customFormat="1" x14ac:dyDescent="0.25"/>
    <row r="73421" customFormat="1" x14ac:dyDescent="0.25"/>
    <row r="73422" customFormat="1" x14ac:dyDescent="0.25"/>
    <row r="73423" customFormat="1" x14ac:dyDescent="0.25"/>
    <row r="73424" customFormat="1" x14ac:dyDescent="0.25"/>
    <row r="73425" customFormat="1" x14ac:dyDescent="0.25"/>
    <row r="73426" customFormat="1" x14ac:dyDescent="0.25"/>
    <row r="73427" customFormat="1" x14ac:dyDescent="0.25"/>
    <row r="73428" customFormat="1" x14ac:dyDescent="0.25"/>
    <row r="73429" customFormat="1" x14ac:dyDescent="0.25"/>
    <row r="73430" customFormat="1" x14ac:dyDescent="0.25"/>
    <row r="73431" customFormat="1" x14ac:dyDescent="0.25"/>
    <row r="73432" customFormat="1" x14ac:dyDescent="0.25"/>
    <row r="73433" customFormat="1" x14ac:dyDescent="0.25"/>
    <row r="73434" customFormat="1" x14ac:dyDescent="0.25"/>
    <row r="73435" customFormat="1" x14ac:dyDescent="0.25"/>
    <row r="73436" customFormat="1" x14ac:dyDescent="0.25"/>
    <row r="73437" customFormat="1" x14ac:dyDescent="0.25"/>
    <row r="73438" customFormat="1" x14ac:dyDescent="0.25"/>
    <row r="73439" customFormat="1" x14ac:dyDescent="0.25"/>
    <row r="73440" customFormat="1" x14ac:dyDescent="0.25"/>
    <row r="73441" customFormat="1" x14ac:dyDescent="0.25"/>
    <row r="73442" customFormat="1" x14ac:dyDescent="0.25"/>
    <row r="73443" customFormat="1" x14ac:dyDescent="0.25"/>
    <row r="73444" customFormat="1" x14ac:dyDescent="0.25"/>
    <row r="73445" customFormat="1" x14ac:dyDescent="0.25"/>
    <row r="73446" customFormat="1" x14ac:dyDescent="0.25"/>
    <row r="73447" customFormat="1" x14ac:dyDescent="0.25"/>
    <row r="73448" customFormat="1" x14ac:dyDescent="0.25"/>
    <row r="73449" customFormat="1" x14ac:dyDescent="0.25"/>
    <row r="73450" customFormat="1" x14ac:dyDescent="0.25"/>
    <row r="73451" customFormat="1" x14ac:dyDescent="0.25"/>
    <row r="73452" customFormat="1" x14ac:dyDescent="0.25"/>
    <row r="73453" customFormat="1" x14ac:dyDescent="0.25"/>
    <row r="73454" customFormat="1" x14ac:dyDescent="0.25"/>
    <row r="73455" customFormat="1" x14ac:dyDescent="0.25"/>
    <row r="73456" customFormat="1" x14ac:dyDescent="0.25"/>
    <row r="73457" customFormat="1" x14ac:dyDescent="0.25"/>
    <row r="73458" customFormat="1" x14ac:dyDescent="0.25"/>
    <row r="73459" customFormat="1" x14ac:dyDescent="0.25"/>
    <row r="73460" customFormat="1" x14ac:dyDescent="0.25"/>
    <row r="73461" customFormat="1" x14ac:dyDescent="0.25"/>
    <row r="73462" customFormat="1" x14ac:dyDescent="0.25"/>
    <row r="73463" customFormat="1" x14ac:dyDescent="0.25"/>
    <row r="73464" customFormat="1" x14ac:dyDescent="0.25"/>
    <row r="73465" customFormat="1" x14ac:dyDescent="0.25"/>
    <row r="73466" customFormat="1" x14ac:dyDescent="0.25"/>
    <row r="73467" customFormat="1" x14ac:dyDescent="0.25"/>
    <row r="73468" customFormat="1" x14ac:dyDescent="0.25"/>
    <row r="73469" customFormat="1" x14ac:dyDescent="0.25"/>
    <row r="73470" customFormat="1" x14ac:dyDescent="0.25"/>
    <row r="73471" customFormat="1" x14ac:dyDescent="0.25"/>
    <row r="73472" customFormat="1" x14ac:dyDescent="0.25"/>
    <row r="73473" customFormat="1" x14ac:dyDescent="0.25"/>
    <row r="73474" customFormat="1" x14ac:dyDescent="0.25"/>
    <row r="73475" customFormat="1" x14ac:dyDescent="0.25"/>
    <row r="73476" customFormat="1" x14ac:dyDescent="0.25"/>
    <row r="73477" customFormat="1" x14ac:dyDescent="0.25"/>
    <row r="73478" customFormat="1" x14ac:dyDescent="0.25"/>
    <row r="73479" customFormat="1" x14ac:dyDescent="0.25"/>
    <row r="73480" customFormat="1" x14ac:dyDescent="0.25"/>
    <row r="73481" customFormat="1" x14ac:dyDescent="0.25"/>
    <row r="73482" customFormat="1" x14ac:dyDescent="0.25"/>
    <row r="73483" customFormat="1" x14ac:dyDescent="0.25"/>
    <row r="73484" customFormat="1" x14ac:dyDescent="0.25"/>
    <row r="73485" customFormat="1" x14ac:dyDescent="0.25"/>
    <row r="73486" customFormat="1" x14ac:dyDescent="0.25"/>
    <row r="73487" customFormat="1" x14ac:dyDescent="0.25"/>
    <row r="73488" customFormat="1" x14ac:dyDescent="0.25"/>
    <row r="73489" customFormat="1" x14ac:dyDescent="0.25"/>
    <row r="73490" customFormat="1" x14ac:dyDescent="0.25"/>
    <row r="73491" customFormat="1" x14ac:dyDescent="0.25"/>
    <row r="73492" customFormat="1" x14ac:dyDescent="0.25"/>
    <row r="73493" customFormat="1" x14ac:dyDescent="0.25"/>
    <row r="73494" customFormat="1" x14ac:dyDescent="0.25"/>
    <row r="73495" customFormat="1" x14ac:dyDescent="0.25"/>
    <row r="73496" customFormat="1" x14ac:dyDescent="0.25"/>
    <row r="73497" customFormat="1" x14ac:dyDescent="0.25"/>
    <row r="73498" customFormat="1" x14ac:dyDescent="0.25"/>
    <row r="73499" customFormat="1" x14ac:dyDescent="0.25"/>
    <row r="73500" customFormat="1" x14ac:dyDescent="0.25"/>
    <row r="73501" customFormat="1" x14ac:dyDescent="0.25"/>
    <row r="73502" customFormat="1" x14ac:dyDescent="0.25"/>
    <row r="73503" customFormat="1" x14ac:dyDescent="0.25"/>
    <row r="73504" customFormat="1" x14ac:dyDescent="0.25"/>
    <row r="73505" customFormat="1" x14ac:dyDescent="0.25"/>
    <row r="73506" customFormat="1" x14ac:dyDescent="0.25"/>
    <row r="73507" customFormat="1" x14ac:dyDescent="0.25"/>
    <row r="73508" customFormat="1" x14ac:dyDescent="0.25"/>
    <row r="73509" customFormat="1" x14ac:dyDescent="0.25"/>
    <row r="73510" customFormat="1" x14ac:dyDescent="0.25"/>
    <row r="73511" customFormat="1" x14ac:dyDescent="0.25"/>
    <row r="73512" customFormat="1" x14ac:dyDescent="0.25"/>
    <row r="73513" customFormat="1" x14ac:dyDescent="0.25"/>
    <row r="73514" customFormat="1" x14ac:dyDescent="0.25"/>
    <row r="73515" customFormat="1" x14ac:dyDescent="0.25"/>
    <row r="73516" customFormat="1" x14ac:dyDescent="0.25"/>
    <row r="73517" customFormat="1" x14ac:dyDescent="0.25"/>
    <row r="73518" customFormat="1" x14ac:dyDescent="0.25"/>
    <row r="73519" customFormat="1" x14ac:dyDescent="0.25"/>
    <row r="73520" customFormat="1" x14ac:dyDescent="0.25"/>
    <row r="73521" customFormat="1" x14ac:dyDescent="0.25"/>
    <row r="73522" customFormat="1" x14ac:dyDescent="0.25"/>
    <row r="73523" customFormat="1" x14ac:dyDescent="0.25"/>
    <row r="73524" customFormat="1" x14ac:dyDescent="0.25"/>
    <row r="73525" customFormat="1" x14ac:dyDescent="0.25"/>
    <row r="73526" customFormat="1" x14ac:dyDescent="0.25"/>
    <row r="73527" customFormat="1" x14ac:dyDescent="0.25"/>
    <row r="73528" customFormat="1" x14ac:dyDescent="0.25"/>
    <row r="73529" customFormat="1" x14ac:dyDescent="0.25"/>
    <row r="73530" customFormat="1" x14ac:dyDescent="0.25"/>
    <row r="73531" customFormat="1" x14ac:dyDescent="0.25"/>
    <row r="73532" customFormat="1" x14ac:dyDescent="0.25"/>
    <row r="73533" customFormat="1" x14ac:dyDescent="0.25"/>
    <row r="73534" customFormat="1" x14ac:dyDescent="0.25"/>
    <row r="73535" customFormat="1" x14ac:dyDescent="0.25"/>
    <row r="73536" customFormat="1" x14ac:dyDescent="0.25"/>
    <row r="73537" customFormat="1" x14ac:dyDescent="0.25"/>
    <row r="73538" customFormat="1" x14ac:dyDescent="0.25"/>
    <row r="73539" customFormat="1" x14ac:dyDescent="0.25"/>
    <row r="73540" customFormat="1" x14ac:dyDescent="0.25"/>
    <row r="73541" customFormat="1" x14ac:dyDescent="0.25"/>
    <row r="73542" customFormat="1" x14ac:dyDescent="0.25"/>
    <row r="73543" customFormat="1" x14ac:dyDescent="0.25"/>
    <row r="73544" customFormat="1" x14ac:dyDescent="0.25"/>
    <row r="73545" customFormat="1" x14ac:dyDescent="0.25"/>
    <row r="73546" customFormat="1" x14ac:dyDescent="0.25"/>
    <row r="73547" customFormat="1" x14ac:dyDescent="0.25"/>
    <row r="73548" customFormat="1" x14ac:dyDescent="0.25"/>
    <row r="73549" customFormat="1" x14ac:dyDescent="0.25"/>
    <row r="73550" customFormat="1" x14ac:dyDescent="0.25"/>
    <row r="73551" customFormat="1" x14ac:dyDescent="0.25"/>
    <row r="73552" customFormat="1" x14ac:dyDescent="0.25"/>
    <row r="73553" customFormat="1" x14ac:dyDescent="0.25"/>
    <row r="73554" customFormat="1" x14ac:dyDescent="0.25"/>
    <row r="73555" customFormat="1" x14ac:dyDescent="0.25"/>
    <row r="73556" customFormat="1" x14ac:dyDescent="0.25"/>
    <row r="73557" customFormat="1" x14ac:dyDescent="0.25"/>
    <row r="73558" customFormat="1" x14ac:dyDescent="0.25"/>
    <row r="73559" customFormat="1" x14ac:dyDescent="0.25"/>
    <row r="73560" customFormat="1" x14ac:dyDescent="0.25"/>
    <row r="73561" customFormat="1" x14ac:dyDescent="0.25"/>
    <row r="73562" customFormat="1" x14ac:dyDescent="0.25"/>
    <row r="73563" customFormat="1" x14ac:dyDescent="0.25"/>
    <row r="73564" customFormat="1" x14ac:dyDescent="0.25"/>
    <row r="73565" customFormat="1" x14ac:dyDescent="0.25"/>
    <row r="73566" customFormat="1" x14ac:dyDescent="0.25"/>
    <row r="73567" customFormat="1" x14ac:dyDescent="0.25"/>
    <row r="73568" customFormat="1" x14ac:dyDescent="0.25"/>
    <row r="73569" customFormat="1" x14ac:dyDescent="0.25"/>
    <row r="73570" customFormat="1" x14ac:dyDescent="0.25"/>
    <row r="73571" customFormat="1" x14ac:dyDescent="0.25"/>
    <row r="73572" customFormat="1" x14ac:dyDescent="0.25"/>
    <row r="73573" customFormat="1" x14ac:dyDescent="0.25"/>
    <row r="73574" customFormat="1" x14ac:dyDescent="0.25"/>
    <row r="73575" customFormat="1" x14ac:dyDescent="0.25"/>
    <row r="73576" customFormat="1" x14ac:dyDescent="0.25"/>
    <row r="73577" customFormat="1" x14ac:dyDescent="0.25"/>
    <row r="73578" customFormat="1" x14ac:dyDescent="0.25"/>
    <row r="73579" customFormat="1" x14ac:dyDescent="0.25"/>
    <row r="73580" customFormat="1" x14ac:dyDescent="0.25"/>
    <row r="73581" customFormat="1" x14ac:dyDescent="0.25"/>
    <row r="73582" customFormat="1" x14ac:dyDescent="0.25"/>
    <row r="73583" customFormat="1" x14ac:dyDescent="0.25"/>
    <row r="73584" customFormat="1" x14ac:dyDescent="0.25"/>
    <row r="73585" customFormat="1" x14ac:dyDescent="0.25"/>
    <row r="73586" customFormat="1" x14ac:dyDescent="0.25"/>
    <row r="73587" customFormat="1" x14ac:dyDescent="0.25"/>
    <row r="73588" customFormat="1" x14ac:dyDescent="0.25"/>
    <row r="73589" customFormat="1" x14ac:dyDescent="0.25"/>
    <row r="73590" customFormat="1" x14ac:dyDescent="0.25"/>
    <row r="73591" customFormat="1" x14ac:dyDescent="0.25"/>
    <row r="73592" customFormat="1" x14ac:dyDescent="0.25"/>
    <row r="73593" customFormat="1" x14ac:dyDescent="0.25"/>
    <row r="73594" customFormat="1" x14ac:dyDescent="0.25"/>
    <row r="73595" customFormat="1" x14ac:dyDescent="0.25"/>
    <row r="73596" customFormat="1" x14ac:dyDescent="0.25"/>
    <row r="73597" customFormat="1" x14ac:dyDescent="0.25"/>
    <row r="73598" customFormat="1" x14ac:dyDescent="0.25"/>
    <row r="73599" customFormat="1" x14ac:dyDescent="0.25"/>
    <row r="73600" customFormat="1" x14ac:dyDescent="0.25"/>
    <row r="73601" customFormat="1" x14ac:dyDescent="0.25"/>
    <row r="73602" customFormat="1" x14ac:dyDescent="0.25"/>
    <row r="73603" customFormat="1" x14ac:dyDescent="0.25"/>
    <row r="73604" customFormat="1" x14ac:dyDescent="0.25"/>
    <row r="73605" customFormat="1" x14ac:dyDescent="0.25"/>
    <row r="73606" customFormat="1" x14ac:dyDescent="0.25"/>
    <row r="73607" customFormat="1" x14ac:dyDescent="0.25"/>
    <row r="73608" customFormat="1" x14ac:dyDescent="0.25"/>
    <row r="73609" customFormat="1" x14ac:dyDescent="0.25"/>
    <row r="73610" customFormat="1" x14ac:dyDescent="0.25"/>
    <row r="73611" customFormat="1" x14ac:dyDescent="0.25"/>
    <row r="73612" customFormat="1" x14ac:dyDescent="0.25"/>
    <row r="73613" customFormat="1" x14ac:dyDescent="0.25"/>
    <row r="73614" customFormat="1" x14ac:dyDescent="0.25"/>
    <row r="73615" customFormat="1" x14ac:dyDescent="0.25"/>
    <row r="73616" customFormat="1" x14ac:dyDescent="0.25"/>
    <row r="73617" customFormat="1" x14ac:dyDescent="0.25"/>
    <row r="73618" customFormat="1" x14ac:dyDescent="0.25"/>
    <row r="73619" customFormat="1" x14ac:dyDescent="0.25"/>
    <row r="73620" customFormat="1" x14ac:dyDescent="0.25"/>
    <row r="73621" customFormat="1" x14ac:dyDescent="0.25"/>
    <row r="73622" customFormat="1" x14ac:dyDescent="0.25"/>
    <row r="73623" customFormat="1" x14ac:dyDescent="0.25"/>
    <row r="73624" customFormat="1" x14ac:dyDescent="0.25"/>
    <row r="73625" customFormat="1" x14ac:dyDescent="0.25"/>
    <row r="73626" customFormat="1" x14ac:dyDescent="0.25"/>
    <row r="73627" customFormat="1" x14ac:dyDescent="0.25"/>
    <row r="73628" customFormat="1" x14ac:dyDescent="0.25"/>
    <row r="73629" customFormat="1" x14ac:dyDescent="0.25"/>
    <row r="73630" customFormat="1" x14ac:dyDescent="0.25"/>
    <row r="73631" customFormat="1" x14ac:dyDescent="0.25"/>
    <row r="73632" customFormat="1" x14ac:dyDescent="0.25"/>
    <row r="73633" customFormat="1" x14ac:dyDescent="0.25"/>
    <row r="73634" customFormat="1" x14ac:dyDescent="0.25"/>
    <row r="73635" customFormat="1" x14ac:dyDescent="0.25"/>
    <row r="73636" customFormat="1" x14ac:dyDescent="0.25"/>
    <row r="73637" customFormat="1" x14ac:dyDescent="0.25"/>
    <row r="73638" customFormat="1" x14ac:dyDescent="0.25"/>
    <row r="73639" customFormat="1" x14ac:dyDescent="0.25"/>
    <row r="73640" customFormat="1" x14ac:dyDescent="0.25"/>
    <row r="73641" customFormat="1" x14ac:dyDescent="0.25"/>
    <row r="73642" customFormat="1" x14ac:dyDescent="0.25"/>
    <row r="73643" customFormat="1" x14ac:dyDescent="0.25"/>
    <row r="73644" customFormat="1" x14ac:dyDescent="0.25"/>
    <row r="73645" customFormat="1" x14ac:dyDescent="0.25"/>
    <row r="73646" customFormat="1" x14ac:dyDescent="0.25"/>
    <row r="73647" customFormat="1" x14ac:dyDescent="0.25"/>
    <row r="73648" customFormat="1" x14ac:dyDescent="0.25"/>
    <row r="73649" customFormat="1" x14ac:dyDescent="0.25"/>
    <row r="73650" customFormat="1" x14ac:dyDescent="0.25"/>
    <row r="73651" customFormat="1" x14ac:dyDescent="0.25"/>
    <row r="73652" customFormat="1" x14ac:dyDescent="0.25"/>
    <row r="73653" customFormat="1" x14ac:dyDescent="0.25"/>
    <row r="73654" customFormat="1" x14ac:dyDescent="0.25"/>
    <row r="73655" customFormat="1" x14ac:dyDescent="0.25"/>
    <row r="73656" customFormat="1" x14ac:dyDescent="0.25"/>
    <row r="73657" customFormat="1" x14ac:dyDescent="0.25"/>
    <row r="73658" customFormat="1" x14ac:dyDescent="0.25"/>
    <row r="73659" customFormat="1" x14ac:dyDescent="0.25"/>
    <row r="73660" customFormat="1" x14ac:dyDescent="0.25"/>
    <row r="73661" customFormat="1" x14ac:dyDescent="0.25"/>
    <row r="73662" customFormat="1" x14ac:dyDescent="0.25"/>
    <row r="73663" customFormat="1" x14ac:dyDescent="0.25"/>
    <row r="73664" customFormat="1" x14ac:dyDescent="0.25"/>
    <row r="73665" customFormat="1" x14ac:dyDescent="0.25"/>
    <row r="73666" customFormat="1" x14ac:dyDescent="0.25"/>
    <row r="73667" customFormat="1" x14ac:dyDescent="0.25"/>
    <row r="73668" customFormat="1" x14ac:dyDescent="0.25"/>
    <row r="73669" customFormat="1" x14ac:dyDescent="0.25"/>
    <row r="73670" customFormat="1" x14ac:dyDescent="0.25"/>
    <row r="73671" customFormat="1" x14ac:dyDescent="0.25"/>
    <row r="73672" customFormat="1" x14ac:dyDescent="0.25"/>
    <row r="73673" customFormat="1" x14ac:dyDescent="0.25"/>
    <row r="73674" customFormat="1" x14ac:dyDescent="0.25"/>
    <row r="73675" customFormat="1" x14ac:dyDescent="0.25"/>
    <row r="73676" customFormat="1" x14ac:dyDescent="0.25"/>
    <row r="73677" customFormat="1" x14ac:dyDescent="0.25"/>
    <row r="73678" customFormat="1" x14ac:dyDescent="0.25"/>
    <row r="73679" customFormat="1" x14ac:dyDescent="0.25"/>
    <row r="73680" customFormat="1" x14ac:dyDescent="0.25"/>
    <row r="73681" customFormat="1" x14ac:dyDescent="0.25"/>
    <row r="73682" customFormat="1" x14ac:dyDescent="0.25"/>
    <row r="73683" customFormat="1" x14ac:dyDescent="0.25"/>
    <row r="73684" customFormat="1" x14ac:dyDescent="0.25"/>
    <row r="73685" customFormat="1" x14ac:dyDescent="0.25"/>
    <row r="73686" customFormat="1" x14ac:dyDescent="0.25"/>
    <row r="73687" customFormat="1" x14ac:dyDescent="0.25"/>
    <row r="73688" customFormat="1" x14ac:dyDescent="0.25"/>
    <row r="73689" customFormat="1" x14ac:dyDescent="0.25"/>
    <row r="73690" customFormat="1" x14ac:dyDescent="0.25"/>
    <row r="73691" customFormat="1" x14ac:dyDescent="0.25"/>
    <row r="73692" customFormat="1" x14ac:dyDescent="0.25"/>
    <row r="73693" customFormat="1" x14ac:dyDescent="0.25"/>
    <row r="73694" customFormat="1" x14ac:dyDescent="0.25"/>
    <row r="73695" customFormat="1" x14ac:dyDescent="0.25"/>
    <row r="73696" customFormat="1" x14ac:dyDescent="0.25"/>
    <row r="73697" customFormat="1" x14ac:dyDescent="0.25"/>
    <row r="73698" customFormat="1" x14ac:dyDescent="0.25"/>
    <row r="73699" customFormat="1" x14ac:dyDescent="0.25"/>
    <row r="73700" customFormat="1" x14ac:dyDescent="0.25"/>
    <row r="73701" customFormat="1" x14ac:dyDescent="0.25"/>
    <row r="73702" customFormat="1" x14ac:dyDescent="0.25"/>
    <row r="73703" customFormat="1" x14ac:dyDescent="0.25"/>
    <row r="73704" customFormat="1" x14ac:dyDescent="0.25"/>
    <row r="73705" customFormat="1" x14ac:dyDescent="0.25"/>
    <row r="73706" customFormat="1" x14ac:dyDescent="0.25"/>
    <row r="73707" customFormat="1" x14ac:dyDescent="0.25"/>
    <row r="73708" customFormat="1" x14ac:dyDescent="0.25"/>
    <row r="73709" customFormat="1" x14ac:dyDescent="0.25"/>
    <row r="73710" customFormat="1" x14ac:dyDescent="0.25"/>
    <row r="73711" customFormat="1" x14ac:dyDescent="0.25"/>
    <row r="73712" customFormat="1" x14ac:dyDescent="0.25"/>
    <row r="73713" customFormat="1" x14ac:dyDescent="0.25"/>
    <row r="73714" customFormat="1" x14ac:dyDescent="0.25"/>
    <row r="73715" customFormat="1" x14ac:dyDescent="0.25"/>
    <row r="73716" customFormat="1" x14ac:dyDescent="0.25"/>
    <row r="73717" customFormat="1" x14ac:dyDescent="0.25"/>
    <row r="73718" customFormat="1" x14ac:dyDescent="0.25"/>
    <row r="73719" customFormat="1" x14ac:dyDescent="0.25"/>
    <row r="73720" customFormat="1" x14ac:dyDescent="0.25"/>
    <row r="73721" customFormat="1" x14ac:dyDescent="0.25"/>
    <row r="73722" customFormat="1" x14ac:dyDescent="0.25"/>
    <row r="73723" customFormat="1" x14ac:dyDescent="0.25"/>
    <row r="73724" customFormat="1" x14ac:dyDescent="0.25"/>
    <row r="73725" customFormat="1" x14ac:dyDescent="0.25"/>
    <row r="73726" customFormat="1" x14ac:dyDescent="0.25"/>
    <row r="73727" customFormat="1" x14ac:dyDescent="0.25"/>
    <row r="73728" customFormat="1" x14ac:dyDescent="0.25"/>
    <row r="73729" customFormat="1" x14ac:dyDescent="0.25"/>
    <row r="73730" customFormat="1" x14ac:dyDescent="0.25"/>
    <row r="73731" customFormat="1" x14ac:dyDescent="0.25"/>
    <row r="73732" customFormat="1" x14ac:dyDescent="0.25"/>
    <row r="73733" customFormat="1" x14ac:dyDescent="0.25"/>
    <row r="73734" customFormat="1" x14ac:dyDescent="0.25"/>
    <row r="73735" customFormat="1" x14ac:dyDescent="0.25"/>
    <row r="73736" customFormat="1" x14ac:dyDescent="0.25"/>
    <row r="73737" customFormat="1" x14ac:dyDescent="0.25"/>
    <row r="73738" customFormat="1" x14ac:dyDescent="0.25"/>
    <row r="73739" customFormat="1" x14ac:dyDescent="0.25"/>
    <row r="73740" customFormat="1" x14ac:dyDescent="0.25"/>
    <row r="73741" customFormat="1" x14ac:dyDescent="0.25"/>
    <row r="73742" customFormat="1" x14ac:dyDescent="0.25"/>
    <row r="73743" customFormat="1" x14ac:dyDescent="0.25"/>
    <row r="73744" customFormat="1" x14ac:dyDescent="0.25"/>
    <row r="73745" customFormat="1" x14ac:dyDescent="0.25"/>
    <row r="73746" customFormat="1" x14ac:dyDescent="0.25"/>
    <row r="73747" customFormat="1" x14ac:dyDescent="0.25"/>
    <row r="73748" customFormat="1" x14ac:dyDescent="0.25"/>
    <row r="73749" customFormat="1" x14ac:dyDescent="0.25"/>
    <row r="73750" customFormat="1" x14ac:dyDescent="0.25"/>
    <row r="73751" customFormat="1" x14ac:dyDescent="0.25"/>
    <row r="73752" customFormat="1" x14ac:dyDescent="0.25"/>
    <row r="73753" customFormat="1" x14ac:dyDescent="0.25"/>
    <row r="73754" customFormat="1" x14ac:dyDescent="0.25"/>
    <row r="73755" customFormat="1" x14ac:dyDescent="0.25"/>
    <row r="73756" customFormat="1" x14ac:dyDescent="0.25"/>
    <row r="73757" customFormat="1" x14ac:dyDescent="0.25"/>
    <row r="73758" customFormat="1" x14ac:dyDescent="0.25"/>
    <row r="73759" customFormat="1" x14ac:dyDescent="0.25"/>
    <row r="73760" customFormat="1" x14ac:dyDescent="0.25"/>
    <row r="73761" customFormat="1" x14ac:dyDescent="0.25"/>
    <row r="73762" customFormat="1" x14ac:dyDescent="0.25"/>
    <row r="73763" customFormat="1" x14ac:dyDescent="0.25"/>
    <row r="73764" customFormat="1" x14ac:dyDescent="0.25"/>
    <row r="73765" customFormat="1" x14ac:dyDescent="0.25"/>
    <row r="73766" customFormat="1" x14ac:dyDescent="0.25"/>
    <row r="73767" customFormat="1" x14ac:dyDescent="0.25"/>
    <row r="73768" customFormat="1" x14ac:dyDescent="0.25"/>
    <row r="73769" customFormat="1" x14ac:dyDescent="0.25"/>
    <row r="73770" customFormat="1" x14ac:dyDescent="0.25"/>
    <row r="73771" customFormat="1" x14ac:dyDescent="0.25"/>
    <row r="73772" customFormat="1" x14ac:dyDescent="0.25"/>
    <row r="73773" customFormat="1" x14ac:dyDescent="0.25"/>
    <row r="73774" customFormat="1" x14ac:dyDescent="0.25"/>
    <row r="73775" customFormat="1" x14ac:dyDescent="0.25"/>
    <row r="73776" customFormat="1" x14ac:dyDescent="0.25"/>
    <row r="73777" customFormat="1" x14ac:dyDescent="0.25"/>
    <row r="73778" customFormat="1" x14ac:dyDescent="0.25"/>
    <row r="73779" customFormat="1" x14ac:dyDescent="0.25"/>
    <row r="73780" customFormat="1" x14ac:dyDescent="0.25"/>
    <row r="73781" customFormat="1" x14ac:dyDescent="0.25"/>
    <row r="73782" customFormat="1" x14ac:dyDescent="0.25"/>
    <row r="73783" customFormat="1" x14ac:dyDescent="0.25"/>
    <row r="73784" customFormat="1" x14ac:dyDescent="0.25"/>
    <row r="73785" customFormat="1" x14ac:dyDescent="0.25"/>
    <row r="73786" customFormat="1" x14ac:dyDescent="0.25"/>
    <row r="73787" customFormat="1" x14ac:dyDescent="0.25"/>
    <row r="73788" customFormat="1" x14ac:dyDescent="0.25"/>
    <row r="73789" customFormat="1" x14ac:dyDescent="0.25"/>
    <row r="73790" customFormat="1" x14ac:dyDescent="0.25"/>
    <row r="73791" customFormat="1" x14ac:dyDescent="0.25"/>
    <row r="73792" customFormat="1" x14ac:dyDescent="0.25"/>
    <row r="73793" customFormat="1" x14ac:dyDescent="0.25"/>
    <row r="73794" customFormat="1" x14ac:dyDescent="0.25"/>
    <row r="73795" customFormat="1" x14ac:dyDescent="0.25"/>
    <row r="73796" customFormat="1" x14ac:dyDescent="0.25"/>
    <row r="73797" customFormat="1" x14ac:dyDescent="0.25"/>
    <row r="73798" customFormat="1" x14ac:dyDescent="0.25"/>
    <row r="73799" customFormat="1" x14ac:dyDescent="0.25"/>
    <row r="73800" customFormat="1" x14ac:dyDescent="0.25"/>
    <row r="73801" customFormat="1" x14ac:dyDescent="0.25"/>
    <row r="73802" customFormat="1" x14ac:dyDescent="0.25"/>
    <row r="73803" customFormat="1" x14ac:dyDescent="0.25"/>
    <row r="73804" customFormat="1" x14ac:dyDescent="0.25"/>
    <row r="73805" customFormat="1" x14ac:dyDescent="0.25"/>
    <row r="73806" customFormat="1" x14ac:dyDescent="0.25"/>
    <row r="73807" customFormat="1" x14ac:dyDescent="0.25"/>
    <row r="73808" customFormat="1" x14ac:dyDescent="0.25"/>
    <row r="73809" customFormat="1" x14ac:dyDescent="0.25"/>
    <row r="73810" customFormat="1" x14ac:dyDescent="0.25"/>
    <row r="73811" customFormat="1" x14ac:dyDescent="0.25"/>
    <row r="73812" customFormat="1" x14ac:dyDescent="0.25"/>
    <row r="73813" customFormat="1" x14ac:dyDescent="0.25"/>
    <row r="73814" customFormat="1" x14ac:dyDescent="0.25"/>
    <row r="73815" customFormat="1" x14ac:dyDescent="0.25"/>
    <row r="73816" customFormat="1" x14ac:dyDescent="0.25"/>
    <row r="73817" customFormat="1" x14ac:dyDescent="0.25"/>
    <row r="73818" customFormat="1" x14ac:dyDescent="0.25"/>
    <row r="73819" customFormat="1" x14ac:dyDescent="0.25"/>
    <row r="73820" customFormat="1" x14ac:dyDescent="0.25"/>
    <row r="73821" customFormat="1" x14ac:dyDescent="0.25"/>
    <row r="73822" customFormat="1" x14ac:dyDescent="0.25"/>
    <row r="73823" customFormat="1" x14ac:dyDescent="0.25"/>
    <row r="73824" customFormat="1" x14ac:dyDescent="0.25"/>
    <row r="73825" customFormat="1" x14ac:dyDescent="0.25"/>
    <row r="73826" customFormat="1" x14ac:dyDescent="0.25"/>
    <row r="73827" customFormat="1" x14ac:dyDescent="0.25"/>
    <row r="73828" customFormat="1" x14ac:dyDescent="0.25"/>
    <row r="73829" customFormat="1" x14ac:dyDescent="0.25"/>
    <row r="73830" customFormat="1" x14ac:dyDescent="0.25"/>
    <row r="73831" customFormat="1" x14ac:dyDescent="0.25"/>
    <row r="73832" customFormat="1" x14ac:dyDescent="0.25"/>
    <row r="73833" customFormat="1" x14ac:dyDescent="0.25"/>
    <row r="73834" customFormat="1" x14ac:dyDescent="0.25"/>
    <row r="73835" customFormat="1" x14ac:dyDescent="0.25"/>
    <row r="73836" customFormat="1" x14ac:dyDescent="0.25"/>
    <row r="73837" customFormat="1" x14ac:dyDescent="0.25"/>
    <row r="73838" customFormat="1" x14ac:dyDescent="0.25"/>
    <row r="73839" customFormat="1" x14ac:dyDescent="0.25"/>
    <row r="73840" customFormat="1" x14ac:dyDescent="0.25"/>
    <row r="73841" customFormat="1" x14ac:dyDescent="0.25"/>
    <row r="73842" customFormat="1" x14ac:dyDescent="0.25"/>
    <row r="73843" customFormat="1" x14ac:dyDescent="0.25"/>
    <row r="73844" customFormat="1" x14ac:dyDescent="0.25"/>
    <row r="73845" customFormat="1" x14ac:dyDescent="0.25"/>
    <row r="73846" customFormat="1" x14ac:dyDescent="0.25"/>
    <row r="73847" customFormat="1" x14ac:dyDescent="0.25"/>
    <row r="73848" customFormat="1" x14ac:dyDescent="0.25"/>
    <row r="73849" customFormat="1" x14ac:dyDescent="0.25"/>
    <row r="73850" customFormat="1" x14ac:dyDescent="0.25"/>
    <row r="73851" customFormat="1" x14ac:dyDescent="0.25"/>
    <row r="73852" customFormat="1" x14ac:dyDescent="0.25"/>
    <row r="73853" customFormat="1" x14ac:dyDescent="0.25"/>
    <row r="73854" customFormat="1" x14ac:dyDescent="0.25"/>
    <row r="73855" customFormat="1" x14ac:dyDescent="0.25"/>
    <row r="73856" customFormat="1" x14ac:dyDescent="0.25"/>
    <row r="73857" customFormat="1" x14ac:dyDescent="0.25"/>
    <row r="73858" customFormat="1" x14ac:dyDescent="0.25"/>
    <row r="73859" customFormat="1" x14ac:dyDescent="0.25"/>
    <row r="73860" customFormat="1" x14ac:dyDescent="0.25"/>
    <row r="73861" customFormat="1" x14ac:dyDescent="0.25"/>
    <row r="73862" customFormat="1" x14ac:dyDescent="0.25"/>
    <row r="73863" customFormat="1" x14ac:dyDescent="0.25"/>
    <row r="73864" customFormat="1" x14ac:dyDescent="0.25"/>
    <row r="73865" customFormat="1" x14ac:dyDescent="0.25"/>
    <row r="73866" customFormat="1" x14ac:dyDescent="0.25"/>
    <row r="73867" customFormat="1" x14ac:dyDescent="0.25"/>
    <row r="73868" customFormat="1" x14ac:dyDescent="0.25"/>
    <row r="73869" customFormat="1" x14ac:dyDescent="0.25"/>
    <row r="73870" customFormat="1" x14ac:dyDescent="0.25"/>
    <row r="73871" customFormat="1" x14ac:dyDescent="0.25"/>
    <row r="73872" customFormat="1" x14ac:dyDescent="0.25"/>
    <row r="73873" customFormat="1" x14ac:dyDescent="0.25"/>
    <row r="73874" customFormat="1" x14ac:dyDescent="0.25"/>
    <row r="73875" customFormat="1" x14ac:dyDescent="0.25"/>
    <row r="73876" customFormat="1" x14ac:dyDescent="0.25"/>
    <row r="73877" customFormat="1" x14ac:dyDescent="0.25"/>
    <row r="73878" customFormat="1" x14ac:dyDescent="0.25"/>
    <row r="73879" customFormat="1" x14ac:dyDescent="0.25"/>
    <row r="73880" customFormat="1" x14ac:dyDescent="0.25"/>
    <row r="73881" customFormat="1" x14ac:dyDescent="0.25"/>
    <row r="73882" customFormat="1" x14ac:dyDescent="0.25"/>
    <row r="73883" customFormat="1" x14ac:dyDescent="0.25"/>
    <row r="73884" customFormat="1" x14ac:dyDescent="0.25"/>
    <row r="73885" customFormat="1" x14ac:dyDescent="0.25"/>
    <row r="73886" customFormat="1" x14ac:dyDescent="0.25"/>
    <row r="73887" customFormat="1" x14ac:dyDescent="0.25"/>
    <row r="73888" customFormat="1" x14ac:dyDescent="0.25"/>
    <row r="73889" customFormat="1" x14ac:dyDescent="0.25"/>
    <row r="73890" customFormat="1" x14ac:dyDescent="0.25"/>
    <row r="73891" customFormat="1" x14ac:dyDescent="0.25"/>
    <row r="73892" customFormat="1" x14ac:dyDescent="0.25"/>
    <row r="73893" customFormat="1" x14ac:dyDescent="0.25"/>
    <row r="73894" customFormat="1" x14ac:dyDescent="0.25"/>
    <row r="73895" customFormat="1" x14ac:dyDescent="0.25"/>
    <row r="73896" customFormat="1" x14ac:dyDescent="0.25"/>
    <row r="73897" customFormat="1" x14ac:dyDescent="0.25"/>
    <row r="73898" customFormat="1" x14ac:dyDescent="0.25"/>
    <row r="73899" customFormat="1" x14ac:dyDescent="0.25"/>
    <row r="73900" customFormat="1" x14ac:dyDescent="0.25"/>
    <row r="73901" customFormat="1" x14ac:dyDescent="0.25"/>
    <row r="73902" customFormat="1" x14ac:dyDescent="0.25"/>
    <row r="73903" customFormat="1" x14ac:dyDescent="0.25"/>
    <row r="73904" customFormat="1" x14ac:dyDescent="0.25"/>
    <row r="73905" customFormat="1" x14ac:dyDescent="0.25"/>
    <row r="73906" customFormat="1" x14ac:dyDescent="0.25"/>
    <row r="73907" customFormat="1" x14ac:dyDescent="0.25"/>
    <row r="73908" customFormat="1" x14ac:dyDescent="0.25"/>
    <row r="73909" customFormat="1" x14ac:dyDescent="0.25"/>
    <row r="73910" customFormat="1" x14ac:dyDescent="0.25"/>
    <row r="73911" customFormat="1" x14ac:dyDescent="0.25"/>
    <row r="73912" customFormat="1" x14ac:dyDescent="0.25"/>
    <row r="73913" customFormat="1" x14ac:dyDescent="0.25"/>
    <row r="73914" customFormat="1" x14ac:dyDescent="0.25"/>
    <row r="73915" customFormat="1" x14ac:dyDescent="0.25"/>
    <row r="73916" customFormat="1" x14ac:dyDescent="0.25"/>
    <row r="73917" customFormat="1" x14ac:dyDescent="0.25"/>
    <row r="73918" customFormat="1" x14ac:dyDescent="0.25"/>
    <row r="73919" customFormat="1" x14ac:dyDescent="0.25"/>
    <row r="73920" customFormat="1" x14ac:dyDescent="0.25"/>
    <row r="73921" customFormat="1" x14ac:dyDescent="0.25"/>
    <row r="73922" customFormat="1" x14ac:dyDescent="0.25"/>
    <row r="73923" customFormat="1" x14ac:dyDescent="0.25"/>
    <row r="73924" customFormat="1" x14ac:dyDescent="0.25"/>
    <row r="73925" customFormat="1" x14ac:dyDescent="0.25"/>
    <row r="73926" customFormat="1" x14ac:dyDescent="0.25"/>
    <row r="73927" customFormat="1" x14ac:dyDescent="0.25"/>
    <row r="73928" customFormat="1" x14ac:dyDescent="0.25"/>
    <row r="73929" customFormat="1" x14ac:dyDescent="0.25"/>
    <row r="73930" customFormat="1" x14ac:dyDescent="0.25"/>
    <row r="73931" customFormat="1" x14ac:dyDescent="0.25"/>
    <row r="73932" customFormat="1" x14ac:dyDescent="0.25"/>
    <row r="73933" customFormat="1" x14ac:dyDescent="0.25"/>
    <row r="73934" customFormat="1" x14ac:dyDescent="0.25"/>
    <row r="73935" customFormat="1" x14ac:dyDescent="0.25"/>
    <row r="73936" customFormat="1" x14ac:dyDescent="0.25"/>
    <row r="73937" customFormat="1" x14ac:dyDescent="0.25"/>
    <row r="73938" customFormat="1" x14ac:dyDescent="0.25"/>
    <row r="73939" customFormat="1" x14ac:dyDescent="0.25"/>
    <row r="73940" customFormat="1" x14ac:dyDescent="0.25"/>
    <row r="73941" customFormat="1" x14ac:dyDescent="0.25"/>
    <row r="73942" customFormat="1" x14ac:dyDescent="0.25"/>
    <row r="73943" customFormat="1" x14ac:dyDescent="0.25"/>
    <row r="73944" customFormat="1" x14ac:dyDescent="0.25"/>
    <row r="73945" customFormat="1" x14ac:dyDescent="0.25"/>
    <row r="73946" customFormat="1" x14ac:dyDescent="0.25"/>
    <row r="73947" customFormat="1" x14ac:dyDescent="0.25"/>
    <row r="73948" customFormat="1" x14ac:dyDescent="0.25"/>
    <row r="73949" customFormat="1" x14ac:dyDescent="0.25"/>
    <row r="73950" customFormat="1" x14ac:dyDescent="0.25"/>
    <row r="73951" customFormat="1" x14ac:dyDescent="0.25"/>
    <row r="73952" customFormat="1" x14ac:dyDescent="0.25"/>
    <row r="73953" customFormat="1" x14ac:dyDescent="0.25"/>
    <row r="73954" customFormat="1" x14ac:dyDescent="0.25"/>
    <row r="73955" customFormat="1" x14ac:dyDescent="0.25"/>
    <row r="73956" customFormat="1" x14ac:dyDescent="0.25"/>
    <row r="73957" customFormat="1" x14ac:dyDescent="0.25"/>
    <row r="73958" customFormat="1" x14ac:dyDescent="0.25"/>
    <row r="73959" customFormat="1" x14ac:dyDescent="0.25"/>
    <row r="73960" customFormat="1" x14ac:dyDescent="0.25"/>
    <row r="73961" customFormat="1" x14ac:dyDescent="0.25"/>
    <row r="73962" customFormat="1" x14ac:dyDescent="0.25"/>
    <row r="73963" customFormat="1" x14ac:dyDescent="0.25"/>
    <row r="73964" customFormat="1" x14ac:dyDescent="0.25"/>
    <row r="73965" customFormat="1" x14ac:dyDescent="0.25"/>
    <row r="73966" customFormat="1" x14ac:dyDescent="0.25"/>
    <row r="73967" customFormat="1" x14ac:dyDescent="0.25"/>
    <row r="73968" customFormat="1" x14ac:dyDescent="0.25"/>
    <row r="73969" customFormat="1" x14ac:dyDescent="0.25"/>
    <row r="73970" customFormat="1" x14ac:dyDescent="0.25"/>
    <row r="73971" customFormat="1" x14ac:dyDescent="0.25"/>
    <row r="73972" customFormat="1" x14ac:dyDescent="0.25"/>
    <row r="73973" customFormat="1" x14ac:dyDescent="0.25"/>
    <row r="73974" customFormat="1" x14ac:dyDescent="0.25"/>
    <row r="73975" customFormat="1" x14ac:dyDescent="0.25"/>
    <row r="73976" customFormat="1" x14ac:dyDescent="0.25"/>
    <row r="73977" customFormat="1" x14ac:dyDescent="0.25"/>
    <row r="73978" customFormat="1" x14ac:dyDescent="0.25"/>
    <row r="73979" customFormat="1" x14ac:dyDescent="0.25"/>
    <row r="73980" customFormat="1" x14ac:dyDescent="0.25"/>
    <row r="73981" customFormat="1" x14ac:dyDescent="0.25"/>
    <row r="73982" customFormat="1" x14ac:dyDescent="0.25"/>
    <row r="73983" customFormat="1" x14ac:dyDescent="0.25"/>
    <row r="73984" customFormat="1" x14ac:dyDescent="0.25"/>
    <row r="73985" customFormat="1" x14ac:dyDescent="0.25"/>
    <row r="73986" customFormat="1" x14ac:dyDescent="0.25"/>
    <row r="73987" customFormat="1" x14ac:dyDescent="0.25"/>
    <row r="73988" customFormat="1" x14ac:dyDescent="0.25"/>
    <row r="73989" customFormat="1" x14ac:dyDescent="0.25"/>
    <row r="73990" customFormat="1" x14ac:dyDescent="0.25"/>
    <row r="73991" customFormat="1" x14ac:dyDescent="0.25"/>
    <row r="73992" customFormat="1" x14ac:dyDescent="0.25"/>
    <row r="73993" customFormat="1" x14ac:dyDescent="0.25"/>
    <row r="73994" customFormat="1" x14ac:dyDescent="0.25"/>
    <row r="73995" customFormat="1" x14ac:dyDescent="0.25"/>
    <row r="73996" customFormat="1" x14ac:dyDescent="0.25"/>
    <row r="73997" customFormat="1" x14ac:dyDescent="0.25"/>
    <row r="73998" customFormat="1" x14ac:dyDescent="0.25"/>
    <row r="73999" customFormat="1" x14ac:dyDescent="0.25"/>
    <row r="74000" customFormat="1" x14ac:dyDescent="0.25"/>
    <row r="74001" customFormat="1" x14ac:dyDescent="0.25"/>
    <row r="74002" customFormat="1" x14ac:dyDescent="0.25"/>
    <row r="74003" customFormat="1" x14ac:dyDescent="0.25"/>
    <row r="74004" customFormat="1" x14ac:dyDescent="0.25"/>
    <row r="74005" customFormat="1" x14ac:dyDescent="0.25"/>
    <row r="74006" customFormat="1" x14ac:dyDescent="0.25"/>
    <row r="74007" customFormat="1" x14ac:dyDescent="0.25"/>
    <row r="74008" customFormat="1" x14ac:dyDescent="0.25"/>
    <row r="74009" customFormat="1" x14ac:dyDescent="0.25"/>
    <row r="74010" customFormat="1" x14ac:dyDescent="0.25"/>
    <row r="74011" customFormat="1" x14ac:dyDescent="0.25"/>
    <row r="74012" customFormat="1" x14ac:dyDescent="0.25"/>
    <row r="74013" customFormat="1" x14ac:dyDescent="0.25"/>
    <row r="74014" customFormat="1" x14ac:dyDescent="0.25"/>
    <row r="74015" customFormat="1" x14ac:dyDescent="0.25"/>
    <row r="74016" customFormat="1" x14ac:dyDescent="0.25"/>
    <row r="74017" customFormat="1" x14ac:dyDescent="0.25"/>
    <row r="74018" customFormat="1" x14ac:dyDescent="0.25"/>
    <row r="74019" customFormat="1" x14ac:dyDescent="0.25"/>
    <row r="74020" customFormat="1" x14ac:dyDescent="0.25"/>
    <row r="74021" customFormat="1" x14ac:dyDescent="0.25"/>
    <row r="74022" customFormat="1" x14ac:dyDescent="0.25"/>
    <row r="74023" customFormat="1" x14ac:dyDescent="0.25"/>
    <row r="74024" customFormat="1" x14ac:dyDescent="0.25"/>
    <row r="74025" customFormat="1" x14ac:dyDescent="0.25"/>
    <row r="74026" customFormat="1" x14ac:dyDescent="0.25"/>
    <row r="74027" customFormat="1" x14ac:dyDescent="0.25"/>
    <row r="74028" customFormat="1" x14ac:dyDescent="0.25"/>
    <row r="74029" customFormat="1" x14ac:dyDescent="0.25"/>
    <row r="74030" customFormat="1" x14ac:dyDescent="0.25"/>
    <row r="74031" customFormat="1" x14ac:dyDescent="0.25"/>
    <row r="74032" customFormat="1" x14ac:dyDescent="0.25"/>
    <row r="74033" customFormat="1" x14ac:dyDescent="0.25"/>
    <row r="74034" customFormat="1" x14ac:dyDescent="0.25"/>
    <row r="74035" customFormat="1" x14ac:dyDescent="0.25"/>
    <row r="74036" customFormat="1" x14ac:dyDescent="0.25"/>
    <row r="74037" customFormat="1" x14ac:dyDescent="0.25"/>
    <row r="74038" customFormat="1" x14ac:dyDescent="0.25"/>
    <row r="74039" customFormat="1" x14ac:dyDescent="0.25"/>
    <row r="74040" customFormat="1" x14ac:dyDescent="0.25"/>
    <row r="74041" customFormat="1" x14ac:dyDescent="0.25"/>
    <row r="74042" customFormat="1" x14ac:dyDescent="0.25"/>
    <row r="74043" customFormat="1" x14ac:dyDescent="0.25"/>
    <row r="74044" customFormat="1" x14ac:dyDescent="0.25"/>
    <row r="74045" customFormat="1" x14ac:dyDescent="0.25"/>
    <row r="74046" customFormat="1" x14ac:dyDescent="0.25"/>
    <row r="74047" customFormat="1" x14ac:dyDescent="0.25"/>
    <row r="74048" customFormat="1" x14ac:dyDescent="0.25"/>
    <row r="74049" customFormat="1" x14ac:dyDescent="0.25"/>
    <row r="74050" customFormat="1" x14ac:dyDescent="0.25"/>
    <row r="74051" customFormat="1" x14ac:dyDescent="0.25"/>
    <row r="74052" customFormat="1" x14ac:dyDescent="0.25"/>
    <row r="74053" customFormat="1" x14ac:dyDescent="0.25"/>
    <row r="74054" customFormat="1" x14ac:dyDescent="0.25"/>
    <row r="74055" customFormat="1" x14ac:dyDescent="0.25"/>
    <row r="74056" customFormat="1" x14ac:dyDescent="0.25"/>
    <row r="74057" customFormat="1" x14ac:dyDescent="0.25"/>
    <row r="74058" customFormat="1" x14ac:dyDescent="0.25"/>
    <row r="74059" customFormat="1" x14ac:dyDescent="0.25"/>
    <row r="74060" customFormat="1" x14ac:dyDescent="0.25"/>
    <row r="74061" customFormat="1" x14ac:dyDescent="0.25"/>
    <row r="74062" customFormat="1" x14ac:dyDescent="0.25"/>
    <row r="74063" customFormat="1" x14ac:dyDescent="0.25"/>
    <row r="74064" customFormat="1" x14ac:dyDescent="0.25"/>
    <row r="74065" customFormat="1" x14ac:dyDescent="0.25"/>
    <row r="74066" customFormat="1" x14ac:dyDescent="0.25"/>
    <row r="74067" customFormat="1" x14ac:dyDescent="0.25"/>
    <row r="74068" customFormat="1" x14ac:dyDescent="0.25"/>
    <row r="74069" customFormat="1" x14ac:dyDescent="0.25"/>
    <row r="74070" customFormat="1" x14ac:dyDescent="0.25"/>
    <row r="74071" customFormat="1" x14ac:dyDescent="0.25"/>
    <row r="74072" customFormat="1" x14ac:dyDescent="0.25"/>
    <row r="74073" customFormat="1" x14ac:dyDescent="0.25"/>
    <row r="74074" customFormat="1" x14ac:dyDescent="0.25"/>
    <row r="74075" customFormat="1" x14ac:dyDescent="0.25"/>
    <row r="74076" customFormat="1" x14ac:dyDescent="0.25"/>
    <row r="74077" customFormat="1" x14ac:dyDescent="0.25"/>
    <row r="74078" customFormat="1" x14ac:dyDescent="0.25"/>
    <row r="74079" customFormat="1" x14ac:dyDescent="0.25"/>
    <row r="74080" customFormat="1" x14ac:dyDescent="0.25"/>
    <row r="74081" customFormat="1" x14ac:dyDescent="0.25"/>
    <row r="74082" customFormat="1" x14ac:dyDescent="0.25"/>
    <row r="74083" customFormat="1" x14ac:dyDescent="0.25"/>
    <row r="74084" customFormat="1" x14ac:dyDescent="0.25"/>
    <row r="74085" customFormat="1" x14ac:dyDescent="0.25"/>
    <row r="74086" customFormat="1" x14ac:dyDescent="0.25"/>
    <row r="74087" customFormat="1" x14ac:dyDescent="0.25"/>
    <row r="74088" customFormat="1" x14ac:dyDescent="0.25"/>
    <row r="74089" customFormat="1" x14ac:dyDescent="0.25"/>
    <row r="74090" customFormat="1" x14ac:dyDescent="0.25"/>
    <row r="74091" customFormat="1" x14ac:dyDescent="0.25"/>
    <row r="74092" customFormat="1" x14ac:dyDescent="0.25"/>
    <row r="74093" customFormat="1" x14ac:dyDescent="0.25"/>
    <row r="74094" customFormat="1" x14ac:dyDescent="0.25"/>
    <row r="74095" customFormat="1" x14ac:dyDescent="0.25"/>
    <row r="74096" customFormat="1" x14ac:dyDescent="0.25"/>
    <row r="74097" customFormat="1" x14ac:dyDescent="0.25"/>
    <row r="74098" customFormat="1" x14ac:dyDescent="0.25"/>
    <row r="74099" customFormat="1" x14ac:dyDescent="0.25"/>
    <row r="74100" customFormat="1" x14ac:dyDescent="0.25"/>
    <row r="74101" customFormat="1" x14ac:dyDescent="0.25"/>
    <row r="74102" customFormat="1" x14ac:dyDescent="0.25"/>
    <row r="74103" customFormat="1" x14ac:dyDescent="0.25"/>
    <row r="74104" customFormat="1" x14ac:dyDescent="0.25"/>
    <row r="74105" customFormat="1" x14ac:dyDescent="0.25"/>
    <row r="74106" customFormat="1" x14ac:dyDescent="0.25"/>
    <row r="74107" customFormat="1" x14ac:dyDescent="0.25"/>
    <row r="74108" customFormat="1" x14ac:dyDescent="0.25"/>
    <row r="74109" customFormat="1" x14ac:dyDescent="0.25"/>
    <row r="74110" customFormat="1" x14ac:dyDescent="0.25"/>
    <row r="74111" customFormat="1" x14ac:dyDescent="0.25"/>
    <row r="74112" customFormat="1" x14ac:dyDescent="0.25"/>
    <row r="74113" customFormat="1" x14ac:dyDescent="0.25"/>
    <row r="74114" customFormat="1" x14ac:dyDescent="0.25"/>
    <row r="74115" customFormat="1" x14ac:dyDescent="0.25"/>
    <row r="74116" customFormat="1" x14ac:dyDescent="0.25"/>
    <row r="74117" customFormat="1" x14ac:dyDescent="0.25"/>
    <row r="74118" customFormat="1" x14ac:dyDescent="0.25"/>
    <row r="74119" customFormat="1" x14ac:dyDescent="0.25"/>
    <row r="74120" customFormat="1" x14ac:dyDescent="0.25"/>
    <row r="74121" customFormat="1" x14ac:dyDescent="0.25"/>
    <row r="74122" customFormat="1" x14ac:dyDescent="0.25"/>
    <row r="74123" customFormat="1" x14ac:dyDescent="0.25"/>
    <row r="74124" customFormat="1" x14ac:dyDescent="0.25"/>
    <row r="74125" customFormat="1" x14ac:dyDescent="0.25"/>
    <row r="74126" customFormat="1" x14ac:dyDescent="0.25"/>
    <row r="74127" customFormat="1" x14ac:dyDescent="0.25"/>
    <row r="74128" customFormat="1" x14ac:dyDescent="0.25"/>
    <row r="74129" customFormat="1" x14ac:dyDescent="0.25"/>
    <row r="74130" customFormat="1" x14ac:dyDescent="0.25"/>
    <row r="74131" customFormat="1" x14ac:dyDescent="0.25"/>
    <row r="74132" customFormat="1" x14ac:dyDescent="0.25"/>
    <row r="74133" customFormat="1" x14ac:dyDescent="0.25"/>
    <row r="74134" customFormat="1" x14ac:dyDescent="0.25"/>
    <row r="74135" customFormat="1" x14ac:dyDescent="0.25"/>
    <row r="74136" customFormat="1" x14ac:dyDescent="0.25"/>
    <row r="74137" customFormat="1" x14ac:dyDescent="0.25"/>
    <row r="74138" customFormat="1" x14ac:dyDescent="0.25"/>
    <row r="74139" customFormat="1" x14ac:dyDescent="0.25"/>
    <row r="74140" customFormat="1" x14ac:dyDescent="0.25"/>
    <row r="74141" customFormat="1" x14ac:dyDescent="0.25"/>
    <row r="74142" customFormat="1" x14ac:dyDescent="0.25"/>
    <row r="74143" customFormat="1" x14ac:dyDescent="0.25"/>
    <row r="74144" customFormat="1" x14ac:dyDescent="0.25"/>
    <row r="74145" customFormat="1" x14ac:dyDescent="0.25"/>
    <row r="74146" customFormat="1" x14ac:dyDescent="0.25"/>
    <row r="74147" customFormat="1" x14ac:dyDescent="0.25"/>
    <row r="74148" customFormat="1" x14ac:dyDescent="0.25"/>
    <row r="74149" customFormat="1" x14ac:dyDescent="0.25"/>
    <row r="74150" customFormat="1" x14ac:dyDescent="0.25"/>
    <row r="74151" customFormat="1" x14ac:dyDescent="0.25"/>
    <row r="74152" customFormat="1" x14ac:dyDescent="0.25"/>
    <row r="74153" customFormat="1" x14ac:dyDescent="0.25"/>
    <row r="74154" customFormat="1" x14ac:dyDescent="0.25"/>
    <row r="74155" customFormat="1" x14ac:dyDescent="0.25"/>
    <row r="74156" customFormat="1" x14ac:dyDescent="0.25"/>
    <row r="74157" customFormat="1" x14ac:dyDescent="0.25"/>
    <row r="74158" customFormat="1" x14ac:dyDescent="0.25"/>
    <row r="74159" customFormat="1" x14ac:dyDescent="0.25"/>
    <row r="74160" customFormat="1" x14ac:dyDescent="0.25"/>
    <row r="74161" customFormat="1" x14ac:dyDescent="0.25"/>
    <row r="74162" customFormat="1" x14ac:dyDescent="0.25"/>
    <row r="74163" customFormat="1" x14ac:dyDescent="0.25"/>
    <row r="74164" customFormat="1" x14ac:dyDescent="0.25"/>
    <row r="74165" customFormat="1" x14ac:dyDescent="0.25"/>
    <row r="74166" customFormat="1" x14ac:dyDescent="0.25"/>
    <row r="74167" customFormat="1" x14ac:dyDescent="0.25"/>
    <row r="74168" customFormat="1" x14ac:dyDescent="0.25"/>
    <row r="74169" customFormat="1" x14ac:dyDescent="0.25"/>
    <row r="74170" customFormat="1" x14ac:dyDescent="0.25"/>
    <row r="74171" customFormat="1" x14ac:dyDescent="0.25"/>
    <row r="74172" customFormat="1" x14ac:dyDescent="0.25"/>
    <row r="74173" customFormat="1" x14ac:dyDescent="0.25"/>
    <row r="74174" customFormat="1" x14ac:dyDescent="0.25"/>
    <row r="74175" customFormat="1" x14ac:dyDescent="0.25"/>
    <row r="74176" customFormat="1" x14ac:dyDescent="0.25"/>
    <row r="74177" customFormat="1" x14ac:dyDescent="0.25"/>
    <row r="74178" customFormat="1" x14ac:dyDescent="0.25"/>
    <row r="74179" customFormat="1" x14ac:dyDescent="0.25"/>
    <row r="74180" customFormat="1" x14ac:dyDescent="0.25"/>
    <row r="74181" customFormat="1" x14ac:dyDescent="0.25"/>
    <row r="74182" customFormat="1" x14ac:dyDescent="0.25"/>
    <row r="74183" customFormat="1" x14ac:dyDescent="0.25"/>
    <row r="74184" customFormat="1" x14ac:dyDescent="0.25"/>
    <row r="74185" customFormat="1" x14ac:dyDescent="0.25"/>
    <row r="74186" customFormat="1" x14ac:dyDescent="0.25"/>
    <row r="74187" customFormat="1" x14ac:dyDescent="0.25"/>
    <row r="74188" customFormat="1" x14ac:dyDescent="0.25"/>
    <row r="74189" customFormat="1" x14ac:dyDescent="0.25"/>
    <row r="74190" customFormat="1" x14ac:dyDescent="0.25"/>
    <row r="74191" customFormat="1" x14ac:dyDescent="0.25"/>
    <row r="74192" customFormat="1" x14ac:dyDescent="0.25"/>
    <row r="74193" customFormat="1" x14ac:dyDescent="0.25"/>
    <row r="74194" customFormat="1" x14ac:dyDescent="0.25"/>
    <row r="74195" customFormat="1" x14ac:dyDescent="0.25"/>
    <row r="74196" customFormat="1" x14ac:dyDescent="0.25"/>
    <row r="74197" customFormat="1" x14ac:dyDescent="0.25"/>
    <row r="74198" customFormat="1" x14ac:dyDescent="0.25"/>
    <row r="74199" customFormat="1" x14ac:dyDescent="0.25"/>
    <row r="74200" customFormat="1" x14ac:dyDescent="0.25"/>
    <row r="74201" customFormat="1" x14ac:dyDescent="0.25"/>
    <row r="74202" customFormat="1" x14ac:dyDescent="0.25"/>
    <row r="74203" customFormat="1" x14ac:dyDescent="0.25"/>
    <row r="74204" customFormat="1" x14ac:dyDescent="0.25"/>
    <row r="74205" customFormat="1" x14ac:dyDescent="0.25"/>
    <row r="74206" customFormat="1" x14ac:dyDescent="0.25"/>
    <row r="74207" customFormat="1" x14ac:dyDescent="0.25"/>
    <row r="74208" customFormat="1" x14ac:dyDescent="0.25"/>
    <row r="74209" customFormat="1" x14ac:dyDescent="0.25"/>
    <row r="74210" customFormat="1" x14ac:dyDescent="0.25"/>
    <row r="74211" customFormat="1" x14ac:dyDescent="0.25"/>
    <row r="74212" customFormat="1" x14ac:dyDescent="0.25"/>
    <row r="74213" customFormat="1" x14ac:dyDescent="0.25"/>
    <row r="74214" customFormat="1" x14ac:dyDescent="0.25"/>
    <row r="74215" customFormat="1" x14ac:dyDescent="0.25"/>
    <row r="74216" customFormat="1" x14ac:dyDescent="0.25"/>
    <row r="74217" customFormat="1" x14ac:dyDescent="0.25"/>
    <row r="74218" customFormat="1" x14ac:dyDescent="0.25"/>
    <row r="74219" customFormat="1" x14ac:dyDescent="0.25"/>
    <row r="74220" customFormat="1" x14ac:dyDescent="0.25"/>
    <row r="74221" customFormat="1" x14ac:dyDescent="0.25"/>
    <row r="74222" customFormat="1" x14ac:dyDescent="0.25"/>
    <row r="74223" customFormat="1" x14ac:dyDescent="0.25"/>
    <row r="74224" customFormat="1" x14ac:dyDescent="0.25"/>
    <row r="74225" customFormat="1" x14ac:dyDescent="0.25"/>
    <row r="74226" customFormat="1" x14ac:dyDescent="0.25"/>
    <row r="74227" customFormat="1" x14ac:dyDescent="0.25"/>
    <row r="74228" customFormat="1" x14ac:dyDescent="0.25"/>
    <row r="74229" customFormat="1" x14ac:dyDescent="0.25"/>
    <row r="74230" customFormat="1" x14ac:dyDescent="0.25"/>
    <row r="74231" customFormat="1" x14ac:dyDescent="0.25"/>
    <row r="74232" customFormat="1" x14ac:dyDescent="0.25"/>
    <row r="74233" customFormat="1" x14ac:dyDescent="0.25"/>
    <row r="74234" customFormat="1" x14ac:dyDescent="0.25"/>
    <row r="74235" customFormat="1" x14ac:dyDescent="0.25"/>
    <row r="74236" customFormat="1" x14ac:dyDescent="0.25"/>
    <row r="74237" customFormat="1" x14ac:dyDescent="0.25"/>
    <row r="74238" customFormat="1" x14ac:dyDescent="0.25"/>
    <row r="74239" customFormat="1" x14ac:dyDescent="0.25"/>
    <row r="74240" customFormat="1" x14ac:dyDescent="0.25"/>
    <row r="74241" customFormat="1" x14ac:dyDescent="0.25"/>
    <row r="74242" customFormat="1" x14ac:dyDescent="0.25"/>
    <row r="74243" customFormat="1" x14ac:dyDescent="0.25"/>
    <row r="74244" customFormat="1" x14ac:dyDescent="0.25"/>
    <row r="74245" customFormat="1" x14ac:dyDescent="0.25"/>
    <row r="74246" customFormat="1" x14ac:dyDescent="0.25"/>
    <row r="74247" customFormat="1" x14ac:dyDescent="0.25"/>
    <row r="74248" customFormat="1" x14ac:dyDescent="0.25"/>
    <row r="74249" customFormat="1" x14ac:dyDescent="0.25"/>
    <row r="74250" customFormat="1" x14ac:dyDescent="0.25"/>
    <row r="74251" customFormat="1" x14ac:dyDescent="0.25"/>
    <row r="74252" customFormat="1" x14ac:dyDescent="0.25"/>
    <row r="74253" customFormat="1" x14ac:dyDescent="0.25"/>
    <row r="74254" customFormat="1" x14ac:dyDescent="0.25"/>
    <row r="74255" customFormat="1" x14ac:dyDescent="0.25"/>
    <row r="74256" customFormat="1" x14ac:dyDescent="0.25"/>
    <row r="74257" customFormat="1" x14ac:dyDescent="0.25"/>
    <row r="74258" customFormat="1" x14ac:dyDescent="0.25"/>
    <row r="74259" customFormat="1" x14ac:dyDescent="0.25"/>
    <row r="74260" customFormat="1" x14ac:dyDescent="0.25"/>
    <row r="74261" customFormat="1" x14ac:dyDescent="0.25"/>
    <row r="74262" customFormat="1" x14ac:dyDescent="0.25"/>
    <row r="74263" customFormat="1" x14ac:dyDescent="0.25"/>
    <row r="74264" customFormat="1" x14ac:dyDescent="0.25"/>
    <row r="74265" customFormat="1" x14ac:dyDescent="0.25"/>
    <row r="74266" customFormat="1" x14ac:dyDescent="0.25"/>
    <row r="74267" customFormat="1" x14ac:dyDescent="0.25"/>
    <row r="74268" customFormat="1" x14ac:dyDescent="0.25"/>
    <row r="74269" customFormat="1" x14ac:dyDescent="0.25"/>
    <row r="74270" customFormat="1" x14ac:dyDescent="0.25"/>
    <row r="74271" customFormat="1" x14ac:dyDescent="0.25"/>
    <row r="74272" customFormat="1" x14ac:dyDescent="0.25"/>
    <row r="74273" customFormat="1" x14ac:dyDescent="0.25"/>
    <row r="74274" customFormat="1" x14ac:dyDescent="0.25"/>
    <row r="74275" customFormat="1" x14ac:dyDescent="0.25"/>
    <row r="74276" customFormat="1" x14ac:dyDescent="0.25"/>
    <row r="74277" customFormat="1" x14ac:dyDescent="0.25"/>
    <row r="74278" customFormat="1" x14ac:dyDescent="0.25"/>
    <row r="74279" customFormat="1" x14ac:dyDescent="0.25"/>
    <row r="74280" customFormat="1" x14ac:dyDescent="0.25"/>
    <row r="74281" customFormat="1" x14ac:dyDescent="0.25"/>
    <row r="74282" customFormat="1" x14ac:dyDescent="0.25"/>
    <row r="74283" customFormat="1" x14ac:dyDescent="0.25"/>
    <row r="74284" customFormat="1" x14ac:dyDescent="0.25"/>
    <row r="74285" customFormat="1" x14ac:dyDescent="0.25"/>
    <row r="74286" customFormat="1" x14ac:dyDescent="0.25"/>
    <row r="74287" customFormat="1" x14ac:dyDescent="0.25"/>
    <row r="74288" customFormat="1" x14ac:dyDescent="0.25"/>
    <row r="74289" customFormat="1" x14ac:dyDescent="0.25"/>
    <row r="74290" customFormat="1" x14ac:dyDescent="0.25"/>
    <row r="74291" customFormat="1" x14ac:dyDescent="0.25"/>
    <row r="74292" customFormat="1" x14ac:dyDescent="0.25"/>
    <row r="74293" customFormat="1" x14ac:dyDescent="0.25"/>
    <row r="74294" customFormat="1" x14ac:dyDescent="0.25"/>
    <row r="74295" customFormat="1" x14ac:dyDescent="0.25"/>
    <row r="74296" customFormat="1" x14ac:dyDescent="0.25"/>
    <row r="74297" customFormat="1" x14ac:dyDescent="0.25"/>
    <row r="74298" customFormat="1" x14ac:dyDescent="0.25"/>
    <row r="74299" customFormat="1" x14ac:dyDescent="0.25"/>
    <row r="74300" customFormat="1" x14ac:dyDescent="0.25"/>
    <row r="74301" customFormat="1" x14ac:dyDescent="0.25"/>
    <row r="74302" customFormat="1" x14ac:dyDescent="0.25"/>
    <row r="74303" customFormat="1" x14ac:dyDescent="0.25"/>
    <row r="74304" customFormat="1" x14ac:dyDescent="0.25"/>
    <row r="74305" customFormat="1" x14ac:dyDescent="0.25"/>
    <row r="74306" customFormat="1" x14ac:dyDescent="0.25"/>
    <row r="74307" customFormat="1" x14ac:dyDescent="0.25"/>
    <row r="74308" customFormat="1" x14ac:dyDescent="0.25"/>
    <row r="74309" customFormat="1" x14ac:dyDescent="0.25"/>
    <row r="74310" customFormat="1" x14ac:dyDescent="0.25"/>
    <row r="74311" customFormat="1" x14ac:dyDescent="0.25"/>
    <row r="74312" customFormat="1" x14ac:dyDescent="0.25"/>
    <row r="74313" customFormat="1" x14ac:dyDescent="0.25"/>
    <row r="74314" customFormat="1" x14ac:dyDescent="0.25"/>
    <row r="74315" customFormat="1" x14ac:dyDescent="0.25"/>
    <row r="74316" customFormat="1" x14ac:dyDescent="0.25"/>
    <row r="74317" customFormat="1" x14ac:dyDescent="0.25"/>
    <row r="74318" customFormat="1" x14ac:dyDescent="0.25"/>
    <row r="74319" customFormat="1" x14ac:dyDescent="0.25"/>
    <row r="74320" customFormat="1" x14ac:dyDescent="0.25"/>
    <row r="74321" customFormat="1" x14ac:dyDescent="0.25"/>
    <row r="74322" customFormat="1" x14ac:dyDescent="0.25"/>
    <row r="74323" customFormat="1" x14ac:dyDescent="0.25"/>
    <row r="74324" customFormat="1" x14ac:dyDescent="0.25"/>
    <row r="74325" customFormat="1" x14ac:dyDescent="0.25"/>
    <row r="74326" customFormat="1" x14ac:dyDescent="0.25"/>
    <row r="74327" customFormat="1" x14ac:dyDescent="0.25"/>
    <row r="74328" customFormat="1" x14ac:dyDescent="0.25"/>
    <row r="74329" customFormat="1" x14ac:dyDescent="0.25"/>
    <row r="74330" customFormat="1" x14ac:dyDescent="0.25"/>
    <row r="74331" customFormat="1" x14ac:dyDescent="0.25"/>
    <row r="74332" customFormat="1" x14ac:dyDescent="0.25"/>
    <row r="74333" customFormat="1" x14ac:dyDescent="0.25"/>
    <row r="74334" customFormat="1" x14ac:dyDescent="0.25"/>
    <row r="74335" customFormat="1" x14ac:dyDescent="0.25"/>
    <row r="74336" customFormat="1" x14ac:dyDescent="0.25"/>
    <row r="74337" customFormat="1" x14ac:dyDescent="0.25"/>
    <row r="74338" customFormat="1" x14ac:dyDescent="0.25"/>
    <row r="74339" customFormat="1" x14ac:dyDescent="0.25"/>
    <row r="74340" customFormat="1" x14ac:dyDescent="0.25"/>
    <row r="74341" customFormat="1" x14ac:dyDescent="0.25"/>
    <row r="74342" customFormat="1" x14ac:dyDescent="0.25"/>
    <row r="74343" customFormat="1" x14ac:dyDescent="0.25"/>
    <row r="74344" customFormat="1" x14ac:dyDescent="0.25"/>
    <row r="74345" customFormat="1" x14ac:dyDescent="0.25"/>
    <row r="74346" customFormat="1" x14ac:dyDescent="0.25"/>
    <row r="74347" customFormat="1" x14ac:dyDescent="0.25"/>
    <row r="74348" customFormat="1" x14ac:dyDescent="0.25"/>
    <row r="74349" customFormat="1" x14ac:dyDescent="0.25"/>
    <row r="74350" customFormat="1" x14ac:dyDescent="0.25"/>
    <row r="74351" customFormat="1" x14ac:dyDescent="0.25"/>
    <row r="74352" customFormat="1" x14ac:dyDescent="0.25"/>
    <row r="74353" customFormat="1" x14ac:dyDescent="0.25"/>
    <row r="74354" customFormat="1" x14ac:dyDescent="0.25"/>
    <row r="74355" customFormat="1" x14ac:dyDescent="0.25"/>
    <row r="74356" customFormat="1" x14ac:dyDescent="0.25"/>
    <row r="74357" customFormat="1" x14ac:dyDescent="0.25"/>
    <row r="74358" customFormat="1" x14ac:dyDescent="0.25"/>
    <row r="74359" customFormat="1" x14ac:dyDescent="0.25"/>
    <row r="74360" customFormat="1" x14ac:dyDescent="0.25"/>
    <row r="74361" customFormat="1" x14ac:dyDescent="0.25"/>
    <row r="74362" customFormat="1" x14ac:dyDescent="0.25"/>
    <row r="74363" customFormat="1" x14ac:dyDescent="0.25"/>
    <row r="74364" customFormat="1" x14ac:dyDescent="0.25"/>
    <row r="74365" customFormat="1" x14ac:dyDescent="0.25"/>
    <row r="74366" customFormat="1" x14ac:dyDescent="0.25"/>
    <row r="74367" customFormat="1" x14ac:dyDescent="0.25"/>
    <row r="74368" customFormat="1" x14ac:dyDescent="0.25"/>
    <row r="74369" customFormat="1" x14ac:dyDescent="0.25"/>
    <row r="74370" customFormat="1" x14ac:dyDescent="0.25"/>
    <row r="74371" customFormat="1" x14ac:dyDescent="0.25"/>
    <row r="74372" customFormat="1" x14ac:dyDescent="0.25"/>
    <row r="74373" customFormat="1" x14ac:dyDescent="0.25"/>
    <row r="74374" customFormat="1" x14ac:dyDescent="0.25"/>
    <row r="74375" customFormat="1" x14ac:dyDescent="0.25"/>
    <row r="74376" customFormat="1" x14ac:dyDescent="0.25"/>
    <row r="74377" customFormat="1" x14ac:dyDescent="0.25"/>
    <row r="74378" customFormat="1" x14ac:dyDescent="0.25"/>
    <row r="74379" customFormat="1" x14ac:dyDescent="0.25"/>
    <row r="74380" customFormat="1" x14ac:dyDescent="0.25"/>
    <row r="74381" customFormat="1" x14ac:dyDescent="0.25"/>
    <row r="74382" customFormat="1" x14ac:dyDescent="0.25"/>
    <row r="74383" customFormat="1" x14ac:dyDescent="0.25"/>
    <row r="74384" customFormat="1" x14ac:dyDescent="0.25"/>
    <row r="74385" customFormat="1" x14ac:dyDescent="0.25"/>
    <row r="74386" customFormat="1" x14ac:dyDescent="0.25"/>
    <row r="74387" customFormat="1" x14ac:dyDescent="0.25"/>
    <row r="74388" customFormat="1" x14ac:dyDescent="0.25"/>
    <row r="74389" customFormat="1" x14ac:dyDescent="0.25"/>
    <row r="74390" customFormat="1" x14ac:dyDescent="0.25"/>
    <row r="74391" customFormat="1" x14ac:dyDescent="0.25"/>
    <row r="74392" customFormat="1" x14ac:dyDescent="0.25"/>
    <row r="74393" customFormat="1" x14ac:dyDescent="0.25"/>
    <row r="74394" customFormat="1" x14ac:dyDescent="0.25"/>
    <row r="74395" customFormat="1" x14ac:dyDescent="0.25"/>
    <row r="74396" customFormat="1" x14ac:dyDescent="0.25"/>
    <row r="74397" customFormat="1" x14ac:dyDescent="0.25"/>
    <row r="74398" customFormat="1" x14ac:dyDescent="0.25"/>
    <row r="74399" customFormat="1" x14ac:dyDescent="0.25"/>
    <row r="74400" customFormat="1" x14ac:dyDescent="0.25"/>
    <row r="74401" customFormat="1" x14ac:dyDescent="0.25"/>
    <row r="74402" customFormat="1" x14ac:dyDescent="0.25"/>
    <row r="74403" customFormat="1" x14ac:dyDescent="0.25"/>
    <row r="74404" customFormat="1" x14ac:dyDescent="0.25"/>
    <row r="74405" customFormat="1" x14ac:dyDescent="0.25"/>
    <row r="74406" customFormat="1" x14ac:dyDescent="0.25"/>
    <row r="74407" customFormat="1" x14ac:dyDescent="0.25"/>
    <row r="74408" customFormat="1" x14ac:dyDescent="0.25"/>
    <row r="74409" customFormat="1" x14ac:dyDescent="0.25"/>
    <row r="74410" customFormat="1" x14ac:dyDescent="0.25"/>
    <row r="74411" customFormat="1" x14ac:dyDescent="0.25"/>
    <row r="74412" customFormat="1" x14ac:dyDescent="0.25"/>
    <row r="74413" customFormat="1" x14ac:dyDescent="0.25"/>
    <row r="74414" customFormat="1" x14ac:dyDescent="0.25"/>
    <row r="74415" customFormat="1" x14ac:dyDescent="0.25"/>
    <row r="74416" customFormat="1" x14ac:dyDescent="0.25"/>
    <row r="74417" customFormat="1" x14ac:dyDescent="0.25"/>
    <row r="74418" customFormat="1" x14ac:dyDescent="0.25"/>
    <row r="74419" customFormat="1" x14ac:dyDescent="0.25"/>
    <row r="74420" customFormat="1" x14ac:dyDescent="0.25"/>
    <row r="74421" customFormat="1" x14ac:dyDescent="0.25"/>
    <row r="74422" customFormat="1" x14ac:dyDescent="0.25"/>
    <row r="74423" customFormat="1" x14ac:dyDescent="0.25"/>
    <row r="74424" customFormat="1" x14ac:dyDescent="0.25"/>
    <row r="74425" customFormat="1" x14ac:dyDescent="0.25"/>
    <row r="74426" customFormat="1" x14ac:dyDescent="0.25"/>
    <row r="74427" customFormat="1" x14ac:dyDescent="0.25"/>
    <row r="74428" customFormat="1" x14ac:dyDescent="0.25"/>
    <row r="74429" customFormat="1" x14ac:dyDescent="0.25"/>
    <row r="74430" customFormat="1" x14ac:dyDescent="0.25"/>
    <row r="74431" customFormat="1" x14ac:dyDescent="0.25"/>
    <row r="74432" customFormat="1" x14ac:dyDescent="0.25"/>
    <row r="74433" customFormat="1" x14ac:dyDescent="0.25"/>
    <row r="74434" customFormat="1" x14ac:dyDescent="0.25"/>
    <row r="74435" customFormat="1" x14ac:dyDescent="0.25"/>
    <row r="74436" customFormat="1" x14ac:dyDescent="0.25"/>
    <row r="74437" customFormat="1" x14ac:dyDescent="0.25"/>
    <row r="74438" customFormat="1" x14ac:dyDescent="0.25"/>
    <row r="74439" customFormat="1" x14ac:dyDescent="0.25"/>
    <row r="74440" customFormat="1" x14ac:dyDescent="0.25"/>
    <row r="74441" customFormat="1" x14ac:dyDescent="0.25"/>
    <row r="74442" customFormat="1" x14ac:dyDescent="0.25"/>
    <row r="74443" customFormat="1" x14ac:dyDescent="0.25"/>
    <row r="74444" customFormat="1" x14ac:dyDescent="0.25"/>
    <row r="74445" customFormat="1" x14ac:dyDescent="0.25"/>
    <row r="74446" customFormat="1" x14ac:dyDescent="0.25"/>
    <row r="74447" customFormat="1" x14ac:dyDescent="0.25"/>
    <row r="74448" customFormat="1" x14ac:dyDescent="0.25"/>
    <row r="74449" customFormat="1" x14ac:dyDescent="0.25"/>
    <row r="74450" customFormat="1" x14ac:dyDescent="0.25"/>
    <row r="74451" customFormat="1" x14ac:dyDescent="0.25"/>
    <row r="74452" customFormat="1" x14ac:dyDescent="0.25"/>
    <row r="74453" customFormat="1" x14ac:dyDescent="0.25"/>
    <row r="74454" customFormat="1" x14ac:dyDescent="0.25"/>
    <row r="74455" customFormat="1" x14ac:dyDescent="0.25"/>
    <row r="74456" customFormat="1" x14ac:dyDescent="0.25"/>
    <row r="74457" customFormat="1" x14ac:dyDescent="0.25"/>
    <row r="74458" customFormat="1" x14ac:dyDescent="0.25"/>
    <row r="74459" customFormat="1" x14ac:dyDescent="0.25"/>
    <row r="74460" customFormat="1" x14ac:dyDescent="0.25"/>
    <row r="74461" customFormat="1" x14ac:dyDescent="0.25"/>
    <row r="74462" customFormat="1" x14ac:dyDescent="0.25"/>
    <row r="74463" customFormat="1" x14ac:dyDescent="0.25"/>
    <row r="74464" customFormat="1" x14ac:dyDescent="0.25"/>
    <row r="74465" customFormat="1" x14ac:dyDescent="0.25"/>
    <row r="74466" customFormat="1" x14ac:dyDescent="0.25"/>
    <row r="74467" customFormat="1" x14ac:dyDescent="0.25"/>
    <row r="74468" customFormat="1" x14ac:dyDescent="0.25"/>
    <row r="74469" customFormat="1" x14ac:dyDescent="0.25"/>
    <row r="74470" customFormat="1" x14ac:dyDescent="0.25"/>
    <row r="74471" customFormat="1" x14ac:dyDescent="0.25"/>
    <row r="74472" customFormat="1" x14ac:dyDescent="0.25"/>
    <row r="74473" customFormat="1" x14ac:dyDescent="0.25"/>
    <row r="74474" customFormat="1" x14ac:dyDescent="0.25"/>
    <row r="74475" customFormat="1" x14ac:dyDescent="0.25"/>
    <row r="74476" customFormat="1" x14ac:dyDescent="0.25"/>
    <row r="74477" customFormat="1" x14ac:dyDescent="0.25"/>
    <row r="74478" customFormat="1" x14ac:dyDescent="0.25"/>
    <row r="74479" customFormat="1" x14ac:dyDescent="0.25"/>
    <row r="74480" customFormat="1" x14ac:dyDescent="0.25"/>
    <row r="74481" customFormat="1" x14ac:dyDescent="0.25"/>
    <row r="74482" customFormat="1" x14ac:dyDescent="0.25"/>
    <row r="74483" customFormat="1" x14ac:dyDescent="0.25"/>
    <row r="74484" customFormat="1" x14ac:dyDescent="0.25"/>
    <row r="74485" customFormat="1" x14ac:dyDescent="0.25"/>
    <row r="74486" customFormat="1" x14ac:dyDescent="0.25"/>
    <row r="74487" customFormat="1" x14ac:dyDescent="0.25"/>
    <row r="74488" customFormat="1" x14ac:dyDescent="0.25"/>
    <row r="74489" customFormat="1" x14ac:dyDescent="0.25"/>
    <row r="74490" customFormat="1" x14ac:dyDescent="0.25"/>
    <row r="74491" customFormat="1" x14ac:dyDescent="0.25"/>
    <row r="74492" customFormat="1" x14ac:dyDescent="0.25"/>
    <row r="74493" customFormat="1" x14ac:dyDescent="0.25"/>
    <row r="74494" customFormat="1" x14ac:dyDescent="0.25"/>
    <row r="74495" customFormat="1" x14ac:dyDescent="0.25"/>
    <row r="74496" customFormat="1" x14ac:dyDescent="0.25"/>
    <row r="74497" customFormat="1" x14ac:dyDescent="0.25"/>
    <row r="74498" customFormat="1" x14ac:dyDescent="0.25"/>
    <row r="74499" customFormat="1" x14ac:dyDescent="0.25"/>
    <row r="74500" customFormat="1" x14ac:dyDescent="0.25"/>
    <row r="74501" customFormat="1" x14ac:dyDescent="0.25"/>
    <row r="74502" customFormat="1" x14ac:dyDescent="0.25"/>
    <row r="74503" customFormat="1" x14ac:dyDescent="0.25"/>
    <row r="74504" customFormat="1" x14ac:dyDescent="0.25"/>
    <row r="74505" customFormat="1" x14ac:dyDescent="0.25"/>
    <row r="74506" customFormat="1" x14ac:dyDescent="0.25"/>
    <row r="74507" customFormat="1" x14ac:dyDescent="0.25"/>
    <row r="74508" customFormat="1" x14ac:dyDescent="0.25"/>
    <row r="74509" customFormat="1" x14ac:dyDescent="0.25"/>
    <row r="74510" customFormat="1" x14ac:dyDescent="0.25"/>
    <row r="74511" customFormat="1" x14ac:dyDescent="0.25"/>
    <row r="74512" customFormat="1" x14ac:dyDescent="0.25"/>
    <row r="74513" customFormat="1" x14ac:dyDescent="0.25"/>
    <row r="74514" customFormat="1" x14ac:dyDescent="0.25"/>
    <row r="74515" customFormat="1" x14ac:dyDescent="0.25"/>
    <row r="74516" customFormat="1" x14ac:dyDescent="0.25"/>
    <row r="74517" customFormat="1" x14ac:dyDescent="0.25"/>
    <row r="74518" customFormat="1" x14ac:dyDescent="0.25"/>
    <row r="74519" customFormat="1" x14ac:dyDescent="0.25"/>
    <row r="74520" customFormat="1" x14ac:dyDescent="0.25"/>
    <row r="74521" customFormat="1" x14ac:dyDescent="0.25"/>
    <row r="74522" customFormat="1" x14ac:dyDescent="0.25"/>
    <row r="74523" customFormat="1" x14ac:dyDescent="0.25"/>
    <row r="74524" customFormat="1" x14ac:dyDescent="0.25"/>
    <row r="74525" customFormat="1" x14ac:dyDescent="0.25"/>
    <row r="74526" customFormat="1" x14ac:dyDescent="0.25"/>
    <row r="74527" customFormat="1" x14ac:dyDescent="0.25"/>
    <row r="74528" customFormat="1" x14ac:dyDescent="0.25"/>
    <row r="74529" customFormat="1" x14ac:dyDescent="0.25"/>
    <row r="74530" customFormat="1" x14ac:dyDescent="0.25"/>
    <row r="74531" customFormat="1" x14ac:dyDescent="0.25"/>
    <row r="74532" customFormat="1" x14ac:dyDescent="0.25"/>
    <row r="74533" customFormat="1" x14ac:dyDescent="0.25"/>
    <row r="74534" customFormat="1" x14ac:dyDescent="0.25"/>
    <row r="74535" customFormat="1" x14ac:dyDescent="0.25"/>
    <row r="74536" customFormat="1" x14ac:dyDescent="0.25"/>
    <row r="74537" customFormat="1" x14ac:dyDescent="0.25"/>
    <row r="74538" customFormat="1" x14ac:dyDescent="0.25"/>
    <row r="74539" customFormat="1" x14ac:dyDescent="0.25"/>
    <row r="74540" customFormat="1" x14ac:dyDescent="0.25"/>
    <row r="74541" customFormat="1" x14ac:dyDescent="0.25"/>
    <row r="74542" customFormat="1" x14ac:dyDescent="0.25"/>
    <row r="74543" customFormat="1" x14ac:dyDescent="0.25"/>
    <row r="74544" customFormat="1" x14ac:dyDescent="0.25"/>
    <row r="74545" customFormat="1" x14ac:dyDescent="0.25"/>
    <row r="74546" customFormat="1" x14ac:dyDescent="0.25"/>
    <row r="74547" customFormat="1" x14ac:dyDescent="0.25"/>
    <row r="74548" customFormat="1" x14ac:dyDescent="0.25"/>
    <row r="74549" customFormat="1" x14ac:dyDescent="0.25"/>
    <row r="74550" customFormat="1" x14ac:dyDescent="0.25"/>
    <row r="74551" customFormat="1" x14ac:dyDescent="0.25"/>
    <row r="74552" customFormat="1" x14ac:dyDescent="0.25"/>
    <row r="74553" customFormat="1" x14ac:dyDescent="0.25"/>
    <row r="74554" customFormat="1" x14ac:dyDescent="0.25"/>
    <row r="74555" customFormat="1" x14ac:dyDescent="0.25"/>
    <row r="74556" customFormat="1" x14ac:dyDescent="0.25"/>
    <row r="74557" customFormat="1" x14ac:dyDescent="0.25"/>
    <row r="74558" customFormat="1" x14ac:dyDescent="0.25"/>
    <row r="74559" customFormat="1" x14ac:dyDescent="0.25"/>
    <row r="74560" customFormat="1" x14ac:dyDescent="0.25"/>
    <row r="74561" customFormat="1" x14ac:dyDescent="0.25"/>
    <row r="74562" customFormat="1" x14ac:dyDescent="0.25"/>
    <row r="74563" customFormat="1" x14ac:dyDescent="0.25"/>
    <row r="74564" customFormat="1" x14ac:dyDescent="0.25"/>
    <row r="74565" customFormat="1" x14ac:dyDescent="0.25"/>
    <row r="74566" customFormat="1" x14ac:dyDescent="0.25"/>
    <row r="74567" customFormat="1" x14ac:dyDescent="0.25"/>
    <row r="74568" customFormat="1" x14ac:dyDescent="0.25"/>
    <row r="74569" customFormat="1" x14ac:dyDescent="0.25"/>
    <row r="74570" customFormat="1" x14ac:dyDescent="0.25"/>
    <row r="74571" customFormat="1" x14ac:dyDescent="0.25"/>
    <row r="74572" customFormat="1" x14ac:dyDescent="0.25"/>
    <row r="74573" customFormat="1" x14ac:dyDescent="0.25"/>
    <row r="74574" customFormat="1" x14ac:dyDescent="0.25"/>
    <row r="74575" customFormat="1" x14ac:dyDescent="0.25"/>
    <row r="74576" customFormat="1" x14ac:dyDescent="0.25"/>
    <row r="74577" customFormat="1" x14ac:dyDescent="0.25"/>
    <row r="74578" customFormat="1" x14ac:dyDescent="0.25"/>
    <row r="74579" customFormat="1" x14ac:dyDescent="0.25"/>
    <row r="74580" customFormat="1" x14ac:dyDescent="0.25"/>
    <row r="74581" customFormat="1" x14ac:dyDescent="0.25"/>
    <row r="74582" customFormat="1" x14ac:dyDescent="0.25"/>
    <row r="74583" customFormat="1" x14ac:dyDescent="0.25"/>
    <row r="74584" customFormat="1" x14ac:dyDescent="0.25"/>
    <row r="74585" customFormat="1" x14ac:dyDescent="0.25"/>
    <row r="74586" customFormat="1" x14ac:dyDescent="0.25"/>
    <row r="74587" customFormat="1" x14ac:dyDescent="0.25"/>
    <row r="74588" customFormat="1" x14ac:dyDescent="0.25"/>
    <row r="74589" customFormat="1" x14ac:dyDescent="0.25"/>
    <row r="74590" customFormat="1" x14ac:dyDescent="0.25"/>
    <row r="74591" customFormat="1" x14ac:dyDescent="0.25"/>
    <row r="74592" customFormat="1" x14ac:dyDescent="0.25"/>
    <row r="74593" customFormat="1" x14ac:dyDescent="0.25"/>
    <row r="74594" customFormat="1" x14ac:dyDescent="0.25"/>
    <row r="74595" customFormat="1" x14ac:dyDescent="0.25"/>
    <row r="74596" customFormat="1" x14ac:dyDescent="0.25"/>
    <row r="74597" customFormat="1" x14ac:dyDescent="0.25"/>
    <row r="74598" customFormat="1" x14ac:dyDescent="0.25"/>
    <row r="74599" customFormat="1" x14ac:dyDescent="0.25"/>
    <row r="74600" customFormat="1" x14ac:dyDescent="0.25"/>
    <row r="74601" customFormat="1" x14ac:dyDescent="0.25"/>
    <row r="74602" customFormat="1" x14ac:dyDescent="0.25"/>
    <row r="74603" customFormat="1" x14ac:dyDescent="0.25"/>
    <row r="74604" customFormat="1" x14ac:dyDescent="0.25"/>
    <row r="74605" customFormat="1" x14ac:dyDescent="0.25"/>
    <row r="74606" customFormat="1" x14ac:dyDescent="0.25"/>
    <row r="74607" customFormat="1" x14ac:dyDescent="0.25"/>
    <row r="74608" customFormat="1" x14ac:dyDescent="0.25"/>
    <row r="74609" customFormat="1" x14ac:dyDescent="0.25"/>
    <row r="74610" customFormat="1" x14ac:dyDescent="0.25"/>
    <row r="74611" customFormat="1" x14ac:dyDescent="0.25"/>
    <row r="74612" customFormat="1" x14ac:dyDescent="0.25"/>
    <row r="74613" customFormat="1" x14ac:dyDescent="0.25"/>
    <row r="74614" customFormat="1" x14ac:dyDescent="0.25"/>
    <row r="74615" customFormat="1" x14ac:dyDescent="0.25"/>
    <row r="74616" customFormat="1" x14ac:dyDescent="0.25"/>
    <row r="74617" customFormat="1" x14ac:dyDescent="0.25"/>
    <row r="74618" customFormat="1" x14ac:dyDescent="0.25"/>
    <row r="74619" customFormat="1" x14ac:dyDescent="0.25"/>
    <row r="74620" customFormat="1" x14ac:dyDescent="0.25"/>
    <row r="74621" customFormat="1" x14ac:dyDescent="0.25"/>
    <row r="74622" customFormat="1" x14ac:dyDescent="0.25"/>
    <row r="74623" customFormat="1" x14ac:dyDescent="0.25"/>
    <row r="74624" customFormat="1" x14ac:dyDescent="0.25"/>
    <row r="74625" customFormat="1" x14ac:dyDescent="0.25"/>
    <row r="74626" customFormat="1" x14ac:dyDescent="0.25"/>
    <row r="74627" customFormat="1" x14ac:dyDescent="0.25"/>
    <row r="74628" customFormat="1" x14ac:dyDescent="0.25"/>
    <row r="74629" customFormat="1" x14ac:dyDescent="0.25"/>
    <row r="74630" customFormat="1" x14ac:dyDescent="0.25"/>
    <row r="74631" customFormat="1" x14ac:dyDescent="0.25"/>
    <row r="74632" customFormat="1" x14ac:dyDescent="0.25"/>
    <row r="74633" customFormat="1" x14ac:dyDescent="0.25"/>
    <row r="74634" customFormat="1" x14ac:dyDescent="0.25"/>
    <row r="74635" customFormat="1" x14ac:dyDescent="0.25"/>
    <row r="74636" customFormat="1" x14ac:dyDescent="0.25"/>
    <row r="74637" customFormat="1" x14ac:dyDescent="0.25"/>
    <row r="74638" customFormat="1" x14ac:dyDescent="0.25"/>
    <row r="74639" customFormat="1" x14ac:dyDescent="0.25"/>
    <row r="74640" customFormat="1" x14ac:dyDescent="0.25"/>
    <row r="74641" customFormat="1" x14ac:dyDescent="0.25"/>
    <row r="74642" customFormat="1" x14ac:dyDescent="0.25"/>
    <row r="74643" customFormat="1" x14ac:dyDescent="0.25"/>
    <row r="74644" customFormat="1" x14ac:dyDescent="0.25"/>
    <row r="74645" customFormat="1" x14ac:dyDescent="0.25"/>
    <row r="74646" customFormat="1" x14ac:dyDescent="0.25"/>
    <row r="74647" customFormat="1" x14ac:dyDescent="0.25"/>
    <row r="74648" customFormat="1" x14ac:dyDescent="0.25"/>
    <row r="74649" customFormat="1" x14ac:dyDescent="0.25"/>
    <row r="74650" customFormat="1" x14ac:dyDescent="0.25"/>
    <row r="74651" customFormat="1" x14ac:dyDescent="0.25"/>
    <row r="74652" customFormat="1" x14ac:dyDescent="0.25"/>
    <row r="74653" customFormat="1" x14ac:dyDescent="0.25"/>
    <row r="74654" customFormat="1" x14ac:dyDescent="0.25"/>
    <row r="74655" customFormat="1" x14ac:dyDescent="0.25"/>
    <row r="74656" customFormat="1" x14ac:dyDescent="0.25"/>
    <row r="74657" customFormat="1" x14ac:dyDescent="0.25"/>
    <row r="74658" customFormat="1" x14ac:dyDescent="0.25"/>
    <row r="74659" customFormat="1" x14ac:dyDescent="0.25"/>
    <row r="74660" customFormat="1" x14ac:dyDescent="0.25"/>
    <row r="74661" customFormat="1" x14ac:dyDescent="0.25"/>
    <row r="74662" customFormat="1" x14ac:dyDescent="0.25"/>
    <row r="74663" customFormat="1" x14ac:dyDescent="0.25"/>
    <row r="74664" customFormat="1" x14ac:dyDescent="0.25"/>
    <row r="74665" customFormat="1" x14ac:dyDescent="0.25"/>
    <row r="74666" customFormat="1" x14ac:dyDescent="0.25"/>
    <row r="74667" customFormat="1" x14ac:dyDescent="0.25"/>
    <row r="74668" customFormat="1" x14ac:dyDescent="0.25"/>
    <row r="74669" customFormat="1" x14ac:dyDescent="0.25"/>
    <row r="74670" customFormat="1" x14ac:dyDescent="0.25"/>
    <row r="74671" customFormat="1" x14ac:dyDescent="0.25"/>
    <row r="74672" customFormat="1" x14ac:dyDescent="0.25"/>
    <row r="74673" customFormat="1" x14ac:dyDescent="0.25"/>
    <row r="74674" customFormat="1" x14ac:dyDescent="0.25"/>
    <row r="74675" customFormat="1" x14ac:dyDescent="0.25"/>
    <row r="74676" customFormat="1" x14ac:dyDescent="0.25"/>
    <row r="74677" customFormat="1" x14ac:dyDescent="0.25"/>
    <row r="74678" customFormat="1" x14ac:dyDescent="0.25"/>
    <row r="74679" customFormat="1" x14ac:dyDescent="0.25"/>
    <row r="74680" customFormat="1" x14ac:dyDescent="0.25"/>
    <row r="74681" customFormat="1" x14ac:dyDescent="0.25"/>
    <row r="74682" customFormat="1" x14ac:dyDescent="0.25"/>
    <row r="74683" customFormat="1" x14ac:dyDescent="0.25"/>
    <row r="74684" customFormat="1" x14ac:dyDescent="0.25"/>
    <row r="74685" customFormat="1" x14ac:dyDescent="0.25"/>
    <row r="74686" customFormat="1" x14ac:dyDescent="0.25"/>
    <row r="74687" customFormat="1" x14ac:dyDescent="0.25"/>
    <row r="74688" customFormat="1" x14ac:dyDescent="0.25"/>
    <row r="74689" customFormat="1" x14ac:dyDescent="0.25"/>
    <row r="74690" customFormat="1" x14ac:dyDescent="0.25"/>
    <row r="74691" customFormat="1" x14ac:dyDescent="0.25"/>
    <row r="74692" customFormat="1" x14ac:dyDescent="0.25"/>
    <row r="74693" customFormat="1" x14ac:dyDescent="0.25"/>
    <row r="74694" customFormat="1" x14ac:dyDescent="0.25"/>
    <row r="74695" customFormat="1" x14ac:dyDescent="0.25"/>
    <row r="74696" customFormat="1" x14ac:dyDescent="0.25"/>
    <row r="74697" customFormat="1" x14ac:dyDescent="0.25"/>
    <row r="74698" customFormat="1" x14ac:dyDescent="0.25"/>
    <row r="74699" customFormat="1" x14ac:dyDescent="0.25"/>
    <row r="74700" customFormat="1" x14ac:dyDescent="0.25"/>
    <row r="74701" customFormat="1" x14ac:dyDescent="0.25"/>
    <row r="74702" customFormat="1" x14ac:dyDescent="0.25"/>
    <row r="74703" customFormat="1" x14ac:dyDescent="0.25"/>
    <row r="74704" customFormat="1" x14ac:dyDescent="0.25"/>
    <row r="74705" customFormat="1" x14ac:dyDescent="0.25"/>
    <row r="74706" customFormat="1" x14ac:dyDescent="0.25"/>
    <row r="74707" customFormat="1" x14ac:dyDescent="0.25"/>
    <row r="74708" customFormat="1" x14ac:dyDescent="0.25"/>
    <row r="74709" customFormat="1" x14ac:dyDescent="0.25"/>
    <row r="74710" customFormat="1" x14ac:dyDescent="0.25"/>
    <row r="74711" customFormat="1" x14ac:dyDescent="0.25"/>
    <row r="74712" customFormat="1" x14ac:dyDescent="0.25"/>
    <row r="74713" customFormat="1" x14ac:dyDescent="0.25"/>
    <row r="74714" customFormat="1" x14ac:dyDescent="0.25"/>
    <row r="74715" customFormat="1" x14ac:dyDescent="0.25"/>
    <row r="74716" customFormat="1" x14ac:dyDescent="0.25"/>
    <row r="74717" customFormat="1" x14ac:dyDescent="0.25"/>
    <row r="74718" customFormat="1" x14ac:dyDescent="0.25"/>
    <row r="74719" customFormat="1" x14ac:dyDescent="0.25"/>
    <row r="74720" customFormat="1" x14ac:dyDescent="0.25"/>
    <row r="74721" customFormat="1" x14ac:dyDescent="0.25"/>
    <row r="74722" customFormat="1" x14ac:dyDescent="0.25"/>
    <row r="74723" customFormat="1" x14ac:dyDescent="0.25"/>
    <row r="74724" customFormat="1" x14ac:dyDescent="0.25"/>
    <row r="74725" customFormat="1" x14ac:dyDescent="0.25"/>
    <row r="74726" customFormat="1" x14ac:dyDescent="0.25"/>
    <row r="74727" customFormat="1" x14ac:dyDescent="0.25"/>
    <row r="74728" customFormat="1" x14ac:dyDescent="0.25"/>
    <row r="74729" customFormat="1" x14ac:dyDescent="0.25"/>
    <row r="74730" customFormat="1" x14ac:dyDescent="0.25"/>
    <row r="74731" customFormat="1" x14ac:dyDescent="0.25"/>
    <row r="74732" customFormat="1" x14ac:dyDescent="0.25"/>
    <row r="74733" customFormat="1" x14ac:dyDescent="0.25"/>
    <row r="74734" customFormat="1" x14ac:dyDescent="0.25"/>
    <row r="74735" customFormat="1" x14ac:dyDescent="0.25"/>
    <row r="74736" customFormat="1" x14ac:dyDescent="0.25"/>
    <row r="74737" customFormat="1" x14ac:dyDescent="0.25"/>
    <row r="74738" customFormat="1" x14ac:dyDescent="0.25"/>
    <row r="74739" customFormat="1" x14ac:dyDescent="0.25"/>
    <row r="74740" customFormat="1" x14ac:dyDescent="0.25"/>
    <row r="74741" customFormat="1" x14ac:dyDescent="0.25"/>
    <row r="74742" customFormat="1" x14ac:dyDescent="0.25"/>
    <row r="74743" customFormat="1" x14ac:dyDescent="0.25"/>
    <row r="74744" customFormat="1" x14ac:dyDescent="0.25"/>
    <row r="74745" customFormat="1" x14ac:dyDescent="0.25"/>
    <row r="74746" customFormat="1" x14ac:dyDescent="0.25"/>
    <row r="74747" customFormat="1" x14ac:dyDescent="0.25"/>
    <row r="74748" customFormat="1" x14ac:dyDescent="0.25"/>
    <row r="74749" customFormat="1" x14ac:dyDescent="0.25"/>
    <row r="74750" customFormat="1" x14ac:dyDescent="0.25"/>
    <row r="74751" customFormat="1" x14ac:dyDescent="0.25"/>
    <row r="74752" customFormat="1" x14ac:dyDescent="0.25"/>
    <row r="74753" customFormat="1" x14ac:dyDescent="0.25"/>
    <row r="74754" customFormat="1" x14ac:dyDescent="0.25"/>
    <row r="74755" customFormat="1" x14ac:dyDescent="0.25"/>
    <row r="74756" customFormat="1" x14ac:dyDescent="0.25"/>
    <row r="74757" customFormat="1" x14ac:dyDescent="0.25"/>
    <row r="74758" customFormat="1" x14ac:dyDescent="0.25"/>
    <row r="74759" customFormat="1" x14ac:dyDescent="0.25"/>
    <row r="74760" customFormat="1" x14ac:dyDescent="0.25"/>
    <row r="74761" customFormat="1" x14ac:dyDescent="0.25"/>
    <row r="74762" customFormat="1" x14ac:dyDescent="0.25"/>
    <row r="74763" customFormat="1" x14ac:dyDescent="0.25"/>
    <row r="74764" customFormat="1" x14ac:dyDescent="0.25"/>
    <row r="74765" customFormat="1" x14ac:dyDescent="0.25"/>
    <row r="74766" customFormat="1" x14ac:dyDescent="0.25"/>
    <row r="74767" customFormat="1" x14ac:dyDescent="0.25"/>
    <row r="74768" customFormat="1" x14ac:dyDescent="0.25"/>
    <row r="74769" customFormat="1" x14ac:dyDescent="0.25"/>
    <row r="74770" customFormat="1" x14ac:dyDescent="0.25"/>
    <row r="74771" customFormat="1" x14ac:dyDescent="0.25"/>
    <row r="74772" customFormat="1" x14ac:dyDescent="0.25"/>
    <row r="74773" customFormat="1" x14ac:dyDescent="0.25"/>
    <row r="74774" customFormat="1" x14ac:dyDescent="0.25"/>
    <row r="74775" customFormat="1" x14ac:dyDescent="0.25"/>
    <row r="74776" customFormat="1" x14ac:dyDescent="0.25"/>
    <row r="74777" customFormat="1" x14ac:dyDescent="0.25"/>
    <row r="74778" customFormat="1" x14ac:dyDescent="0.25"/>
    <row r="74779" customFormat="1" x14ac:dyDescent="0.25"/>
    <row r="74780" customFormat="1" x14ac:dyDescent="0.25"/>
    <row r="74781" customFormat="1" x14ac:dyDescent="0.25"/>
    <row r="74782" customFormat="1" x14ac:dyDescent="0.25"/>
    <row r="74783" customFormat="1" x14ac:dyDescent="0.25"/>
    <row r="74784" customFormat="1" x14ac:dyDescent="0.25"/>
    <row r="74785" customFormat="1" x14ac:dyDescent="0.25"/>
    <row r="74786" customFormat="1" x14ac:dyDescent="0.25"/>
    <row r="74787" customFormat="1" x14ac:dyDescent="0.25"/>
    <row r="74788" customFormat="1" x14ac:dyDescent="0.25"/>
    <row r="74789" customFormat="1" x14ac:dyDescent="0.25"/>
    <row r="74790" customFormat="1" x14ac:dyDescent="0.25"/>
    <row r="74791" customFormat="1" x14ac:dyDescent="0.25"/>
    <row r="74792" customFormat="1" x14ac:dyDescent="0.25"/>
    <row r="74793" customFormat="1" x14ac:dyDescent="0.25"/>
    <row r="74794" customFormat="1" x14ac:dyDescent="0.25"/>
    <row r="74795" customFormat="1" x14ac:dyDescent="0.25"/>
    <row r="74796" customFormat="1" x14ac:dyDescent="0.25"/>
    <row r="74797" customFormat="1" x14ac:dyDescent="0.25"/>
    <row r="74798" customFormat="1" x14ac:dyDescent="0.25"/>
    <row r="74799" customFormat="1" x14ac:dyDescent="0.25"/>
    <row r="74800" customFormat="1" x14ac:dyDescent="0.25"/>
    <row r="74801" customFormat="1" x14ac:dyDescent="0.25"/>
    <row r="74802" customFormat="1" x14ac:dyDescent="0.25"/>
    <row r="74803" customFormat="1" x14ac:dyDescent="0.25"/>
    <row r="74804" customFormat="1" x14ac:dyDescent="0.25"/>
    <row r="74805" customFormat="1" x14ac:dyDescent="0.25"/>
    <row r="74806" customFormat="1" x14ac:dyDescent="0.25"/>
    <row r="74807" customFormat="1" x14ac:dyDescent="0.25"/>
    <row r="74808" customFormat="1" x14ac:dyDescent="0.25"/>
    <row r="74809" customFormat="1" x14ac:dyDescent="0.25"/>
    <row r="74810" customFormat="1" x14ac:dyDescent="0.25"/>
    <row r="74811" customFormat="1" x14ac:dyDescent="0.25"/>
    <row r="74812" customFormat="1" x14ac:dyDescent="0.25"/>
    <row r="74813" customFormat="1" x14ac:dyDescent="0.25"/>
    <row r="74814" customFormat="1" x14ac:dyDescent="0.25"/>
    <row r="74815" customFormat="1" x14ac:dyDescent="0.25"/>
    <row r="74816" customFormat="1" x14ac:dyDescent="0.25"/>
    <row r="74817" customFormat="1" x14ac:dyDescent="0.25"/>
    <row r="74818" customFormat="1" x14ac:dyDescent="0.25"/>
    <row r="74819" customFormat="1" x14ac:dyDescent="0.25"/>
    <row r="74820" customFormat="1" x14ac:dyDescent="0.25"/>
    <row r="74821" customFormat="1" x14ac:dyDescent="0.25"/>
    <row r="74822" customFormat="1" x14ac:dyDescent="0.25"/>
    <row r="74823" customFormat="1" x14ac:dyDescent="0.25"/>
    <row r="74824" customFormat="1" x14ac:dyDescent="0.25"/>
    <row r="74825" customFormat="1" x14ac:dyDescent="0.25"/>
    <row r="74826" customFormat="1" x14ac:dyDescent="0.25"/>
    <row r="74827" customFormat="1" x14ac:dyDescent="0.25"/>
    <row r="74828" customFormat="1" x14ac:dyDescent="0.25"/>
    <row r="74829" customFormat="1" x14ac:dyDescent="0.25"/>
    <row r="74830" customFormat="1" x14ac:dyDescent="0.25"/>
    <row r="74831" customFormat="1" x14ac:dyDescent="0.25"/>
    <row r="74832" customFormat="1" x14ac:dyDescent="0.25"/>
    <row r="74833" customFormat="1" x14ac:dyDescent="0.25"/>
    <row r="74834" customFormat="1" x14ac:dyDescent="0.25"/>
    <row r="74835" customFormat="1" x14ac:dyDescent="0.25"/>
    <row r="74836" customFormat="1" x14ac:dyDescent="0.25"/>
    <row r="74837" customFormat="1" x14ac:dyDescent="0.25"/>
    <row r="74838" customFormat="1" x14ac:dyDescent="0.25"/>
    <row r="74839" customFormat="1" x14ac:dyDescent="0.25"/>
    <row r="74840" customFormat="1" x14ac:dyDescent="0.25"/>
    <row r="74841" customFormat="1" x14ac:dyDescent="0.25"/>
    <row r="74842" customFormat="1" x14ac:dyDescent="0.25"/>
    <row r="74843" customFormat="1" x14ac:dyDescent="0.25"/>
    <row r="74844" customFormat="1" x14ac:dyDescent="0.25"/>
    <row r="74845" customFormat="1" x14ac:dyDescent="0.25"/>
    <row r="74846" customFormat="1" x14ac:dyDescent="0.25"/>
    <row r="74847" customFormat="1" x14ac:dyDescent="0.25"/>
    <row r="74848" customFormat="1" x14ac:dyDescent="0.25"/>
    <row r="74849" customFormat="1" x14ac:dyDescent="0.25"/>
    <row r="74850" customFormat="1" x14ac:dyDescent="0.25"/>
    <row r="74851" customFormat="1" x14ac:dyDescent="0.25"/>
    <row r="74852" customFormat="1" x14ac:dyDescent="0.25"/>
    <row r="74853" customFormat="1" x14ac:dyDescent="0.25"/>
    <row r="74854" customFormat="1" x14ac:dyDescent="0.25"/>
    <row r="74855" customFormat="1" x14ac:dyDescent="0.25"/>
    <row r="74856" customFormat="1" x14ac:dyDescent="0.25"/>
    <row r="74857" customFormat="1" x14ac:dyDescent="0.25"/>
    <row r="74858" customFormat="1" x14ac:dyDescent="0.25"/>
    <row r="74859" customFormat="1" x14ac:dyDescent="0.25"/>
    <row r="74860" customFormat="1" x14ac:dyDescent="0.25"/>
    <row r="74861" customFormat="1" x14ac:dyDescent="0.25"/>
    <row r="74862" customFormat="1" x14ac:dyDescent="0.25"/>
    <row r="74863" customFormat="1" x14ac:dyDescent="0.25"/>
    <row r="74864" customFormat="1" x14ac:dyDescent="0.25"/>
    <row r="74865" customFormat="1" x14ac:dyDescent="0.25"/>
    <row r="74866" customFormat="1" x14ac:dyDescent="0.25"/>
    <row r="74867" customFormat="1" x14ac:dyDescent="0.25"/>
    <row r="74868" customFormat="1" x14ac:dyDescent="0.25"/>
    <row r="74869" customFormat="1" x14ac:dyDescent="0.25"/>
    <row r="74870" customFormat="1" x14ac:dyDescent="0.25"/>
    <row r="74871" customFormat="1" x14ac:dyDescent="0.25"/>
    <row r="74872" customFormat="1" x14ac:dyDescent="0.25"/>
    <row r="74873" customFormat="1" x14ac:dyDescent="0.25"/>
    <row r="74874" customFormat="1" x14ac:dyDescent="0.25"/>
    <row r="74875" customFormat="1" x14ac:dyDescent="0.25"/>
    <row r="74876" customFormat="1" x14ac:dyDescent="0.25"/>
    <row r="74877" customFormat="1" x14ac:dyDescent="0.25"/>
    <row r="74878" customFormat="1" x14ac:dyDescent="0.25"/>
    <row r="74879" customFormat="1" x14ac:dyDescent="0.25"/>
    <row r="74880" customFormat="1" x14ac:dyDescent="0.25"/>
    <row r="74881" customFormat="1" x14ac:dyDescent="0.25"/>
    <row r="74882" customFormat="1" x14ac:dyDescent="0.25"/>
    <row r="74883" customFormat="1" x14ac:dyDescent="0.25"/>
    <row r="74884" customFormat="1" x14ac:dyDescent="0.25"/>
    <row r="74885" customFormat="1" x14ac:dyDescent="0.25"/>
    <row r="74886" customFormat="1" x14ac:dyDescent="0.25"/>
    <row r="74887" customFormat="1" x14ac:dyDescent="0.25"/>
    <row r="74888" customFormat="1" x14ac:dyDescent="0.25"/>
    <row r="74889" customFormat="1" x14ac:dyDescent="0.25"/>
    <row r="74890" customFormat="1" x14ac:dyDescent="0.25"/>
    <row r="74891" customFormat="1" x14ac:dyDescent="0.25"/>
    <row r="74892" customFormat="1" x14ac:dyDescent="0.25"/>
    <row r="74893" customFormat="1" x14ac:dyDescent="0.25"/>
    <row r="74894" customFormat="1" x14ac:dyDescent="0.25"/>
    <row r="74895" customFormat="1" x14ac:dyDescent="0.25"/>
    <row r="74896" customFormat="1" x14ac:dyDescent="0.25"/>
    <row r="74897" customFormat="1" x14ac:dyDescent="0.25"/>
    <row r="74898" customFormat="1" x14ac:dyDescent="0.25"/>
    <row r="74899" customFormat="1" x14ac:dyDescent="0.25"/>
    <row r="74900" customFormat="1" x14ac:dyDescent="0.25"/>
    <row r="74901" customFormat="1" x14ac:dyDescent="0.25"/>
    <row r="74902" customFormat="1" x14ac:dyDescent="0.25"/>
    <row r="74903" customFormat="1" x14ac:dyDescent="0.25"/>
    <row r="74904" customFormat="1" x14ac:dyDescent="0.25"/>
    <row r="74905" customFormat="1" x14ac:dyDescent="0.25"/>
    <row r="74906" customFormat="1" x14ac:dyDescent="0.25"/>
    <row r="74907" customFormat="1" x14ac:dyDescent="0.25"/>
    <row r="74908" customFormat="1" x14ac:dyDescent="0.25"/>
    <row r="74909" customFormat="1" x14ac:dyDescent="0.25"/>
    <row r="74910" customFormat="1" x14ac:dyDescent="0.25"/>
    <row r="74911" customFormat="1" x14ac:dyDescent="0.25"/>
    <row r="74912" customFormat="1" x14ac:dyDescent="0.25"/>
    <row r="74913" customFormat="1" x14ac:dyDescent="0.25"/>
    <row r="74914" customFormat="1" x14ac:dyDescent="0.25"/>
    <row r="74915" customFormat="1" x14ac:dyDescent="0.25"/>
    <row r="74916" customFormat="1" x14ac:dyDescent="0.25"/>
    <row r="74917" customFormat="1" x14ac:dyDescent="0.25"/>
    <row r="74918" customFormat="1" x14ac:dyDescent="0.25"/>
    <row r="74919" customFormat="1" x14ac:dyDescent="0.25"/>
    <row r="74920" customFormat="1" x14ac:dyDescent="0.25"/>
    <row r="74921" customFormat="1" x14ac:dyDescent="0.25"/>
    <row r="74922" customFormat="1" x14ac:dyDescent="0.25"/>
    <row r="74923" customFormat="1" x14ac:dyDescent="0.25"/>
    <row r="74924" customFormat="1" x14ac:dyDescent="0.25"/>
    <row r="74925" customFormat="1" x14ac:dyDescent="0.25"/>
    <row r="74926" customFormat="1" x14ac:dyDescent="0.25"/>
    <row r="74927" customFormat="1" x14ac:dyDescent="0.25"/>
    <row r="74928" customFormat="1" x14ac:dyDescent="0.25"/>
    <row r="74929" customFormat="1" x14ac:dyDescent="0.25"/>
    <row r="74930" customFormat="1" x14ac:dyDescent="0.25"/>
    <row r="74931" customFormat="1" x14ac:dyDescent="0.25"/>
    <row r="74932" customFormat="1" x14ac:dyDescent="0.25"/>
    <row r="74933" customFormat="1" x14ac:dyDescent="0.25"/>
    <row r="74934" customFormat="1" x14ac:dyDescent="0.25"/>
    <row r="74935" customFormat="1" x14ac:dyDescent="0.25"/>
    <row r="74936" customFormat="1" x14ac:dyDescent="0.25"/>
    <row r="74937" customFormat="1" x14ac:dyDescent="0.25"/>
    <row r="74938" customFormat="1" x14ac:dyDescent="0.25"/>
    <row r="74939" customFormat="1" x14ac:dyDescent="0.25"/>
    <row r="74940" customFormat="1" x14ac:dyDescent="0.25"/>
    <row r="74941" customFormat="1" x14ac:dyDescent="0.25"/>
    <row r="74942" customFormat="1" x14ac:dyDescent="0.25"/>
    <row r="74943" customFormat="1" x14ac:dyDescent="0.25"/>
    <row r="74944" customFormat="1" x14ac:dyDescent="0.25"/>
    <row r="74945" customFormat="1" x14ac:dyDescent="0.25"/>
    <row r="74946" customFormat="1" x14ac:dyDescent="0.25"/>
    <row r="74947" customFormat="1" x14ac:dyDescent="0.25"/>
    <row r="74948" customFormat="1" x14ac:dyDescent="0.25"/>
    <row r="74949" customFormat="1" x14ac:dyDescent="0.25"/>
    <row r="74950" customFormat="1" x14ac:dyDescent="0.25"/>
    <row r="74951" customFormat="1" x14ac:dyDescent="0.25"/>
    <row r="74952" customFormat="1" x14ac:dyDescent="0.25"/>
    <row r="74953" customFormat="1" x14ac:dyDescent="0.25"/>
    <row r="74954" customFormat="1" x14ac:dyDescent="0.25"/>
    <row r="74955" customFormat="1" x14ac:dyDescent="0.25"/>
    <row r="74956" customFormat="1" x14ac:dyDescent="0.25"/>
    <row r="74957" customFormat="1" x14ac:dyDescent="0.25"/>
    <row r="74958" customFormat="1" x14ac:dyDescent="0.25"/>
    <row r="74959" customFormat="1" x14ac:dyDescent="0.25"/>
    <row r="74960" customFormat="1" x14ac:dyDescent="0.25"/>
    <row r="74961" customFormat="1" x14ac:dyDescent="0.25"/>
    <row r="74962" customFormat="1" x14ac:dyDescent="0.25"/>
    <row r="74963" customFormat="1" x14ac:dyDescent="0.25"/>
    <row r="74964" customFormat="1" x14ac:dyDescent="0.25"/>
    <row r="74965" customFormat="1" x14ac:dyDescent="0.25"/>
    <row r="74966" customFormat="1" x14ac:dyDescent="0.25"/>
    <row r="74967" customFormat="1" x14ac:dyDescent="0.25"/>
    <row r="74968" customFormat="1" x14ac:dyDescent="0.25"/>
    <row r="74969" customFormat="1" x14ac:dyDescent="0.25"/>
    <row r="74970" customFormat="1" x14ac:dyDescent="0.25"/>
    <row r="74971" customFormat="1" x14ac:dyDescent="0.25"/>
    <row r="74972" customFormat="1" x14ac:dyDescent="0.25"/>
    <row r="74973" customFormat="1" x14ac:dyDescent="0.25"/>
    <row r="74974" customFormat="1" x14ac:dyDescent="0.25"/>
    <row r="74975" customFormat="1" x14ac:dyDescent="0.25"/>
    <row r="74976" customFormat="1" x14ac:dyDescent="0.25"/>
    <row r="74977" customFormat="1" x14ac:dyDescent="0.25"/>
    <row r="74978" customFormat="1" x14ac:dyDescent="0.25"/>
    <row r="74979" customFormat="1" x14ac:dyDescent="0.25"/>
    <row r="74980" customFormat="1" x14ac:dyDescent="0.25"/>
    <row r="74981" customFormat="1" x14ac:dyDescent="0.25"/>
    <row r="74982" customFormat="1" x14ac:dyDescent="0.25"/>
    <row r="74983" customFormat="1" x14ac:dyDescent="0.25"/>
    <row r="74984" customFormat="1" x14ac:dyDescent="0.25"/>
    <row r="74985" customFormat="1" x14ac:dyDescent="0.25"/>
    <row r="74986" customFormat="1" x14ac:dyDescent="0.25"/>
    <row r="74987" customFormat="1" x14ac:dyDescent="0.25"/>
    <row r="74988" customFormat="1" x14ac:dyDescent="0.25"/>
    <row r="74989" customFormat="1" x14ac:dyDescent="0.25"/>
    <row r="74990" customFormat="1" x14ac:dyDescent="0.25"/>
    <row r="74991" customFormat="1" x14ac:dyDescent="0.25"/>
    <row r="74992" customFormat="1" x14ac:dyDescent="0.25"/>
    <row r="74993" customFormat="1" x14ac:dyDescent="0.25"/>
    <row r="74994" customFormat="1" x14ac:dyDescent="0.25"/>
    <row r="74995" customFormat="1" x14ac:dyDescent="0.25"/>
    <row r="74996" customFormat="1" x14ac:dyDescent="0.25"/>
    <row r="74997" customFormat="1" x14ac:dyDescent="0.25"/>
    <row r="74998" customFormat="1" x14ac:dyDescent="0.25"/>
    <row r="74999" customFormat="1" x14ac:dyDescent="0.25"/>
    <row r="75000" customFormat="1" x14ac:dyDescent="0.25"/>
    <row r="75001" customFormat="1" x14ac:dyDescent="0.25"/>
    <row r="75002" customFormat="1" x14ac:dyDescent="0.25"/>
    <row r="75003" customFormat="1" x14ac:dyDescent="0.25"/>
    <row r="75004" customFormat="1" x14ac:dyDescent="0.25"/>
    <row r="75005" customFormat="1" x14ac:dyDescent="0.25"/>
    <row r="75006" customFormat="1" x14ac:dyDescent="0.25"/>
    <row r="75007" customFormat="1" x14ac:dyDescent="0.25"/>
    <row r="75008" customFormat="1" x14ac:dyDescent="0.25"/>
    <row r="75009" customFormat="1" x14ac:dyDescent="0.25"/>
    <row r="75010" customFormat="1" x14ac:dyDescent="0.25"/>
    <row r="75011" customFormat="1" x14ac:dyDescent="0.25"/>
    <row r="75012" customFormat="1" x14ac:dyDescent="0.25"/>
    <row r="75013" customFormat="1" x14ac:dyDescent="0.25"/>
    <row r="75014" customFormat="1" x14ac:dyDescent="0.25"/>
    <row r="75015" customFormat="1" x14ac:dyDescent="0.25"/>
    <row r="75016" customFormat="1" x14ac:dyDescent="0.25"/>
    <row r="75017" customFormat="1" x14ac:dyDescent="0.25"/>
    <row r="75018" customFormat="1" x14ac:dyDescent="0.25"/>
    <row r="75019" customFormat="1" x14ac:dyDescent="0.25"/>
    <row r="75020" customFormat="1" x14ac:dyDescent="0.25"/>
    <row r="75021" customFormat="1" x14ac:dyDescent="0.25"/>
    <row r="75022" customFormat="1" x14ac:dyDescent="0.25"/>
    <row r="75023" customFormat="1" x14ac:dyDescent="0.25"/>
    <row r="75024" customFormat="1" x14ac:dyDescent="0.25"/>
    <row r="75025" customFormat="1" x14ac:dyDescent="0.25"/>
    <row r="75026" customFormat="1" x14ac:dyDescent="0.25"/>
    <row r="75027" customFormat="1" x14ac:dyDescent="0.25"/>
    <row r="75028" customFormat="1" x14ac:dyDescent="0.25"/>
    <row r="75029" customFormat="1" x14ac:dyDescent="0.25"/>
    <row r="75030" customFormat="1" x14ac:dyDescent="0.25"/>
    <row r="75031" customFormat="1" x14ac:dyDescent="0.25"/>
    <row r="75032" customFormat="1" x14ac:dyDescent="0.25"/>
    <row r="75033" customFormat="1" x14ac:dyDescent="0.25"/>
    <row r="75034" customFormat="1" x14ac:dyDescent="0.25"/>
    <row r="75035" customFormat="1" x14ac:dyDescent="0.25"/>
    <row r="75036" customFormat="1" x14ac:dyDescent="0.25"/>
    <row r="75037" customFormat="1" x14ac:dyDescent="0.25"/>
    <row r="75038" customFormat="1" x14ac:dyDescent="0.25"/>
    <row r="75039" customFormat="1" x14ac:dyDescent="0.25"/>
    <row r="75040" customFormat="1" x14ac:dyDescent="0.25"/>
    <row r="75041" customFormat="1" x14ac:dyDescent="0.25"/>
    <row r="75042" customFormat="1" x14ac:dyDescent="0.25"/>
    <row r="75043" customFormat="1" x14ac:dyDescent="0.25"/>
    <row r="75044" customFormat="1" x14ac:dyDescent="0.25"/>
    <row r="75045" customFormat="1" x14ac:dyDescent="0.25"/>
    <row r="75046" customFormat="1" x14ac:dyDescent="0.25"/>
    <row r="75047" customFormat="1" x14ac:dyDescent="0.25"/>
    <row r="75048" customFormat="1" x14ac:dyDescent="0.25"/>
    <row r="75049" customFormat="1" x14ac:dyDescent="0.25"/>
    <row r="75050" customFormat="1" x14ac:dyDescent="0.25"/>
    <row r="75051" customFormat="1" x14ac:dyDescent="0.25"/>
    <row r="75052" customFormat="1" x14ac:dyDescent="0.25"/>
    <row r="75053" customFormat="1" x14ac:dyDescent="0.25"/>
    <row r="75054" customFormat="1" x14ac:dyDescent="0.25"/>
    <row r="75055" customFormat="1" x14ac:dyDescent="0.25"/>
    <row r="75056" customFormat="1" x14ac:dyDescent="0.25"/>
    <row r="75057" customFormat="1" x14ac:dyDescent="0.25"/>
    <row r="75058" customFormat="1" x14ac:dyDescent="0.25"/>
    <row r="75059" customFormat="1" x14ac:dyDescent="0.25"/>
    <row r="75060" customFormat="1" x14ac:dyDescent="0.25"/>
    <row r="75061" customFormat="1" x14ac:dyDescent="0.25"/>
    <row r="75062" customFormat="1" x14ac:dyDescent="0.25"/>
    <row r="75063" customFormat="1" x14ac:dyDescent="0.25"/>
    <row r="75064" customFormat="1" x14ac:dyDescent="0.25"/>
    <row r="75065" customFormat="1" x14ac:dyDescent="0.25"/>
    <row r="75066" customFormat="1" x14ac:dyDescent="0.25"/>
    <row r="75067" customFormat="1" x14ac:dyDescent="0.25"/>
    <row r="75068" customFormat="1" x14ac:dyDescent="0.25"/>
    <row r="75069" customFormat="1" x14ac:dyDescent="0.25"/>
    <row r="75070" customFormat="1" x14ac:dyDescent="0.25"/>
    <row r="75071" customFormat="1" x14ac:dyDescent="0.25"/>
    <row r="75072" customFormat="1" x14ac:dyDescent="0.25"/>
    <row r="75073" customFormat="1" x14ac:dyDescent="0.25"/>
    <row r="75074" customFormat="1" x14ac:dyDescent="0.25"/>
    <row r="75075" customFormat="1" x14ac:dyDescent="0.25"/>
    <row r="75076" customFormat="1" x14ac:dyDescent="0.25"/>
    <row r="75077" customFormat="1" x14ac:dyDescent="0.25"/>
    <row r="75078" customFormat="1" x14ac:dyDescent="0.25"/>
    <row r="75079" customFormat="1" x14ac:dyDescent="0.25"/>
    <row r="75080" customFormat="1" x14ac:dyDescent="0.25"/>
    <row r="75081" customFormat="1" x14ac:dyDescent="0.25"/>
    <row r="75082" customFormat="1" x14ac:dyDescent="0.25"/>
    <row r="75083" customFormat="1" x14ac:dyDescent="0.25"/>
    <row r="75084" customFormat="1" x14ac:dyDescent="0.25"/>
    <row r="75085" customFormat="1" x14ac:dyDescent="0.25"/>
    <row r="75086" customFormat="1" x14ac:dyDescent="0.25"/>
    <row r="75087" customFormat="1" x14ac:dyDescent="0.25"/>
    <row r="75088" customFormat="1" x14ac:dyDescent="0.25"/>
    <row r="75089" customFormat="1" x14ac:dyDescent="0.25"/>
    <row r="75090" customFormat="1" x14ac:dyDescent="0.25"/>
    <row r="75091" customFormat="1" x14ac:dyDescent="0.25"/>
    <row r="75092" customFormat="1" x14ac:dyDescent="0.25"/>
    <row r="75093" customFormat="1" x14ac:dyDescent="0.25"/>
    <row r="75094" customFormat="1" x14ac:dyDescent="0.25"/>
    <row r="75095" customFormat="1" x14ac:dyDescent="0.25"/>
    <row r="75096" customFormat="1" x14ac:dyDescent="0.25"/>
    <row r="75097" customFormat="1" x14ac:dyDescent="0.25"/>
    <row r="75098" customFormat="1" x14ac:dyDescent="0.25"/>
    <row r="75099" customFormat="1" x14ac:dyDescent="0.25"/>
    <row r="75100" customFormat="1" x14ac:dyDescent="0.25"/>
    <row r="75101" customFormat="1" x14ac:dyDescent="0.25"/>
    <row r="75102" customFormat="1" x14ac:dyDescent="0.25"/>
    <row r="75103" customFormat="1" x14ac:dyDescent="0.25"/>
    <row r="75104" customFormat="1" x14ac:dyDescent="0.25"/>
    <row r="75105" customFormat="1" x14ac:dyDescent="0.25"/>
    <row r="75106" customFormat="1" x14ac:dyDescent="0.25"/>
    <row r="75107" customFormat="1" x14ac:dyDescent="0.25"/>
    <row r="75108" customFormat="1" x14ac:dyDescent="0.25"/>
    <row r="75109" customFormat="1" x14ac:dyDescent="0.25"/>
    <row r="75110" customFormat="1" x14ac:dyDescent="0.25"/>
    <row r="75111" customFormat="1" x14ac:dyDescent="0.25"/>
    <row r="75112" customFormat="1" x14ac:dyDescent="0.25"/>
    <row r="75113" customFormat="1" x14ac:dyDescent="0.25"/>
    <row r="75114" customFormat="1" x14ac:dyDescent="0.25"/>
    <row r="75115" customFormat="1" x14ac:dyDescent="0.25"/>
    <row r="75116" customFormat="1" x14ac:dyDescent="0.25"/>
    <row r="75117" customFormat="1" x14ac:dyDescent="0.25"/>
    <row r="75118" customFormat="1" x14ac:dyDescent="0.25"/>
    <row r="75119" customFormat="1" x14ac:dyDescent="0.25"/>
    <row r="75120" customFormat="1" x14ac:dyDescent="0.25"/>
    <row r="75121" customFormat="1" x14ac:dyDescent="0.25"/>
    <row r="75122" customFormat="1" x14ac:dyDescent="0.25"/>
    <row r="75123" customFormat="1" x14ac:dyDescent="0.25"/>
    <row r="75124" customFormat="1" x14ac:dyDescent="0.25"/>
    <row r="75125" customFormat="1" x14ac:dyDescent="0.25"/>
    <row r="75126" customFormat="1" x14ac:dyDescent="0.25"/>
    <row r="75127" customFormat="1" x14ac:dyDescent="0.25"/>
    <row r="75128" customFormat="1" x14ac:dyDescent="0.25"/>
    <row r="75129" customFormat="1" x14ac:dyDescent="0.25"/>
    <row r="75130" customFormat="1" x14ac:dyDescent="0.25"/>
    <row r="75131" customFormat="1" x14ac:dyDescent="0.25"/>
    <row r="75132" customFormat="1" x14ac:dyDescent="0.25"/>
    <row r="75133" customFormat="1" x14ac:dyDescent="0.25"/>
    <row r="75134" customFormat="1" x14ac:dyDescent="0.25"/>
    <row r="75135" customFormat="1" x14ac:dyDescent="0.25"/>
    <row r="75136" customFormat="1" x14ac:dyDescent="0.25"/>
    <row r="75137" customFormat="1" x14ac:dyDescent="0.25"/>
    <row r="75138" customFormat="1" x14ac:dyDescent="0.25"/>
    <row r="75139" customFormat="1" x14ac:dyDescent="0.25"/>
    <row r="75140" customFormat="1" x14ac:dyDescent="0.25"/>
    <row r="75141" customFormat="1" x14ac:dyDescent="0.25"/>
    <row r="75142" customFormat="1" x14ac:dyDescent="0.25"/>
    <row r="75143" customFormat="1" x14ac:dyDescent="0.25"/>
    <row r="75144" customFormat="1" x14ac:dyDescent="0.25"/>
    <row r="75145" customFormat="1" x14ac:dyDescent="0.25"/>
    <row r="75146" customFormat="1" x14ac:dyDescent="0.25"/>
    <row r="75147" customFormat="1" x14ac:dyDescent="0.25"/>
    <row r="75148" customFormat="1" x14ac:dyDescent="0.25"/>
    <row r="75149" customFormat="1" x14ac:dyDescent="0.25"/>
    <row r="75150" customFormat="1" x14ac:dyDescent="0.25"/>
    <row r="75151" customFormat="1" x14ac:dyDescent="0.25"/>
    <row r="75152" customFormat="1" x14ac:dyDescent="0.25"/>
    <row r="75153" customFormat="1" x14ac:dyDescent="0.25"/>
    <row r="75154" customFormat="1" x14ac:dyDescent="0.25"/>
    <row r="75155" customFormat="1" x14ac:dyDescent="0.25"/>
    <row r="75156" customFormat="1" x14ac:dyDescent="0.25"/>
    <row r="75157" customFormat="1" x14ac:dyDescent="0.25"/>
    <row r="75158" customFormat="1" x14ac:dyDescent="0.25"/>
    <row r="75159" customFormat="1" x14ac:dyDescent="0.25"/>
    <row r="75160" customFormat="1" x14ac:dyDescent="0.25"/>
    <row r="75161" customFormat="1" x14ac:dyDescent="0.25"/>
    <row r="75162" customFormat="1" x14ac:dyDescent="0.25"/>
    <row r="75163" customFormat="1" x14ac:dyDescent="0.25"/>
    <row r="75164" customFormat="1" x14ac:dyDescent="0.25"/>
    <row r="75165" customFormat="1" x14ac:dyDescent="0.25"/>
    <row r="75166" customFormat="1" x14ac:dyDescent="0.25"/>
    <row r="75167" customFormat="1" x14ac:dyDescent="0.25"/>
    <row r="75168" customFormat="1" x14ac:dyDescent="0.25"/>
    <row r="75169" customFormat="1" x14ac:dyDescent="0.25"/>
    <row r="75170" customFormat="1" x14ac:dyDescent="0.25"/>
    <row r="75171" customFormat="1" x14ac:dyDescent="0.25"/>
    <row r="75172" customFormat="1" x14ac:dyDescent="0.25"/>
    <row r="75173" customFormat="1" x14ac:dyDescent="0.25"/>
    <row r="75174" customFormat="1" x14ac:dyDescent="0.25"/>
    <row r="75175" customFormat="1" x14ac:dyDescent="0.25"/>
    <row r="75176" customFormat="1" x14ac:dyDescent="0.25"/>
    <row r="75177" customFormat="1" x14ac:dyDescent="0.25"/>
    <row r="75178" customFormat="1" x14ac:dyDescent="0.25"/>
    <row r="75179" customFormat="1" x14ac:dyDescent="0.25"/>
    <row r="75180" customFormat="1" x14ac:dyDescent="0.25"/>
    <row r="75181" customFormat="1" x14ac:dyDescent="0.25"/>
    <row r="75182" customFormat="1" x14ac:dyDescent="0.25"/>
    <row r="75183" customFormat="1" x14ac:dyDescent="0.25"/>
    <row r="75184" customFormat="1" x14ac:dyDescent="0.25"/>
    <row r="75185" customFormat="1" x14ac:dyDescent="0.25"/>
    <row r="75186" customFormat="1" x14ac:dyDescent="0.25"/>
    <row r="75187" customFormat="1" x14ac:dyDescent="0.25"/>
    <row r="75188" customFormat="1" x14ac:dyDescent="0.25"/>
    <row r="75189" customFormat="1" x14ac:dyDescent="0.25"/>
    <row r="75190" customFormat="1" x14ac:dyDescent="0.25"/>
    <row r="75191" customFormat="1" x14ac:dyDescent="0.25"/>
    <row r="75192" customFormat="1" x14ac:dyDescent="0.25"/>
    <row r="75193" customFormat="1" x14ac:dyDescent="0.25"/>
    <row r="75194" customFormat="1" x14ac:dyDescent="0.25"/>
    <row r="75195" customFormat="1" x14ac:dyDescent="0.25"/>
    <row r="75196" customFormat="1" x14ac:dyDescent="0.25"/>
    <row r="75197" customFormat="1" x14ac:dyDescent="0.25"/>
    <row r="75198" customFormat="1" x14ac:dyDescent="0.25"/>
    <row r="75199" customFormat="1" x14ac:dyDescent="0.25"/>
    <row r="75200" customFormat="1" x14ac:dyDescent="0.25"/>
    <row r="75201" customFormat="1" x14ac:dyDescent="0.25"/>
    <row r="75202" customFormat="1" x14ac:dyDescent="0.25"/>
    <row r="75203" customFormat="1" x14ac:dyDescent="0.25"/>
    <row r="75204" customFormat="1" x14ac:dyDescent="0.25"/>
    <row r="75205" customFormat="1" x14ac:dyDescent="0.25"/>
    <row r="75206" customFormat="1" x14ac:dyDescent="0.25"/>
    <row r="75207" customFormat="1" x14ac:dyDescent="0.25"/>
    <row r="75208" customFormat="1" x14ac:dyDescent="0.25"/>
    <row r="75209" customFormat="1" x14ac:dyDescent="0.25"/>
    <row r="75210" customFormat="1" x14ac:dyDescent="0.25"/>
    <row r="75211" customFormat="1" x14ac:dyDescent="0.25"/>
    <row r="75212" customFormat="1" x14ac:dyDescent="0.25"/>
    <row r="75213" customFormat="1" x14ac:dyDescent="0.25"/>
    <row r="75214" customFormat="1" x14ac:dyDescent="0.25"/>
    <row r="75215" customFormat="1" x14ac:dyDescent="0.25"/>
    <row r="75216" customFormat="1" x14ac:dyDescent="0.25"/>
    <row r="75217" customFormat="1" x14ac:dyDescent="0.25"/>
    <row r="75218" customFormat="1" x14ac:dyDescent="0.25"/>
    <row r="75219" customFormat="1" x14ac:dyDescent="0.25"/>
    <row r="75220" customFormat="1" x14ac:dyDescent="0.25"/>
    <row r="75221" customFormat="1" x14ac:dyDescent="0.25"/>
    <row r="75222" customFormat="1" x14ac:dyDescent="0.25"/>
    <row r="75223" customFormat="1" x14ac:dyDescent="0.25"/>
    <row r="75224" customFormat="1" x14ac:dyDescent="0.25"/>
    <row r="75225" customFormat="1" x14ac:dyDescent="0.25"/>
    <row r="75226" customFormat="1" x14ac:dyDescent="0.25"/>
    <row r="75227" customFormat="1" x14ac:dyDescent="0.25"/>
    <row r="75228" customFormat="1" x14ac:dyDescent="0.25"/>
    <row r="75229" customFormat="1" x14ac:dyDescent="0.25"/>
    <row r="75230" customFormat="1" x14ac:dyDescent="0.25"/>
    <row r="75231" customFormat="1" x14ac:dyDescent="0.25"/>
    <row r="75232" customFormat="1" x14ac:dyDescent="0.25"/>
    <row r="75233" customFormat="1" x14ac:dyDescent="0.25"/>
    <row r="75234" customFormat="1" x14ac:dyDescent="0.25"/>
    <row r="75235" customFormat="1" x14ac:dyDescent="0.25"/>
    <row r="75236" customFormat="1" x14ac:dyDescent="0.25"/>
    <row r="75237" customFormat="1" x14ac:dyDescent="0.25"/>
    <row r="75238" customFormat="1" x14ac:dyDescent="0.25"/>
    <row r="75239" customFormat="1" x14ac:dyDescent="0.25"/>
    <row r="75240" customFormat="1" x14ac:dyDescent="0.25"/>
    <row r="75241" customFormat="1" x14ac:dyDescent="0.25"/>
    <row r="75242" customFormat="1" x14ac:dyDescent="0.25"/>
    <row r="75243" customFormat="1" x14ac:dyDescent="0.25"/>
    <row r="75244" customFormat="1" x14ac:dyDescent="0.25"/>
    <row r="75245" customFormat="1" x14ac:dyDescent="0.25"/>
    <row r="75246" customFormat="1" x14ac:dyDescent="0.25"/>
    <row r="75247" customFormat="1" x14ac:dyDescent="0.25"/>
    <row r="75248" customFormat="1" x14ac:dyDescent="0.25"/>
    <row r="75249" customFormat="1" x14ac:dyDescent="0.25"/>
    <row r="75250" customFormat="1" x14ac:dyDescent="0.25"/>
    <row r="75251" customFormat="1" x14ac:dyDescent="0.25"/>
    <row r="75252" customFormat="1" x14ac:dyDescent="0.25"/>
    <row r="75253" customFormat="1" x14ac:dyDescent="0.25"/>
    <row r="75254" customFormat="1" x14ac:dyDescent="0.25"/>
    <row r="75255" customFormat="1" x14ac:dyDescent="0.25"/>
    <row r="75256" customFormat="1" x14ac:dyDescent="0.25"/>
    <row r="75257" customFormat="1" x14ac:dyDescent="0.25"/>
    <row r="75258" customFormat="1" x14ac:dyDescent="0.25"/>
    <row r="75259" customFormat="1" x14ac:dyDescent="0.25"/>
    <row r="75260" customFormat="1" x14ac:dyDescent="0.25"/>
    <row r="75261" customFormat="1" x14ac:dyDescent="0.25"/>
    <row r="75262" customFormat="1" x14ac:dyDescent="0.25"/>
    <row r="75263" customFormat="1" x14ac:dyDescent="0.25"/>
    <row r="75264" customFormat="1" x14ac:dyDescent="0.25"/>
    <row r="75265" customFormat="1" x14ac:dyDescent="0.25"/>
    <row r="75266" customFormat="1" x14ac:dyDescent="0.25"/>
    <row r="75267" customFormat="1" x14ac:dyDescent="0.25"/>
    <row r="75268" customFormat="1" x14ac:dyDescent="0.25"/>
    <row r="75269" customFormat="1" x14ac:dyDescent="0.25"/>
    <row r="75270" customFormat="1" x14ac:dyDescent="0.25"/>
    <row r="75271" customFormat="1" x14ac:dyDescent="0.25"/>
    <row r="75272" customFormat="1" x14ac:dyDescent="0.25"/>
    <row r="75273" customFormat="1" x14ac:dyDescent="0.25"/>
    <row r="75274" customFormat="1" x14ac:dyDescent="0.25"/>
    <row r="75275" customFormat="1" x14ac:dyDescent="0.25"/>
    <row r="75276" customFormat="1" x14ac:dyDescent="0.25"/>
    <row r="75277" customFormat="1" x14ac:dyDescent="0.25"/>
    <row r="75278" customFormat="1" x14ac:dyDescent="0.25"/>
    <row r="75279" customFormat="1" x14ac:dyDescent="0.25"/>
    <row r="75280" customFormat="1" x14ac:dyDescent="0.25"/>
    <row r="75281" customFormat="1" x14ac:dyDescent="0.25"/>
    <row r="75282" customFormat="1" x14ac:dyDescent="0.25"/>
    <row r="75283" customFormat="1" x14ac:dyDescent="0.25"/>
    <row r="75284" customFormat="1" x14ac:dyDescent="0.25"/>
    <row r="75285" customFormat="1" x14ac:dyDescent="0.25"/>
    <row r="75286" customFormat="1" x14ac:dyDescent="0.25"/>
    <row r="75287" customFormat="1" x14ac:dyDescent="0.25"/>
    <row r="75288" customFormat="1" x14ac:dyDescent="0.25"/>
    <row r="75289" customFormat="1" x14ac:dyDescent="0.25"/>
    <row r="75290" customFormat="1" x14ac:dyDescent="0.25"/>
    <row r="75291" customFormat="1" x14ac:dyDescent="0.25"/>
    <row r="75292" customFormat="1" x14ac:dyDescent="0.25"/>
    <row r="75293" customFormat="1" x14ac:dyDescent="0.25"/>
    <row r="75294" customFormat="1" x14ac:dyDescent="0.25"/>
    <row r="75295" customFormat="1" x14ac:dyDescent="0.25"/>
    <row r="75296" customFormat="1" x14ac:dyDescent="0.25"/>
    <row r="75297" customFormat="1" x14ac:dyDescent="0.25"/>
    <row r="75298" customFormat="1" x14ac:dyDescent="0.25"/>
    <row r="75299" customFormat="1" x14ac:dyDescent="0.25"/>
    <row r="75300" customFormat="1" x14ac:dyDescent="0.25"/>
    <row r="75301" customFormat="1" x14ac:dyDescent="0.25"/>
    <row r="75302" customFormat="1" x14ac:dyDescent="0.25"/>
    <row r="75303" customFormat="1" x14ac:dyDescent="0.25"/>
    <row r="75304" customFormat="1" x14ac:dyDescent="0.25"/>
    <row r="75305" customFormat="1" x14ac:dyDescent="0.25"/>
    <row r="75306" customFormat="1" x14ac:dyDescent="0.25"/>
    <row r="75307" customFormat="1" x14ac:dyDescent="0.25"/>
    <row r="75308" customFormat="1" x14ac:dyDescent="0.25"/>
    <row r="75309" customFormat="1" x14ac:dyDescent="0.25"/>
    <row r="75310" customFormat="1" x14ac:dyDescent="0.25"/>
    <row r="75311" customFormat="1" x14ac:dyDescent="0.25"/>
    <row r="75312" customFormat="1" x14ac:dyDescent="0.25"/>
    <row r="75313" customFormat="1" x14ac:dyDescent="0.25"/>
    <row r="75314" customFormat="1" x14ac:dyDescent="0.25"/>
    <row r="75315" customFormat="1" x14ac:dyDescent="0.25"/>
    <row r="75316" customFormat="1" x14ac:dyDescent="0.25"/>
    <row r="75317" customFormat="1" x14ac:dyDescent="0.25"/>
    <row r="75318" customFormat="1" x14ac:dyDescent="0.25"/>
    <row r="75319" customFormat="1" x14ac:dyDescent="0.25"/>
    <row r="75320" customFormat="1" x14ac:dyDescent="0.25"/>
    <row r="75321" customFormat="1" x14ac:dyDescent="0.25"/>
    <row r="75322" customFormat="1" x14ac:dyDescent="0.25"/>
    <row r="75323" customFormat="1" x14ac:dyDescent="0.25"/>
    <row r="75324" customFormat="1" x14ac:dyDescent="0.25"/>
    <row r="75325" customFormat="1" x14ac:dyDescent="0.25"/>
    <row r="75326" customFormat="1" x14ac:dyDescent="0.25"/>
    <row r="75327" customFormat="1" x14ac:dyDescent="0.25"/>
    <row r="75328" customFormat="1" x14ac:dyDescent="0.25"/>
    <row r="75329" customFormat="1" x14ac:dyDescent="0.25"/>
    <row r="75330" customFormat="1" x14ac:dyDescent="0.25"/>
    <row r="75331" customFormat="1" x14ac:dyDescent="0.25"/>
    <row r="75332" customFormat="1" x14ac:dyDescent="0.25"/>
    <row r="75333" customFormat="1" x14ac:dyDescent="0.25"/>
    <row r="75334" customFormat="1" x14ac:dyDescent="0.25"/>
    <row r="75335" customFormat="1" x14ac:dyDescent="0.25"/>
    <row r="75336" customFormat="1" x14ac:dyDescent="0.25"/>
    <row r="75337" customFormat="1" x14ac:dyDescent="0.25"/>
    <row r="75338" customFormat="1" x14ac:dyDescent="0.25"/>
    <row r="75339" customFormat="1" x14ac:dyDescent="0.25"/>
    <row r="75340" customFormat="1" x14ac:dyDescent="0.25"/>
    <row r="75341" customFormat="1" x14ac:dyDescent="0.25"/>
    <row r="75342" customFormat="1" x14ac:dyDescent="0.25"/>
    <row r="75343" customFormat="1" x14ac:dyDescent="0.25"/>
    <row r="75344" customFormat="1" x14ac:dyDescent="0.25"/>
    <row r="75345" customFormat="1" x14ac:dyDescent="0.25"/>
    <row r="75346" customFormat="1" x14ac:dyDescent="0.25"/>
    <row r="75347" customFormat="1" x14ac:dyDescent="0.25"/>
    <row r="75348" customFormat="1" x14ac:dyDescent="0.25"/>
    <row r="75349" customFormat="1" x14ac:dyDescent="0.25"/>
    <row r="75350" customFormat="1" x14ac:dyDescent="0.25"/>
    <row r="75351" customFormat="1" x14ac:dyDescent="0.25"/>
    <row r="75352" customFormat="1" x14ac:dyDescent="0.25"/>
    <row r="75353" customFormat="1" x14ac:dyDescent="0.25"/>
    <row r="75354" customFormat="1" x14ac:dyDescent="0.25"/>
    <row r="75355" customFormat="1" x14ac:dyDescent="0.25"/>
    <row r="75356" customFormat="1" x14ac:dyDescent="0.25"/>
    <row r="75357" customFormat="1" x14ac:dyDescent="0.25"/>
    <row r="75358" customFormat="1" x14ac:dyDescent="0.25"/>
    <row r="75359" customFormat="1" x14ac:dyDescent="0.25"/>
    <row r="75360" customFormat="1" x14ac:dyDescent="0.25"/>
    <row r="75361" customFormat="1" x14ac:dyDescent="0.25"/>
    <row r="75362" customFormat="1" x14ac:dyDescent="0.25"/>
    <row r="75363" customFormat="1" x14ac:dyDescent="0.25"/>
    <row r="75364" customFormat="1" x14ac:dyDescent="0.25"/>
    <row r="75365" customFormat="1" x14ac:dyDescent="0.25"/>
    <row r="75366" customFormat="1" x14ac:dyDescent="0.25"/>
    <row r="75367" customFormat="1" x14ac:dyDescent="0.25"/>
    <row r="75368" customFormat="1" x14ac:dyDescent="0.25"/>
    <row r="75369" customFormat="1" x14ac:dyDescent="0.25"/>
    <row r="75370" customFormat="1" x14ac:dyDescent="0.25"/>
    <row r="75371" customFormat="1" x14ac:dyDescent="0.25"/>
    <row r="75372" customFormat="1" x14ac:dyDescent="0.25"/>
    <row r="75373" customFormat="1" x14ac:dyDescent="0.25"/>
    <row r="75374" customFormat="1" x14ac:dyDescent="0.25"/>
    <row r="75375" customFormat="1" x14ac:dyDescent="0.25"/>
    <row r="75376" customFormat="1" x14ac:dyDescent="0.25"/>
    <row r="75377" customFormat="1" x14ac:dyDescent="0.25"/>
    <row r="75378" customFormat="1" x14ac:dyDescent="0.25"/>
    <row r="75379" customFormat="1" x14ac:dyDescent="0.25"/>
    <row r="75380" customFormat="1" x14ac:dyDescent="0.25"/>
    <row r="75381" customFormat="1" x14ac:dyDescent="0.25"/>
    <row r="75382" customFormat="1" x14ac:dyDescent="0.25"/>
    <row r="75383" customFormat="1" x14ac:dyDescent="0.25"/>
    <row r="75384" customFormat="1" x14ac:dyDescent="0.25"/>
    <row r="75385" customFormat="1" x14ac:dyDescent="0.25"/>
    <row r="75386" customFormat="1" x14ac:dyDescent="0.25"/>
    <row r="75387" customFormat="1" x14ac:dyDescent="0.25"/>
    <row r="75388" customFormat="1" x14ac:dyDescent="0.25"/>
    <row r="75389" customFormat="1" x14ac:dyDescent="0.25"/>
    <row r="75390" customFormat="1" x14ac:dyDescent="0.25"/>
    <row r="75391" customFormat="1" x14ac:dyDescent="0.25"/>
    <row r="75392" customFormat="1" x14ac:dyDescent="0.25"/>
    <row r="75393" customFormat="1" x14ac:dyDescent="0.25"/>
    <row r="75394" customFormat="1" x14ac:dyDescent="0.25"/>
    <row r="75395" customFormat="1" x14ac:dyDescent="0.25"/>
    <row r="75396" customFormat="1" x14ac:dyDescent="0.25"/>
    <row r="75397" customFormat="1" x14ac:dyDescent="0.25"/>
    <row r="75398" customFormat="1" x14ac:dyDescent="0.25"/>
    <row r="75399" customFormat="1" x14ac:dyDescent="0.25"/>
    <row r="75400" customFormat="1" x14ac:dyDescent="0.25"/>
    <row r="75401" customFormat="1" x14ac:dyDescent="0.25"/>
    <row r="75402" customFormat="1" x14ac:dyDescent="0.25"/>
    <row r="75403" customFormat="1" x14ac:dyDescent="0.25"/>
    <row r="75404" customFormat="1" x14ac:dyDescent="0.25"/>
    <row r="75405" customFormat="1" x14ac:dyDescent="0.25"/>
    <row r="75406" customFormat="1" x14ac:dyDescent="0.25"/>
    <row r="75407" customFormat="1" x14ac:dyDescent="0.25"/>
    <row r="75408" customFormat="1" x14ac:dyDescent="0.25"/>
    <row r="75409" customFormat="1" x14ac:dyDescent="0.25"/>
    <row r="75410" customFormat="1" x14ac:dyDescent="0.25"/>
    <row r="75411" customFormat="1" x14ac:dyDescent="0.25"/>
    <row r="75412" customFormat="1" x14ac:dyDescent="0.25"/>
    <row r="75413" customFormat="1" x14ac:dyDescent="0.25"/>
    <row r="75414" customFormat="1" x14ac:dyDescent="0.25"/>
    <row r="75415" customFormat="1" x14ac:dyDescent="0.25"/>
    <row r="75416" customFormat="1" x14ac:dyDescent="0.25"/>
    <row r="75417" customFormat="1" x14ac:dyDescent="0.25"/>
    <row r="75418" customFormat="1" x14ac:dyDescent="0.25"/>
    <row r="75419" customFormat="1" x14ac:dyDescent="0.25"/>
    <row r="75420" customFormat="1" x14ac:dyDescent="0.25"/>
    <row r="75421" customFormat="1" x14ac:dyDescent="0.25"/>
    <row r="75422" customFormat="1" x14ac:dyDescent="0.25"/>
    <row r="75423" customFormat="1" x14ac:dyDescent="0.25"/>
    <row r="75424" customFormat="1" x14ac:dyDescent="0.25"/>
    <row r="75425" customFormat="1" x14ac:dyDescent="0.25"/>
    <row r="75426" customFormat="1" x14ac:dyDescent="0.25"/>
    <row r="75427" customFormat="1" x14ac:dyDescent="0.25"/>
    <row r="75428" customFormat="1" x14ac:dyDescent="0.25"/>
    <row r="75429" customFormat="1" x14ac:dyDescent="0.25"/>
    <row r="75430" customFormat="1" x14ac:dyDescent="0.25"/>
    <row r="75431" customFormat="1" x14ac:dyDescent="0.25"/>
    <row r="75432" customFormat="1" x14ac:dyDescent="0.25"/>
    <row r="75433" customFormat="1" x14ac:dyDescent="0.25"/>
    <row r="75434" customFormat="1" x14ac:dyDescent="0.25"/>
    <row r="75435" customFormat="1" x14ac:dyDescent="0.25"/>
    <row r="75436" customFormat="1" x14ac:dyDescent="0.25"/>
    <row r="75437" customFormat="1" x14ac:dyDescent="0.25"/>
    <row r="75438" customFormat="1" x14ac:dyDescent="0.25"/>
    <row r="75439" customFormat="1" x14ac:dyDescent="0.25"/>
    <row r="75440" customFormat="1" x14ac:dyDescent="0.25"/>
    <row r="75441" customFormat="1" x14ac:dyDescent="0.25"/>
    <row r="75442" customFormat="1" x14ac:dyDescent="0.25"/>
    <row r="75443" customFormat="1" x14ac:dyDescent="0.25"/>
    <row r="75444" customFormat="1" x14ac:dyDescent="0.25"/>
    <row r="75445" customFormat="1" x14ac:dyDescent="0.25"/>
    <row r="75446" customFormat="1" x14ac:dyDescent="0.25"/>
    <row r="75447" customFormat="1" x14ac:dyDescent="0.25"/>
    <row r="75448" customFormat="1" x14ac:dyDescent="0.25"/>
    <row r="75449" customFormat="1" x14ac:dyDescent="0.25"/>
    <row r="75450" customFormat="1" x14ac:dyDescent="0.25"/>
    <row r="75451" customFormat="1" x14ac:dyDescent="0.25"/>
    <row r="75452" customFormat="1" x14ac:dyDescent="0.25"/>
    <row r="75453" customFormat="1" x14ac:dyDescent="0.25"/>
    <row r="75454" customFormat="1" x14ac:dyDescent="0.25"/>
    <row r="75455" customFormat="1" x14ac:dyDescent="0.25"/>
    <row r="75456" customFormat="1" x14ac:dyDescent="0.25"/>
    <row r="75457" customFormat="1" x14ac:dyDescent="0.25"/>
    <row r="75458" customFormat="1" x14ac:dyDescent="0.25"/>
    <row r="75459" customFormat="1" x14ac:dyDescent="0.25"/>
    <row r="75460" customFormat="1" x14ac:dyDescent="0.25"/>
    <row r="75461" customFormat="1" x14ac:dyDescent="0.25"/>
    <row r="75462" customFormat="1" x14ac:dyDescent="0.25"/>
    <row r="75463" customFormat="1" x14ac:dyDescent="0.25"/>
    <row r="75464" customFormat="1" x14ac:dyDescent="0.25"/>
    <row r="75465" customFormat="1" x14ac:dyDescent="0.25"/>
    <row r="75466" customFormat="1" x14ac:dyDescent="0.25"/>
    <row r="75467" customFormat="1" x14ac:dyDescent="0.25"/>
    <row r="75468" customFormat="1" x14ac:dyDescent="0.25"/>
    <row r="75469" customFormat="1" x14ac:dyDescent="0.25"/>
    <row r="75470" customFormat="1" x14ac:dyDescent="0.25"/>
    <row r="75471" customFormat="1" x14ac:dyDescent="0.25"/>
    <row r="75472" customFormat="1" x14ac:dyDescent="0.25"/>
    <row r="75473" customFormat="1" x14ac:dyDescent="0.25"/>
    <row r="75474" customFormat="1" x14ac:dyDescent="0.25"/>
    <row r="75475" customFormat="1" x14ac:dyDescent="0.25"/>
    <row r="75476" customFormat="1" x14ac:dyDescent="0.25"/>
    <row r="75477" customFormat="1" x14ac:dyDescent="0.25"/>
    <row r="75478" customFormat="1" x14ac:dyDescent="0.25"/>
    <row r="75479" customFormat="1" x14ac:dyDescent="0.25"/>
    <row r="75480" customFormat="1" x14ac:dyDescent="0.25"/>
    <row r="75481" customFormat="1" x14ac:dyDescent="0.25"/>
    <row r="75482" customFormat="1" x14ac:dyDescent="0.25"/>
    <row r="75483" customFormat="1" x14ac:dyDescent="0.25"/>
    <row r="75484" customFormat="1" x14ac:dyDescent="0.25"/>
    <row r="75485" customFormat="1" x14ac:dyDescent="0.25"/>
    <row r="75486" customFormat="1" x14ac:dyDescent="0.25"/>
    <row r="75487" customFormat="1" x14ac:dyDescent="0.25"/>
    <row r="75488" customFormat="1" x14ac:dyDescent="0.25"/>
    <row r="75489" customFormat="1" x14ac:dyDescent="0.25"/>
    <row r="75490" customFormat="1" x14ac:dyDescent="0.25"/>
    <row r="75491" customFormat="1" x14ac:dyDescent="0.25"/>
    <row r="75492" customFormat="1" x14ac:dyDescent="0.25"/>
    <row r="75493" customFormat="1" x14ac:dyDescent="0.25"/>
    <row r="75494" customFormat="1" x14ac:dyDescent="0.25"/>
    <row r="75495" customFormat="1" x14ac:dyDescent="0.25"/>
    <row r="75496" customFormat="1" x14ac:dyDescent="0.25"/>
    <row r="75497" customFormat="1" x14ac:dyDescent="0.25"/>
    <row r="75498" customFormat="1" x14ac:dyDescent="0.25"/>
    <row r="75499" customFormat="1" x14ac:dyDescent="0.25"/>
    <row r="75500" customFormat="1" x14ac:dyDescent="0.25"/>
    <row r="75501" customFormat="1" x14ac:dyDescent="0.25"/>
    <row r="75502" customFormat="1" x14ac:dyDescent="0.25"/>
    <row r="75503" customFormat="1" x14ac:dyDescent="0.25"/>
    <row r="75504" customFormat="1" x14ac:dyDescent="0.25"/>
    <row r="75505" customFormat="1" x14ac:dyDescent="0.25"/>
    <row r="75506" customFormat="1" x14ac:dyDescent="0.25"/>
    <row r="75507" customFormat="1" x14ac:dyDescent="0.25"/>
    <row r="75508" customFormat="1" x14ac:dyDescent="0.25"/>
    <row r="75509" customFormat="1" x14ac:dyDescent="0.25"/>
    <row r="75510" customFormat="1" x14ac:dyDescent="0.25"/>
    <row r="75511" customFormat="1" x14ac:dyDescent="0.25"/>
    <row r="75512" customFormat="1" x14ac:dyDescent="0.25"/>
    <row r="75513" customFormat="1" x14ac:dyDescent="0.25"/>
    <row r="75514" customFormat="1" x14ac:dyDescent="0.25"/>
    <row r="75515" customFormat="1" x14ac:dyDescent="0.25"/>
    <row r="75516" customFormat="1" x14ac:dyDescent="0.25"/>
    <row r="75517" customFormat="1" x14ac:dyDescent="0.25"/>
    <row r="75518" customFormat="1" x14ac:dyDescent="0.25"/>
    <row r="75519" customFormat="1" x14ac:dyDescent="0.25"/>
    <row r="75520" customFormat="1" x14ac:dyDescent="0.25"/>
    <row r="75521" customFormat="1" x14ac:dyDescent="0.25"/>
    <row r="75522" customFormat="1" x14ac:dyDescent="0.25"/>
    <row r="75523" customFormat="1" x14ac:dyDescent="0.25"/>
    <row r="75524" customFormat="1" x14ac:dyDescent="0.25"/>
    <row r="75525" customFormat="1" x14ac:dyDescent="0.25"/>
    <row r="75526" customFormat="1" x14ac:dyDescent="0.25"/>
    <row r="75527" customFormat="1" x14ac:dyDescent="0.25"/>
    <row r="75528" customFormat="1" x14ac:dyDescent="0.25"/>
    <row r="75529" customFormat="1" x14ac:dyDescent="0.25"/>
    <row r="75530" customFormat="1" x14ac:dyDescent="0.25"/>
    <row r="75531" customFormat="1" x14ac:dyDescent="0.25"/>
    <row r="75532" customFormat="1" x14ac:dyDescent="0.25"/>
    <row r="75533" customFormat="1" x14ac:dyDescent="0.25"/>
    <row r="75534" customFormat="1" x14ac:dyDescent="0.25"/>
    <row r="75535" customFormat="1" x14ac:dyDescent="0.25"/>
    <row r="75536" customFormat="1" x14ac:dyDescent="0.25"/>
    <row r="75537" customFormat="1" x14ac:dyDescent="0.25"/>
    <row r="75538" customFormat="1" x14ac:dyDescent="0.25"/>
    <row r="75539" customFormat="1" x14ac:dyDescent="0.25"/>
    <row r="75540" customFormat="1" x14ac:dyDescent="0.25"/>
    <row r="75541" customFormat="1" x14ac:dyDescent="0.25"/>
    <row r="75542" customFormat="1" x14ac:dyDescent="0.25"/>
    <row r="75543" customFormat="1" x14ac:dyDescent="0.25"/>
    <row r="75544" customFormat="1" x14ac:dyDescent="0.25"/>
    <row r="75545" customFormat="1" x14ac:dyDescent="0.25"/>
    <row r="75546" customFormat="1" x14ac:dyDescent="0.25"/>
    <row r="75547" customFormat="1" x14ac:dyDescent="0.25"/>
    <row r="75548" customFormat="1" x14ac:dyDescent="0.25"/>
    <row r="75549" customFormat="1" x14ac:dyDescent="0.25"/>
    <row r="75550" customFormat="1" x14ac:dyDescent="0.25"/>
    <row r="75551" customFormat="1" x14ac:dyDescent="0.25"/>
    <row r="75552" customFormat="1" x14ac:dyDescent="0.25"/>
    <row r="75553" customFormat="1" x14ac:dyDescent="0.25"/>
    <row r="75554" customFormat="1" x14ac:dyDescent="0.25"/>
    <row r="75555" customFormat="1" x14ac:dyDescent="0.25"/>
    <row r="75556" customFormat="1" x14ac:dyDescent="0.25"/>
    <row r="75557" customFormat="1" x14ac:dyDescent="0.25"/>
    <row r="75558" customFormat="1" x14ac:dyDescent="0.25"/>
    <row r="75559" customFormat="1" x14ac:dyDescent="0.25"/>
    <row r="75560" customFormat="1" x14ac:dyDescent="0.25"/>
    <row r="75561" customFormat="1" x14ac:dyDescent="0.25"/>
    <row r="75562" customFormat="1" x14ac:dyDescent="0.25"/>
    <row r="75563" customFormat="1" x14ac:dyDescent="0.25"/>
    <row r="75564" customFormat="1" x14ac:dyDescent="0.25"/>
    <row r="75565" customFormat="1" x14ac:dyDescent="0.25"/>
    <row r="75566" customFormat="1" x14ac:dyDescent="0.25"/>
    <row r="75567" customFormat="1" x14ac:dyDescent="0.25"/>
    <row r="75568" customFormat="1" x14ac:dyDescent="0.25"/>
    <row r="75569" customFormat="1" x14ac:dyDescent="0.25"/>
    <row r="75570" customFormat="1" x14ac:dyDescent="0.25"/>
    <row r="75571" customFormat="1" x14ac:dyDescent="0.25"/>
    <row r="75572" customFormat="1" x14ac:dyDescent="0.25"/>
    <row r="75573" customFormat="1" x14ac:dyDescent="0.25"/>
    <row r="75574" customFormat="1" x14ac:dyDescent="0.25"/>
    <row r="75575" customFormat="1" x14ac:dyDescent="0.25"/>
    <row r="75576" customFormat="1" x14ac:dyDescent="0.25"/>
    <row r="75577" customFormat="1" x14ac:dyDescent="0.25"/>
    <row r="75578" customFormat="1" x14ac:dyDescent="0.25"/>
    <row r="75579" customFormat="1" x14ac:dyDescent="0.25"/>
    <row r="75580" customFormat="1" x14ac:dyDescent="0.25"/>
    <row r="75581" customFormat="1" x14ac:dyDescent="0.25"/>
    <row r="75582" customFormat="1" x14ac:dyDescent="0.25"/>
    <row r="75583" customFormat="1" x14ac:dyDescent="0.25"/>
    <row r="75584" customFormat="1" x14ac:dyDescent="0.25"/>
    <row r="75585" customFormat="1" x14ac:dyDescent="0.25"/>
    <row r="75586" customFormat="1" x14ac:dyDescent="0.25"/>
    <row r="75587" customFormat="1" x14ac:dyDescent="0.25"/>
    <row r="75588" customFormat="1" x14ac:dyDescent="0.25"/>
    <row r="75589" customFormat="1" x14ac:dyDescent="0.25"/>
    <row r="75590" customFormat="1" x14ac:dyDescent="0.25"/>
    <row r="75591" customFormat="1" x14ac:dyDescent="0.25"/>
    <row r="75592" customFormat="1" x14ac:dyDescent="0.25"/>
    <row r="75593" customFormat="1" x14ac:dyDescent="0.25"/>
    <row r="75594" customFormat="1" x14ac:dyDescent="0.25"/>
    <row r="75595" customFormat="1" x14ac:dyDescent="0.25"/>
    <row r="75596" customFormat="1" x14ac:dyDescent="0.25"/>
    <row r="75597" customFormat="1" x14ac:dyDescent="0.25"/>
    <row r="75598" customFormat="1" x14ac:dyDescent="0.25"/>
    <row r="75599" customFormat="1" x14ac:dyDescent="0.25"/>
    <row r="75600" customFormat="1" x14ac:dyDescent="0.25"/>
    <row r="75601" customFormat="1" x14ac:dyDescent="0.25"/>
    <row r="75602" customFormat="1" x14ac:dyDescent="0.25"/>
    <row r="75603" customFormat="1" x14ac:dyDescent="0.25"/>
    <row r="75604" customFormat="1" x14ac:dyDescent="0.25"/>
    <row r="75605" customFormat="1" x14ac:dyDescent="0.25"/>
    <row r="75606" customFormat="1" x14ac:dyDescent="0.25"/>
    <row r="75607" customFormat="1" x14ac:dyDescent="0.25"/>
    <row r="75608" customFormat="1" x14ac:dyDescent="0.25"/>
    <row r="75609" customFormat="1" x14ac:dyDescent="0.25"/>
    <row r="75610" customFormat="1" x14ac:dyDescent="0.25"/>
    <row r="75611" customFormat="1" x14ac:dyDescent="0.25"/>
    <row r="75612" customFormat="1" x14ac:dyDescent="0.25"/>
    <row r="75613" customFormat="1" x14ac:dyDescent="0.25"/>
    <row r="75614" customFormat="1" x14ac:dyDescent="0.25"/>
    <row r="75615" customFormat="1" x14ac:dyDescent="0.25"/>
    <row r="75616" customFormat="1" x14ac:dyDescent="0.25"/>
    <row r="75617" customFormat="1" x14ac:dyDescent="0.25"/>
    <row r="75618" customFormat="1" x14ac:dyDescent="0.25"/>
    <row r="75619" customFormat="1" x14ac:dyDescent="0.25"/>
    <row r="75620" customFormat="1" x14ac:dyDescent="0.25"/>
    <row r="75621" customFormat="1" x14ac:dyDescent="0.25"/>
    <row r="75622" customFormat="1" x14ac:dyDescent="0.25"/>
    <row r="75623" customFormat="1" x14ac:dyDescent="0.25"/>
    <row r="75624" customFormat="1" x14ac:dyDescent="0.25"/>
    <row r="75625" customFormat="1" x14ac:dyDescent="0.25"/>
    <row r="75626" customFormat="1" x14ac:dyDescent="0.25"/>
    <row r="75627" customFormat="1" x14ac:dyDescent="0.25"/>
    <row r="75628" customFormat="1" x14ac:dyDescent="0.25"/>
    <row r="75629" customFormat="1" x14ac:dyDescent="0.25"/>
    <row r="75630" customFormat="1" x14ac:dyDescent="0.25"/>
    <row r="75631" customFormat="1" x14ac:dyDescent="0.25"/>
    <row r="75632" customFormat="1" x14ac:dyDescent="0.25"/>
    <row r="75633" customFormat="1" x14ac:dyDescent="0.25"/>
    <row r="75634" customFormat="1" x14ac:dyDescent="0.25"/>
    <row r="75635" customFormat="1" x14ac:dyDescent="0.25"/>
    <row r="75636" customFormat="1" x14ac:dyDescent="0.25"/>
    <row r="75637" customFormat="1" x14ac:dyDescent="0.25"/>
    <row r="75638" customFormat="1" x14ac:dyDescent="0.25"/>
    <row r="75639" customFormat="1" x14ac:dyDescent="0.25"/>
    <row r="75640" customFormat="1" x14ac:dyDescent="0.25"/>
    <row r="75641" customFormat="1" x14ac:dyDescent="0.25"/>
    <row r="75642" customFormat="1" x14ac:dyDescent="0.25"/>
    <row r="75643" customFormat="1" x14ac:dyDescent="0.25"/>
    <row r="75644" customFormat="1" x14ac:dyDescent="0.25"/>
    <row r="75645" customFormat="1" x14ac:dyDescent="0.25"/>
    <row r="75646" customFormat="1" x14ac:dyDescent="0.25"/>
    <row r="75647" customFormat="1" x14ac:dyDescent="0.25"/>
    <row r="75648" customFormat="1" x14ac:dyDescent="0.25"/>
    <row r="75649" customFormat="1" x14ac:dyDescent="0.25"/>
    <row r="75650" customFormat="1" x14ac:dyDescent="0.25"/>
    <row r="75651" customFormat="1" x14ac:dyDescent="0.25"/>
    <row r="75652" customFormat="1" x14ac:dyDescent="0.25"/>
    <row r="75653" customFormat="1" x14ac:dyDescent="0.25"/>
    <row r="75654" customFormat="1" x14ac:dyDescent="0.25"/>
    <row r="75655" customFormat="1" x14ac:dyDescent="0.25"/>
    <row r="75656" customFormat="1" x14ac:dyDescent="0.25"/>
    <row r="75657" customFormat="1" x14ac:dyDescent="0.25"/>
    <row r="75658" customFormat="1" x14ac:dyDescent="0.25"/>
    <row r="75659" customFormat="1" x14ac:dyDescent="0.25"/>
    <row r="75660" customFormat="1" x14ac:dyDescent="0.25"/>
    <row r="75661" customFormat="1" x14ac:dyDescent="0.25"/>
    <row r="75662" customFormat="1" x14ac:dyDescent="0.25"/>
    <row r="75663" customFormat="1" x14ac:dyDescent="0.25"/>
    <row r="75664" customFormat="1" x14ac:dyDescent="0.25"/>
    <row r="75665" customFormat="1" x14ac:dyDescent="0.25"/>
    <row r="75666" customFormat="1" x14ac:dyDescent="0.25"/>
    <row r="75667" customFormat="1" x14ac:dyDescent="0.25"/>
    <row r="75668" customFormat="1" x14ac:dyDescent="0.25"/>
    <row r="75669" customFormat="1" x14ac:dyDescent="0.25"/>
    <row r="75670" customFormat="1" x14ac:dyDescent="0.25"/>
    <row r="75671" customFormat="1" x14ac:dyDescent="0.25"/>
    <row r="75672" customFormat="1" x14ac:dyDescent="0.25"/>
    <row r="75673" customFormat="1" x14ac:dyDescent="0.25"/>
    <row r="75674" customFormat="1" x14ac:dyDescent="0.25"/>
    <row r="75675" customFormat="1" x14ac:dyDescent="0.25"/>
    <row r="75676" customFormat="1" x14ac:dyDescent="0.25"/>
    <row r="75677" customFormat="1" x14ac:dyDescent="0.25"/>
    <row r="75678" customFormat="1" x14ac:dyDescent="0.25"/>
    <row r="75679" customFormat="1" x14ac:dyDescent="0.25"/>
    <row r="75680" customFormat="1" x14ac:dyDescent="0.25"/>
    <row r="75681" customFormat="1" x14ac:dyDescent="0.25"/>
    <row r="75682" customFormat="1" x14ac:dyDescent="0.25"/>
    <row r="75683" customFormat="1" x14ac:dyDescent="0.25"/>
    <row r="75684" customFormat="1" x14ac:dyDescent="0.25"/>
    <row r="75685" customFormat="1" x14ac:dyDescent="0.25"/>
    <row r="75686" customFormat="1" x14ac:dyDescent="0.25"/>
    <row r="75687" customFormat="1" x14ac:dyDescent="0.25"/>
    <row r="75688" customFormat="1" x14ac:dyDescent="0.25"/>
    <row r="75689" customFormat="1" x14ac:dyDescent="0.25"/>
    <row r="75690" customFormat="1" x14ac:dyDescent="0.25"/>
    <row r="75691" customFormat="1" x14ac:dyDescent="0.25"/>
    <row r="75692" customFormat="1" x14ac:dyDescent="0.25"/>
    <row r="75693" customFormat="1" x14ac:dyDescent="0.25"/>
    <row r="75694" customFormat="1" x14ac:dyDescent="0.25"/>
    <row r="75695" customFormat="1" x14ac:dyDescent="0.25"/>
    <row r="75696" customFormat="1" x14ac:dyDescent="0.25"/>
    <row r="75697" customFormat="1" x14ac:dyDescent="0.25"/>
    <row r="75698" customFormat="1" x14ac:dyDescent="0.25"/>
    <row r="75699" customFormat="1" x14ac:dyDescent="0.25"/>
    <row r="75700" customFormat="1" x14ac:dyDescent="0.25"/>
    <row r="75701" customFormat="1" x14ac:dyDescent="0.25"/>
    <row r="75702" customFormat="1" x14ac:dyDescent="0.25"/>
    <row r="75703" customFormat="1" x14ac:dyDescent="0.25"/>
    <row r="75704" customFormat="1" x14ac:dyDescent="0.25"/>
    <row r="75705" customFormat="1" x14ac:dyDescent="0.25"/>
    <row r="75706" customFormat="1" x14ac:dyDescent="0.25"/>
    <row r="75707" customFormat="1" x14ac:dyDescent="0.25"/>
    <row r="75708" customFormat="1" x14ac:dyDescent="0.25"/>
    <row r="75709" customFormat="1" x14ac:dyDescent="0.25"/>
    <row r="75710" customFormat="1" x14ac:dyDescent="0.25"/>
    <row r="75711" customFormat="1" x14ac:dyDescent="0.25"/>
    <row r="75712" customFormat="1" x14ac:dyDescent="0.25"/>
    <row r="75713" customFormat="1" x14ac:dyDescent="0.25"/>
    <row r="75714" customFormat="1" x14ac:dyDescent="0.25"/>
    <row r="75715" customFormat="1" x14ac:dyDescent="0.25"/>
    <row r="75716" customFormat="1" x14ac:dyDescent="0.25"/>
    <row r="75717" customFormat="1" x14ac:dyDescent="0.25"/>
    <row r="75718" customFormat="1" x14ac:dyDescent="0.25"/>
    <row r="75719" customFormat="1" x14ac:dyDescent="0.25"/>
    <row r="75720" customFormat="1" x14ac:dyDescent="0.25"/>
    <row r="75721" customFormat="1" x14ac:dyDescent="0.25"/>
    <row r="75722" customFormat="1" x14ac:dyDescent="0.25"/>
    <row r="75723" customFormat="1" x14ac:dyDescent="0.25"/>
    <row r="75724" customFormat="1" x14ac:dyDescent="0.25"/>
    <row r="75725" customFormat="1" x14ac:dyDescent="0.25"/>
    <row r="75726" customFormat="1" x14ac:dyDescent="0.25"/>
    <row r="75727" customFormat="1" x14ac:dyDescent="0.25"/>
    <row r="75728" customFormat="1" x14ac:dyDescent="0.25"/>
    <row r="75729" customFormat="1" x14ac:dyDescent="0.25"/>
    <row r="75730" customFormat="1" x14ac:dyDescent="0.25"/>
    <row r="75731" customFormat="1" x14ac:dyDescent="0.25"/>
    <row r="75732" customFormat="1" x14ac:dyDescent="0.25"/>
    <row r="75733" customFormat="1" x14ac:dyDescent="0.25"/>
    <row r="75734" customFormat="1" x14ac:dyDescent="0.25"/>
    <row r="75735" customFormat="1" x14ac:dyDescent="0.25"/>
    <row r="75736" customFormat="1" x14ac:dyDescent="0.25"/>
    <row r="75737" customFormat="1" x14ac:dyDescent="0.25"/>
    <row r="75738" customFormat="1" x14ac:dyDescent="0.25"/>
    <row r="75739" customFormat="1" x14ac:dyDescent="0.25"/>
    <row r="75740" customFormat="1" x14ac:dyDescent="0.25"/>
    <row r="75741" customFormat="1" x14ac:dyDescent="0.25"/>
    <row r="75742" customFormat="1" x14ac:dyDescent="0.25"/>
    <row r="75743" customFormat="1" x14ac:dyDescent="0.25"/>
    <row r="75744" customFormat="1" x14ac:dyDescent="0.25"/>
    <row r="75745" customFormat="1" x14ac:dyDescent="0.25"/>
    <row r="75746" customFormat="1" x14ac:dyDescent="0.25"/>
    <row r="75747" customFormat="1" x14ac:dyDescent="0.25"/>
    <row r="75748" customFormat="1" x14ac:dyDescent="0.25"/>
    <row r="75749" customFormat="1" x14ac:dyDescent="0.25"/>
    <row r="75750" customFormat="1" x14ac:dyDescent="0.25"/>
    <row r="75751" customFormat="1" x14ac:dyDescent="0.25"/>
    <row r="75752" customFormat="1" x14ac:dyDescent="0.25"/>
    <row r="75753" customFormat="1" x14ac:dyDescent="0.25"/>
    <row r="75754" customFormat="1" x14ac:dyDescent="0.25"/>
    <row r="75755" customFormat="1" x14ac:dyDescent="0.25"/>
    <row r="75756" customFormat="1" x14ac:dyDescent="0.25"/>
    <row r="75757" customFormat="1" x14ac:dyDescent="0.25"/>
    <row r="75758" customFormat="1" x14ac:dyDescent="0.25"/>
    <row r="75759" customFormat="1" x14ac:dyDescent="0.25"/>
    <row r="75760" customFormat="1" x14ac:dyDescent="0.25"/>
    <row r="75761" customFormat="1" x14ac:dyDescent="0.25"/>
    <row r="75762" customFormat="1" x14ac:dyDescent="0.25"/>
    <row r="75763" customFormat="1" x14ac:dyDescent="0.25"/>
    <row r="75764" customFormat="1" x14ac:dyDescent="0.25"/>
    <row r="75765" customFormat="1" x14ac:dyDescent="0.25"/>
    <row r="75766" customFormat="1" x14ac:dyDescent="0.25"/>
    <row r="75767" customFormat="1" x14ac:dyDescent="0.25"/>
    <row r="75768" customFormat="1" x14ac:dyDescent="0.25"/>
    <row r="75769" customFormat="1" x14ac:dyDescent="0.25"/>
    <row r="75770" customFormat="1" x14ac:dyDescent="0.25"/>
    <row r="75771" customFormat="1" x14ac:dyDescent="0.25"/>
    <row r="75772" customFormat="1" x14ac:dyDescent="0.25"/>
    <row r="75773" customFormat="1" x14ac:dyDescent="0.25"/>
    <row r="75774" customFormat="1" x14ac:dyDescent="0.25"/>
    <row r="75775" customFormat="1" x14ac:dyDescent="0.25"/>
    <row r="75776" customFormat="1" x14ac:dyDescent="0.25"/>
    <row r="75777" customFormat="1" x14ac:dyDescent="0.25"/>
    <row r="75778" customFormat="1" x14ac:dyDescent="0.25"/>
    <row r="75779" customFormat="1" x14ac:dyDescent="0.25"/>
    <row r="75780" customFormat="1" x14ac:dyDescent="0.25"/>
    <row r="75781" customFormat="1" x14ac:dyDescent="0.25"/>
    <row r="75782" customFormat="1" x14ac:dyDescent="0.25"/>
    <row r="75783" customFormat="1" x14ac:dyDescent="0.25"/>
    <row r="75784" customFormat="1" x14ac:dyDescent="0.25"/>
    <row r="75785" customFormat="1" x14ac:dyDescent="0.25"/>
    <row r="75786" customFormat="1" x14ac:dyDescent="0.25"/>
    <row r="75787" customFormat="1" x14ac:dyDescent="0.25"/>
    <row r="75788" customFormat="1" x14ac:dyDescent="0.25"/>
    <row r="75789" customFormat="1" x14ac:dyDescent="0.25"/>
    <row r="75790" customFormat="1" x14ac:dyDescent="0.25"/>
    <row r="75791" customFormat="1" x14ac:dyDescent="0.25"/>
    <row r="75792" customFormat="1" x14ac:dyDescent="0.25"/>
    <row r="75793" customFormat="1" x14ac:dyDescent="0.25"/>
    <row r="75794" customFormat="1" x14ac:dyDescent="0.25"/>
    <row r="75795" customFormat="1" x14ac:dyDescent="0.25"/>
    <row r="75796" customFormat="1" x14ac:dyDescent="0.25"/>
    <row r="75797" customFormat="1" x14ac:dyDescent="0.25"/>
    <row r="75798" customFormat="1" x14ac:dyDescent="0.25"/>
    <row r="75799" customFormat="1" x14ac:dyDescent="0.25"/>
    <row r="75800" customFormat="1" x14ac:dyDescent="0.25"/>
    <row r="75801" customFormat="1" x14ac:dyDescent="0.25"/>
    <row r="75802" customFormat="1" x14ac:dyDescent="0.25"/>
    <row r="75803" customFormat="1" x14ac:dyDescent="0.25"/>
    <row r="75804" customFormat="1" x14ac:dyDescent="0.25"/>
    <row r="75805" customFormat="1" x14ac:dyDescent="0.25"/>
    <row r="75806" customFormat="1" x14ac:dyDescent="0.25"/>
    <row r="75807" customFormat="1" x14ac:dyDescent="0.25"/>
    <row r="75808" customFormat="1" x14ac:dyDescent="0.25"/>
    <row r="75809" customFormat="1" x14ac:dyDescent="0.25"/>
    <row r="75810" customFormat="1" x14ac:dyDescent="0.25"/>
    <row r="75811" customFormat="1" x14ac:dyDescent="0.25"/>
    <row r="75812" customFormat="1" x14ac:dyDescent="0.25"/>
    <row r="75813" customFormat="1" x14ac:dyDescent="0.25"/>
    <row r="75814" customFormat="1" x14ac:dyDescent="0.25"/>
    <row r="75815" customFormat="1" x14ac:dyDescent="0.25"/>
    <row r="75816" customFormat="1" x14ac:dyDescent="0.25"/>
    <row r="75817" customFormat="1" x14ac:dyDescent="0.25"/>
    <row r="75818" customFormat="1" x14ac:dyDescent="0.25"/>
    <row r="75819" customFormat="1" x14ac:dyDescent="0.25"/>
    <row r="75820" customFormat="1" x14ac:dyDescent="0.25"/>
    <row r="75821" customFormat="1" x14ac:dyDescent="0.25"/>
    <row r="75822" customFormat="1" x14ac:dyDescent="0.25"/>
    <row r="75823" customFormat="1" x14ac:dyDescent="0.25"/>
    <row r="75824" customFormat="1" x14ac:dyDescent="0.25"/>
    <row r="75825" customFormat="1" x14ac:dyDescent="0.25"/>
    <row r="75826" customFormat="1" x14ac:dyDescent="0.25"/>
    <row r="75827" customFormat="1" x14ac:dyDescent="0.25"/>
    <row r="75828" customFormat="1" x14ac:dyDescent="0.25"/>
    <row r="75829" customFormat="1" x14ac:dyDescent="0.25"/>
    <row r="75830" customFormat="1" x14ac:dyDescent="0.25"/>
    <row r="75831" customFormat="1" x14ac:dyDescent="0.25"/>
    <row r="75832" customFormat="1" x14ac:dyDescent="0.25"/>
    <row r="75833" customFormat="1" x14ac:dyDescent="0.25"/>
    <row r="75834" customFormat="1" x14ac:dyDescent="0.25"/>
    <row r="75835" customFormat="1" x14ac:dyDescent="0.25"/>
    <row r="75836" customFormat="1" x14ac:dyDescent="0.25"/>
    <row r="75837" customFormat="1" x14ac:dyDescent="0.25"/>
    <row r="75838" customFormat="1" x14ac:dyDescent="0.25"/>
    <row r="75839" customFormat="1" x14ac:dyDescent="0.25"/>
    <row r="75840" customFormat="1" x14ac:dyDescent="0.25"/>
    <row r="75841" customFormat="1" x14ac:dyDescent="0.25"/>
    <row r="75842" customFormat="1" x14ac:dyDescent="0.25"/>
    <row r="75843" customFormat="1" x14ac:dyDescent="0.25"/>
    <row r="75844" customFormat="1" x14ac:dyDescent="0.25"/>
    <row r="75845" customFormat="1" x14ac:dyDescent="0.25"/>
    <row r="75846" customFormat="1" x14ac:dyDescent="0.25"/>
    <row r="75847" customFormat="1" x14ac:dyDescent="0.25"/>
    <row r="75848" customFormat="1" x14ac:dyDescent="0.25"/>
    <row r="75849" customFormat="1" x14ac:dyDescent="0.25"/>
    <row r="75850" customFormat="1" x14ac:dyDescent="0.25"/>
    <row r="75851" customFormat="1" x14ac:dyDescent="0.25"/>
    <row r="75852" customFormat="1" x14ac:dyDescent="0.25"/>
    <row r="75853" customFormat="1" x14ac:dyDescent="0.25"/>
    <row r="75854" customFormat="1" x14ac:dyDescent="0.25"/>
    <row r="75855" customFormat="1" x14ac:dyDescent="0.25"/>
    <row r="75856" customFormat="1" x14ac:dyDescent="0.25"/>
    <row r="75857" customFormat="1" x14ac:dyDescent="0.25"/>
    <row r="75858" customFormat="1" x14ac:dyDescent="0.25"/>
    <row r="75859" customFormat="1" x14ac:dyDescent="0.25"/>
    <row r="75860" customFormat="1" x14ac:dyDescent="0.25"/>
    <row r="75861" customFormat="1" x14ac:dyDescent="0.25"/>
    <row r="75862" customFormat="1" x14ac:dyDescent="0.25"/>
    <row r="75863" customFormat="1" x14ac:dyDescent="0.25"/>
    <row r="75864" customFormat="1" x14ac:dyDescent="0.25"/>
    <row r="75865" customFormat="1" x14ac:dyDescent="0.25"/>
    <row r="75866" customFormat="1" x14ac:dyDescent="0.25"/>
    <row r="75867" customFormat="1" x14ac:dyDescent="0.25"/>
    <row r="75868" customFormat="1" x14ac:dyDescent="0.25"/>
    <row r="75869" customFormat="1" x14ac:dyDescent="0.25"/>
    <row r="75870" customFormat="1" x14ac:dyDescent="0.25"/>
    <row r="75871" customFormat="1" x14ac:dyDescent="0.25"/>
    <row r="75872" customFormat="1" x14ac:dyDescent="0.25"/>
    <row r="75873" customFormat="1" x14ac:dyDescent="0.25"/>
    <row r="75874" customFormat="1" x14ac:dyDescent="0.25"/>
    <row r="75875" customFormat="1" x14ac:dyDescent="0.25"/>
    <row r="75876" customFormat="1" x14ac:dyDescent="0.25"/>
    <row r="75877" customFormat="1" x14ac:dyDescent="0.25"/>
    <row r="75878" customFormat="1" x14ac:dyDescent="0.25"/>
    <row r="75879" customFormat="1" x14ac:dyDescent="0.25"/>
    <row r="75880" customFormat="1" x14ac:dyDescent="0.25"/>
    <row r="75881" customFormat="1" x14ac:dyDescent="0.25"/>
    <row r="75882" customFormat="1" x14ac:dyDescent="0.25"/>
    <row r="75883" customFormat="1" x14ac:dyDescent="0.25"/>
    <row r="75884" customFormat="1" x14ac:dyDescent="0.25"/>
    <row r="75885" customFormat="1" x14ac:dyDescent="0.25"/>
    <row r="75886" customFormat="1" x14ac:dyDescent="0.25"/>
    <row r="75887" customFormat="1" x14ac:dyDescent="0.25"/>
    <row r="75888" customFormat="1" x14ac:dyDescent="0.25"/>
    <row r="75889" customFormat="1" x14ac:dyDescent="0.25"/>
    <row r="75890" customFormat="1" x14ac:dyDescent="0.25"/>
    <row r="75891" customFormat="1" x14ac:dyDescent="0.25"/>
    <row r="75892" customFormat="1" x14ac:dyDescent="0.25"/>
    <row r="75893" customFormat="1" x14ac:dyDescent="0.25"/>
    <row r="75894" customFormat="1" x14ac:dyDescent="0.25"/>
    <row r="75895" customFormat="1" x14ac:dyDescent="0.25"/>
    <row r="75896" customFormat="1" x14ac:dyDescent="0.25"/>
    <row r="75897" customFormat="1" x14ac:dyDescent="0.25"/>
    <row r="75898" customFormat="1" x14ac:dyDescent="0.25"/>
    <row r="75899" customFormat="1" x14ac:dyDescent="0.25"/>
    <row r="75900" customFormat="1" x14ac:dyDescent="0.25"/>
    <row r="75901" customFormat="1" x14ac:dyDescent="0.25"/>
    <row r="75902" customFormat="1" x14ac:dyDescent="0.25"/>
    <row r="75903" customFormat="1" x14ac:dyDescent="0.25"/>
    <row r="75904" customFormat="1" x14ac:dyDescent="0.25"/>
    <row r="75905" customFormat="1" x14ac:dyDescent="0.25"/>
    <row r="75906" customFormat="1" x14ac:dyDescent="0.25"/>
    <row r="75907" customFormat="1" x14ac:dyDescent="0.25"/>
    <row r="75908" customFormat="1" x14ac:dyDescent="0.25"/>
    <row r="75909" customFormat="1" x14ac:dyDescent="0.25"/>
    <row r="75910" customFormat="1" x14ac:dyDescent="0.25"/>
    <row r="75911" customFormat="1" x14ac:dyDescent="0.25"/>
    <row r="75912" customFormat="1" x14ac:dyDescent="0.25"/>
    <row r="75913" customFormat="1" x14ac:dyDescent="0.25"/>
    <row r="75914" customFormat="1" x14ac:dyDescent="0.25"/>
    <row r="75915" customFormat="1" x14ac:dyDescent="0.25"/>
    <row r="75916" customFormat="1" x14ac:dyDescent="0.25"/>
    <row r="75917" customFormat="1" x14ac:dyDescent="0.25"/>
    <row r="75918" customFormat="1" x14ac:dyDescent="0.25"/>
    <row r="75919" customFormat="1" x14ac:dyDescent="0.25"/>
    <row r="75920" customFormat="1" x14ac:dyDescent="0.25"/>
    <row r="75921" customFormat="1" x14ac:dyDescent="0.25"/>
    <row r="75922" customFormat="1" x14ac:dyDescent="0.25"/>
    <row r="75923" customFormat="1" x14ac:dyDescent="0.25"/>
    <row r="75924" customFormat="1" x14ac:dyDescent="0.25"/>
    <row r="75925" customFormat="1" x14ac:dyDescent="0.25"/>
    <row r="75926" customFormat="1" x14ac:dyDescent="0.25"/>
    <row r="75927" customFormat="1" x14ac:dyDescent="0.25"/>
    <row r="75928" customFormat="1" x14ac:dyDescent="0.25"/>
    <row r="75929" customFormat="1" x14ac:dyDescent="0.25"/>
    <row r="75930" customFormat="1" x14ac:dyDescent="0.25"/>
    <row r="75931" customFormat="1" x14ac:dyDescent="0.25"/>
    <row r="75932" customFormat="1" x14ac:dyDescent="0.25"/>
    <row r="75933" customFormat="1" x14ac:dyDescent="0.25"/>
    <row r="75934" customFormat="1" x14ac:dyDescent="0.25"/>
    <row r="75935" customFormat="1" x14ac:dyDescent="0.25"/>
    <row r="75936" customFormat="1" x14ac:dyDescent="0.25"/>
    <row r="75937" customFormat="1" x14ac:dyDescent="0.25"/>
    <row r="75938" customFormat="1" x14ac:dyDescent="0.25"/>
    <row r="75939" customFormat="1" x14ac:dyDescent="0.25"/>
    <row r="75940" customFormat="1" x14ac:dyDescent="0.25"/>
    <row r="75941" customFormat="1" x14ac:dyDescent="0.25"/>
    <row r="75942" customFormat="1" x14ac:dyDescent="0.25"/>
    <row r="75943" customFormat="1" x14ac:dyDescent="0.25"/>
    <row r="75944" customFormat="1" x14ac:dyDescent="0.25"/>
    <row r="75945" customFormat="1" x14ac:dyDescent="0.25"/>
    <row r="75946" customFormat="1" x14ac:dyDescent="0.25"/>
    <row r="75947" customFormat="1" x14ac:dyDescent="0.25"/>
    <row r="75948" customFormat="1" x14ac:dyDescent="0.25"/>
    <row r="75949" customFormat="1" x14ac:dyDescent="0.25"/>
    <row r="75950" customFormat="1" x14ac:dyDescent="0.25"/>
    <row r="75951" customFormat="1" x14ac:dyDescent="0.25"/>
    <row r="75952" customFormat="1" x14ac:dyDescent="0.25"/>
    <row r="75953" customFormat="1" x14ac:dyDescent="0.25"/>
    <row r="75954" customFormat="1" x14ac:dyDescent="0.25"/>
    <row r="75955" customFormat="1" x14ac:dyDescent="0.25"/>
    <row r="75956" customFormat="1" x14ac:dyDescent="0.25"/>
    <row r="75957" customFormat="1" x14ac:dyDescent="0.25"/>
    <row r="75958" customFormat="1" x14ac:dyDescent="0.25"/>
    <row r="75959" customFormat="1" x14ac:dyDescent="0.25"/>
    <row r="75960" customFormat="1" x14ac:dyDescent="0.25"/>
    <row r="75961" customFormat="1" x14ac:dyDescent="0.25"/>
    <row r="75962" customFormat="1" x14ac:dyDescent="0.25"/>
    <row r="75963" customFormat="1" x14ac:dyDescent="0.25"/>
    <row r="75964" customFormat="1" x14ac:dyDescent="0.25"/>
    <row r="75965" customFormat="1" x14ac:dyDescent="0.25"/>
    <row r="75966" customFormat="1" x14ac:dyDescent="0.25"/>
    <row r="75967" customFormat="1" x14ac:dyDescent="0.25"/>
    <row r="75968" customFormat="1" x14ac:dyDescent="0.25"/>
    <row r="75969" customFormat="1" x14ac:dyDescent="0.25"/>
    <row r="75970" customFormat="1" x14ac:dyDescent="0.25"/>
    <row r="75971" customFormat="1" x14ac:dyDescent="0.25"/>
    <row r="75972" customFormat="1" x14ac:dyDescent="0.25"/>
    <row r="75973" customFormat="1" x14ac:dyDescent="0.25"/>
    <row r="75974" customFormat="1" x14ac:dyDescent="0.25"/>
    <row r="75975" customFormat="1" x14ac:dyDescent="0.25"/>
    <row r="75976" customFormat="1" x14ac:dyDescent="0.25"/>
    <row r="75977" customFormat="1" x14ac:dyDescent="0.25"/>
    <row r="75978" customFormat="1" x14ac:dyDescent="0.25"/>
    <row r="75979" customFormat="1" x14ac:dyDescent="0.25"/>
    <row r="75980" customFormat="1" x14ac:dyDescent="0.25"/>
    <row r="75981" customFormat="1" x14ac:dyDescent="0.25"/>
    <row r="75982" customFormat="1" x14ac:dyDescent="0.25"/>
    <row r="75983" customFormat="1" x14ac:dyDescent="0.25"/>
    <row r="75984" customFormat="1" x14ac:dyDescent="0.25"/>
    <row r="75985" customFormat="1" x14ac:dyDescent="0.25"/>
    <row r="75986" customFormat="1" x14ac:dyDescent="0.25"/>
    <row r="75987" customFormat="1" x14ac:dyDescent="0.25"/>
    <row r="75988" customFormat="1" x14ac:dyDescent="0.25"/>
    <row r="75989" customFormat="1" x14ac:dyDescent="0.25"/>
    <row r="75990" customFormat="1" x14ac:dyDescent="0.25"/>
    <row r="75991" customFormat="1" x14ac:dyDescent="0.25"/>
    <row r="75992" customFormat="1" x14ac:dyDescent="0.25"/>
    <row r="75993" customFormat="1" x14ac:dyDescent="0.25"/>
    <row r="75994" customFormat="1" x14ac:dyDescent="0.25"/>
    <row r="75995" customFormat="1" x14ac:dyDescent="0.25"/>
    <row r="75996" customFormat="1" x14ac:dyDescent="0.25"/>
    <row r="75997" customFormat="1" x14ac:dyDescent="0.25"/>
    <row r="75998" customFormat="1" x14ac:dyDescent="0.25"/>
    <row r="75999" customFormat="1" x14ac:dyDescent="0.25"/>
    <row r="76000" customFormat="1" x14ac:dyDescent="0.25"/>
    <row r="76001" customFormat="1" x14ac:dyDescent="0.25"/>
    <row r="76002" customFormat="1" x14ac:dyDescent="0.25"/>
    <row r="76003" customFormat="1" x14ac:dyDescent="0.25"/>
    <row r="76004" customFormat="1" x14ac:dyDescent="0.25"/>
    <row r="76005" customFormat="1" x14ac:dyDescent="0.25"/>
    <row r="76006" customFormat="1" x14ac:dyDescent="0.25"/>
    <row r="76007" customFormat="1" x14ac:dyDescent="0.25"/>
    <row r="76008" customFormat="1" x14ac:dyDescent="0.25"/>
    <row r="76009" customFormat="1" x14ac:dyDescent="0.25"/>
    <row r="76010" customFormat="1" x14ac:dyDescent="0.25"/>
    <row r="76011" customFormat="1" x14ac:dyDescent="0.25"/>
    <row r="76012" customFormat="1" x14ac:dyDescent="0.25"/>
    <row r="76013" customFormat="1" x14ac:dyDescent="0.25"/>
    <row r="76014" customFormat="1" x14ac:dyDescent="0.25"/>
    <row r="76015" customFormat="1" x14ac:dyDescent="0.25"/>
    <row r="76016" customFormat="1" x14ac:dyDescent="0.25"/>
    <row r="76017" customFormat="1" x14ac:dyDescent="0.25"/>
    <row r="76018" customFormat="1" x14ac:dyDescent="0.25"/>
    <row r="76019" customFormat="1" x14ac:dyDescent="0.25"/>
    <row r="76020" customFormat="1" x14ac:dyDescent="0.25"/>
    <row r="76021" customFormat="1" x14ac:dyDescent="0.25"/>
    <row r="76022" customFormat="1" x14ac:dyDescent="0.25"/>
    <row r="76023" customFormat="1" x14ac:dyDescent="0.25"/>
    <row r="76024" customFormat="1" x14ac:dyDescent="0.25"/>
    <row r="76025" customFormat="1" x14ac:dyDescent="0.25"/>
    <row r="76026" customFormat="1" x14ac:dyDescent="0.25"/>
    <row r="76027" customFormat="1" x14ac:dyDescent="0.25"/>
    <row r="76028" customFormat="1" x14ac:dyDescent="0.25"/>
    <row r="76029" customFormat="1" x14ac:dyDescent="0.25"/>
    <row r="76030" customFormat="1" x14ac:dyDescent="0.25"/>
    <row r="76031" customFormat="1" x14ac:dyDescent="0.25"/>
    <row r="76032" customFormat="1" x14ac:dyDescent="0.25"/>
    <row r="76033" customFormat="1" x14ac:dyDescent="0.25"/>
    <row r="76034" customFormat="1" x14ac:dyDescent="0.25"/>
    <row r="76035" customFormat="1" x14ac:dyDescent="0.25"/>
    <row r="76036" customFormat="1" x14ac:dyDescent="0.25"/>
    <row r="76037" customFormat="1" x14ac:dyDescent="0.25"/>
    <row r="76038" customFormat="1" x14ac:dyDescent="0.25"/>
    <row r="76039" customFormat="1" x14ac:dyDescent="0.25"/>
    <row r="76040" customFormat="1" x14ac:dyDescent="0.25"/>
    <row r="76041" customFormat="1" x14ac:dyDescent="0.25"/>
    <row r="76042" customFormat="1" x14ac:dyDescent="0.25"/>
    <row r="76043" customFormat="1" x14ac:dyDescent="0.25"/>
    <row r="76044" customFormat="1" x14ac:dyDescent="0.25"/>
    <row r="76045" customFormat="1" x14ac:dyDescent="0.25"/>
    <row r="76046" customFormat="1" x14ac:dyDescent="0.25"/>
    <row r="76047" customFormat="1" x14ac:dyDescent="0.25"/>
    <row r="76048" customFormat="1" x14ac:dyDescent="0.25"/>
    <row r="76049" customFormat="1" x14ac:dyDescent="0.25"/>
    <row r="76050" customFormat="1" x14ac:dyDescent="0.25"/>
    <row r="76051" customFormat="1" x14ac:dyDescent="0.25"/>
    <row r="76052" customFormat="1" x14ac:dyDescent="0.25"/>
    <row r="76053" customFormat="1" x14ac:dyDescent="0.25"/>
    <row r="76054" customFormat="1" x14ac:dyDescent="0.25"/>
    <row r="76055" customFormat="1" x14ac:dyDescent="0.25"/>
    <row r="76056" customFormat="1" x14ac:dyDescent="0.25"/>
    <row r="76057" customFormat="1" x14ac:dyDescent="0.25"/>
    <row r="76058" customFormat="1" x14ac:dyDescent="0.25"/>
    <row r="76059" customFormat="1" x14ac:dyDescent="0.25"/>
    <row r="76060" customFormat="1" x14ac:dyDescent="0.25"/>
    <row r="76061" customFormat="1" x14ac:dyDescent="0.25"/>
    <row r="76062" customFormat="1" x14ac:dyDescent="0.25"/>
    <row r="76063" customFormat="1" x14ac:dyDescent="0.25"/>
    <row r="76064" customFormat="1" x14ac:dyDescent="0.25"/>
    <row r="76065" customFormat="1" x14ac:dyDescent="0.25"/>
    <row r="76066" customFormat="1" x14ac:dyDescent="0.25"/>
    <row r="76067" customFormat="1" x14ac:dyDescent="0.25"/>
    <row r="76068" customFormat="1" x14ac:dyDescent="0.25"/>
    <row r="76069" customFormat="1" x14ac:dyDescent="0.25"/>
    <row r="76070" customFormat="1" x14ac:dyDescent="0.25"/>
    <row r="76071" customFormat="1" x14ac:dyDescent="0.25"/>
    <row r="76072" customFormat="1" x14ac:dyDescent="0.25"/>
    <row r="76073" customFormat="1" x14ac:dyDescent="0.25"/>
    <row r="76074" customFormat="1" x14ac:dyDescent="0.25"/>
    <row r="76075" customFormat="1" x14ac:dyDescent="0.25"/>
    <row r="76076" customFormat="1" x14ac:dyDescent="0.25"/>
    <row r="76077" customFormat="1" x14ac:dyDescent="0.25"/>
    <row r="76078" customFormat="1" x14ac:dyDescent="0.25"/>
    <row r="76079" customFormat="1" x14ac:dyDescent="0.25"/>
    <row r="76080" customFormat="1" x14ac:dyDescent="0.25"/>
    <row r="76081" customFormat="1" x14ac:dyDescent="0.25"/>
    <row r="76082" customFormat="1" x14ac:dyDescent="0.25"/>
    <row r="76083" customFormat="1" x14ac:dyDescent="0.25"/>
    <row r="76084" customFormat="1" x14ac:dyDescent="0.25"/>
    <row r="76085" customFormat="1" x14ac:dyDescent="0.25"/>
    <row r="76086" customFormat="1" x14ac:dyDescent="0.25"/>
    <row r="76087" customFormat="1" x14ac:dyDescent="0.25"/>
    <row r="76088" customFormat="1" x14ac:dyDescent="0.25"/>
    <row r="76089" customFormat="1" x14ac:dyDescent="0.25"/>
    <row r="76090" customFormat="1" x14ac:dyDescent="0.25"/>
    <row r="76091" customFormat="1" x14ac:dyDescent="0.25"/>
    <row r="76092" customFormat="1" x14ac:dyDescent="0.25"/>
    <row r="76093" customFormat="1" x14ac:dyDescent="0.25"/>
    <row r="76094" customFormat="1" x14ac:dyDescent="0.25"/>
    <row r="76095" customFormat="1" x14ac:dyDescent="0.25"/>
    <row r="76096" customFormat="1" x14ac:dyDescent="0.25"/>
    <row r="76097" customFormat="1" x14ac:dyDescent="0.25"/>
    <row r="76098" customFormat="1" x14ac:dyDescent="0.25"/>
    <row r="76099" customFormat="1" x14ac:dyDescent="0.25"/>
    <row r="76100" customFormat="1" x14ac:dyDescent="0.25"/>
    <row r="76101" customFormat="1" x14ac:dyDescent="0.25"/>
    <row r="76102" customFormat="1" x14ac:dyDescent="0.25"/>
    <row r="76103" customFormat="1" x14ac:dyDescent="0.25"/>
    <row r="76104" customFormat="1" x14ac:dyDescent="0.25"/>
    <row r="76105" customFormat="1" x14ac:dyDescent="0.25"/>
    <row r="76106" customFormat="1" x14ac:dyDescent="0.25"/>
    <row r="76107" customFormat="1" x14ac:dyDescent="0.25"/>
    <row r="76108" customFormat="1" x14ac:dyDescent="0.25"/>
    <row r="76109" customFormat="1" x14ac:dyDescent="0.25"/>
    <row r="76110" customFormat="1" x14ac:dyDescent="0.25"/>
    <row r="76111" customFormat="1" x14ac:dyDescent="0.25"/>
    <row r="76112" customFormat="1" x14ac:dyDescent="0.25"/>
    <row r="76113" customFormat="1" x14ac:dyDescent="0.25"/>
    <row r="76114" customFormat="1" x14ac:dyDescent="0.25"/>
    <row r="76115" customFormat="1" x14ac:dyDescent="0.25"/>
    <row r="76116" customFormat="1" x14ac:dyDescent="0.25"/>
    <row r="76117" customFormat="1" x14ac:dyDescent="0.25"/>
    <row r="76118" customFormat="1" x14ac:dyDescent="0.25"/>
    <row r="76119" customFormat="1" x14ac:dyDescent="0.25"/>
    <row r="76120" customFormat="1" x14ac:dyDescent="0.25"/>
    <row r="76121" customFormat="1" x14ac:dyDescent="0.25"/>
    <row r="76122" customFormat="1" x14ac:dyDescent="0.25"/>
    <row r="76123" customFormat="1" x14ac:dyDescent="0.25"/>
    <row r="76124" customFormat="1" x14ac:dyDescent="0.25"/>
    <row r="76125" customFormat="1" x14ac:dyDescent="0.25"/>
    <row r="76126" customFormat="1" x14ac:dyDescent="0.25"/>
    <row r="76127" customFormat="1" x14ac:dyDescent="0.25"/>
    <row r="76128" customFormat="1" x14ac:dyDescent="0.25"/>
    <row r="76129" customFormat="1" x14ac:dyDescent="0.25"/>
    <row r="76130" customFormat="1" x14ac:dyDescent="0.25"/>
    <row r="76131" customFormat="1" x14ac:dyDescent="0.25"/>
    <row r="76132" customFormat="1" x14ac:dyDescent="0.25"/>
    <row r="76133" customFormat="1" x14ac:dyDescent="0.25"/>
    <row r="76134" customFormat="1" x14ac:dyDescent="0.25"/>
    <row r="76135" customFormat="1" x14ac:dyDescent="0.25"/>
    <row r="76136" customFormat="1" x14ac:dyDescent="0.25"/>
    <row r="76137" customFormat="1" x14ac:dyDescent="0.25"/>
    <row r="76138" customFormat="1" x14ac:dyDescent="0.25"/>
    <row r="76139" customFormat="1" x14ac:dyDescent="0.25"/>
    <row r="76140" customFormat="1" x14ac:dyDescent="0.25"/>
    <row r="76141" customFormat="1" x14ac:dyDescent="0.25"/>
    <row r="76142" customFormat="1" x14ac:dyDescent="0.25"/>
    <row r="76143" customFormat="1" x14ac:dyDescent="0.25"/>
    <row r="76144" customFormat="1" x14ac:dyDescent="0.25"/>
    <row r="76145" customFormat="1" x14ac:dyDescent="0.25"/>
    <row r="76146" customFormat="1" x14ac:dyDescent="0.25"/>
    <row r="76147" customFormat="1" x14ac:dyDescent="0.25"/>
    <row r="76148" customFormat="1" x14ac:dyDescent="0.25"/>
    <row r="76149" customFormat="1" x14ac:dyDescent="0.25"/>
    <row r="76150" customFormat="1" x14ac:dyDescent="0.25"/>
    <row r="76151" customFormat="1" x14ac:dyDescent="0.25"/>
    <row r="76152" customFormat="1" x14ac:dyDescent="0.25"/>
    <row r="76153" customFormat="1" x14ac:dyDescent="0.25"/>
    <row r="76154" customFormat="1" x14ac:dyDescent="0.25"/>
    <row r="76155" customFormat="1" x14ac:dyDescent="0.25"/>
    <row r="76156" customFormat="1" x14ac:dyDescent="0.25"/>
    <row r="76157" customFormat="1" x14ac:dyDescent="0.25"/>
    <row r="76158" customFormat="1" x14ac:dyDescent="0.25"/>
    <row r="76159" customFormat="1" x14ac:dyDescent="0.25"/>
    <row r="76160" customFormat="1" x14ac:dyDescent="0.25"/>
    <row r="76161" customFormat="1" x14ac:dyDescent="0.25"/>
    <row r="76162" customFormat="1" x14ac:dyDescent="0.25"/>
    <row r="76163" customFormat="1" x14ac:dyDescent="0.25"/>
    <row r="76164" customFormat="1" x14ac:dyDescent="0.25"/>
    <row r="76165" customFormat="1" x14ac:dyDescent="0.25"/>
    <row r="76166" customFormat="1" x14ac:dyDescent="0.25"/>
    <row r="76167" customFormat="1" x14ac:dyDescent="0.25"/>
    <row r="76168" customFormat="1" x14ac:dyDescent="0.25"/>
    <row r="76169" customFormat="1" x14ac:dyDescent="0.25"/>
    <row r="76170" customFormat="1" x14ac:dyDescent="0.25"/>
    <row r="76171" customFormat="1" x14ac:dyDescent="0.25"/>
    <row r="76172" customFormat="1" x14ac:dyDescent="0.25"/>
    <row r="76173" customFormat="1" x14ac:dyDescent="0.25"/>
    <row r="76174" customFormat="1" x14ac:dyDescent="0.25"/>
    <row r="76175" customFormat="1" x14ac:dyDescent="0.25"/>
    <row r="76176" customFormat="1" x14ac:dyDescent="0.25"/>
    <row r="76177" customFormat="1" x14ac:dyDescent="0.25"/>
    <row r="76178" customFormat="1" x14ac:dyDescent="0.25"/>
    <row r="76179" customFormat="1" x14ac:dyDescent="0.25"/>
    <row r="76180" customFormat="1" x14ac:dyDescent="0.25"/>
    <row r="76181" customFormat="1" x14ac:dyDescent="0.25"/>
    <row r="76182" customFormat="1" x14ac:dyDescent="0.25"/>
    <row r="76183" customFormat="1" x14ac:dyDescent="0.25"/>
    <row r="76184" customFormat="1" x14ac:dyDescent="0.25"/>
    <row r="76185" customFormat="1" x14ac:dyDescent="0.25"/>
    <row r="76186" customFormat="1" x14ac:dyDescent="0.25"/>
    <row r="76187" customFormat="1" x14ac:dyDescent="0.25"/>
    <row r="76188" customFormat="1" x14ac:dyDescent="0.25"/>
    <row r="76189" customFormat="1" x14ac:dyDescent="0.25"/>
    <row r="76190" customFormat="1" x14ac:dyDescent="0.25"/>
    <row r="76191" customFormat="1" x14ac:dyDescent="0.25"/>
    <row r="76192" customFormat="1" x14ac:dyDescent="0.25"/>
    <row r="76193" customFormat="1" x14ac:dyDescent="0.25"/>
    <row r="76194" customFormat="1" x14ac:dyDescent="0.25"/>
    <row r="76195" customFormat="1" x14ac:dyDescent="0.25"/>
    <row r="76196" customFormat="1" x14ac:dyDescent="0.25"/>
    <row r="76197" customFormat="1" x14ac:dyDescent="0.25"/>
    <row r="76198" customFormat="1" x14ac:dyDescent="0.25"/>
    <row r="76199" customFormat="1" x14ac:dyDescent="0.25"/>
    <row r="76200" customFormat="1" x14ac:dyDescent="0.25"/>
    <row r="76201" customFormat="1" x14ac:dyDescent="0.25"/>
    <row r="76202" customFormat="1" x14ac:dyDescent="0.25"/>
    <row r="76203" customFormat="1" x14ac:dyDescent="0.25"/>
    <row r="76204" customFormat="1" x14ac:dyDescent="0.25"/>
    <row r="76205" customFormat="1" x14ac:dyDescent="0.25"/>
    <row r="76206" customFormat="1" x14ac:dyDescent="0.25"/>
    <row r="76207" customFormat="1" x14ac:dyDescent="0.25"/>
    <row r="76208" customFormat="1" x14ac:dyDescent="0.25"/>
    <row r="76209" customFormat="1" x14ac:dyDescent="0.25"/>
    <row r="76210" customFormat="1" x14ac:dyDescent="0.25"/>
    <row r="76211" customFormat="1" x14ac:dyDescent="0.25"/>
    <row r="76212" customFormat="1" x14ac:dyDescent="0.25"/>
    <row r="76213" customFormat="1" x14ac:dyDescent="0.25"/>
    <row r="76214" customFormat="1" x14ac:dyDescent="0.25"/>
    <row r="76215" customFormat="1" x14ac:dyDescent="0.25"/>
    <row r="76216" customFormat="1" x14ac:dyDescent="0.25"/>
    <row r="76217" customFormat="1" x14ac:dyDescent="0.25"/>
    <row r="76218" customFormat="1" x14ac:dyDescent="0.25"/>
    <row r="76219" customFormat="1" x14ac:dyDescent="0.25"/>
    <row r="76220" customFormat="1" x14ac:dyDescent="0.25"/>
    <row r="76221" customFormat="1" x14ac:dyDescent="0.25"/>
    <row r="76222" customFormat="1" x14ac:dyDescent="0.25"/>
    <row r="76223" customFormat="1" x14ac:dyDescent="0.25"/>
    <row r="76224" customFormat="1" x14ac:dyDescent="0.25"/>
    <row r="76225" customFormat="1" x14ac:dyDescent="0.25"/>
    <row r="76226" customFormat="1" x14ac:dyDescent="0.25"/>
    <row r="76227" customFormat="1" x14ac:dyDescent="0.25"/>
    <row r="76228" customFormat="1" x14ac:dyDescent="0.25"/>
    <row r="76229" customFormat="1" x14ac:dyDescent="0.25"/>
    <row r="76230" customFormat="1" x14ac:dyDescent="0.25"/>
    <row r="76231" customFormat="1" x14ac:dyDescent="0.25"/>
    <row r="76232" customFormat="1" x14ac:dyDescent="0.25"/>
    <row r="76233" customFormat="1" x14ac:dyDescent="0.25"/>
    <row r="76234" customFormat="1" x14ac:dyDescent="0.25"/>
    <row r="76235" customFormat="1" x14ac:dyDescent="0.25"/>
    <row r="76236" customFormat="1" x14ac:dyDescent="0.25"/>
    <row r="76237" customFormat="1" x14ac:dyDescent="0.25"/>
    <row r="76238" customFormat="1" x14ac:dyDescent="0.25"/>
    <row r="76239" customFormat="1" x14ac:dyDescent="0.25"/>
    <row r="76240" customFormat="1" x14ac:dyDescent="0.25"/>
    <row r="76241" customFormat="1" x14ac:dyDescent="0.25"/>
    <row r="76242" customFormat="1" x14ac:dyDescent="0.25"/>
    <row r="76243" customFormat="1" x14ac:dyDescent="0.25"/>
    <row r="76244" customFormat="1" x14ac:dyDescent="0.25"/>
    <row r="76245" customFormat="1" x14ac:dyDescent="0.25"/>
    <row r="76246" customFormat="1" x14ac:dyDescent="0.25"/>
    <row r="76247" customFormat="1" x14ac:dyDescent="0.25"/>
    <row r="76248" customFormat="1" x14ac:dyDescent="0.25"/>
    <row r="76249" customFormat="1" x14ac:dyDescent="0.25"/>
    <row r="76250" customFormat="1" x14ac:dyDescent="0.25"/>
    <row r="76251" customFormat="1" x14ac:dyDescent="0.25"/>
    <row r="76252" customFormat="1" x14ac:dyDescent="0.25"/>
    <row r="76253" customFormat="1" x14ac:dyDescent="0.25"/>
    <row r="76254" customFormat="1" x14ac:dyDescent="0.25"/>
    <row r="76255" customFormat="1" x14ac:dyDescent="0.25"/>
    <row r="76256" customFormat="1" x14ac:dyDescent="0.25"/>
    <row r="76257" customFormat="1" x14ac:dyDescent="0.25"/>
    <row r="76258" customFormat="1" x14ac:dyDescent="0.25"/>
    <row r="76259" customFormat="1" x14ac:dyDescent="0.25"/>
    <row r="76260" customFormat="1" x14ac:dyDescent="0.25"/>
    <row r="76261" customFormat="1" x14ac:dyDescent="0.25"/>
    <row r="76262" customFormat="1" x14ac:dyDescent="0.25"/>
    <row r="76263" customFormat="1" x14ac:dyDescent="0.25"/>
    <row r="76264" customFormat="1" x14ac:dyDescent="0.25"/>
    <row r="76265" customFormat="1" x14ac:dyDescent="0.25"/>
    <row r="76266" customFormat="1" x14ac:dyDescent="0.25"/>
    <row r="76267" customFormat="1" x14ac:dyDescent="0.25"/>
    <row r="76268" customFormat="1" x14ac:dyDescent="0.25"/>
    <row r="76269" customFormat="1" x14ac:dyDescent="0.25"/>
    <row r="76270" customFormat="1" x14ac:dyDescent="0.25"/>
    <row r="76271" customFormat="1" x14ac:dyDescent="0.25"/>
    <row r="76272" customFormat="1" x14ac:dyDescent="0.25"/>
    <row r="76273" customFormat="1" x14ac:dyDescent="0.25"/>
    <row r="76274" customFormat="1" x14ac:dyDescent="0.25"/>
    <row r="76275" customFormat="1" x14ac:dyDescent="0.25"/>
    <row r="76276" customFormat="1" x14ac:dyDescent="0.25"/>
    <row r="76277" customFormat="1" x14ac:dyDescent="0.25"/>
    <row r="76278" customFormat="1" x14ac:dyDescent="0.25"/>
    <row r="76279" customFormat="1" x14ac:dyDescent="0.25"/>
    <row r="76280" customFormat="1" x14ac:dyDescent="0.25"/>
    <row r="76281" customFormat="1" x14ac:dyDescent="0.25"/>
    <row r="76282" customFormat="1" x14ac:dyDescent="0.25"/>
    <row r="76283" customFormat="1" x14ac:dyDescent="0.25"/>
    <row r="76284" customFormat="1" x14ac:dyDescent="0.25"/>
    <row r="76285" customFormat="1" x14ac:dyDescent="0.25"/>
    <row r="76286" customFormat="1" x14ac:dyDescent="0.25"/>
    <row r="76287" customFormat="1" x14ac:dyDescent="0.25"/>
    <row r="76288" customFormat="1" x14ac:dyDescent="0.25"/>
    <row r="76289" customFormat="1" x14ac:dyDescent="0.25"/>
    <row r="76290" customFormat="1" x14ac:dyDescent="0.25"/>
    <row r="76291" customFormat="1" x14ac:dyDescent="0.25"/>
    <row r="76292" customFormat="1" x14ac:dyDescent="0.25"/>
    <row r="76293" customFormat="1" x14ac:dyDescent="0.25"/>
    <row r="76294" customFormat="1" x14ac:dyDescent="0.25"/>
    <row r="76295" customFormat="1" x14ac:dyDescent="0.25"/>
    <row r="76296" customFormat="1" x14ac:dyDescent="0.25"/>
    <row r="76297" customFormat="1" x14ac:dyDescent="0.25"/>
    <row r="76298" customFormat="1" x14ac:dyDescent="0.25"/>
    <row r="76299" customFormat="1" x14ac:dyDescent="0.25"/>
    <row r="76300" customFormat="1" x14ac:dyDescent="0.25"/>
    <row r="76301" customFormat="1" x14ac:dyDescent="0.25"/>
    <row r="76302" customFormat="1" x14ac:dyDescent="0.25"/>
    <row r="76303" customFormat="1" x14ac:dyDescent="0.25"/>
    <row r="76304" customFormat="1" x14ac:dyDescent="0.25"/>
    <row r="76305" customFormat="1" x14ac:dyDescent="0.25"/>
    <row r="76306" customFormat="1" x14ac:dyDescent="0.25"/>
    <row r="76307" customFormat="1" x14ac:dyDescent="0.25"/>
    <row r="76308" customFormat="1" x14ac:dyDescent="0.25"/>
    <row r="76309" customFormat="1" x14ac:dyDescent="0.25"/>
    <row r="76310" customFormat="1" x14ac:dyDescent="0.25"/>
    <row r="76311" customFormat="1" x14ac:dyDescent="0.25"/>
    <row r="76312" customFormat="1" x14ac:dyDescent="0.25"/>
    <row r="76313" customFormat="1" x14ac:dyDescent="0.25"/>
    <row r="76314" customFormat="1" x14ac:dyDescent="0.25"/>
    <row r="76315" customFormat="1" x14ac:dyDescent="0.25"/>
    <row r="76316" customFormat="1" x14ac:dyDescent="0.25"/>
    <row r="76317" customFormat="1" x14ac:dyDescent="0.25"/>
    <row r="76318" customFormat="1" x14ac:dyDescent="0.25"/>
    <row r="76319" customFormat="1" x14ac:dyDescent="0.25"/>
    <row r="76320" customFormat="1" x14ac:dyDescent="0.25"/>
    <row r="76321" customFormat="1" x14ac:dyDescent="0.25"/>
    <row r="76322" customFormat="1" x14ac:dyDescent="0.25"/>
    <row r="76323" customFormat="1" x14ac:dyDescent="0.25"/>
    <row r="76324" customFormat="1" x14ac:dyDescent="0.25"/>
    <row r="76325" customFormat="1" x14ac:dyDescent="0.25"/>
    <row r="76326" customFormat="1" x14ac:dyDescent="0.25"/>
    <row r="76327" customFormat="1" x14ac:dyDescent="0.25"/>
    <row r="76328" customFormat="1" x14ac:dyDescent="0.25"/>
    <row r="76329" customFormat="1" x14ac:dyDescent="0.25"/>
    <row r="76330" customFormat="1" x14ac:dyDescent="0.25"/>
    <row r="76331" customFormat="1" x14ac:dyDescent="0.25"/>
    <row r="76332" customFormat="1" x14ac:dyDescent="0.25"/>
    <row r="76333" customFormat="1" x14ac:dyDescent="0.25"/>
    <row r="76334" customFormat="1" x14ac:dyDescent="0.25"/>
    <row r="76335" customFormat="1" x14ac:dyDescent="0.25"/>
    <row r="76336" customFormat="1" x14ac:dyDescent="0.25"/>
    <row r="76337" customFormat="1" x14ac:dyDescent="0.25"/>
    <row r="76338" customFormat="1" x14ac:dyDescent="0.25"/>
    <row r="76339" customFormat="1" x14ac:dyDescent="0.25"/>
    <row r="76340" customFormat="1" x14ac:dyDescent="0.25"/>
    <row r="76341" customFormat="1" x14ac:dyDescent="0.25"/>
    <row r="76342" customFormat="1" x14ac:dyDescent="0.25"/>
    <row r="76343" customFormat="1" x14ac:dyDescent="0.25"/>
    <row r="76344" customFormat="1" x14ac:dyDescent="0.25"/>
    <row r="76345" customFormat="1" x14ac:dyDescent="0.25"/>
    <row r="76346" customFormat="1" x14ac:dyDescent="0.25"/>
    <row r="76347" customFormat="1" x14ac:dyDescent="0.25"/>
    <row r="76348" customFormat="1" x14ac:dyDescent="0.25"/>
    <row r="76349" customFormat="1" x14ac:dyDescent="0.25"/>
    <row r="76350" customFormat="1" x14ac:dyDescent="0.25"/>
    <row r="76351" customFormat="1" x14ac:dyDescent="0.25"/>
    <row r="76352" customFormat="1" x14ac:dyDescent="0.25"/>
    <row r="76353" customFormat="1" x14ac:dyDescent="0.25"/>
    <row r="76354" customFormat="1" x14ac:dyDescent="0.25"/>
    <row r="76355" customFormat="1" x14ac:dyDescent="0.25"/>
    <row r="76356" customFormat="1" x14ac:dyDescent="0.25"/>
    <row r="76357" customFormat="1" x14ac:dyDescent="0.25"/>
    <row r="76358" customFormat="1" x14ac:dyDescent="0.25"/>
    <row r="76359" customFormat="1" x14ac:dyDescent="0.25"/>
    <row r="76360" customFormat="1" x14ac:dyDescent="0.25"/>
    <row r="76361" customFormat="1" x14ac:dyDescent="0.25"/>
    <row r="76362" customFormat="1" x14ac:dyDescent="0.25"/>
    <row r="76363" customFormat="1" x14ac:dyDescent="0.25"/>
    <row r="76364" customFormat="1" x14ac:dyDescent="0.25"/>
    <row r="76365" customFormat="1" x14ac:dyDescent="0.25"/>
    <row r="76366" customFormat="1" x14ac:dyDescent="0.25"/>
    <row r="76367" customFormat="1" x14ac:dyDescent="0.25"/>
    <row r="76368" customFormat="1" x14ac:dyDescent="0.25"/>
    <row r="76369" customFormat="1" x14ac:dyDescent="0.25"/>
    <row r="76370" customFormat="1" x14ac:dyDescent="0.25"/>
    <row r="76371" customFormat="1" x14ac:dyDescent="0.25"/>
    <row r="76372" customFormat="1" x14ac:dyDescent="0.25"/>
    <row r="76373" customFormat="1" x14ac:dyDescent="0.25"/>
    <row r="76374" customFormat="1" x14ac:dyDescent="0.25"/>
    <row r="76375" customFormat="1" x14ac:dyDescent="0.25"/>
    <row r="76376" customFormat="1" x14ac:dyDescent="0.25"/>
    <row r="76377" customFormat="1" x14ac:dyDescent="0.25"/>
    <row r="76378" customFormat="1" x14ac:dyDescent="0.25"/>
    <row r="76379" customFormat="1" x14ac:dyDescent="0.25"/>
    <row r="76380" customFormat="1" x14ac:dyDescent="0.25"/>
    <row r="76381" customFormat="1" x14ac:dyDescent="0.25"/>
    <row r="76382" customFormat="1" x14ac:dyDescent="0.25"/>
    <row r="76383" customFormat="1" x14ac:dyDescent="0.25"/>
    <row r="76384" customFormat="1" x14ac:dyDescent="0.25"/>
    <row r="76385" customFormat="1" x14ac:dyDescent="0.25"/>
    <row r="76386" customFormat="1" x14ac:dyDescent="0.25"/>
    <row r="76387" customFormat="1" x14ac:dyDescent="0.25"/>
    <row r="76388" customFormat="1" x14ac:dyDescent="0.25"/>
    <row r="76389" customFormat="1" x14ac:dyDescent="0.25"/>
    <row r="76390" customFormat="1" x14ac:dyDescent="0.25"/>
    <row r="76391" customFormat="1" x14ac:dyDescent="0.25"/>
    <row r="76392" customFormat="1" x14ac:dyDescent="0.25"/>
    <row r="76393" customFormat="1" x14ac:dyDescent="0.25"/>
    <row r="76394" customFormat="1" x14ac:dyDescent="0.25"/>
    <row r="76395" customFormat="1" x14ac:dyDescent="0.25"/>
    <row r="76396" customFormat="1" x14ac:dyDescent="0.25"/>
    <row r="76397" customFormat="1" x14ac:dyDescent="0.25"/>
    <row r="76398" customFormat="1" x14ac:dyDescent="0.25"/>
    <row r="76399" customFormat="1" x14ac:dyDescent="0.25"/>
    <row r="76400" customFormat="1" x14ac:dyDescent="0.25"/>
    <row r="76401" customFormat="1" x14ac:dyDescent="0.25"/>
    <row r="76402" customFormat="1" x14ac:dyDescent="0.25"/>
    <row r="76403" customFormat="1" x14ac:dyDescent="0.25"/>
    <row r="76404" customFormat="1" x14ac:dyDescent="0.25"/>
    <row r="76405" customFormat="1" x14ac:dyDescent="0.25"/>
    <row r="76406" customFormat="1" x14ac:dyDescent="0.25"/>
    <row r="76407" customFormat="1" x14ac:dyDescent="0.25"/>
    <row r="76408" customFormat="1" x14ac:dyDescent="0.25"/>
    <row r="76409" customFormat="1" x14ac:dyDescent="0.25"/>
    <row r="76410" customFormat="1" x14ac:dyDescent="0.25"/>
    <row r="76411" customFormat="1" x14ac:dyDescent="0.25"/>
    <row r="76412" customFormat="1" x14ac:dyDescent="0.25"/>
    <row r="76413" customFormat="1" x14ac:dyDescent="0.25"/>
    <row r="76414" customFormat="1" x14ac:dyDescent="0.25"/>
    <row r="76415" customFormat="1" x14ac:dyDescent="0.25"/>
    <row r="76416" customFormat="1" x14ac:dyDescent="0.25"/>
    <row r="76417" customFormat="1" x14ac:dyDescent="0.25"/>
    <row r="76418" customFormat="1" x14ac:dyDescent="0.25"/>
    <row r="76419" customFormat="1" x14ac:dyDescent="0.25"/>
    <row r="76420" customFormat="1" x14ac:dyDescent="0.25"/>
    <row r="76421" customFormat="1" x14ac:dyDescent="0.25"/>
    <row r="76422" customFormat="1" x14ac:dyDescent="0.25"/>
    <row r="76423" customFormat="1" x14ac:dyDescent="0.25"/>
    <row r="76424" customFormat="1" x14ac:dyDescent="0.25"/>
    <row r="76425" customFormat="1" x14ac:dyDescent="0.25"/>
    <row r="76426" customFormat="1" x14ac:dyDescent="0.25"/>
    <row r="76427" customFormat="1" x14ac:dyDescent="0.25"/>
    <row r="76428" customFormat="1" x14ac:dyDescent="0.25"/>
    <row r="76429" customFormat="1" x14ac:dyDescent="0.25"/>
    <row r="76430" customFormat="1" x14ac:dyDescent="0.25"/>
    <row r="76431" customFormat="1" x14ac:dyDescent="0.25"/>
    <row r="76432" customFormat="1" x14ac:dyDescent="0.25"/>
    <row r="76433" customFormat="1" x14ac:dyDescent="0.25"/>
    <row r="76434" customFormat="1" x14ac:dyDescent="0.25"/>
    <row r="76435" customFormat="1" x14ac:dyDescent="0.25"/>
    <row r="76436" customFormat="1" x14ac:dyDescent="0.25"/>
    <row r="76437" customFormat="1" x14ac:dyDescent="0.25"/>
    <row r="76438" customFormat="1" x14ac:dyDescent="0.25"/>
    <row r="76439" customFormat="1" x14ac:dyDescent="0.25"/>
    <row r="76440" customFormat="1" x14ac:dyDescent="0.25"/>
    <row r="76441" customFormat="1" x14ac:dyDescent="0.25"/>
    <row r="76442" customFormat="1" x14ac:dyDescent="0.25"/>
    <row r="76443" customFormat="1" x14ac:dyDescent="0.25"/>
    <row r="76444" customFormat="1" x14ac:dyDescent="0.25"/>
    <row r="76445" customFormat="1" x14ac:dyDescent="0.25"/>
    <row r="76446" customFormat="1" x14ac:dyDescent="0.25"/>
    <row r="76447" customFormat="1" x14ac:dyDescent="0.25"/>
    <row r="76448" customFormat="1" x14ac:dyDescent="0.25"/>
    <row r="76449" customFormat="1" x14ac:dyDescent="0.25"/>
    <row r="76450" customFormat="1" x14ac:dyDescent="0.25"/>
    <row r="76451" customFormat="1" x14ac:dyDescent="0.25"/>
    <row r="76452" customFormat="1" x14ac:dyDescent="0.25"/>
    <row r="76453" customFormat="1" x14ac:dyDescent="0.25"/>
    <row r="76454" customFormat="1" x14ac:dyDescent="0.25"/>
    <row r="76455" customFormat="1" x14ac:dyDescent="0.25"/>
    <row r="76456" customFormat="1" x14ac:dyDescent="0.25"/>
    <row r="76457" customFormat="1" x14ac:dyDescent="0.25"/>
    <row r="76458" customFormat="1" x14ac:dyDescent="0.25"/>
    <row r="76459" customFormat="1" x14ac:dyDescent="0.25"/>
    <row r="76460" customFormat="1" x14ac:dyDescent="0.25"/>
    <row r="76461" customFormat="1" x14ac:dyDescent="0.25"/>
    <row r="76462" customFormat="1" x14ac:dyDescent="0.25"/>
    <row r="76463" customFormat="1" x14ac:dyDescent="0.25"/>
    <row r="76464" customFormat="1" x14ac:dyDescent="0.25"/>
    <row r="76465" customFormat="1" x14ac:dyDescent="0.25"/>
    <row r="76466" customFormat="1" x14ac:dyDescent="0.25"/>
    <row r="76467" customFormat="1" x14ac:dyDescent="0.25"/>
    <row r="76468" customFormat="1" x14ac:dyDescent="0.25"/>
    <row r="76469" customFormat="1" x14ac:dyDescent="0.25"/>
    <row r="76470" customFormat="1" x14ac:dyDescent="0.25"/>
    <row r="76471" customFormat="1" x14ac:dyDescent="0.25"/>
    <row r="76472" customFormat="1" x14ac:dyDescent="0.25"/>
    <row r="76473" customFormat="1" x14ac:dyDescent="0.25"/>
    <row r="76474" customFormat="1" x14ac:dyDescent="0.25"/>
    <row r="76475" customFormat="1" x14ac:dyDescent="0.25"/>
    <row r="76476" customFormat="1" x14ac:dyDescent="0.25"/>
    <row r="76477" customFormat="1" x14ac:dyDescent="0.25"/>
    <row r="76478" customFormat="1" x14ac:dyDescent="0.25"/>
    <row r="76479" customFormat="1" x14ac:dyDescent="0.25"/>
    <row r="76480" customFormat="1" x14ac:dyDescent="0.25"/>
    <row r="76481" customFormat="1" x14ac:dyDescent="0.25"/>
    <row r="76482" customFormat="1" x14ac:dyDescent="0.25"/>
    <row r="76483" customFormat="1" x14ac:dyDescent="0.25"/>
    <row r="76484" customFormat="1" x14ac:dyDescent="0.25"/>
    <row r="76485" customFormat="1" x14ac:dyDescent="0.25"/>
    <row r="76486" customFormat="1" x14ac:dyDescent="0.25"/>
    <row r="76487" customFormat="1" x14ac:dyDescent="0.25"/>
    <row r="76488" customFormat="1" x14ac:dyDescent="0.25"/>
    <row r="76489" customFormat="1" x14ac:dyDescent="0.25"/>
    <row r="76490" customFormat="1" x14ac:dyDescent="0.25"/>
    <row r="76491" customFormat="1" x14ac:dyDescent="0.25"/>
    <row r="76492" customFormat="1" x14ac:dyDescent="0.25"/>
    <row r="76493" customFormat="1" x14ac:dyDescent="0.25"/>
    <row r="76494" customFormat="1" x14ac:dyDescent="0.25"/>
    <row r="76495" customFormat="1" x14ac:dyDescent="0.25"/>
    <row r="76496" customFormat="1" x14ac:dyDescent="0.25"/>
    <row r="76497" customFormat="1" x14ac:dyDescent="0.25"/>
    <row r="76498" customFormat="1" x14ac:dyDescent="0.25"/>
    <row r="76499" customFormat="1" x14ac:dyDescent="0.25"/>
    <row r="76500" customFormat="1" x14ac:dyDescent="0.25"/>
    <row r="76501" customFormat="1" x14ac:dyDescent="0.25"/>
    <row r="76502" customFormat="1" x14ac:dyDescent="0.25"/>
    <row r="76503" customFormat="1" x14ac:dyDescent="0.25"/>
    <row r="76504" customFormat="1" x14ac:dyDescent="0.25"/>
    <row r="76505" customFormat="1" x14ac:dyDescent="0.25"/>
    <row r="76506" customFormat="1" x14ac:dyDescent="0.25"/>
    <row r="76507" customFormat="1" x14ac:dyDescent="0.25"/>
    <row r="76508" customFormat="1" x14ac:dyDescent="0.25"/>
    <row r="76509" customFormat="1" x14ac:dyDescent="0.25"/>
    <row r="76510" customFormat="1" x14ac:dyDescent="0.25"/>
    <row r="76511" customFormat="1" x14ac:dyDescent="0.25"/>
    <row r="76512" customFormat="1" x14ac:dyDescent="0.25"/>
    <row r="76513" customFormat="1" x14ac:dyDescent="0.25"/>
    <row r="76514" customFormat="1" x14ac:dyDescent="0.25"/>
    <row r="76515" customFormat="1" x14ac:dyDescent="0.25"/>
    <row r="76516" customFormat="1" x14ac:dyDescent="0.25"/>
    <row r="76517" customFormat="1" x14ac:dyDescent="0.25"/>
    <row r="76518" customFormat="1" x14ac:dyDescent="0.25"/>
    <row r="76519" customFormat="1" x14ac:dyDescent="0.25"/>
    <row r="76520" customFormat="1" x14ac:dyDescent="0.25"/>
    <row r="76521" customFormat="1" x14ac:dyDescent="0.25"/>
    <row r="76522" customFormat="1" x14ac:dyDescent="0.25"/>
    <row r="76523" customFormat="1" x14ac:dyDescent="0.25"/>
    <row r="76524" customFormat="1" x14ac:dyDescent="0.25"/>
    <row r="76525" customFormat="1" x14ac:dyDescent="0.25"/>
    <row r="76526" customFormat="1" x14ac:dyDescent="0.25"/>
    <row r="76527" customFormat="1" x14ac:dyDescent="0.25"/>
    <row r="76528" customFormat="1" x14ac:dyDescent="0.25"/>
    <row r="76529" customFormat="1" x14ac:dyDescent="0.25"/>
    <row r="76530" customFormat="1" x14ac:dyDescent="0.25"/>
    <row r="76531" customFormat="1" x14ac:dyDescent="0.25"/>
    <row r="76532" customFormat="1" x14ac:dyDescent="0.25"/>
    <row r="76533" customFormat="1" x14ac:dyDescent="0.25"/>
    <row r="76534" customFormat="1" x14ac:dyDescent="0.25"/>
    <row r="76535" customFormat="1" x14ac:dyDescent="0.25"/>
    <row r="76536" customFormat="1" x14ac:dyDescent="0.25"/>
    <row r="76537" customFormat="1" x14ac:dyDescent="0.25"/>
    <row r="76538" customFormat="1" x14ac:dyDescent="0.25"/>
    <row r="76539" customFormat="1" x14ac:dyDescent="0.25"/>
    <row r="76540" customFormat="1" x14ac:dyDescent="0.25"/>
    <row r="76541" customFormat="1" x14ac:dyDescent="0.25"/>
    <row r="76542" customFormat="1" x14ac:dyDescent="0.25"/>
    <row r="76543" customFormat="1" x14ac:dyDescent="0.25"/>
    <row r="76544" customFormat="1" x14ac:dyDescent="0.25"/>
    <row r="76545" customFormat="1" x14ac:dyDescent="0.25"/>
    <row r="76546" customFormat="1" x14ac:dyDescent="0.25"/>
    <row r="76547" customFormat="1" x14ac:dyDescent="0.25"/>
    <row r="76548" customFormat="1" x14ac:dyDescent="0.25"/>
    <row r="76549" customFormat="1" x14ac:dyDescent="0.25"/>
    <row r="76550" customFormat="1" x14ac:dyDescent="0.25"/>
    <row r="76551" customFormat="1" x14ac:dyDescent="0.25"/>
    <row r="76552" customFormat="1" x14ac:dyDescent="0.25"/>
    <row r="76553" customFormat="1" x14ac:dyDescent="0.25"/>
    <row r="76554" customFormat="1" x14ac:dyDescent="0.25"/>
    <row r="76555" customFormat="1" x14ac:dyDescent="0.25"/>
    <row r="76556" customFormat="1" x14ac:dyDescent="0.25"/>
    <row r="76557" customFormat="1" x14ac:dyDescent="0.25"/>
    <row r="76558" customFormat="1" x14ac:dyDescent="0.25"/>
    <row r="76559" customFormat="1" x14ac:dyDescent="0.25"/>
    <row r="76560" customFormat="1" x14ac:dyDescent="0.25"/>
    <row r="76561" customFormat="1" x14ac:dyDescent="0.25"/>
    <row r="76562" customFormat="1" x14ac:dyDescent="0.25"/>
    <row r="76563" customFormat="1" x14ac:dyDescent="0.25"/>
    <row r="76564" customFormat="1" x14ac:dyDescent="0.25"/>
    <row r="76565" customFormat="1" x14ac:dyDescent="0.25"/>
    <row r="76566" customFormat="1" x14ac:dyDescent="0.25"/>
    <row r="76567" customFormat="1" x14ac:dyDescent="0.25"/>
    <row r="76568" customFormat="1" x14ac:dyDescent="0.25"/>
    <row r="76569" customFormat="1" x14ac:dyDescent="0.25"/>
    <row r="76570" customFormat="1" x14ac:dyDescent="0.25"/>
    <row r="76571" customFormat="1" x14ac:dyDescent="0.25"/>
    <row r="76572" customFormat="1" x14ac:dyDescent="0.25"/>
    <row r="76573" customFormat="1" x14ac:dyDescent="0.25"/>
    <row r="76574" customFormat="1" x14ac:dyDescent="0.25"/>
    <row r="76575" customFormat="1" x14ac:dyDescent="0.25"/>
    <row r="76576" customFormat="1" x14ac:dyDescent="0.25"/>
    <row r="76577" customFormat="1" x14ac:dyDescent="0.25"/>
    <row r="76578" customFormat="1" x14ac:dyDescent="0.25"/>
    <row r="76579" customFormat="1" x14ac:dyDescent="0.25"/>
    <row r="76580" customFormat="1" x14ac:dyDescent="0.25"/>
    <row r="76581" customFormat="1" x14ac:dyDescent="0.25"/>
    <row r="76582" customFormat="1" x14ac:dyDescent="0.25"/>
    <row r="76583" customFormat="1" x14ac:dyDescent="0.25"/>
    <row r="76584" customFormat="1" x14ac:dyDescent="0.25"/>
    <row r="76585" customFormat="1" x14ac:dyDescent="0.25"/>
    <row r="76586" customFormat="1" x14ac:dyDescent="0.25"/>
    <row r="76587" customFormat="1" x14ac:dyDescent="0.25"/>
    <row r="76588" customFormat="1" x14ac:dyDescent="0.25"/>
    <row r="76589" customFormat="1" x14ac:dyDescent="0.25"/>
    <row r="76590" customFormat="1" x14ac:dyDescent="0.25"/>
    <row r="76591" customFormat="1" x14ac:dyDescent="0.25"/>
    <row r="76592" customFormat="1" x14ac:dyDescent="0.25"/>
    <row r="76593" customFormat="1" x14ac:dyDescent="0.25"/>
    <row r="76594" customFormat="1" x14ac:dyDescent="0.25"/>
    <row r="76595" customFormat="1" x14ac:dyDescent="0.25"/>
    <row r="76596" customFormat="1" x14ac:dyDescent="0.25"/>
    <row r="76597" customFormat="1" x14ac:dyDescent="0.25"/>
    <row r="76598" customFormat="1" x14ac:dyDescent="0.25"/>
    <row r="76599" customFormat="1" x14ac:dyDescent="0.25"/>
    <row r="76600" customFormat="1" x14ac:dyDescent="0.25"/>
    <row r="76601" customFormat="1" x14ac:dyDescent="0.25"/>
    <row r="76602" customFormat="1" x14ac:dyDescent="0.25"/>
    <row r="76603" customFormat="1" x14ac:dyDescent="0.25"/>
    <row r="76604" customFormat="1" x14ac:dyDescent="0.25"/>
    <row r="76605" customFormat="1" x14ac:dyDescent="0.25"/>
    <row r="76606" customFormat="1" x14ac:dyDescent="0.25"/>
    <row r="76607" customFormat="1" x14ac:dyDescent="0.25"/>
    <row r="76608" customFormat="1" x14ac:dyDescent="0.25"/>
    <row r="76609" customFormat="1" x14ac:dyDescent="0.25"/>
    <row r="76610" customFormat="1" x14ac:dyDescent="0.25"/>
    <row r="76611" customFormat="1" x14ac:dyDescent="0.25"/>
    <row r="76612" customFormat="1" x14ac:dyDescent="0.25"/>
    <row r="76613" customFormat="1" x14ac:dyDescent="0.25"/>
    <row r="76614" customFormat="1" x14ac:dyDescent="0.25"/>
    <row r="76615" customFormat="1" x14ac:dyDescent="0.25"/>
    <row r="76616" customFormat="1" x14ac:dyDescent="0.25"/>
    <row r="76617" customFormat="1" x14ac:dyDescent="0.25"/>
    <row r="76618" customFormat="1" x14ac:dyDescent="0.25"/>
    <row r="76619" customFormat="1" x14ac:dyDescent="0.25"/>
    <row r="76620" customFormat="1" x14ac:dyDescent="0.25"/>
    <row r="76621" customFormat="1" x14ac:dyDescent="0.25"/>
    <row r="76622" customFormat="1" x14ac:dyDescent="0.25"/>
    <row r="76623" customFormat="1" x14ac:dyDescent="0.25"/>
    <row r="76624" customFormat="1" x14ac:dyDescent="0.25"/>
    <row r="76625" customFormat="1" x14ac:dyDescent="0.25"/>
    <row r="76626" customFormat="1" x14ac:dyDescent="0.25"/>
    <row r="76627" customFormat="1" x14ac:dyDescent="0.25"/>
    <row r="76628" customFormat="1" x14ac:dyDescent="0.25"/>
    <row r="76629" customFormat="1" x14ac:dyDescent="0.25"/>
    <row r="76630" customFormat="1" x14ac:dyDescent="0.25"/>
    <row r="76631" customFormat="1" x14ac:dyDescent="0.25"/>
    <row r="76632" customFormat="1" x14ac:dyDescent="0.25"/>
    <row r="76633" customFormat="1" x14ac:dyDescent="0.25"/>
    <row r="76634" customFormat="1" x14ac:dyDescent="0.25"/>
    <row r="76635" customFormat="1" x14ac:dyDescent="0.25"/>
    <row r="76636" customFormat="1" x14ac:dyDescent="0.25"/>
    <row r="76637" customFormat="1" x14ac:dyDescent="0.25"/>
    <row r="76638" customFormat="1" x14ac:dyDescent="0.25"/>
    <row r="76639" customFormat="1" x14ac:dyDescent="0.25"/>
    <row r="76640" customFormat="1" x14ac:dyDescent="0.25"/>
    <row r="76641" customFormat="1" x14ac:dyDescent="0.25"/>
    <row r="76642" customFormat="1" x14ac:dyDescent="0.25"/>
    <row r="76643" customFormat="1" x14ac:dyDescent="0.25"/>
    <row r="76644" customFormat="1" x14ac:dyDescent="0.25"/>
    <row r="76645" customFormat="1" x14ac:dyDescent="0.25"/>
    <row r="76646" customFormat="1" x14ac:dyDescent="0.25"/>
    <row r="76647" customFormat="1" x14ac:dyDescent="0.25"/>
    <row r="76648" customFormat="1" x14ac:dyDescent="0.25"/>
    <row r="76649" customFormat="1" x14ac:dyDescent="0.25"/>
    <row r="76650" customFormat="1" x14ac:dyDescent="0.25"/>
    <row r="76651" customFormat="1" x14ac:dyDescent="0.25"/>
    <row r="76652" customFormat="1" x14ac:dyDescent="0.25"/>
    <row r="76653" customFormat="1" x14ac:dyDescent="0.25"/>
    <row r="76654" customFormat="1" x14ac:dyDescent="0.25"/>
    <row r="76655" customFormat="1" x14ac:dyDescent="0.25"/>
    <row r="76656" customFormat="1" x14ac:dyDescent="0.25"/>
    <row r="76657" customFormat="1" x14ac:dyDescent="0.25"/>
    <row r="76658" customFormat="1" x14ac:dyDescent="0.25"/>
    <row r="76659" customFormat="1" x14ac:dyDescent="0.25"/>
    <row r="76660" customFormat="1" x14ac:dyDescent="0.25"/>
    <row r="76661" customFormat="1" x14ac:dyDescent="0.25"/>
    <row r="76662" customFormat="1" x14ac:dyDescent="0.25"/>
    <row r="76663" customFormat="1" x14ac:dyDescent="0.25"/>
    <row r="76664" customFormat="1" x14ac:dyDescent="0.25"/>
    <row r="76665" customFormat="1" x14ac:dyDescent="0.25"/>
    <row r="76666" customFormat="1" x14ac:dyDescent="0.25"/>
    <row r="76667" customFormat="1" x14ac:dyDescent="0.25"/>
    <row r="76668" customFormat="1" x14ac:dyDescent="0.25"/>
    <row r="76669" customFormat="1" x14ac:dyDescent="0.25"/>
    <row r="76670" customFormat="1" x14ac:dyDescent="0.25"/>
    <row r="76671" customFormat="1" x14ac:dyDescent="0.25"/>
    <row r="76672" customFormat="1" x14ac:dyDescent="0.25"/>
    <row r="76673" customFormat="1" x14ac:dyDescent="0.25"/>
    <row r="76674" customFormat="1" x14ac:dyDescent="0.25"/>
    <row r="76675" customFormat="1" x14ac:dyDescent="0.25"/>
    <row r="76676" customFormat="1" x14ac:dyDescent="0.25"/>
    <row r="76677" customFormat="1" x14ac:dyDescent="0.25"/>
    <row r="76678" customFormat="1" x14ac:dyDescent="0.25"/>
    <row r="76679" customFormat="1" x14ac:dyDescent="0.25"/>
    <row r="76680" customFormat="1" x14ac:dyDescent="0.25"/>
    <row r="76681" customFormat="1" x14ac:dyDescent="0.25"/>
    <row r="76682" customFormat="1" x14ac:dyDescent="0.25"/>
    <row r="76683" customFormat="1" x14ac:dyDescent="0.25"/>
    <row r="76684" customFormat="1" x14ac:dyDescent="0.25"/>
    <row r="76685" customFormat="1" x14ac:dyDescent="0.25"/>
    <row r="76686" customFormat="1" x14ac:dyDescent="0.25"/>
    <row r="76687" customFormat="1" x14ac:dyDescent="0.25"/>
    <row r="76688" customFormat="1" x14ac:dyDescent="0.25"/>
    <row r="76689" customFormat="1" x14ac:dyDescent="0.25"/>
    <row r="76690" customFormat="1" x14ac:dyDescent="0.25"/>
    <row r="76691" customFormat="1" x14ac:dyDescent="0.25"/>
    <row r="76692" customFormat="1" x14ac:dyDescent="0.25"/>
    <row r="76693" customFormat="1" x14ac:dyDescent="0.25"/>
    <row r="76694" customFormat="1" x14ac:dyDescent="0.25"/>
    <row r="76695" customFormat="1" x14ac:dyDescent="0.25"/>
    <row r="76696" customFormat="1" x14ac:dyDescent="0.25"/>
    <row r="76697" customFormat="1" x14ac:dyDescent="0.25"/>
    <row r="76698" customFormat="1" x14ac:dyDescent="0.25"/>
    <row r="76699" customFormat="1" x14ac:dyDescent="0.25"/>
    <row r="76700" customFormat="1" x14ac:dyDescent="0.25"/>
    <row r="76701" customFormat="1" x14ac:dyDescent="0.25"/>
    <row r="76702" customFormat="1" x14ac:dyDescent="0.25"/>
    <row r="76703" customFormat="1" x14ac:dyDescent="0.25"/>
    <row r="76704" customFormat="1" x14ac:dyDescent="0.25"/>
    <row r="76705" customFormat="1" x14ac:dyDescent="0.25"/>
    <row r="76706" customFormat="1" x14ac:dyDescent="0.25"/>
    <row r="76707" customFormat="1" x14ac:dyDescent="0.25"/>
    <row r="76708" customFormat="1" x14ac:dyDescent="0.25"/>
    <row r="76709" customFormat="1" x14ac:dyDescent="0.25"/>
    <row r="76710" customFormat="1" x14ac:dyDescent="0.25"/>
    <row r="76711" customFormat="1" x14ac:dyDescent="0.25"/>
    <row r="76712" customFormat="1" x14ac:dyDescent="0.25"/>
    <row r="76713" customFormat="1" x14ac:dyDescent="0.25"/>
    <row r="76714" customFormat="1" x14ac:dyDescent="0.25"/>
    <row r="76715" customFormat="1" x14ac:dyDescent="0.25"/>
    <row r="76716" customFormat="1" x14ac:dyDescent="0.25"/>
    <row r="76717" customFormat="1" x14ac:dyDescent="0.25"/>
    <row r="76718" customFormat="1" x14ac:dyDescent="0.25"/>
    <row r="76719" customFormat="1" x14ac:dyDescent="0.25"/>
    <row r="76720" customFormat="1" x14ac:dyDescent="0.25"/>
    <row r="76721" customFormat="1" x14ac:dyDescent="0.25"/>
    <row r="76722" customFormat="1" x14ac:dyDescent="0.25"/>
    <row r="76723" customFormat="1" x14ac:dyDescent="0.25"/>
    <row r="76724" customFormat="1" x14ac:dyDescent="0.25"/>
    <row r="76725" customFormat="1" x14ac:dyDescent="0.25"/>
    <row r="76726" customFormat="1" x14ac:dyDescent="0.25"/>
    <row r="76727" customFormat="1" x14ac:dyDescent="0.25"/>
    <row r="76728" customFormat="1" x14ac:dyDescent="0.25"/>
    <row r="76729" customFormat="1" x14ac:dyDescent="0.25"/>
    <row r="76730" customFormat="1" x14ac:dyDescent="0.25"/>
    <row r="76731" customFormat="1" x14ac:dyDescent="0.25"/>
    <row r="76732" customFormat="1" x14ac:dyDescent="0.25"/>
    <row r="76733" customFormat="1" x14ac:dyDescent="0.25"/>
    <row r="76734" customFormat="1" x14ac:dyDescent="0.25"/>
    <row r="76735" customFormat="1" x14ac:dyDescent="0.25"/>
    <row r="76736" customFormat="1" x14ac:dyDescent="0.25"/>
    <row r="76737" customFormat="1" x14ac:dyDescent="0.25"/>
    <row r="76738" customFormat="1" x14ac:dyDescent="0.25"/>
    <row r="76739" customFormat="1" x14ac:dyDescent="0.25"/>
    <row r="76740" customFormat="1" x14ac:dyDescent="0.25"/>
    <row r="76741" customFormat="1" x14ac:dyDescent="0.25"/>
    <row r="76742" customFormat="1" x14ac:dyDescent="0.25"/>
    <row r="76743" customFormat="1" x14ac:dyDescent="0.25"/>
    <row r="76744" customFormat="1" x14ac:dyDescent="0.25"/>
    <row r="76745" customFormat="1" x14ac:dyDescent="0.25"/>
    <row r="76746" customFormat="1" x14ac:dyDescent="0.25"/>
    <row r="76747" customFormat="1" x14ac:dyDescent="0.25"/>
    <row r="76748" customFormat="1" x14ac:dyDescent="0.25"/>
    <row r="76749" customFormat="1" x14ac:dyDescent="0.25"/>
    <row r="76750" customFormat="1" x14ac:dyDescent="0.25"/>
    <row r="76751" customFormat="1" x14ac:dyDescent="0.25"/>
    <row r="76752" customFormat="1" x14ac:dyDescent="0.25"/>
    <row r="76753" customFormat="1" x14ac:dyDescent="0.25"/>
    <row r="76754" customFormat="1" x14ac:dyDescent="0.25"/>
    <row r="76755" customFormat="1" x14ac:dyDescent="0.25"/>
    <row r="76756" customFormat="1" x14ac:dyDescent="0.25"/>
    <row r="76757" customFormat="1" x14ac:dyDescent="0.25"/>
    <row r="76758" customFormat="1" x14ac:dyDescent="0.25"/>
    <row r="76759" customFormat="1" x14ac:dyDescent="0.25"/>
    <row r="76760" customFormat="1" x14ac:dyDescent="0.25"/>
    <row r="76761" customFormat="1" x14ac:dyDescent="0.25"/>
    <row r="76762" customFormat="1" x14ac:dyDescent="0.25"/>
    <row r="76763" customFormat="1" x14ac:dyDescent="0.25"/>
    <row r="76764" customFormat="1" x14ac:dyDescent="0.25"/>
    <row r="76765" customFormat="1" x14ac:dyDescent="0.25"/>
    <row r="76766" customFormat="1" x14ac:dyDescent="0.25"/>
    <row r="76767" customFormat="1" x14ac:dyDescent="0.25"/>
    <row r="76768" customFormat="1" x14ac:dyDescent="0.25"/>
    <row r="76769" customFormat="1" x14ac:dyDescent="0.25"/>
    <row r="76770" customFormat="1" x14ac:dyDescent="0.25"/>
    <row r="76771" customFormat="1" x14ac:dyDescent="0.25"/>
    <row r="76772" customFormat="1" x14ac:dyDescent="0.25"/>
    <row r="76773" customFormat="1" x14ac:dyDescent="0.25"/>
    <row r="76774" customFormat="1" x14ac:dyDescent="0.25"/>
    <row r="76775" customFormat="1" x14ac:dyDescent="0.25"/>
    <row r="76776" customFormat="1" x14ac:dyDescent="0.25"/>
    <row r="76777" customFormat="1" x14ac:dyDescent="0.25"/>
    <row r="76778" customFormat="1" x14ac:dyDescent="0.25"/>
    <row r="76779" customFormat="1" x14ac:dyDescent="0.25"/>
    <row r="76780" customFormat="1" x14ac:dyDescent="0.25"/>
    <row r="76781" customFormat="1" x14ac:dyDescent="0.25"/>
    <row r="76782" customFormat="1" x14ac:dyDescent="0.25"/>
    <row r="76783" customFormat="1" x14ac:dyDescent="0.25"/>
    <row r="76784" customFormat="1" x14ac:dyDescent="0.25"/>
    <row r="76785" customFormat="1" x14ac:dyDescent="0.25"/>
    <row r="76786" customFormat="1" x14ac:dyDescent="0.25"/>
    <row r="76787" customFormat="1" x14ac:dyDescent="0.25"/>
    <row r="76788" customFormat="1" x14ac:dyDescent="0.25"/>
    <row r="76789" customFormat="1" x14ac:dyDescent="0.25"/>
    <row r="76790" customFormat="1" x14ac:dyDescent="0.25"/>
    <row r="76791" customFormat="1" x14ac:dyDescent="0.25"/>
    <row r="76792" customFormat="1" x14ac:dyDescent="0.25"/>
    <row r="76793" customFormat="1" x14ac:dyDescent="0.25"/>
    <row r="76794" customFormat="1" x14ac:dyDescent="0.25"/>
    <row r="76795" customFormat="1" x14ac:dyDescent="0.25"/>
    <row r="76796" customFormat="1" x14ac:dyDescent="0.25"/>
    <row r="76797" customFormat="1" x14ac:dyDescent="0.25"/>
    <row r="76798" customFormat="1" x14ac:dyDescent="0.25"/>
    <row r="76799" customFormat="1" x14ac:dyDescent="0.25"/>
    <row r="76800" customFormat="1" x14ac:dyDescent="0.25"/>
    <row r="76801" customFormat="1" x14ac:dyDescent="0.25"/>
    <row r="76802" customFormat="1" x14ac:dyDescent="0.25"/>
    <row r="76803" customFormat="1" x14ac:dyDescent="0.25"/>
    <row r="76804" customFormat="1" x14ac:dyDescent="0.25"/>
    <row r="76805" customFormat="1" x14ac:dyDescent="0.25"/>
    <row r="76806" customFormat="1" x14ac:dyDescent="0.25"/>
    <row r="76807" customFormat="1" x14ac:dyDescent="0.25"/>
    <row r="76808" customFormat="1" x14ac:dyDescent="0.25"/>
    <row r="76809" customFormat="1" x14ac:dyDescent="0.25"/>
    <row r="76810" customFormat="1" x14ac:dyDescent="0.25"/>
    <row r="76811" customFormat="1" x14ac:dyDescent="0.25"/>
    <row r="76812" customFormat="1" x14ac:dyDescent="0.25"/>
    <row r="76813" customFormat="1" x14ac:dyDescent="0.25"/>
    <row r="76814" customFormat="1" x14ac:dyDescent="0.25"/>
    <row r="76815" customFormat="1" x14ac:dyDescent="0.25"/>
    <row r="76816" customFormat="1" x14ac:dyDescent="0.25"/>
    <row r="76817" customFormat="1" x14ac:dyDescent="0.25"/>
    <row r="76818" customFormat="1" x14ac:dyDescent="0.25"/>
    <row r="76819" customFormat="1" x14ac:dyDescent="0.25"/>
    <row r="76820" customFormat="1" x14ac:dyDescent="0.25"/>
    <row r="76821" customFormat="1" x14ac:dyDescent="0.25"/>
    <row r="76822" customFormat="1" x14ac:dyDescent="0.25"/>
    <row r="76823" customFormat="1" x14ac:dyDescent="0.25"/>
    <row r="76824" customFormat="1" x14ac:dyDescent="0.25"/>
    <row r="76825" customFormat="1" x14ac:dyDescent="0.25"/>
    <row r="76826" customFormat="1" x14ac:dyDescent="0.25"/>
    <row r="76827" customFormat="1" x14ac:dyDescent="0.25"/>
    <row r="76828" customFormat="1" x14ac:dyDescent="0.25"/>
    <row r="76829" customFormat="1" x14ac:dyDescent="0.25"/>
    <row r="76830" customFormat="1" x14ac:dyDescent="0.25"/>
    <row r="76831" customFormat="1" x14ac:dyDescent="0.25"/>
    <row r="76832" customFormat="1" x14ac:dyDescent="0.25"/>
    <row r="76833" customFormat="1" x14ac:dyDescent="0.25"/>
    <row r="76834" customFormat="1" x14ac:dyDescent="0.25"/>
    <row r="76835" customFormat="1" x14ac:dyDescent="0.25"/>
    <row r="76836" customFormat="1" x14ac:dyDescent="0.25"/>
    <row r="76837" customFormat="1" x14ac:dyDescent="0.25"/>
    <row r="76838" customFormat="1" x14ac:dyDescent="0.25"/>
    <row r="76839" customFormat="1" x14ac:dyDescent="0.25"/>
    <row r="76840" customFormat="1" x14ac:dyDescent="0.25"/>
    <row r="76841" customFormat="1" x14ac:dyDescent="0.25"/>
    <row r="76842" customFormat="1" x14ac:dyDescent="0.25"/>
    <row r="76843" customFormat="1" x14ac:dyDescent="0.25"/>
    <row r="76844" customFormat="1" x14ac:dyDescent="0.25"/>
    <row r="76845" customFormat="1" x14ac:dyDescent="0.25"/>
    <row r="76846" customFormat="1" x14ac:dyDescent="0.25"/>
    <row r="76847" customFormat="1" x14ac:dyDescent="0.25"/>
    <row r="76848" customFormat="1" x14ac:dyDescent="0.25"/>
    <row r="76849" customFormat="1" x14ac:dyDescent="0.25"/>
    <row r="76850" customFormat="1" x14ac:dyDescent="0.25"/>
    <row r="76851" customFormat="1" x14ac:dyDescent="0.25"/>
    <row r="76852" customFormat="1" x14ac:dyDescent="0.25"/>
    <row r="76853" customFormat="1" x14ac:dyDescent="0.25"/>
    <row r="76854" customFormat="1" x14ac:dyDescent="0.25"/>
    <row r="76855" customFormat="1" x14ac:dyDescent="0.25"/>
    <row r="76856" customFormat="1" x14ac:dyDescent="0.25"/>
    <row r="76857" customFormat="1" x14ac:dyDescent="0.25"/>
    <row r="76858" customFormat="1" x14ac:dyDescent="0.25"/>
    <row r="76859" customFormat="1" x14ac:dyDescent="0.25"/>
    <row r="76860" customFormat="1" x14ac:dyDescent="0.25"/>
    <row r="76861" customFormat="1" x14ac:dyDescent="0.25"/>
    <row r="76862" customFormat="1" x14ac:dyDescent="0.25"/>
    <row r="76863" customFormat="1" x14ac:dyDescent="0.25"/>
    <row r="76864" customFormat="1" x14ac:dyDescent="0.25"/>
    <row r="76865" customFormat="1" x14ac:dyDescent="0.25"/>
    <row r="76866" customFormat="1" x14ac:dyDescent="0.25"/>
    <row r="76867" customFormat="1" x14ac:dyDescent="0.25"/>
    <row r="76868" customFormat="1" x14ac:dyDescent="0.25"/>
    <row r="76869" customFormat="1" x14ac:dyDescent="0.25"/>
    <row r="76870" customFormat="1" x14ac:dyDescent="0.25"/>
    <row r="76871" customFormat="1" x14ac:dyDescent="0.25"/>
    <row r="76872" customFormat="1" x14ac:dyDescent="0.25"/>
    <row r="76873" customFormat="1" x14ac:dyDescent="0.25"/>
    <row r="76874" customFormat="1" x14ac:dyDescent="0.25"/>
    <row r="76875" customFormat="1" x14ac:dyDescent="0.25"/>
    <row r="76876" customFormat="1" x14ac:dyDescent="0.25"/>
    <row r="76877" customFormat="1" x14ac:dyDescent="0.25"/>
    <row r="76878" customFormat="1" x14ac:dyDescent="0.25"/>
    <row r="76879" customFormat="1" x14ac:dyDescent="0.25"/>
    <row r="76880" customFormat="1" x14ac:dyDescent="0.25"/>
    <row r="76881" customFormat="1" x14ac:dyDescent="0.25"/>
    <row r="76882" customFormat="1" x14ac:dyDescent="0.25"/>
    <row r="76883" customFormat="1" x14ac:dyDescent="0.25"/>
    <row r="76884" customFormat="1" x14ac:dyDescent="0.25"/>
    <row r="76885" customFormat="1" x14ac:dyDescent="0.25"/>
    <row r="76886" customFormat="1" x14ac:dyDescent="0.25"/>
    <row r="76887" customFormat="1" x14ac:dyDescent="0.25"/>
    <row r="76888" customFormat="1" x14ac:dyDescent="0.25"/>
    <row r="76889" customFormat="1" x14ac:dyDescent="0.25"/>
    <row r="76890" customFormat="1" x14ac:dyDescent="0.25"/>
    <row r="76891" customFormat="1" x14ac:dyDescent="0.25"/>
    <row r="76892" customFormat="1" x14ac:dyDescent="0.25"/>
    <row r="76893" customFormat="1" x14ac:dyDescent="0.25"/>
    <row r="76894" customFormat="1" x14ac:dyDescent="0.25"/>
    <row r="76895" customFormat="1" x14ac:dyDescent="0.25"/>
    <row r="76896" customFormat="1" x14ac:dyDescent="0.25"/>
    <row r="76897" customFormat="1" x14ac:dyDescent="0.25"/>
    <row r="76898" customFormat="1" x14ac:dyDescent="0.25"/>
    <row r="76899" customFormat="1" x14ac:dyDescent="0.25"/>
    <row r="76900" customFormat="1" x14ac:dyDescent="0.25"/>
    <row r="76901" customFormat="1" x14ac:dyDescent="0.25"/>
    <row r="76902" customFormat="1" x14ac:dyDescent="0.25"/>
    <row r="76903" customFormat="1" x14ac:dyDescent="0.25"/>
    <row r="76904" customFormat="1" x14ac:dyDescent="0.25"/>
    <row r="76905" customFormat="1" x14ac:dyDescent="0.25"/>
    <row r="76906" customFormat="1" x14ac:dyDescent="0.25"/>
    <row r="76907" customFormat="1" x14ac:dyDescent="0.25"/>
    <row r="76908" customFormat="1" x14ac:dyDescent="0.25"/>
    <row r="76909" customFormat="1" x14ac:dyDescent="0.25"/>
    <row r="76910" customFormat="1" x14ac:dyDescent="0.25"/>
    <row r="76911" customFormat="1" x14ac:dyDescent="0.25"/>
    <row r="76912" customFormat="1" x14ac:dyDescent="0.25"/>
    <row r="76913" customFormat="1" x14ac:dyDescent="0.25"/>
    <row r="76914" customFormat="1" x14ac:dyDescent="0.25"/>
    <row r="76915" customFormat="1" x14ac:dyDescent="0.25"/>
    <row r="76916" customFormat="1" x14ac:dyDescent="0.25"/>
    <row r="76917" customFormat="1" x14ac:dyDescent="0.25"/>
    <row r="76918" customFormat="1" x14ac:dyDescent="0.25"/>
    <row r="76919" customFormat="1" x14ac:dyDescent="0.25"/>
    <row r="76920" customFormat="1" x14ac:dyDescent="0.25"/>
    <row r="76921" customFormat="1" x14ac:dyDescent="0.25"/>
    <row r="76922" customFormat="1" x14ac:dyDescent="0.25"/>
    <row r="76923" customFormat="1" x14ac:dyDescent="0.25"/>
    <row r="76924" customFormat="1" x14ac:dyDescent="0.25"/>
    <row r="76925" customFormat="1" x14ac:dyDescent="0.25"/>
    <row r="76926" customFormat="1" x14ac:dyDescent="0.25"/>
    <row r="76927" customFormat="1" x14ac:dyDescent="0.25"/>
    <row r="76928" customFormat="1" x14ac:dyDescent="0.25"/>
    <row r="76929" customFormat="1" x14ac:dyDescent="0.25"/>
    <row r="76930" customFormat="1" x14ac:dyDescent="0.25"/>
    <row r="76931" customFormat="1" x14ac:dyDescent="0.25"/>
    <row r="76932" customFormat="1" x14ac:dyDescent="0.25"/>
    <row r="76933" customFormat="1" x14ac:dyDescent="0.25"/>
    <row r="76934" customFormat="1" x14ac:dyDescent="0.25"/>
    <row r="76935" customFormat="1" x14ac:dyDescent="0.25"/>
    <row r="76936" customFormat="1" x14ac:dyDescent="0.25"/>
    <row r="76937" customFormat="1" x14ac:dyDescent="0.25"/>
    <row r="76938" customFormat="1" x14ac:dyDescent="0.25"/>
    <row r="76939" customFormat="1" x14ac:dyDescent="0.25"/>
    <row r="76940" customFormat="1" x14ac:dyDescent="0.25"/>
    <row r="76941" customFormat="1" x14ac:dyDescent="0.25"/>
    <row r="76942" customFormat="1" x14ac:dyDescent="0.25"/>
    <row r="76943" customFormat="1" x14ac:dyDescent="0.25"/>
    <row r="76944" customFormat="1" x14ac:dyDescent="0.25"/>
    <row r="76945" customFormat="1" x14ac:dyDescent="0.25"/>
    <row r="76946" customFormat="1" x14ac:dyDescent="0.25"/>
    <row r="76947" customFormat="1" x14ac:dyDescent="0.25"/>
    <row r="76948" customFormat="1" x14ac:dyDescent="0.25"/>
    <row r="76949" customFormat="1" x14ac:dyDescent="0.25"/>
    <row r="76950" customFormat="1" x14ac:dyDescent="0.25"/>
    <row r="76951" customFormat="1" x14ac:dyDescent="0.25"/>
    <row r="76952" customFormat="1" x14ac:dyDescent="0.25"/>
    <row r="76953" customFormat="1" x14ac:dyDescent="0.25"/>
    <row r="76954" customFormat="1" x14ac:dyDescent="0.25"/>
    <row r="76955" customFormat="1" x14ac:dyDescent="0.25"/>
    <row r="76956" customFormat="1" x14ac:dyDescent="0.25"/>
    <row r="76957" customFormat="1" x14ac:dyDescent="0.25"/>
    <row r="76958" customFormat="1" x14ac:dyDescent="0.25"/>
    <row r="76959" customFormat="1" x14ac:dyDescent="0.25"/>
    <row r="76960" customFormat="1" x14ac:dyDescent="0.25"/>
    <row r="76961" customFormat="1" x14ac:dyDescent="0.25"/>
    <row r="76962" customFormat="1" x14ac:dyDescent="0.25"/>
    <row r="76963" customFormat="1" x14ac:dyDescent="0.25"/>
    <row r="76964" customFormat="1" x14ac:dyDescent="0.25"/>
    <row r="76965" customFormat="1" x14ac:dyDescent="0.25"/>
    <row r="76966" customFormat="1" x14ac:dyDescent="0.25"/>
    <row r="76967" customFormat="1" x14ac:dyDescent="0.25"/>
    <row r="76968" customFormat="1" x14ac:dyDescent="0.25"/>
    <row r="76969" customFormat="1" x14ac:dyDescent="0.25"/>
    <row r="76970" customFormat="1" x14ac:dyDescent="0.25"/>
    <row r="76971" customFormat="1" x14ac:dyDescent="0.25"/>
    <row r="76972" customFormat="1" x14ac:dyDescent="0.25"/>
    <row r="76973" customFormat="1" x14ac:dyDescent="0.25"/>
    <row r="76974" customFormat="1" x14ac:dyDescent="0.25"/>
    <row r="76975" customFormat="1" x14ac:dyDescent="0.25"/>
    <row r="76976" customFormat="1" x14ac:dyDescent="0.25"/>
    <row r="76977" customFormat="1" x14ac:dyDescent="0.25"/>
    <row r="76978" customFormat="1" x14ac:dyDescent="0.25"/>
    <row r="76979" customFormat="1" x14ac:dyDescent="0.25"/>
    <row r="76980" customFormat="1" x14ac:dyDescent="0.25"/>
    <row r="76981" customFormat="1" x14ac:dyDescent="0.25"/>
    <row r="76982" customFormat="1" x14ac:dyDescent="0.25"/>
    <row r="76983" customFormat="1" x14ac:dyDescent="0.25"/>
    <row r="76984" customFormat="1" x14ac:dyDescent="0.25"/>
    <row r="76985" customFormat="1" x14ac:dyDescent="0.25"/>
    <row r="76986" customFormat="1" x14ac:dyDescent="0.25"/>
    <row r="76987" customFormat="1" x14ac:dyDescent="0.25"/>
    <row r="76988" customFormat="1" x14ac:dyDescent="0.25"/>
    <row r="76989" customFormat="1" x14ac:dyDescent="0.25"/>
    <row r="76990" customFormat="1" x14ac:dyDescent="0.25"/>
    <row r="76991" customFormat="1" x14ac:dyDescent="0.25"/>
    <row r="76992" customFormat="1" x14ac:dyDescent="0.25"/>
    <row r="76993" customFormat="1" x14ac:dyDescent="0.25"/>
    <row r="76994" customFormat="1" x14ac:dyDescent="0.25"/>
    <row r="76995" customFormat="1" x14ac:dyDescent="0.25"/>
    <row r="76996" customFormat="1" x14ac:dyDescent="0.25"/>
    <row r="76997" customFormat="1" x14ac:dyDescent="0.25"/>
    <row r="76998" customFormat="1" x14ac:dyDescent="0.25"/>
    <row r="76999" customFormat="1" x14ac:dyDescent="0.25"/>
    <row r="77000" customFormat="1" x14ac:dyDescent="0.25"/>
    <row r="77001" customFormat="1" x14ac:dyDescent="0.25"/>
    <row r="77002" customFormat="1" x14ac:dyDescent="0.25"/>
    <row r="77003" customFormat="1" x14ac:dyDescent="0.25"/>
    <row r="77004" customFormat="1" x14ac:dyDescent="0.25"/>
    <row r="77005" customFormat="1" x14ac:dyDescent="0.25"/>
    <row r="77006" customFormat="1" x14ac:dyDescent="0.25"/>
    <row r="77007" customFormat="1" x14ac:dyDescent="0.25"/>
    <row r="77008" customFormat="1" x14ac:dyDescent="0.25"/>
    <row r="77009" customFormat="1" x14ac:dyDescent="0.25"/>
    <row r="77010" customFormat="1" x14ac:dyDescent="0.25"/>
    <row r="77011" customFormat="1" x14ac:dyDescent="0.25"/>
    <row r="77012" customFormat="1" x14ac:dyDescent="0.25"/>
    <row r="77013" customFormat="1" x14ac:dyDescent="0.25"/>
    <row r="77014" customFormat="1" x14ac:dyDescent="0.25"/>
    <row r="77015" customFormat="1" x14ac:dyDescent="0.25"/>
    <row r="77016" customFormat="1" x14ac:dyDescent="0.25"/>
    <row r="77017" customFormat="1" x14ac:dyDescent="0.25"/>
    <row r="77018" customFormat="1" x14ac:dyDescent="0.25"/>
    <row r="77019" customFormat="1" x14ac:dyDescent="0.25"/>
    <row r="77020" customFormat="1" x14ac:dyDescent="0.25"/>
    <row r="77021" customFormat="1" x14ac:dyDescent="0.25"/>
    <row r="77022" customFormat="1" x14ac:dyDescent="0.25"/>
    <row r="77023" customFormat="1" x14ac:dyDescent="0.25"/>
    <row r="77024" customFormat="1" x14ac:dyDescent="0.25"/>
    <row r="77025" customFormat="1" x14ac:dyDescent="0.25"/>
    <row r="77026" customFormat="1" x14ac:dyDescent="0.25"/>
    <row r="77027" customFormat="1" x14ac:dyDescent="0.25"/>
    <row r="77028" customFormat="1" x14ac:dyDescent="0.25"/>
    <row r="77029" customFormat="1" x14ac:dyDescent="0.25"/>
    <row r="77030" customFormat="1" x14ac:dyDescent="0.25"/>
    <row r="77031" customFormat="1" x14ac:dyDescent="0.25"/>
    <row r="77032" customFormat="1" x14ac:dyDescent="0.25"/>
    <row r="77033" customFormat="1" x14ac:dyDescent="0.25"/>
    <row r="77034" customFormat="1" x14ac:dyDescent="0.25"/>
    <row r="77035" customFormat="1" x14ac:dyDescent="0.25"/>
    <row r="77036" customFormat="1" x14ac:dyDescent="0.25"/>
    <row r="77037" customFormat="1" x14ac:dyDescent="0.25"/>
    <row r="77038" customFormat="1" x14ac:dyDescent="0.25"/>
    <row r="77039" customFormat="1" x14ac:dyDescent="0.25"/>
    <row r="77040" customFormat="1" x14ac:dyDescent="0.25"/>
    <row r="77041" customFormat="1" x14ac:dyDescent="0.25"/>
    <row r="77042" customFormat="1" x14ac:dyDescent="0.25"/>
    <row r="77043" customFormat="1" x14ac:dyDescent="0.25"/>
    <row r="77044" customFormat="1" x14ac:dyDescent="0.25"/>
    <row r="77045" customFormat="1" x14ac:dyDescent="0.25"/>
    <row r="77046" customFormat="1" x14ac:dyDescent="0.25"/>
    <row r="77047" customFormat="1" x14ac:dyDescent="0.25"/>
    <row r="77048" customFormat="1" x14ac:dyDescent="0.25"/>
    <row r="77049" customFormat="1" x14ac:dyDescent="0.25"/>
    <row r="77050" customFormat="1" x14ac:dyDescent="0.25"/>
    <row r="77051" customFormat="1" x14ac:dyDescent="0.25"/>
    <row r="77052" customFormat="1" x14ac:dyDescent="0.25"/>
    <row r="77053" customFormat="1" x14ac:dyDescent="0.25"/>
    <row r="77054" customFormat="1" x14ac:dyDescent="0.25"/>
    <row r="77055" customFormat="1" x14ac:dyDescent="0.25"/>
    <row r="77056" customFormat="1" x14ac:dyDescent="0.25"/>
    <row r="77057" customFormat="1" x14ac:dyDescent="0.25"/>
    <row r="77058" customFormat="1" x14ac:dyDescent="0.25"/>
    <row r="77059" customFormat="1" x14ac:dyDescent="0.25"/>
    <row r="77060" customFormat="1" x14ac:dyDescent="0.25"/>
    <row r="77061" customFormat="1" x14ac:dyDescent="0.25"/>
    <row r="77062" customFormat="1" x14ac:dyDescent="0.25"/>
    <row r="77063" customFormat="1" x14ac:dyDescent="0.25"/>
    <row r="77064" customFormat="1" x14ac:dyDescent="0.25"/>
    <row r="77065" customFormat="1" x14ac:dyDescent="0.25"/>
    <row r="77066" customFormat="1" x14ac:dyDescent="0.25"/>
    <row r="77067" customFormat="1" x14ac:dyDescent="0.25"/>
    <row r="77068" customFormat="1" x14ac:dyDescent="0.25"/>
    <row r="77069" customFormat="1" x14ac:dyDescent="0.25"/>
    <row r="77070" customFormat="1" x14ac:dyDescent="0.25"/>
    <row r="77071" customFormat="1" x14ac:dyDescent="0.25"/>
    <row r="77072" customFormat="1" x14ac:dyDescent="0.25"/>
    <row r="77073" customFormat="1" x14ac:dyDescent="0.25"/>
    <row r="77074" customFormat="1" x14ac:dyDescent="0.25"/>
    <row r="77075" customFormat="1" x14ac:dyDescent="0.25"/>
    <row r="77076" customFormat="1" x14ac:dyDescent="0.25"/>
    <row r="77077" customFormat="1" x14ac:dyDescent="0.25"/>
    <row r="77078" customFormat="1" x14ac:dyDescent="0.25"/>
    <row r="77079" customFormat="1" x14ac:dyDescent="0.25"/>
    <row r="77080" customFormat="1" x14ac:dyDescent="0.25"/>
    <row r="77081" customFormat="1" x14ac:dyDescent="0.25"/>
    <row r="77082" customFormat="1" x14ac:dyDescent="0.25"/>
    <row r="77083" customFormat="1" x14ac:dyDescent="0.25"/>
    <row r="77084" customFormat="1" x14ac:dyDescent="0.25"/>
    <row r="77085" customFormat="1" x14ac:dyDescent="0.25"/>
    <row r="77086" customFormat="1" x14ac:dyDescent="0.25"/>
    <row r="77087" customFormat="1" x14ac:dyDescent="0.25"/>
    <row r="77088" customFormat="1" x14ac:dyDescent="0.25"/>
    <row r="77089" customFormat="1" x14ac:dyDescent="0.25"/>
    <row r="77090" customFormat="1" x14ac:dyDescent="0.25"/>
    <row r="77091" customFormat="1" x14ac:dyDescent="0.25"/>
    <row r="77092" customFormat="1" x14ac:dyDescent="0.25"/>
    <row r="77093" customFormat="1" x14ac:dyDescent="0.25"/>
    <row r="77094" customFormat="1" x14ac:dyDescent="0.25"/>
    <row r="77095" customFormat="1" x14ac:dyDescent="0.25"/>
    <row r="77096" customFormat="1" x14ac:dyDescent="0.25"/>
    <row r="77097" customFormat="1" x14ac:dyDescent="0.25"/>
    <row r="77098" customFormat="1" x14ac:dyDescent="0.25"/>
    <row r="77099" customFormat="1" x14ac:dyDescent="0.25"/>
    <row r="77100" customFormat="1" x14ac:dyDescent="0.25"/>
    <row r="77101" customFormat="1" x14ac:dyDescent="0.25"/>
    <row r="77102" customFormat="1" x14ac:dyDescent="0.25"/>
    <row r="77103" customFormat="1" x14ac:dyDescent="0.25"/>
    <row r="77104" customFormat="1" x14ac:dyDescent="0.25"/>
    <row r="77105" customFormat="1" x14ac:dyDescent="0.25"/>
    <row r="77106" customFormat="1" x14ac:dyDescent="0.25"/>
    <row r="77107" customFormat="1" x14ac:dyDescent="0.25"/>
    <row r="77108" customFormat="1" x14ac:dyDescent="0.25"/>
    <row r="77109" customFormat="1" x14ac:dyDescent="0.25"/>
    <row r="77110" customFormat="1" x14ac:dyDescent="0.25"/>
    <row r="77111" customFormat="1" x14ac:dyDescent="0.25"/>
    <row r="77112" customFormat="1" x14ac:dyDescent="0.25"/>
    <row r="77113" customFormat="1" x14ac:dyDescent="0.25"/>
    <row r="77114" customFormat="1" x14ac:dyDescent="0.25"/>
    <row r="77115" customFormat="1" x14ac:dyDescent="0.25"/>
    <row r="77116" customFormat="1" x14ac:dyDescent="0.25"/>
    <row r="77117" customFormat="1" x14ac:dyDescent="0.25"/>
    <row r="77118" customFormat="1" x14ac:dyDescent="0.25"/>
    <row r="77119" customFormat="1" x14ac:dyDescent="0.25"/>
    <row r="77120" customFormat="1" x14ac:dyDescent="0.25"/>
    <row r="77121" customFormat="1" x14ac:dyDescent="0.25"/>
    <row r="77122" customFormat="1" x14ac:dyDescent="0.25"/>
    <row r="77123" customFormat="1" x14ac:dyDescent="0.25"/>
    <row r="77124" customFormat="1" x14ac:dyDescent="0.25"/>
    <row r="77125" customFormat="1" x14ac:dyDescent="0.25"/>
    <row r="77126" customFormat="1" x14ac:dyDescent="0.25"/>
    <row r="77127" customFormat="1" x14ac:dyDescent="0.25"/>
    <row r="77128" customFormat="1" x14ac:dyDescent="0.25"/>
    <row r="77129" customFormat="1" x14ac:dyDescent="0.25"/>
    <row r="77130" customFormat="1" x14ac:dyDescent="0.25"/>
    <row r="77131" customFormat="1" x14ac:dyDescent="0.25"/>
    <row r="77132" customFormat="1" x14ac:dyDescent="0.25"/>
    <row r="77133" customFormat="1" x14ac:dyDescent="0.25"/>
    <row r="77134" customFormat="1" x14ac:dyDescent="0.25"/>
    <row r="77135" customFormat="1" x14ac:dyDescent="0.25"/>
    <row r="77136" customFormat="1" x14ac:dyDescent="0.25"/>
    <row r="77137" customFormat="1" x14ac:dyDescent="0.25"/>
    <row r="77138" customFormat="1" x14ac:dyDescent="0.25"/>
    <row r="77139" customFormat="1" x14ac:dyDescent="0.25"/>
    <row r="77140" customFormat="1" x14ac:dyDescent="0.25"/>
    <row r="77141" customFormat="1" x14ac:dyDescent="0.25"/>
    <row r="77142" customFormat="1" x14ac:dyDescent="0.25"/>
    <row r="77143" customFormat="1" x14ac:dyDescent="0.25"/>
    <row r="77144" customFormat="1" x14ac:dyDescent="0.25"/>
    <row r="77145" customFormat="1" x14ac:dyDescent="0.25"/>
    <row r="77146" customFormat="1" x14ac:dyDescent="0.25"/>
    <row r="77147" customFormat="1" x14ac:dyDescent="0.25"/>
    <row r="77148" customFormat="1" x14ac:dyDescent="0.25"/>
    <row r="77149" customFormat="1" x14ac:dyDescent="0.25"/>
    <row r="77150" customFormat="1" x14ac:dyDescent="0.25"/>
    <row r="77151" customFormat="1" x14ac:dyDescent="0.25"/>
    <row r="77152" customFormat="1" x14ac:dyDescent="0.25"/>
    <row r="77153" customFormat="1" x14ac:dyDescent="0.25"/>
    <row r="77154" customFormat="1" x14ac:dyDescent="0.25"/>
    <row r="77155" customFormat="1" x14ac:dyDescent="0.25"/>
    <row r="77156" customFormat="1" x14ac:dyDescent="0.25"/>
    <row r="77157" customFormat="1" x14ac:dyDescent="0.25"/>
    <row r="77158" customFormat="1" x14ac:dyDescent="0.25"/>
    <row r="77159" customFormat="1" x14ac:dyDescent="0.25"/>
    <row r="77160" customFormat="1" x14ac:dyDescent="0.25"/>
    <row r="77161" customFormat="1" x14ac:dyDescent="0.25"/>
    <row r="77162" customFormat="1" x14ac:dyDescent="0.25"/>
    <row r="77163" customFormat="1" x14ac:dyDescent="0.25"/>
    <row r="77164" customFormat="1" x14ac:dyDescent="0.25"/>
    <row r="77165" customFormat="1" x14ac:dyDescent="0.25"/>
    <row r="77166" customFormat="1" x14ac:dyDescent="0.25"/>
    <row r="77167" customFormat="1" x14ac:dyDescent="0.25"/>
    <row r="77168" customFormat="1" x14ac:dyDescent="0.25"/>
    <row r="77169" customFormat="1" x14ac:dyDescent="0.25"/>
    <row r="77170" customFormat="1" x14ac:dyDescent="0.25"/>
    <row r="77171" customFormat="1" x14ac:dyDescent="0.25"/>
    <row r="77172" customFormat="1" x14ac:dyDescent="0.25"/>
    <row r="77173" customFormat="1" x14ac:dyDescent="0.25"/>
    <row r="77174" customFormat="1" x14ac:dyDescent="0.25"/>
    <row r="77175" customFormat="1" x14ac:dyDescent="0.25"/>
    <row r="77176" customFormat="1" x14ac:dyDescent="0.25"/>
    <row r="77177" customFormat="1" x14ac:dyDescent="0.25"/>
    <row r="77178" customFormat="1" x14ac:dyDescent="0.25"/>
    <row r="77179" customFormat="1" x14ac:dyDescent="0.25"/>
    <row r="77180" customFormat="1" x14ac:dyDescent="0.25"/>
    <row r="77181" customFormat="1" x14ac:dyDescent="0.25"/>
    <row r="77182" customFormat="1" x14ac:dyDescent="0.25"/>
    <row r="77183" customFormat="1" x14ac:dyDescent="0.25"/>
    <row r="77184" customFormat="1" x14ac:dyDescent="0.25"/>
    <row r="77185" customFormat="1" x14ac:dyDescent="0.25"/>
    <row r="77186" customFormat="1" x14ac:dyDescent="0.25"/>
    <row r="77187" customFormat="1" x14ac:dyDescent="0.25"/>
    <row r="77188" customFormat="1" x14ac:dyDescent="0.25"/>
    <row r="77189" customFormat="1" x14ac:dyDescent="0.25"/>
    <row r="77190" customFormat="1" x14ac:dyDescent="0.25"/>
    <row r="77191" customFormat="1" x14ac:dyDescent="0.25"/>
    <row r="77192" customFormat="1" x14ac:dyDescent="0.25"/>
    <row r="77193" customFormat="1" x14ac:dyDescent="0.25"/>
    <row r="77194" customFormat="1" x14ac:dyDescent="0.25"/>
    <row r="77195" customFormat="1" x14ac:dyDescent="0.25"/>
    <row r="77196" customFormat="1" x14ac:dyDescent="0.25"/>
    <row r="77197" customFormat="1" x14ac:dyDescent="0.25"/>
    <row r="77198" customFormat="1" x14ac:dyDescent="0.25"/>
    <row r="77199" customFormat="1" x14ac:dyDescent="0.25"/>
    <row r="77200" customFormat="1" x14ac:dyDescent="0.25"/>
    <row r="77201" customFormat="1" x14ac:dyDescent="0.25"/>
    <row r="77202" customFormat="1" x14ac:dyDescent="0.25"/>
    <row r="77203" customFormat="1" x14ac:dyDescent="0.25"/>
    <row r="77204" customFormat="1" x14ac:dyDescent="0.25"/>
    <row r="77205" customFormat="1" x14ac:dyDescent="0.25"/>
    <row r="77206" customFormat="1" x14ac:dyDescent="0.25"/>
    <row r="77207" customFormat="1" x14ac:dyDescent="0.25"/>
    <row r="77208" customFormat="1" x14ac:dyDescent="0.25"/>
    <row r="77209" customFormat="1" x14ac:dyDescent="0.25"/>
    <row r="77210" customFormat="1" x14ac:dyDescent="0.25"/>
    <row r="77211" customFormat="1" x14ac:dyDescent="0.25"/>
    <row r="77212" customFormat="1" x14ac:dyDescent="0.25"/>
    <row r="77213" customFormat="1" x14ac:dyDescent="0.25"/>
    <row r="77214" customFormat="1" x14ac:dyDescent="0.25"/>
    <row r="77215" customFormat="1" x14ac:dyDescent="0.25"/>
    <row r="77216" customFormat="1" x14ac:dyDescent="0.25"/>
    <row r="77217" customFormat="1" x14ac:dyDescent="0.25"/>
    <row r="77218" customFormat="1" x14ac:dyDescent="0.25"/>
    <row r="77219" customFormat="1" x14ac:dyDescent="0.25"/>
    <row r="77220" customFormat="1" x14ac:dyDescent="0.25"/>
    <row r="77221" customFormat="1" x14ac:dyDescent="0.25"/>
    <row r="77222" customFormat="1" x14ac:dyDescent="0.25"/>
    <row r="77223" customFormat="1" x14ac:dyDescent="0.25"/>
    <row r="77224" customFormat="1" x14ac:dyDescent="0.25"/>
    <row r="77225" customFormat="1" x14ac:dyDescent="0.25"/>
    <row r="77226" customFormat="1" x14ac:dyDescent="0.25"/>
    <row r="77227" customFormat="1" x14ac:dyDescent="0.25"/>
    <row r="77228" customFormat="1" x14ac:dyDescent="0.25"/>
    <row r="77229" customFormat="1" x14ac:dyDescent="0.25"/>
    <row r="77230" customFormat="1" x14ac:dyDescent="0.25"/>
    <row r="77231" customFormat="1" x14ac:dyDescent="0.25"/>
    <row r="77232" customFormat="1" x14ac:dyDescent="0.25"/>
    <row r="77233" customFormat="1" x14ac:dyDescent="0.25"/>
    <row r="77234" customFormat="1" x14ac:dyDescent="0.25"/>
    <row r="77235" customFormat="1" x14ac:dyDescent="0.25"/>
    <row r="77236" customFormat="1" x14ac:dyDescent="0.25"/>
    <row r="77237" customFormat="1" x14ac:dyDescent="0.25"/>
    <row r="77238" customFormat="1" x14ac:dyDescent="0.25"/>
    <row r="77239" customFormat="1" x14ac:dyDescent="0.25"/>
    <row r="77240" customFormat="1" x14ac:dyDescent="0.25"/>
    <row r="77241" customFormat="1" x14ac:dyDescent="0.25"/>
    <row r="77242" customFormat="1" x14ac:dyDescent="0.25"/>
    <row r="77243" customFormat="1" x14ac:dyDescent="0.25"/>
    <row r="77244" customFormat="1" x14ac:dyDescent="0.25"/>
    <row r="77245" customFormat="1" x14ac:dyDescent="0.25"/>
    <row r="77246" customFormat="1" x14ac:dyDescent="0.25"/>
    <row r="77247" customFormat="1" x14ac:dyDescent="0.25"/>
    <row r="77248" customFormat="1" x14ac:dyDescent="0.25"/>
    <row r="77249" customFormat="1" x14ac:dyDescent="0.25"/>
    <row r="77250" customFormat="1" x14ac:dyDescent="0.25"/>
    <row r="77251" customFormat="1" x14ac:dyDescent="0.25"/>
    <row r="77252" customFormat="1" x14ac:dyDescent="0.25"/>
    <row r="77253" customFormat="1" x14ac:dyDescent="0.25"/>
    <row r="77254" customFormat="1" x14ac:dyDescent="0.25"/>
    <row r="77255" customFormat="1" x14ac:dyDescent="0.25"/>
    <row r="77256" customFormat="1" x14ac:dyDescent="0.25"/>
    <row r="77257" customFormat="1" x14ac:dyDescent="0.25"/>
    <row r="77258" customFormat="1" x14ac:dyDescent="0.25"/>
    <row r="77259" customFormat="1" x14ac:dyDescent="0.25"/>
    <row r="77260" customFormat="1" x14ac:dyDescent="0.25"/>
    <row r="77261" customFormat="1" x14ac:dyDescent="0.25"/>
    <row r="77262" customFormat="1" x14ac:dyDescent="0.25"/>
    <row r="77263" customFormat="1" x14ac:dyDescent="0.25"/>
    <row r="77264" customFormat="1" x14ac:dyDescent="0.25"/>
    <row r="77265" customFormat="1" x14ac:dyDescent="0.25"/>
    <row r="77266" customFormat="1" x14ac:dyDescent="0.25"/>
    <row r="77267" customFormat="1" x14ac:dyDescent="0.25"/>
    <row r="77268" customFormat="1" x14ac:dyDescent="0.25"/>
    <row r="77269" customFormat="1" x14ac:dyDescent="0.25"/>
    <row r="77270" customFormat="1" x14ac:dyDescent="0.25"/>
    <row r="77271" customFormat="1" x14ac:dyDescent="0.25"/>
    <row r="77272" customFormat="1" x14ac:dyDescent="0.25"/>
    <row r="77273" customFormat="1" x14ac:dyDescent="0.25"/>
    <row r="77274" customFormat="1" x14ac:dyDescent="0.25"/>
    <row r="77275" customFormat="1" x14ac:dyDescent="0.25"/>
    <row r="77276" customFormat="1" x14ac:dyDescent="0.25"/>
    <row r="77277" customFormat="1" x14ac:dyDescent="0.25"/>
    <row r="77278" customFormat="1" x14ac:dyDescent="0.25"/>
    <row r="77279" customFormat="1" x14ac:dyDescent="0.25"/>
    <row r="77280" customFormat="1" x14ac:dyDescent="0.25"/>
    <row r="77281" customFormat="1" x14ac:dyDescent="0.25"/>
    <row r="77282" customFormat="1" x14ac:dyDescent="0.25"/>
    <row r="77283" customFormat="1" x14ac:dyDescent="0.25"/>
    <row r="77284" customFormat="1" x14ac:dyDescent="0.25"/>
    <row r="77285" customFormat="1" x14ac:dyDescent="0.25"/>
    <row r="77286" customFormat="1" x14ac:dyDescent="0.25"/>
    <row r="77287" customFormat="1" x14ac:dyDescent="0.25"/>
    <row r="77288" customFormat="1" x14ac:dyDescent="0.25"/>
    <row r="77289" customFormat="1" x14ac:dyDescent="0.25"/>
    <row r="77290" customFormat="1" x14ac:dyDescent="0.25"/>
    <row r="77291" customFormat="1" x14ac:dyDescent="0.25"/>
    <row r="77292" customFormat="1" x14ac:dyDescent="0.25"/>
    <row r="77293" customFormat="1" x14ac:dyDescent="0.25"/>
    <row r="77294" customFormat="1" x14ac:dyDescent="0.25"/>
    <row r="77295" customFormat="1" x14ac:dyDescent="0.25"/>
    <row r="77296" customFormat="1" x14ac:dyDescent="0.25"/>
    <row r="77297" customFormat="1" x14ac:dyDescent="0.25"/>
    <row r="77298" customFormat="1" x14ac:dyDescent="0.25"/>
    <row r="77299" customFormat="1" x14ac:dyDescent="0.25"/>
    <row r="77300" customFormat="1" x14ac:dyDescent="0.25"/>
    <row r="77301" customFormat="1" x14ac:dyDescent="0.25"/>
    <row r="77302" customFormat="1" x14ac:dyDescent="0.25"/>
    <row r="77303" customFormat="1" x14ac:dyDescent="0.25"/>
    <row r="77304" customFormat="1" x14ac:dyDescent="0.25"/>
    <row r="77305" customFormat="1" x14ac:dyDescent="0.25"/>
    <row r="77306" customFormat="1" x14ac:dyDescent="0.25"/>
    <row r="77307" customFormat="1" x14ac:dyDescent="0.25"/>
    <row r="77308" customFormat="1" x14ac:dyDescent="0.25"/>
    <row r="77309" customFormat="1" x14ac:dyDescent="0.25"/>
    <row r="77310" customFormat="1" x14ac:dyDescent="0.25"/>
    <row r="77311" customFormat="1" x14ac:dyDescent="0.25"/>
    <row r="77312" customFormat="1" x14ac:dyDescent="0.25"/>
    <row r="77313" customFormat="1" x14ac:dyDescent="0.25"/>
    <row r="77314" customFormat="1" x14ac:dyDescent="0.25"/>
    <row r="77315" customFormat="1" x14ac:dyDescent="0.25"/>
    <row r="77316" customFormat="1" x14ac:dyDescent="0.25"/>
    <row r="77317" customFormat="1" x14ac:dyDescent="0.25"/>
    <row r="77318" customFormat="1" x14ac:dyDescent="0.25"/>
    <row r="77319" customFormat="1" x14ac:dyDescent="0.25"/>
    <row r="77320" customFormat="1" x14ac:dyDescent="0.25"/>
    <row r="77321" customFormat="1" x14ac:dyDescent="0.25"/>
    <row r="77322" customFormat="1" x14ac:dyDescent="0.25"/>
    <row r="77323" customFormat="1" x14ac:dyDescent="0.25"/>
    <row r="77324" customFormat="1" x14ac:dyDescent="0.25"/>
    <row r="77325" customFormat="1" x14ac:dyDescent="0.25"/>
    <row r="77326" customFormat="1" x14ac:dyDescent="0.25"/>
    <row r="77327" customFormat="1" x14ac:dyDescent="0.25"/>
    <row r="77328" customFormat="1" x14ac:dyDescent="0.25"/>
    <row r="77329" customFormat="1" x14ac:dyDescent="0.25"/>
    <row r="77330" customFormat="1" x14ac:dyDescent="0.25"/>
    <row r="77331" customFormat="1" x14ac:dyDescent="0.25"/>
    <row r="77332" customFormat="1" x14ac:dyDescent="0.25"/>
    <row r="77333" customFormat="1" x14ac:dyDescent="0.25"/>
    <row r="77334" customFormat="1" x14ac:dyDescent="0.25"/>
    <row r="77335" customFormat="1" x14ac:dyDescent="0.25"/>
    <row r="77336" customFormat="1" x14ac:dyDescent="0.25"/>
    <row r="77337" customFormat="1" x14ac:dyDescent="0.25"/>
    <row r="77338" customFormat="1" x14ac:dyDescent="0.25"/>
    <row r="77339" customFormat="1" x14ac:dyDescent="0.25"/>
    <row r="77340" customFormat="1" x14ac:dyDescent="0.25"/>
    <row r="77341" customFormat="1" x14ac:dyDescent="0.25"/>
    <row r="77342" customFormat="1" x14ac:dyDescent="0.25"/>
    <row r="77343" customFormat="1" x14ac:dyDescent="0.25"/>
    <row r="77344" customFormat="1" x14ac:dyDescent="0.25"/>
    <row r="77345" customFormat="1" x14ac:dyDescent="0.25"/>
    <row r="77346" customFormat="1" x14ac:dyDescent="0.25"/>
    <row r="77347" customFormat="1" x14ac:dyDescent="0.25"/>
    <row r="77348" customFormat="1" x14ac:dyDescent="0.25"/>
    <row r="77349" customFormat="1" x14ac:dyDescent="0.25"/>
    <row r="77350" customFormat="1" x14ac:dyDescent="0.25"/>
    <row r="77351" customFormat="1" x14ac:dyDescent="0.25"/>
    <row r="77352" customFormat="1" x14ac:dyDescent="0.25"/>
    <row r="77353" customFormat="1" x14ac:dyDescent="0.25"/>
    <row r="77354" customFormat="1" x14ac:dyDescent="0.25"/>
    <row r="77355" customFormat="1" x14ac:dyDescent="0.25"/>
    <row r="77356" customFormat="1" x14ac:dyDescent="0.25"/>
    <row r="77357" customFormat="1" x14ac:dyDescent="0.25"/>
    <row r="77358" customFormat="1" x14ac:dyDescent="0.25"/>
    <row r="77359" customFormat="1" x14ac:dyDescent="0.25"/>
    <row r="77360" customFormat="1" x14ac:dyDescent="0.25"/>
    <row r="77361" customFormat="1" x14ac:dyDescent="0.25"/>
    <row r="77362" customFormat="1" x14ac:dyDescent="0.25"/>
    <row r="77363" customFormat="1" x14ac:dyDescent="0.25"/>
    <row r="77364" customFormat="1" x14ac:dyDescent="0.25"/>
    <row r="77365" customFormat="1" x14ac:dyDescent="0.25"/>
    <row r="77366" customFormat="1" x14ac:dyDescent="0.25"/>
    <row r="77367" customFormat="1" x14ac:dyDescent="0.25"/>
    <row r="77368" customFormat="1" x14ac:dyDescent="0.25"/>
    <row r="77369" customFormat="1" x14ac:dyDescent="0.25"/>
    <row r="77370" customFormat="1" x14ac:dyDescent="0.25"/>
    <row r="77371" customFormat="1" x14ac:dyDescent="0.25"/>
    <row r="77372" customFormat="1" x14ac:dyDescent="0.25"/>
    <row r="77373" customFormat="1" x14ac:dyDescent="0.25"/>
    <row r="77374" customFormat="1" x14ac:dyDescent="0.25"/>
    <row r="77375" customFormat="1" x14ac:dyDescent="0.25"/>
    <row r="77376" customFormat="1" x14ac:dyDescent="0.25"/>
    <row r="77377" customFormat="1" x14ac:dyDescent="0.25"/>
    <row r="77378" customFormat="1" x14ac:dyDescent="0.25"/>
    <row r="77379" customFormat="1" x14ac:dyDescent="0.25"/>
    <row r="77380" customFormat="1" x14ac:dyDescent="0.25"/>
    <row r="77381" customFormat="1" x14ac:dyDescent="0.25"/>
    <row r="77382" customFormat="1" x14ac:dyDescent="0.25"/>
    <row r="77383" customFormat="1" x14ac:dyDescent="0.25"/>
    <row r="77384" customFormat="1" x14ac:dyDescent="0.25"/>
    <row r="77385" customFormat="1" x14ac:dyDescent="0.25"/>
    <row r="77386" customFormat="1" x14ac:dyDescent="0.25"/>
    <row r="77387" customFormat="1" x14ac:dyDescent="0.25"/>
    <row r="77388" customFormat="1" x14ac:dyDescent="0.25"/>
    <row r="77389" customFormat="1" x14ac:dyDescent="0.25"/>
    <row r="77390" customFormat="1" x14ac:dyDescent="0.25"/>
    <row r="77391" customFormat="1" x14ac:dyDescent="0.25"/>
    <row r="77392" customFormat="1" x14ac:dyDescent="0.25"/>
    <row r="77393" customFormat="1" x14ac:dyDescent="0.25"/>
    <row r="77394" customFormat="1" x14ac:dyDescent="0.25"/>
    <row r="77395" customFormat="1" x14ac:dyDescent="0.25"/>
    <row r="77396" customFormat="1" x14ac:dyDescent="0.25"/>
    <row r="77397" customFormat="1" x14ac:dyDescent="0.25"/>
    <row r="77398" customFormat="1" x14ac:dyDescent="0.25"/>
    <row r="77399" customFormat="1" x14ac:dyDescent="0.25"/>
    <row r="77400" customFormat="1" x14ac:dyDescent="0.25"/>
    <row r="77401" customFormat="1" x14ac:dyDescent="0.25"/>
    <row r="77402" customFormat="1" x14ac:dyDescent="0.25"/>
    <row r="77403" customFormat="1" x14ac:dyDescent="0.25"/>
    <row r="77404" customFormat="1" x14ac:dyDescent="0.25"/>
    <row r="77405" customFormat="1" x14ac:dyDescent="0.25"/>
    <row r="77406" customFormat="1" x14ac:dyDescent="0.25"/>
    <row r="77407" customFormat="1" x14ac:dyDescent="0.25"/>
    <row r="77408" customFormat="1" x14ac:dyDescent="0.25"/>
    <row r="77409" customFormat="1" x14ac:dyDescent="0.25"/>
    <row r="77410" customFormat="1" x14ac:dyDescent="0.25"/>
    <row r="77411" customFormat="1" x14ac:dyDescent="0.25"/>
    <row r="77412" customFormat="1" x14ac:dyDescent="0.25"/>
    <row r="77413" customFormat="1" x14ac:dyDescent="0.25"/>
    <row r="77414" customFormat="1" x14ac:dyDescent="0.25"/>
    <row r="77415" customFormat="1" x14ac:dyDescent="0.25"/>
    <row r="77416" customFormat="1" x14ac:dyDescent="0.25"/>
    <row r="77417" customFormat="1" x14ac:dyDescent="0.25"/>
    <row r="77418" customFormat="1" x14ac:dyDescent="0.25"/>
    <row r="77419" customFormat="1" x14ac:dyDescent="0.25"/>
    <row r="77420" customFormat="1" x14ac:dyDescent="0.25"/>
    <row r="77421" customFormat="1" x14ac:dyDescent="0.25"/>
    <row r="77422" customFormat="1" x14ac:dyDescent="0.25"/>
    <row r="77423" customFormat="1" x14ac:dyDescent="0.25"/>
    <row r="77424" customFormat="1" x14ac:dyDescent="0.25"/>
    <row r="77425" customFormat="1" x14ac:dyDescent="0.25"/>
    <row r="77426" customFormat="1" x14ac:dyDescent="0.25"/>
    <row r="77427" customFormat="1" x14ac:dyDescent="0.25"/>
    <row r="77428" customFormat="1" x14ac:dyDescent="0.25"/>
    <row r="77429" customFormat="1" x14ac:dyDescent="0.25"/>
    <row r="77430" customFormat="1" x14ac:dyDescent="0.25"/>
    <row r="77431" customFormat="1" x14ac:dyDescent="0.25"/>
    <row r="77432" customFormat="1" x14ac:dyDescent="0.25"/>
    <row r="77433" customFormat="1" x14ac:dyDescent="0.25"/>
    <row r="77434" customFormat="1" x14ac:dyDescent="0.25"/>
    <row r="77435" customFormat="1" x14ac:dyDescent="0.25"/>
    <row r="77436" customFormat="1" x14ac:dyDescent="0.25"/>
    <row r="77437" customFormat="1" x14ac:dyDescent="0.25"/>
    <row r="77438" customFormat="1" x14ac:dyDescent="0.25"/>
    <row r="77439" customFormat="1" x14ac:dyDescent="0.25"/>
    <row r="77440" customFormat="1" x14ac:dyDescent="0.25"/>
    <row r="77441" customFormat="1" x14ac:dyDescent="0.25"/>
    <row r="77442" customFormat="1" x14ac:dyDescent="0.25"/>
    <row r="77443" customFormat="1" x14ac:dyDescent="0.25"/>
    <row r="77444" customFormat="1" x14ac:dyDescent="0.25"/>
    <row r="77445" customFormat="1" x14ac:dyDescent="0.25"/>
    <row r="77446" customFormat="1" x14ac:dyDescent="0.25"/>
    <row r="77447" customFormat="1" x14ac:dyDescent="0.25"/>
    <row r="77448" customFormat="1" x14ac:dyDescent="0.25"/>
    <row r="77449" customFormat="1" x14ac:dyDescent="0.25"/>
    <row r="77450" customFormat="1" x14ac:dyDescent="0.25"/>
    <row r="77451" customFormat="1" x14ac:dyDescent="0.25"/>
    <row r="77452" customFormat="1" x14ac:dyDescent="0.25"/>
    <row r="77453" customFormat="1" x14ac:dyDescent="0.25"/>
    <row r="77454" customFormat="1" x14ac:dyDescent="0.25"/>
    <row r="77455" customFormat="1" x14ac:dyDescent="0.25"/>
    <row r="77456" customFormat="1" x14ac:dyDescent="0.25"/>
    <row r="77457" customFormat="1" x14ac:dyDescent="0.25"/>
    <row r="77458" customFormat="1" x14ac:dyDescent="0.25"/>
    <row r="77459" customFormat="1" x14ac:dyDescent="0.25"/>
    <row r="77460" customFormat="1" x14ac:dyDescent="0.25"/>
    <row r="77461" customFormat="1" x14ac:dyDescent="0.25"/>
    <row r="77462" customFormat="1" x14ac:dyDescent="0.25"/>
    <row r="77463" customFormat="1" x14ac:dyDescent="0.25"/>
    <row r="77464" customFormat="1" x14ac:dyDescent="0.25"/>
    <row r="77465" customFormat="1" x14ac:dyDescent="0.25"/>
    <row r="77466" customFormat="1" x14ac:dyDescent="0.25"/>
    <row r="77467" customFormat="1" x14ac:dyDescent="0.25"/>
    <row r="77468" customFormat="1" x14ac:dyDescent="0.25"/>
    <row r="77469" customFormat="1" x14ac:dyDescent="0.25"/>
    <row r="77470" customFormat="1" x14ac:dyDescent="0.25"/>
    <row r="77471" customFormat="1" x14ac:dyDescent="0.25"/>
    <row r="77472" customFormat="1" x14ac:dyDescent="0.25"/>
    <row r="77473" customFormat="1" x14ac:dyDescent="0.25"/>
    <row r="77474" customFormat="1" x14ac:dyDescent="0.25"/>
    <row r="77475" customFormat="1" x14ac:dyDescent="0.25"/>
    <row r="77476" customFormat="1" x14ac:dyDescent="0.25"/>
    <row r="77477" customFormat="1" x14ac:dyDescent="0.25"/>
    <row r="77478" customFormat="1" x14ac:dyDescent="0.25"/>
    <row r="77479" customFormat="1" x14ac:dyDescent="0.25"/>
    <row r="77480" customFormat="1" x14ac:dyDescent="0.25"/>
    <row r="77481" customFormat="1" x14ac:dyDescent="0.25"/>
    <row r="77482" customFormat="1" x14ac:dyDescent="0.25"/>
    <row r="77483" customFormat="1" x14ac:dyDescent="0.25"/>
    <row r="77484" customFormat="1" x14ac:dyDescent="0.25"/>
    <row r="77485" customFormat="1" x14ac:dyDescent="0.25"/>
    <row r="77486" customFormat="1" x14ac:dyDescent="0.25"/>
    <row r="77487" customFormat="1" x14ac:dyDescent="0.25"/>
    <row r="77488" customFormat="1" x14ac:dyDescent="0.25"/>
    <row r="77489" customFormat="1" x14ac:dyDescent="0.25"/>
    <row r="77490" customFormat="1" x14ac:dyDescent="0.25"/>
    <row r="77491" customFormat="1" x14ac:dyDescent="0.25"/>
    <row r="77492" customFormat="1" x14ac:dyDescent="0.25"/>
    <row r="77493" customFormat="1" x14ac:dyDescent="0.25"/>
    <row r="77494" customFormat="1" x14ac:dyDescent="0.25"/>
    <row r="77495" customFormat="1" x14ac:dyDescent="0.25"/>
    <row r="77496" customFormat="1" x14ac:dyDescent="0.25"/>
    <row r="77497" customFormat="1" x14ac:dyDescent="0.25"/>
    <row r="77498" customFormat="1" x14ac:dyDescent="0.25"/>
    <row r="77499" customFormat="1" x14ac:dyDescent="0.25"/>
    <row r="77500" customFormat="1" x14ac:dyDescent="0.25"/>
    <row r="77501" customFormat="1" x14ac:dyDescent="0.25"/>
    <row r="77502" customFormat="1" x14ac:dyDescent="0.25"/>
    <row r="77503" customFormat="1" x14ac:dyDescent="0.25"/>
    <row r="77504" customFormat="1" x14ac:dyDescent="0.25"/>
    <row r="77505" customFormat="1" x14ac:dyDescent="0.25"/>
    <row r="77506" customFormat="1" x14ac:dyDescent="0.25"/>
    <row r="77507" customFormat="1" x14ac:dyDescent="0.25"/>
    <row r="77508" customFormat="1" x14ac:dyDescent="0.25"/>
    <row r="77509" customFormat="1" x14ac:dyDescent="0.25"/>
    <row r="77510" customFormat="1" x14ac:dyDescent="0.25"/>
    <row r="77511" customFormat="1" x14ac:dyDescent="0.25"/>
    <row r="77512" customFormat="1" x14ac:dyDescent="0.25"/>
    <row r="77513" customFormat="1" x14ac:dyDescent="0.25"/>
    <row r="77514" customFormat="1" x14ac:dyDescent="0.25"/>
    <row r="77515" customFormat="1" x14ac:dyDescent="0.25"/>
    <row r="77516" customFormat="1" x14ac:dyDescent="0.25"/>
    <row r="77517" customFormat="1" x14ac:dyDescent="0.25"/>
    <row r="77518" customFormat="1" x14ac:dyDescent="0.25"/>
    <row r="77519" customFormat="1" x14ac:dyDescent="0.25"/>
    <row r="77520" customFormat="1" x14ac:dyDescent="0.25"/>
    <row r="77521" customFormat="1" x14ac:dyDescent="0.25"/>
    <row r="77522" customFormat="1" x14ac:dyDescent="0.25"/>
    <row r="77523" customFormat="1" x14ac:dyDescent="0.25"/>
    <row r="77524" customFormat="1" x14ac:dyDescent="0.25"/>
    <row r="77525" customFormat="1" x14ac:dyDescent="0.25"/>
    <row r="77526" customFormat="1" x14ac:dyDescent="0.25"/>
    <row r="77527" customFormat="1" x14ac:dyDescent="0.25"/>
    <row r="77528" customFormat="1" x14ac:dyDescent="0.25"/>
    <row r="77529" customFormat="1" x14ac:dyDescent="0.25"/>
    <row r="77530" customFormat="1" x14ac:dyDescent="0.25"/>
    <row r="77531" customFormat="1" x14ac:dyDescent="0.25"/>
    <row r="77532" customFormat="1" x14ac:dyDescent="0.25"/>
    <row r="77533" customFormat="1" x14ac:dyDescent="0.25"/>
    <row r="77534" customFormat="1" x14ac:dyDescent="0.25"/>
    <row r="77535" customFormat="1" x14ac:dyDescent="0.25"/>
    <row r="77536" customFormat="1" x14ac:dyDescent="0.25"/>
    <row r="77537" customFormat="1" x14ac:dyDescent="0.25"/>
    <row r="77538" customFormat="1" x14ac:dyDescent="0.25"/>
    <row r="77539" customFormat="1" x14ac:dyDescent="0.25"/>
    <row r="77540" customFormat="1" x14ac:dyDescent="0.25"/>
    <row r="77541" customFormat="1" x14ac:dyDescent="0.25"/>
    <row r="77542" customFormat="1" x14ac:dyDescent="0.25"/>
    <row r="77543" customFormat="1" x14ac:dyDescent="0.25"/>
    <row r="77544" customFormat="1" x14ac:dyDescent="0.25"/>
    <row r="77545" customFormat="1" x14ac:dyDescent="0.25"/>
    <row r="77546" customFormat="1" x14ac:dyDescent="0.25"/>
    <row r="77547" customFormat="1" x14ac:dyDescent="0.25"/>
    <row r="77548" customFormat="1" x14ac:dyDescent="0.25"/>
    <row r="77549" customFormat="1" x14ac:dyDescent="0.25"/>
    <row r="77550" customFormat="1" x14ac:dyDescent="0.25"/>
    <row r="77551" customFormat="1" x14ac:dyDescent="0.25"/>
    <row r="77552" customFormat="1" x14ac:dyDescent="0.25"/>
    <row r="77553" customFormat="1" x14ac:dyDescent="0.25"/>
    <row r="77554" customFormat="1" x14ac:dyDescent="0.25"/>
    <row r="77555" customFormat="1" x14ac:dyDescent="0.25"/>
    <row r="77556" customFormat="1" x14ac:dyDescent="0.25"/>
    <row r="77557" customFormat="1" x14ac:dyDescent="0.25"/>
    <row r="77558" customFormat="1" x14ac:dyDescent="0.25"/>
    <row r="77559" customFormat="1" x14ac:dyDescent="0.25"/>
    <row r="77560" customFormat="1" x14ac:dyDescent="0.25"/>
    <row r="77561" customFormat="1" x14ac:dyDescent="0.25"/>
    <row r="77562" customFormat="1" x14ac:dyDescent="0.25"/>
    <row r="77563" customFormat="1" x14ac:dyDescent="0.25"/>
    <row r="77564" customFormat="1" x14ac:dyDescent="0.25"/>
    <row r="77565" customFormat="1" x14ac:dyDescent="0.25"/>
    <row r="77566" customFormat="1" x14ac:dyDescent="0.25"/>
    <row r="77567" customFormat="1" x14ac:dyDescent="0.25"/>
    <row r="77568" customFormat="1" x14ac:dyDescent="0.25"/>
    <row r="77569" customFormat="1" x14ac:dyDescent="0.25"/>
    <row r="77570" customFormat="1" x14ac:dyDescent="0.25"/>
    <row r="77571" customFormat="1" x14ac:dyDescent="0.25"/>
    <row r="77572" customFormat="1" x14ac:dyDescent="0.25"/>
    <row r="77573" customFormat="1" x14ac:dyDescent="0.25"/>
    <row r="77574" customFormat="1" x14ac:dyDescent="0.25"/>
    <row r="77575" customFormat="1" x14ac:dyDescent="0.25"/>
    <row r="77576" customFormat="1" x14ac:dyDescent="0.25"/>
    <row r="77577" customFormat="1" x14ac:dyDescent="0.25"/>
    <row r="77578" customFormat="1" x14ac:dyDescent="0.25"/>
    <row r="77579" customFormat="1" x14ac:dyDescent="0.25"/>
    <row r="77580" customFormat="1" x14ac:dyDescent="0.25"/>
    <row r="77581" customFormat="1" x14ac:dyDescent="0.25"/>
    <row r="77582" customFormat="1" x14ac:dyDescent="0.25"/>
    <row r="77583" customFormat="1" x14ac:dyDescent="0.25"/>
    <row r="77584" customFormat="1" x14ac:dyDescent="0.25"/>
    <row r="77585" customFormat="1" x14ac:dyDescent="0.25"/>
    <row r="77586" customFormat="1" x14ac:dyDescent="0.25"/>
    <row r="77587" customFormat="1" x14ac:dyDescent="0.25"/>
    <row r="77588" customFormat="1" x14ac:dyDescent="0.25"/>
    <row r="77589" customFormat="1" x14ac:dyDescent="0.25"/>
    <row r="77590" customFormat="1" x14ac:dyDescent="0.25"/>
    <row r="77591" customFormat="1" x14ac:dyDescent="0.25"/>
    <row r="77592" customFormat="1" x14ac:dyDescent="0.25"/>
    <row r="77593" customFormat="1" x14ac:dyDescent="0.25"/>
    <row r="77594" customFormat="1" x14ac:dyDescent="0.25"/>
    <row r="77595" customFormat="1" x14ac:dyDescent="0.25"/>
    <row r="77596" customFormat="1" x14ac:dyDescent="0.25"/>
    <row r="77597" customFormat="1" x14ac:dyDescent="0.25"/>
    <row r="77598" customFormat="1" x14ac:dyDescent="0.25"/>
    <row r="77599" customFormat="1" x14ac:dyDescent="0.25"/>
    <row r="77600" customFormat="1" x14ac:dyDescent="0.25"/>
    <row r="77601" customFormat="1" x14ac:dyDescent="0.25"/>
    <row r="77602" customFormat="1" x14ac:dyDescent="0.25"/>
    <row r="77603" customFormat="1" x14ac:dyDescent="0.25"/>
    <row r="77604" customFormat="1" x14ac:dyDescent="0.25"/>
    <row r="77605" customFormat="1" x14ac:dyDescent="0.25"/>
    <row r="77606" customFormat="1" x14ac:dyDescent="0.25"/>
    <row r="77607" customFormat="1" x14ac:dyDescent="0.25"/>
    <row r="77608" customFormat="1" x14ac:dyDescent="0.25"/>
    <row r="77609" customFormat="1" x14ac:dyDescent="0.25"/>
    <row r="77610" customFormat="1" x14ac:dyDescent="0.25"/>
    <row r="77611" customFormat="1" x14ac:dyDescent="0.25"/>
    <row r="77612" customFormat="1" x14ac:dyDescent="0.25"/>
    <row r="77613" customFormat="1" x14ac:dyDescent="0.25"/>
    <row r="77614" customFormat="1" x14ac:dyDescent="0.25"/>
    <row r="77615" customFormat="1" x14ac:dyDescent="0.25"/>
    <row r="77616" customFormat="1" x14ac:dyDescent="0.25"/>
    <row r="77617" customFormat="1" x14ac:dyDescent="0.25"/>
    <row r="77618" customFormat="1" x14ac:dyDescent="0.25"/>
    <row r="77619" customFormat="1" x14ac:dyDescent="0.25"/>
    <row r="77620" customFormat="1" x14ac:dyDescent="0.25"/>
    <row r="77621" customFormat="1" x14ac:dyDescent="0.25"/>
    <row r="77622" customFormat="1" x14ac:dyDescent="0.25"/>
    <row r="77623" customFormat="1" x14ac:dyDescent="0.25"/>
    <row r="77624" customFormat="1" x14ac:dyDescent="0.25"/>
    <row r="77625" customFormat="1" x14ac:dyDescent="0.25"/>
    <row r="77626" customFormat="1" x14ac:dyDescent="0.25"/>
    <row r="77627" customFormat="1" x14ac:dyDescent="0.25"/>
    <row r="77628" customFormat="1" x14ac:dyDescent="0.25"/>
    <row r="77629" customFormat="1" x14ac:dyDescent="0.25"/>
    <row r="77630" customFormat="1" x14ac:dyDescent="0.25"/>
    <row r="77631" customFormat="1" x14ac:dyDescent="0.25"/>
    <row r="77632" customFormat="1" x14ac:dyDescent="0.25"/>
    <row r="77633" customFormat="1" x14ac:dyDescent="0.25"/>
    <row r="77634" customFormat="1" x14ac:dyDescent="0.25"/>
    <row r="77635" customFormat="1" x14ac:dyDescent="0.25"/>
    <row r="77636" customFormat="1" x14ac:dyDescent="0.25"/>
    <row r="77637" customFormat="1" x14ac:dyDescent="0.25"/>
    <row r="77638" customFormat="1" x14ac:dyDescent="0.25"/>
    <row r="77639" customFormat="1" x14ac:dyDescent="0.25"/>
    <row r="77640" customFormat="1" x14ac:dyDescent="0.25"/>
    <row r="77641" customFormat="1" x14ac:dyDescent="0.25"/>
    <row r="77642" customFormat="1" x14ac:dyDescent="0.25"/>
    <row r="77643" customFormat="1" x14ac:dyDescent="0.25"/>
    <row r="77644" customFormat="1" x14ac:dyDescent="0.25"/>
    <row r="77645" customFormat="1" x14ac:dyDescent="0.25"/>
    <row r="77646" customFormat="1" x14ac:dyDescent="0.25"/>
    <row r="77647" customFormat="1" x14ac:dyDescent="0.25"/>
    <row r="77648" customFormat="1" x14ac:dyDescent="0.25"/>
    <row r="77649" customFormat="1" x14ac:dyDescent="0.25"/>
    <row r="77650" customFormat="1" x14ac:dyDescent="0.25"/>
    <row r="77651" customFormat="1" x14ac:dyDescent="0.25"/>
    <row r="77652" customFormat="1" x14ac:dyDescent="0.25"/>
    <row r="77653" customFormat="1" x14ac:dyDescent="0.25"/>
    <row r="77654" customFormat="1" x14ac:dyDescent="0.25"/>
    <row r="77655" customFormat="1" x14ac:dyDescent="0.25"/>
    <row r="77656" customFormat="1" x14ac:dyDescent="0.25"/>
    <row r="77657" customFormat="1" x14ac:dyDescent="0.25"/>
    <row r="77658" customFormat="1" x14ac:dyDescent="0.25"/>
    <row r="77659" customFormat="1" x14ac:dyDescent="0.25"/>
    <row r="77660" customFormat="1" x14ac:dyDescent="0.25"/>
    <row r="77661" customFormat="1" x14ac:dyDescent="0.25"/>
    <row r="77662" customFormat="1" x14ac:dyDescent="0.25"/>
    <row r="77663" customFormat="1" x14ac:dyDescent="0.25"/>
    <row r="77664" customFormat="1" x14ac:dyDescent="0.25"/>
    <row r="77665" customFormat="1" x14ac:dyDescent="0.25"/>
    <row r="77666" customFormat="1" x14ac:dyDescent="0.25"/>
    <row r="77667" customFormat="1" x14ac:dyDescent="0.25"/>
    <row r="77668" customFormat="1" x14ac:dyDescent="0.25"/>
    <row r="77669" customFormat="1" x14ac:dyDescent="0.25"/>
    <row r="77670" customFormat="1" x14ac:dyDescent="0.25"/>
    <row r="77671" customFormat="1" x14ac:dyDescent="0.25"/>
    <row r="77672" customFormat="1" x14ac:dyDescent="0.25"/>
    <row r="77673" customFormat="1" x14ac:dyDescent="0.25"/>
    <row r="77674" customFormat="1" x14ac:dyDescent="0.25"/>
    <row r="77675" customFormat="1" x14ac:dyDescent="0.25"/>
    <row r="77676" customFormat="1" x14ac:dyDescent="0.25"/>
    <row r="77677" customFormat="1" x14ac:dyDescent="0.25"/>
    <row r="77678" customFormat="1" x14ac:dyDescent="0.25"/>
    <row r="77679" customFormat="1" x14ac:dyDescent="0.25"/>
    <row r="77680" customFormat="1" x14ac:dyDescent="0.25"/>
    <row r="77681" customFormat="1" x14ac:dyDescent="0.25"/>
    <row r="77682" customFormat="1" x14ac:dyDescent="0.25"/>
    <row r="77683" customFormat="1" x14ac:dyDescent="0.25"/>
    <row r="77684" customFormat="1" x14ac:dyDescent="0.25"/>
    <row r="77685" customFormat="1" x14ac:dyDescent="0.25"/>
    <row r="77686" customFormat="1" x14ac:dyDescent="0.25"/>
    <row r="77687" customFormat="1" x14ac:dyDescent="0.25"/>
    <row r="77688" customFormat="1" x14ac:dyDescent="0.25"/>
    <row r="77689" customFormat="1" x14ac:dyDescent="0.25"/>
    <row r="77690" customFormat="1" x14ac:dyDescent="0.25"/>
    <row r="77691" customFormat="1" x14ac:dyDescent="0.25"/>
    <row r="77692" customFormat="1" x14ac:dyDescent="0.25"/>
    <row r="77693" customFormat="1" x14ac:dyDescent="0.25"/>
    <row r="77694" customFormat="1" x14ac:dyDescent="0.25"/>
    <row r="77695" customFormat="1" x14ac:dyDescent="0.25"/>
    <row r="77696" customFormat="1" x14ac:dyDescent="0.25"/>
    <row r="77697" customFormat="1" x14ac:dyDescent="0.25"/>
    <row r="77698" customFormat="1" x14ac:dyDescent="0.25"/>
    <row r="77699" customFormat="1" x14ac:dyDescent="0.25"/>
    <row r="77700" customFormat="1" x14ac:dyDescent="0.25"/>
    <row r="77701" customFormat="1" x14ac:dyDescent="0.25"/>
    <row r="77702" customFormat="1" x14ac:dyDescent="0.25"/>
    <row r="77703" customFormat="1" x14ac:dyDescent="0.25"/>
    <row r="77704" customFormat="1" x14ac:dyDescent="0.25"/>
    <row r="77705" customFormat="1" x14ac:dyDescent="0.25"/>
    <row r="77706" customFormat="1" x14ac:dyDescent="0.25"/>
    <row r="77707" customFormat="1" x14ac:dyDescent="0.25"/>
    <row r="77708" customFormat="1" x14ac:dyDescent="0.25"/>
    <row r="77709" customFormat="1" x14ac:dyDescent="0.25"/>
    <row r="77710" customFormat="1" x14ac:dyDescent="0.25"/>
    <row r="77711" customFormat="1" x14ac:dyDescent="0.25"/>
    <row r="77712" customFormat="1" x14ac:dyDescent="0.25"/>
    <row r="77713" customFormat="1" x14ac:dyDescent="0.25"/>
    <row r="77714" customFormat="1" x14ac:dyDescent="0.25"/>
    <row r="77715" customFormat="1" x14ac:dyDescent="0.25"/>
    <row r="77716" customFormat="1" x14ac:dyDescent="0.25"/>
    <row r="77717" customFormat="1" x14ac:dyDescent="0.25"/>
    <row r="77718" customFormat="1" x14ac:dyDescent="0.25"/>
    <row r="77719" customFormat="1" x14ac:dyDescent="0.25"/>
    <row r="77720" customFormat="1" x14ac:dyDescent="0.25"/>
    <row r="77721" customFormat="1" x14ac:dyDescent="0.25"/>
    <row r="77722" customFormat="1" x14ac:dyDescent="0.25"/>
    <row r="77723" customFormat="1" x14ac:dyDescent="0.25"/>
    <row r="77724" customFormat="1" x14ac:dyDescent="0.25"/>
    <row r="77725" customFormat="1" x14ac:dyDescent="0.25"/>
    <row r="77726" customFormat="1" x14ac:dyDescent="0.25"/>
    <row r="77727" customFormat="1" x14ac:dyDescent="0.25"/>
    <row r="77728" customFormat="1" x14ac:dyDescent="0.25"/>
    <row r="77729" customFormat="1" x14ac:dyDescent="0.25"/>
    <row r="77730" customFormat="1" x14ac:dyDescent="0.25"/>
    <row r="77731" customFormat="1" x14ac:dyDescent="0.25"/>
    <row r="77732" customFormat="1" x14ac:dyDescent="0.25"/>
    <row r="77733" customFormat="1" x14ac:dyDescent="0.25"/>
    <row r="77734" customFormat="1" x14ac:dyDescent="0.25"/>
    <row r="77735" customFormat="1" x14ac:dyDescent="0.25"/>
    <row r="77736" customFormat="1" x14ac:dyDescent="0.25"/>
    <row r="77737" customFormat="1" x14ac:dyDescent="0.25"/>
    <row r="77738" customFormat="1" x14ac:dyDescent="0.25"/>
    <row r="77739" customFormat="1" x14ac:dyDescent="0.25"/>
    <row r="77740" customFormat="1" x14ac:dyDescent="0.25"/>
    <row r="77741" customFormat="1" x14ac:dyDescent="0.25"/>
    <row r="77742" customFormat="1" x14ac:dyDescent="0.25"/>
    <row r="77743" customFormat="1" x14ac:dyDescent="0.25"/>
    <row r="77744" customFormat="1" x14ac:dyDescent="0.25"/>
    <row r="77745" customFormat="1" x14ac:dyDescent="0.25"/>
    <row r="77746" customFormat="1" x14ac:dyDescent="0.25"/>
    <row r="77747" customFormat="1" x14ac:dyDescent="0.25"/>
    <row r="77748" customFormat="1" x14ac:dyDescent="0.25"/>
    <row r="77749" customFormat="1" x14ac:dyDescent="0.25"/>
    <row r="77750" customFormat="1" x14ac:dyDescent="0.25"/>
    <row r="77751" customFormat="1" x14ac:dyDescent="0.25"/>
    <row r="77752" customFormat="1" x14ac:dyDescent="0.25"/>
    <row r="77753" customFormat="1" x14ac:dyDescent="0.25"/>
    <row r="77754" customFormat="1" x14ac:dyDescent="0.25"/>
    <row r="77755" customFormat="1" x14ac:dyDescent="0.25"/>
    <row r="77756" customFormat="1" x14ac:dyDescent="0.25"/>
    <row r="77757" customFormat="1" x14ac:dyDescent="0.25"/>
    <row r="77758" customFormat="1" x14ac:dyDescent="0.25"/>
    <row r="77759" customFormat="1" x14ac:dyDescent="0.25"/>
    <row r="77760" customFormat="1" x14ac:dyDescent="0.25"/>
    <row r="77761" customFormat="1" x14ac:dyDescent="0.25"/>
    <row r="77762" customFormat="1" x14ac:dyDescent="0.25"/>
    <row r="77763" customFormat="1" x14ac:dyDescent="0.25"/>
    <row r="77764" customFormat="1" x14ac:dyDescent="0.25"/>
    <row r="77765" customFormat="1" x14ac:dyDescent="0.25"/>
    <row r="77766" customFormat="1" x14ac:dyDescent="0.25"/>
    <row r="77767" customFormat="1" x14ac:dyDescent="0.25"/>
    <row r="77768" customFormat="1" x14ac:dyDescent="0.25"/>
    <row r="77769" customFormat="1" x14ac:dyDescent="0.25"/>
    <row r="77770" customFormat="1" x14ac:dyDescent="0.25"/>
    <row r="77771" customFormat="1" x14ac:dyDescent="0.25"/>
    <row r="77772" customFormat="1" x14ac:dyDescent="0.25"/>
    <row r="77773" customFormat="1" x14ac:dyDescent="0.25"/>
    <row r="77774" customFormat="1" x14ac:dyDescent="0.25"/>
    <row r="77775" customFormat="1" x14ac:dyDescent="0.25"/>
    <row r="77776" customFormat="1" x14ac:dyDescent="0.25"/>
    <row r="77777" customFormat="1" x14ac:dyDescent="0.25"/>
    <row r="77778" customFormat="1" x14ac:dyDescent="0.25"/>
    <row r="77779" customFormat="1" x14ac:dyDescent="0.25"/>
    <row r="77780" customFormat="1" x14ac:dyDescent="0.25"/>
    <row r="77781" customFormat="1" x14ac:dyDescent="0.25"/>
    <row r="77782" customFormat="1" x14ac:dyDescent="0.25"/>
    <row r="77783" customFormat="1" x14ac:dyDescent="0.25"/>
    <row r="77784" customFormat="1" x14ac:dyDescent="0.25"/>
    <row r="77785" customFormat="1" x14ac:dyDescent="0.25"/>
    <row r="77786" customFormat="1" x14ac:dyDescent="0.25"/>
    <row r="77787" customFormat="1" x14ac:dyDescent="0.25"/>
    <row r="77788" customFormat="1" x14ac:dyDescent="0.25"/>
    <row r="77789" customFormat="1" x14ac:dyDescent="0.25"/>
    <row r="77790" customFormat="1" x14ac:dyDescent="0.25"/>
    <row r="77791" customFormat="1" x14ac:dyDescent="0.25"/>
    <row r="77792" customFormat="1" x14ac:dyDescent="0.25"/>
    <row r="77793" customFormat="1" x14ac:dyDescent="0.25"/>
    <row r="77794" customFormat="1" x14ac:dyDescent="0.25"/>
    <row r="77795" customFormat="1" x14ac:dyDescent="0.25"/>
    <row r="77796" customFormat="1" x14ac:dyDescent="0.25"/>
    <row r="77797" customFormat="1" x14ac:dyDescent="0.25"/>
    <row r="77798" customFormat="1" x14ac:dyDescent="0.25"/>
    <row r="77799" customFormat="1" x14ac:dyDescent="0.25"/>
    <row r="77800" customFormat="1" x14ac:dyDescent="0.25"/>
    <row r="77801" customFormat="1" x14ac:dyDescent="0.25"/>
    <row r="77802" customFormat="1" x14ac:dyDescent="0.25"/>
    <row r="77803" customFormat="1" x14ac:dyDescent="0.25"/>
    <row r="77804" customFormat="1" x14ac:dyDescent="0.25"/>
    <row r="77805" customFormat="1" x14ac:dyDescent="0.25"/>
    <row r="77806" customFormat="1" x14ac:dyDescent="0.25"/>
    <row r="77807" customFormat="1" x14ac:dyDescent="0.25"/>
    <row r="77808" customFormat="1" x14ac:dyDescent="0.25"/>
    <row r="77809" customFormat="1" x14ac:dyDescent="0.25"/>
    <row r="77810" customFormat="1" x14ac:dyDescent="0.25"/>
    <row r="77811" customFormat="1" x14ac:dyDescent="0.25"/>
    <row r="77812" customFormat="1" x14ac:dyDescent="0.25"/>
    <row r="77813" customFormat="1" x14ac:dyDescent="0.25"/>
    <row r="77814" customFormat="1" x14ac:dyDescent="0.25"/>
    <row r="77815" customFormat="1" x14ac:dyDescent="0.25"/>
    <row r="77816" customFormat="1" x14ac:dyDescent="0.25"/>
    <row r="77817" customFormat="1" x14ac:dyDescent="0.25"/>
    <row r="77818" customFormat="1" x14ac:dyDescent="0.25"/>
    <row r="77819" customFormat="1" x14ac:dyDescent="0.25"/>
    <row r="77820" customFormat="1" x14ac:dyDescent="0.25"/>
    <row r="77821" customFormat="1" x14ac:dyDescent="0.25"/>
    <row r="77822" customFormat="1" x14ac:dyDescent="0.25"/>
    <row r="77823" customFormat="1" x14ac:dyDescent="0.25"/>
    <row r="77824" customFormat="1" x14ac:dyDescent="0.25"/>
    <row r="77825" customFormat="1" x14ac:dyDescent="0.25"/>
    <row r="77826" customFormat="1" x14ac:dyDescent="0.25"/>
    <row r="77827" customFormat="1" x14ac:dyDescent="0.25"/>
    <row r="77828" customFormat="1" x14ac:dyDescent="0.25"/>
    <row r="77829" customFormat="1" x14ac:dyDescent="0.25"/>
    <row r="77830" customFormat="1" x14ac:dyDescent="0.25"/>
    <row r="77831" customFormat="1" x14ac:dyDescent="0.25"/>
    <row r="77832" customFormat="1" x14ac:dyDescent="0.25"/>
    <row r="77833" customFormat="1" x14ac:dyDescent="0.25"/>
    <row r="77834" customFormat="1" x14ac:dyDescent="0.25"/>
    <row r="77835" customFormat="1" x14ac:dyDescent="0.25"/>
    <row r="77836" customFormat="1" x14ac:dyDescent="0.25"/>
    <row r="77837" customFormat="1" x14ac:dyDescent="0.25"/>
    <row r="77838" customFormat="1" x14ac:dyDescent="0.25"/>
    <row r="77839" customFormat="1" x14ac:dyDescent="0.25"/>
    <row r="77840" customFormat="1" x14ac:dyDescent="0.25"/>
    <row r="77841" customFormat="1" x14ac:dyDescent="0.25"/>
    <row r="77842" customFormat="1" x14ac:dyDescent="0.25"/>
    <row r="77843" customFormat="1" x14ac:dyDescent="0.25"/>
    <row r="77844" customFormat="1" x14ac:dyDescent="0.25"/>
    <row r="77845" customFormat="1" x14ac:dyDescent="0.25"/>
    <row r="77846" customFormat="1" x14ac:dyDescent="0.25"/>
    <row r="77847" customFormat="1" x14ac:dyDescent="0.25"/>
    <row r="77848" customFormat="1" x14ac:dyDescent="0.25"/>
    <row r="77849" customFormat="1" x14ac:dyDescent="0.25"/>
    <row r="77850" customFormat="1" x14ac:dyDescent="0.25"/>
    <row r="77851" customFormat="1" x14ac:dyDescent="0.25"/>
    <row r="77852" customFormat="1" x14ac:dyDescent="0.25"/>
    <row r="77853" customFormat="1" x14ac:dyDescent="0.25"/>
    <row r="77854" customFormat="1" x14ac:dyDescent="0.25"/>
    <row r="77855" customFormat="1" x14ac:dyDescent="0.25"/>
    <row r="77856" customFormat="1" x14ac:dyDescent="0.25"/>
    <row r="77857" customFormat="1" x14ac:dyDescent="0.25"/>
    <row r="77858" customFormat="1" x14ac:dyDescent="0.25"/>
    <row r="77859" customFormat="1" x14ac:dyDescent="0.25"/>
    <row r="77860" customFormat="1" x14ac:dyDescent="0.25"/>
    <row r="77861" customFormat="1" x14ac:dyDescent="0.25"/>
    <row r="77862" customFormat="1" x14ac:dyDescent="0.25"/>
    <row r="77863" customFormat="1" x14ac:dyDescent="0.25"/>
    <row r="77864" customFormat="1" x14ac:dyDescent="0.25"/>
    <row r="77865" customFormat="1" x14ac:dyDescent="0.25"/>
    <row r="77866" customFormat="1" x14ac:dyDescent="0.25"/>
    <row r="77867" customFormat="1" x14ac:dyDescent="0.25"/>
    <row r="77868" customFormat="1" x14ac:dyDescent="0.25"/>
    <row r="77869" customFormat="1" x14ac:dyDescent="0.25"/>
    <row r="77870" customFormat="1" x14ac:dyDescent="0.25"/>
    <row r="77871" customFormat="1" x14ac:dyDescent="0.25"/>
    <row r="77872" customFormat="1" x14ac:dyDescent="0.25"/>
    <row r="77873" customFormat="1" x14ac:dyDescent="0.25"/>
    <row r="77874" customFormat="1" x14ac:dyDescent="0.25"/>
    <row r="77875" customFormat="1" x14ac:dyDescent="0.25"/>
    <row r="77876" customFormat="1" x14ac:dyDescent="0.25"/>
    <row r="77877" customFormat="1" x14ac:dyDescent="0.25"/>
    <row r="77878" customFormat="1" x14ac:dyDescent="0.25"/>
    <row r="77879" customFormat="1" x14ac:dyDescent="0.25"/>
    <row r="77880" customFormat="1" x14ac:dyDescent="0.25"/>
    <row r="77881" customFormat="1" x14ac:dyDescent="0.25"/>
    <row r="77882" customFormat="1" x14ac:dyDescent="0.25"/>
    <row r="77883" customFormat="1" x14ac:dyDescent="0.25"/>
    <row r="77884" customFormat="1" x14ac:dyDescent="0.25"/>
    <row r="77885" customFormat="1" x14ac:dyDescent="0.25"/>
    <row r="77886" customFormat="1" x14ac:dyDescent="0.25"/>
    <row r="77887" customFormat="1" x14ac:dyDescent="0.25"/>
    <row r="77888" customFormat="1" x14ac:dyDescent="0.25"/>
    <row r="77889" customFormat="1" x14ac:dyDescent="0.25"/>
    <row r="77890" customFormat="1" x14ac:dyDescent="0.25"/>
    <row r="77891" customFormat="1" x14ac:dyDescent="0.25"/>
    <row r="77892" customFormat="1" x14ac:dyDescent="0.25"/>
    <row r="77893" customFormat="1" x14ac:dyDescent="0.25"/>
    <row r="77894" customFormat="1" x14ac:dyDescent="0.25"/>
    <row r="77895" customFormat="1" x14ac:dyDescent="0.25"/>
    <row r="77896" customFormat="1" x14ac:dyDescent="0.25"/>
    <row r="77897" customFormat="1" x14ac:dyDescent="0.25"/>
    <row r="77898" customFormat="1" x14ac:dyDescent="0.25"/>
    <row r="77899" customFormat="1" x14ac:dyDescent="0.25"/>
    <row r="77900" customFormat="1" x14ac:dyDescent="0.25"/>
    <row r="77901" customFormat="1" x14ac:dyDescent="0.25"/>
    <row r="77902" customFormat="1" x14ac:dyDescent="0.25"/>
    <row r="77903" customFormat="1" x14ac:dyDescent="0.25"/>
    <row r="77904" customFormat="1" x14ac:dyDescent="0.25"/>
    <row r="77905" customFormat="1" x14ac:dyDescent="0.25"/>
    <row r="77906" customFormat="1" x14ac:dyDescent="0.25"/>
    <row r="77907" customFormat="1" x14ac:dyDescent="0.25"/>
    <row r="77908" customFormat="1" x14ac:dyDescent="0.25"/>
    <row r="77909" customFormat="1" x14ac:dyDescent="0.25"/>
    <row r="77910" customFormat="1" x14ac:dyDescent="0.25"/>
    <row r="77911" customFormat="1" x14ac:dyDescent="0.25"/>
    <row r="77912" customFormat="1" x14ac:dyDescent="0.25"/>
    <row r="77913" customFormat="1" x14ac:dyDescent="0.25"/>
    <row r="77914" customFormat="1" x14ac:dyDescent="0.25"/>
    <row r="77915" customFormat="1" x14ac:dyDescent="0.25"/>
    <row r="77916" customFormat="1" x14ac:dyDescent="0.25"/>
    <row r="77917" customFormat="1" x14ac:dyDescent="0.25"/>
    <row r="77918" customFormat="1" x14ac:dyDescent="0.25"/>
    <row r="77919" customFormat="1" x14ac:dyDescent="0.25"/>
    <row r="77920" customFormat="1" x14ac:dyDescent="0.25"/>
    <row r="77921" customFormat="1" x14ac:dyDescent="0.25"/>
    <row r="77922" customFormat="1" x14ac:dyDescent="0.25"/>
    <row r="77923" customFormat="1" x14ac:dyDescent="0.25"/>
    <row r="77924" customFormat="1" x14ac:dyDescent="0.25"/>
    <row r="77925" customFormat="1" x14ac:dyDescent="0.25"/>
    <row r="77926" customFormat="1" x14ac:dyDescent="0.25"/>
    <row r="77927" customFormat="1" x14ac:dyDescent="0.25"/>
    <row r="77928" customFormat="1" x14ac:dyDescent="0.25"/>
    <row r="77929" customFormat="1" x14ac:dyDescent="0.25"/>
    <row r="77930" customFormat="1" x14ac:dyDescent="0.25"/>
    <row r="77931" customFormat="1" x14ac:dyDescent="0.25"/>
    <row r="77932" customFormat="1" x14ac:dyDescent="0.25"/>
    <row r="77933" customFormat="1" x14ac:dyDescent="0.25"/>
    <row r="77934" customFormat="1" x14ac:dyDescent="0.25"/>
    <row r="77935" customFormat="1" x14ac:dyDescent="0.25"/>
    <row r="77936" customFormat="1" x14ac:dyDescent="0.25"/>
    <row r="77937" customFormat="1" x14ac:dyDescent="0.25"/>
    <row r="77938" customFormat="1" x14ac:dyDescent="0.25"/>
    <row r="77939" customFormat="1" x14ac:dyDescent="0.25"/>
    <row r="77940" customFormat="1" x14ac:dyDescent="0.25"/>
    <row r="77941" customFormat="1" x14ac:dyDescent="0.25"/>
    <row r="77942" customFormat="1" x14ac:dyDescent="0.25"/>
    <row r="77943" customFormat="1" x14ac:dyDescent="0.25"/>
    <row r="77944" customFormat="1" x14ac:dyDescent="0.25"/>
    <row r="77945" customFormat="1" x14ac:dyDescent="0.25"/>
    <row r="77946" customFormat="1" x14ac:dyDescent="0.25"/>
    <row r="77947" customFormat="1" x14ac:dyDescent="0.25"/>
    <row r="77948" customFormat="1" x14ac:dyDescent="0.25"/>
    <row r="77949" customFormat="1" x14ac:dyDescent="0.25"/>
    <row r="77950" customFormat="1" x14ac:dyDescent="0.25"/>
    <row r="77951" customFormat="1" x14ac:dyDescent="0.25"/>
    <row r="77952" customFormat="1" x14ac:dyDescent="0.25"/>
    <row r="77953" customFormat="1" x14ac:dyDescent="0.25"/>
    <row r="77954" customFormat="1" x14ac:dyDescent="0.25"/>
    <row r="77955" customFormat="1" x14ac:dyDescent="0.25"/>
    <row r="77956" customFormat="1" x14ac:dyDescent="0.25"/>
    <row r="77957" customFormat="1" x14ac:dyDescent="0.25"/>
    <row r="77958" customFormat="1" x14ac:dyDescent="0.25"/>
    <row r="77959" customFormat="1" x14ac:dyDescent="0.25"/>
    <row r="77960" customFormat="1" x14ac:dyDescent="0.25"/>
    <row r="77961" customFormat="1" x14ac:dyDescent="0.25"/>
    <row r="77962" customFormat="1" x14ac:dyDescent="0.25"/>
    <row r="77963" customFormat="1" x14ac:dyDescent="0.25"/>
    <row r="77964" customFormat="1" x14ac:dyDescent="0.25"/>
    <row r="77965" customFormat="1" x14ac:dyDescent="0.25"/>
    <row r="77966" customFormat="1" x14ac:dyDescent="0.25"/>
    <row r="77967" customFormat="1" x14ac:dyDescent="0.25"/>
    <row r="77968" customFormat="1" x14ac:dyDescent="0.25"/>
    <row r="77969" customFormat="1" x14ac:dyDescent="0.25"/>
    <row r="77970" customFormat="1" x14ac:dyDescent="0.25"/>
    <row r="77971" customFormat="1" x14ac:dyDescent="0.25"/>
    <row r="77972" customFormat="1" x14ac:dyDescent="0.25"/>
    <row r="77973" customFormat="1" x14ac:dyDescent="0.25"/>
    <row r="77974" customFormat="1" x14ac:dyDescent="0.25"/>
    <row r="77975" customFormat="1" x14ac:dyDescent="0.25"/>
    <row r="77976" customFormat="1" x14ac:dyDescent="0.25"/>
    <row r="77977" customFormat="1" x14ac:dyDescent="0.25"/>
    <row r="77978" customFormat="1" x14ac:dyDescent="0.25"/>
    <row r="77979" customFormat="1" x14ac:dyDescent="0.25"/>
    <row r="77980" customFormat="1" x14ac:dyDescent="0.25"/>
    <row r="77981" customFormat="1" x14ac:dyDescent="0.25"/>
    <row r="77982" customFormat="1" x14ac:dyDescent="0.25"/>
    <row r="77983" customFormat="1" x14ac:dyDescent="0.25"/>
    <row r="77984" customFormat="1" x14ac:dyDescent="0.25"/>
    <row r="77985" customFormat="1" x14ac:dyDescent="0.25"/>
    <row r="77986" customFormat="1" x14ac:dyDescent="0.25"/>
    <row r="77987" customFormat="1" x14ac:dyDescent="0.25"/>
    <row r="77988" customFormat="1" x14ac:dyDescent="0.25"/>
    <row r="77989" customFormat="1" x14ac:dyDescent="0.25"/>
    <row r="77990" customFormat="1" x14ac:dyDescent="0.25"/>
    <row r="77991" customFormat="1" x14ac:dyDescent="0.25"/>
    <row r="77992" customFormat="1" x14ac:dyDescent="0.25"/>
    <row r="77993" customFormat="1" x14ac:dyDescent="0.25"/>
    <row r="77994" customFormat="1" x14ac:dyDescent="0.25"/>
    <row r="77995" customFormat="1" x14ac:dyDescent="0.25"/>
    <row r="77996" customFormat="1" x14ac:dyDescent="0.25"/>
    <row r="77997" customFormat="1" x14ac:dyDescent="0.25"/>
    <row r="77998" customFormat="1" x14ac:dyDescent="0.25"/>
    <row r="77999" customFormat="1" x14ac:dyDescent="0.25"/>
    <row r="78000" customFormat="1" x14ac:dyDescent="0.25"/>
    <row r="78001" customFormat="1" x14ac:dyDescent="0.25"/>
    <row r="78002" customFormat="1" x14ac:dyDescent="0.25"/>
    <row r="78003" customFormat="1" x14ac:dyDescent="0.25"/>
    <row r="78004" customFormat="1" x14ac:dyDescent="0.25"/>
    <row r="78005" customFormat="1" x14ac:dyDescent="0.25"/>
    <row r="78006" customFormat="1" x14ac:dyDescent="0.25"/>
    <row r="78007" customFormat="1" x14ac:dyDescent="0.25"/>
    <row r="78008" customFormat="1" x14ac:dyDescent="0.25"/>
    <row r="78009" customFormat="1" x14ac:dyDescent="0.25"/>
    <row r="78010" customFormat="1" x14ac:dyDescent="0.25"/>
    <row r="78011" customFormat="1" x14ac:dyDescent="0.25"/>
    <row r="78012" customFormat="1" x14ac:dyDescent="0.25"/>
    <row r="78013" customFormat="1" x14ac:dyDescent="0.25"/>
    <row r="78014" customFormat="1" x14ac:dyDescent="0.25"/>
    <row r="78015" customFormat="1" x14ac:dyDescent="0.25"/>
    <row r="78016" customFormat="1" x14ac:dyDescent="0.25"/>
    <row r="78017" customFormat="1" x14ac:dyDescent="0.25"/>
    <row r="78018" customFormat="1" x14ac:dyDescent="0.25"/>
    <row r="78019" customFormat="1" x14ac:dyDescent="0.25"/>
    <row r="78020" customFormat="1" x14ac:dyDescent="0.25"/>
    <row r="78021" customFormat="1" x14ac:dyDescent="0.25"/>
    <row r="78022" customFormat="1" x14ac:dyDescent="0.25"/>
    <row r="78023" customFormat="1" x14ac:dyDescent="0.25"/>
    <row r="78024" customFormat="1" x14ac:dyDescent="0.25"/>
    <row r="78025" customFormat="1" x14ac:dyDescent="0.25"/>
    <row r="78026" customFormat="1" x14ac:dyDescent="0.25"/>
    <row r="78027" customFormat="1" x14ac:dyDescent="0.25"/>
    <row r="78028" customFormat="1" x14ac:dyDescent="0.25"/>
    <row r="78029" customFormat="1" x14ac:dyDescent="0.25"/>
    <row r="78030" customFormat="1" x14ac:dyDescent="0.25"/>
    <row r="78031" customFormat="1" x14ac:dyDescent="0.25"/>
    <row r="78032" customFormat="1" x14ac:dyDescent="0.25"/>
    <row r="78033" customFormat="1" x14ac:dyDescent="0.25"/>
    <row r="78034" customFormat="1" x14ac:dyDescent="0.25"/>
    <row r="78035" customFormat="1" x14ac:dyDescent="0.25"/>
    <row r="78036" customFormat="1" x14ac:dyDescent="0.25"/>
    <row r="78037" customFormat="1" x14ac:dyDescent="0.25"/>
    <row r="78038" customFormat="1" x14ac:dyDescent="0.25"/>
    <row r="78039" customFormat="1" x14ac:dyDescent="0.25"/>
    <row r="78040" customFormat="1" x14ac:dyDescent="0.25"/>
    <row r="78041" customFormat="1" x14ac:dyDescent="0.25"/>
    <row r="78042" customFormat="1" x14ac:dyDescent="0.25"/>
    <row r="78043" customFormat="1" x14ac:dyDescent="0.25"/>
    <row r="78044" customFormat="1" x14ac:dyDescent="0.25"/>
    <row r="78045" customFormat="1" x14ac:dyDescent="0.25"/>
    <row r="78046" customFormat="1" x14ac:dyDescent="0.25"/>
    <row r="78047" customFormat="1" x14ac:dyDescent="0.25"/>
    <row r="78048" customFormat="1" x14ac:dyDescent="0.25"/>
    <row r="78049" customFormat="1" x14ac:dyDescent="0.25"/>
    <row r="78050" customFormat="1" x14ac:dyDescent="0.25"/>
    <row r="78051" customFormat="1" x14ac:dyDescent="0.25"/>
    <row r="78052" customFormat="1" x14ac:dyDescent="0.25"/>
    <row r="78053" customFormat="1" x14ac:dyDescent="0.25"/>
    <row r="78054" customFormat="1" x14ac:dyDescent="0.25"/>
    <row r="78055" customFormat="1" x14ac:dyDescent="0.25"/>
    <row r="78056" customFormat="1" x14ac:dyDescent="0.25"/>
    <row r="78057" customFormat="1" x14ac:dyDescent="0.25"/>
    <row r="78058" customFormat="1" x14ac:dyDescent="0.25"/>
    <row r="78059" customFormat="1" x14ac:dyDescent="0.25"/>
    <row r="78060" customFormat="1" x14ac:dyDescent="0.25"/>
    <row r="78061" customFormat="1" x14ac:dyDescent="0.25"/>
    <row r="78062" customFormat="1" x14ac:dyDescent="0.25"/>
    <row r="78063" customFormat="1" x14ac:dyDescent="0.25"/>
    <row r="78064" customFormat="1" x14ac:dyDescent="0.25"/>
    <row r="78065" customFormat="1" x14ac:dyDescent="0.25"/>
    <row r="78066" customFormat="1" x14ac:dyDescent="0.25"/>
    <row r="78067" customFormat="1" x14ac:dyDescent="0.25"/>
    <row r="78068" customFormat="1" x14ac:dyDescent="0.25"/>
    <row r="78069" customFormat="1" x14ac:dyDescent="0.25"/>
    <row r="78070" customFormat="1" x14ac:dyDescent="0.25"/>
    <row r="78071" customFormat="1" x14ac:dyDescent="0.25"/>
    <row r="78072" customFormat="1" x14ac:dyDescent="0.25"/>
    <row r="78073" customFormat="1" x14ac:dyDescent="0.25"/>
    <row r="78074" customFormat="1" x14ac:dyDescent="0.25"/>
    <row r="78075" customFormat="1" x14ac:dyDescent="0.25"/>
    <row r="78076" customFormat="1" x14ac:dyDescent="0.25"/>
    <row r="78077" customFormat="1" x14ac:dyDescent="0.25"/>
    <row r="78078" customFormat="1" x14ac:dyDescent="0.25"/>
    <row r="78079" customFormat="1" x14ac:dyDescent="0.25"/>
    <row r="78080" customFormat="1" x14ac:dyDescent="0.25"/>
    <row r="78081" customFormat="1" x14ac:dyDescent="0.25"/>
    <row r="78082" customFormat="1" x14ac:dyDescent="0.25"/>
    <row r="78083" customFormat="1" x14ac:dyDescent="0.25"/>
    <row r="78084" customFormat="1" x14ac:dyDescent="0.25"/>
    <row r="78085" customFormat="1" x14ac:dyDescent="0.25"/>
    <row r="78086" customFormat="1" x14ac:dyDescent="0.25"/>
    <row r="78087" customFormat="1" x14ac:dyDescent="0.25"/>
    <row r="78088" customFormat="1" x14ac:dyDescent="0.25"/>
    <row r="78089" customFormat="1" x14ac:dyDescent="0.25"/>
    <row r="78090" customFormat="1" x14ac:dyDescent="0.25"/>
    <row r="78091" customFormat="1" x14ac:dyDescent="0.25"/>
    <row r="78092" customFormat="1" x14ac:dyDescent="0.25"/>
    <row r="78093" customFormat="1" x14ac:dyDescent="0.25"/>
    <row r="78094" customFormat="1" x14ac:dyDescent="0.25"/>
    <row r="78095" customFormat="1" x14ac:dyDescent="0.25"/>
    <row r="78096" customFormat="1" x14ac:dyDescent="0.25"/>
    <row r="78097" customFormat="1" x14ac:dyDescent="0.25"/>
    <row r="78098" customFormat="1" x14ac:dyDescent="0.25"/>
    <row r="78099" customFormat="1" x14ac:dyDescent="0.25"/>
    <row r="78100" customFormat="1" x14ac:dyDescent="0.25"/>
    <row r="78101" customFormat="1" x14ac:dyDescent="0.25"/>
    <row r="78102" customFormat="1" x14ac:dyDescent="0.25"/>
    <row r="78103" customFormat="1" x14ac:dyDescent="0.25"/>
    <row r="78104" customFormat="1" x14ac:dyDescent="0.25"/>
    <row r="78105" customFormat="1" x14ac:dyDescent="0.25"/>
    <row r="78106" customFormat="1" x14ac:dyDescent="0.25"/>
    <row r="78107" customFormat="1" x14ac:dyDescent="0.25"/>
    <row r="78108" customFormat="1" x14ac:dyDescent="0.25"/>
    <row r="78109" customFormat="1" x14ac:dyDescent="0.25"/>
    <row r="78110" customFormat="1" x14ac:dyDescent="0.25"/>
    <row r="78111" customFormat="1" x14ac:dyDescent="0.25"/>
    <row r="78112" customFormat="1" x14ac:dyDescent="0.25"/>
    <row r="78113" customFormat="1" x14ac:dyDescent="0.25"/>
    <row r="78114" customFormat="1" x14ac:dyDescent="0.25"/>
    <row r="78115" customFormat="1" x14ac:dyDescent="0.25"/>
    <row r="78116" customFormat="1" x14ac:dyDescent="0.25"/>
    <row r="78117" customFormat="1" x14ac:dyDescent="0.25"/>
    <row r="78118" customFormat="1" x14ac:dyDescent="0.25"/>
    <row r="78119" customFormat="1" x14ac:dyDescent="0.25"/>
    <row r="78120" customFormat="1" x14ac:dyDescent="0.25"/>
    <row r="78121" customFormat="1" x14ac:dyDescent="0.25"/>
    <row r="78122" customFormat="1" x14ac:dyDescent="0.25"/>
    <row r="78123" customFormat="1" x14ac:dyDescent="0.25"/>
    <row r="78124" customFormat="1" x14ac:dyDescent="0.25"/>
    <row r="78125" customFormat="1" x14ac:dyDescent="0.25"/>
    <row r="78126" customFormat="1" x14ac:dyDescent="0.25"/>
    <row r="78127" customFormat="1" x14ac:dyDescent="0.25"/>
    <row r="78128" customFormat="1" x14ac:dyDescent="0.25"/>
    <row r="78129" customFormat="1" x14ac:dyDescent="0.25"/>
    <row r="78130" customFormat="1" x14ac:dyDescent="0.25"/>
    <row r="78131" customFormat="1" x14ac:dyDescent="0.25"/>
    <row r="78132" customFormat="1" x14ac:dyDescent="0.25"/>
    <row r="78133" customFormat="1" x14ac:dyDescent="0.25"/>
    <row r="78134" customFormat="1" x14ac:dyDescent="0.25"/>
    <row r="78135" customFormat="1" x14ac:dyDescent="0.25"/>
    <row r="78136" customFormat="1" x14ac:dyDescent="0.25"/>
    <row r="78137" customFormat="1" x14ac:dyDescent="0.25"/>
    <row r="78138" customFormat="1" x14ac:dyDescent="0.25"/>
    <row r="78139" customFormat="1" x14ac:dyDescent="0.25"/>
    <row r="78140" customFormat="1" x14ac:dyDescent="0.25"/>
    <row r="78141" customFormat="1" x14ac:dyDescent="0.25"/>
    <row r="78142" customFormat="1" x14ac:dyDescent="0.25"/>
    <row r="78143" customFormat="1" x14ac:dyDescent="0.25"/>
    <row r="78144" customFormat="1" x14ac:dyDescent="0.25"/>
    <row r="78145" customFormat="1" x14ac:dyDescent="0.25"/>
    <row r="78146" customFormat="1" x14ac:dyDescent="0.25"/>
    <row r="78147" customFormat="1" x14ac:dyDescent="0.25"/>
    <row r="78148" customFormat="1" x14ac:dyDescent="0.25"/>
    <row r="78149" customFormat="1" x14ac:dyDescent="0.25"/>
    <row r="78150" customFormat="1" x14ac:dyDescent="0.25"/>
    <row r="78151" customFormat="1" x14ac:dyDescent="0.25"/>
    <row r="78152" customFormat="1" x14ac:dyDescent="0.25"/>
    <row r="78153" customFormat="1" x14ac:dyDescent="0.25"/>
    <row r="78154" customFormat="1" x14ac:dyDescent="0.25"/>
    <row r="78155" customFormat="1" x14ac:dyDescent="0.25"/>
    <row r="78156" customFormat="1" x14ac:dyDescent="0.25"/>
    <row r="78157" customFormat="1" x14ac:dyDescent="0.25"/>
    <row r="78158" customFormat="1" x14ac:dyDescent="0.25"/>
    <row r="78159" customFormat="1" x14ac:dyDescent="0.25"/>
    <row r="78160" customFormat="1" x14ac:dyDescent="0.25"/>
    <row r="78161" customFormat="1" x14ac:dyDescent="0.25"/>
    <row r="78162" customFormat="1" x14ac:dyDescent="0.25"/>
    <row r="78163" customFormat="1" x14ac:dyDescent="0.25"/>
    <row r="78164" customFormat="1" x14ac:dyDescent="0.25"/>
    <row r="78165" customFormat="1" x14ac:dyDescent="0.25"/>
    <row r="78166" customFormat="1" x14ac:dyDescent="0.25"/>
    <row r="78167" customFormat="1" x14ac:dyDescent="0.25"/>
    <row r="78168" customFormat="1" x14ac:dyDescent="0.25"/>
    <row r="78169" customFormat="1" x14ac:dyDescent="0.25"/>
    <row r="78170" customFormat="1" x14ac:dyDescent="0.25"/>
    <row r="78171" customFormat="1" x14ac:dyDescent="0.25"/>
    <row r="78172" customFormat="1" x14ac:dyDescent="0.25"/>
    <row r="78173" customFormat="1" x14ac:dyDescent="0.25"/>
    <row r="78174" customFormat="1" x14ac:dyDescent="0.25"/>
    <row r="78175" customFormat="1" x14ac:dyDescent="0.25"/>
    <row r="78176" customFormat="1" x14ac:dyDescent="0.25"/>
    <row r="78177" customFormat="1" x14ac:dyDescent="0.25"/>
    <row r="78178" customFormat="1" x14ac:dyDescent="0.25"/>
    <row r="78179" customFormat="1" x14ac:dyDescent="0.25"/>
    <row r="78180" customFormat="1" x14ac:dyDescent="0.25"/>
    <row r="78181" customFormat="1" x14ac:dyDescent="0.25"/>
    <row r="78182" customFormat="1" x14ac:dyDescent="0.25"/>
    <row r="78183" customFormat="1" x14ac:dyDescent="0.25"/>
    <row r="78184" customFormat="1" x14ac:dyDescent="0.25"/>
    <row r="78185" customFormat="1" x14ac:dyDescent="0.25"/>
    <row r="78186" customFormat="1" x14ac:dyDescent="0.25"/>
    <row r="78187" customFormat="1" x14ac:dyDescent="0.25"/>
    <row r="78188" customFormat="1" x14ac:dyDescent="0.25"/>
    <row r="78189" customFormat="1" x14ac:dyDescent="0.25"/>
    <row r="78190" customFormat="1" x14ac:dyDescent="0.25"/>
    <row r="78191" customFormat="1" x14ac:dyDescent="0.25"/>
    <row r="78192" customFormat="1" x14ac:dyDescent="0.25"/>
    <row r="78193" customFormat="1" x14ac:dyDescent="0.25"/>
    <row r="78194" customFormat="1" x14ac:dyDescent="0.25"/>
    <row r="78195" customFormat="1" x14ac:dyDescent="0.25"/>
    <row r="78196" customFormat="1" x14ac:dyDescent="0.25"/>
    <row r="78197" customFormat="1" x14ac:dyDescent="0.25"/>
    <row r="78198" customFormat="1" x14ac:dyDescent="0.25"/>
    <row r="78199" customFormat="1" x14ac:dyDescent="0.25"/>
    <row r="78200" customFormat="1" x14ac:dyDescent="0.25"/>
    <row r="78201" customFormat="1" x14ac:dyDescent="0.25"/>
    <row r="78202" customFormat="1" x14ac:dyDescent="0.25"/>
    <row r="78203" customFormat="1" x14ac:dyDescent="0.25"/>
    <row r="78204" customFormat="1" x14ac:dyDescent="0.25"/>
    <row r="78205" customFormat="1" x14ac:dyDescent="0.25"/>
    <row r="78206" customFormat="1" x14ac:dyDescent="0.25"/>
    <row r="78207" customFormat="1" x14ac:dyDescent="0.25"/>
    <row r="78208" customFormat="1" x14ac:dyDescent="0.25"/>
    <row r="78209" customFormat="1" x14ac:dyDescent="0.25"/>
    <row r="78210" customFormat="1" x14ac:dyDescent="0.25"/>
    <row r="78211" customFormat="1" x14ac:dyDescent="0.25"/>
    <row r="78212" customFormat="1" x14ac:dyDescent="0.25"/>
    <row r="78213" customFormat="1" x14ac:dyDescent="0.25"/>
    <row r="78214" customFormat="1" x14ac:dyDescent="0.25"/>
    <row r="78215" customFormat="1" x14ac:dyDescent="0.25"/>
    <row r="78216" customFormat="1" x14ac:dyDescent="0.25"/>
    <row r="78217" customFormat="1" x14ac:dyDescent="0.25"/>
    <row r="78218" customFormat="1" x14ac:dyDescent="0.25"/>
    <row r="78219" customFormat="1" x14ac:dyDescent="0.25"/>
    <row r="78220" customFormat="1" x14ac:dyDescent="0.25"/>
    <row r="78221" customFormat="1" x14ac:dyDescent="0.25"/>
    <row r="78222" customFormat="1" x14ac:dyDescent="0.25"/>
    <row r="78223" customFormat="1" x14ac:dyDescent="0.25"/>
    <row r="78224" customFormat="1" x14ac:dyDescent="0.25"/>
    <row r="78225" customFormat="1" x14ac:dyDescent="0.25"/>
    <row r="78226" customFormat="1" x14ac:dyDescent="0.25"/>
    <row r="78227" customFormat="1" x14ac:dyDescent="0.25"/>
    <row r="78228" customFormat="1" x14ac:dyDescent="0.25"/>
    <row r="78229" customFormat="1" x14ac:dyDescent="0.25"/>
    <row r="78230" customFormat="1" x14ac:dyDescent="0.25"/>
    <row r="78231" customFormat="1" x14ac:dyDescent="0.25"/>
    <row r="78232" customFormat="1" x14ac:dyDescent="0.25"/>
    <row r="78233" customFormat="1" x14ac:dyDescent="0.25"/>
    <row r="78234" customFormat="1" x14ac:dyDescent="0.25"/>
    <row r="78235" customFormat="1" x14ac:dyDescent="0.25"/>
    <row r="78236" customFormat="1" x14ac:dyDescent="0.25"/>
    <row r="78237" customFormat="1" x14ac:dyDescent="0.25"/>
    <row r="78238" customFormat="1" x14ac:dyDescent="0.25"/>
    <row r="78239" customFormat="1" x14ac:dyDescent="0.25"/>
    <row r="78240" customFormat="1" x14ac:dyDescent="0.25"/>
    <row r="78241" customFormat="1" x14ac:dyDescent="0.25"/>
    <row r="78242" customFormat="1" x14ac:dyDescent="0.25"/>
    <row r="78243" customFormat="1" x14ac:dyDescent="0.25"/>
    <row r="78244" customFormat="1" x14ac:dyDescent="0.25"/>
    <row r="78245" customFormat="1" x14ac:dyDescent="0.25"/>
    <row r="78246" customFormat="1" x14ac:dyDescent="0.25"/>
    <row r="78247" customFormat="1" x14ac:dyDescent="0.25"/>
    <row r="78248" customFormat="1" x14ac:dyDescent="0.25"/>
    <row r="78249" customFormat="1" x14ac:dyDescent="0.25"/>
    <row r="78250" customFormat="1" x14ac:dyDescent="0.25"/>
    <row r="78251" customFormat="1" x14ac:dyDescent="0.25"/>
    <row r="78252" customFormat="1" x14ac:dyDescent="0.25"/>
    <row r="78253" customFormat="1" x14ac:dyDescent="0.25"/>
    <row r="78254" customFormat="1" x14ac:dyDescent="0.25"/>
    <row r="78255" customFormat="1" x14ac:dyDescent="0.25"/>
    <row r="78256" customFormat="1" x14ac:dyDescent="0.25"/>
    <row r="78257" customFormat="1" x14ac:dyDescent="0.25"/>
    <row r="78258" customFormat="1" x14ac:dyDescent="0.25"/>
    <row r="78259" customFormat="1" x14ac:dyDescent="0.25"/>
    <row r="78260" customFormat="1" x14ac:dyDescent="0.25"/>
    <row r="78261" customFormat="1" x14ac:dyDescent="0.25"/>
    <row r="78262" customFormat="1" x14ac:dyDescent="0.25"/>
    <row r="78263" customFormat="1" x14ac:dyDescent="0.25"/>
    <row r="78264" customFormat="1" x14ac:dyDescent="0.25"/>
    <row r="78265" customFormat="1" x14ac:dyDescent="0.25"/>
    <row r="78266" customFormat="1" x14ac:dyDescent="0.25"/>
    <row r="78267" customFormat="1" x14ac:dyDescent="0.25"/>
    <row r="78268" customFormat="1" x14ac:dyDescent="0.25"/>
    <row r="78269" customFormat="1" x14ac:dyDescent="0.25"/>
    <row r="78270" customFormat="1" x14ac:dyDescent="0.25"/>
    <row r="78271" customFormat="1" x14ac:dyDescent="0.25"/>
    <row r="78272" customFormat="1" x14ac:dyDescent="0.25"/>
    <row r="78273" customFormat="1" x14ac:dyDescent="0.25"/>
    <row r="78274" customFormat="1" x14ac:dyDescent="0.25"/>
    <row r="78275" customFormat="1" x14ac:dyDescent="0.25"/>
    <row r="78276" customFormat="1" x14ac:dyDescent="0.25"/>
    <row r="78277" customFormat="1" x14ac:dyDescent="0.25"/>
    <row r="78278" customFormat="1" x14ac:dyDescent="0.25"/>
    <row r="78279" customFormat="1" x14ac:dyDescent="0.25"/>
    <row r="78280" customFormat="1" x14ac:dyDescent="0.25"/>
    <row r="78281" customFormat="1" x14ac:dyDescent="0.25"/>
    <row r="78282" customFormat="1" x14ac:dyDescent="0.25"/>
    <row r="78283" customFormat="1" x14ac:dyDescent="0.25"/>
    <row r="78284" customFormat="1" x14ac:dyDescent="0.25"/>
    <row r="78285" customFormat="1" x14ac:dyDescent="0.25"/>
    <row r="78286" customFormat="1" x14ac:dyDescent="0.25"/>
    <row r="78287" customFormat="1" x14ac:dyDescent="0.25"/>
    <row r="78288" customFormat="1" x14ac:dyDescent="0.25"/>
    <row r="78289" customFormat="1" x14ac:dyDescent="0.25"/>
    <row r="78290" customFormat="1" x14ac:dyDescent="0.25"/>
    <row r="78291" customFormat="1" x14ac:dyDescent="0.25"/>
    <row r="78292" customFormat="1" x14ac:dyDescent="0.25"/>
    <row r="78293" customFormat="1" x14ac:dyDescent="0.25"/>
    <row r="78294" customFormat="1" x14ac:dyDescent="0.25"/>
    <row r="78295" customFormat="1" x14ac:dyDescent="0.25"/>
    <row r="78296" customFormat="1" x14ac:dyDescent="0.25"/>
    <row r="78297" customFormat="1" x14ac:dyDescent="0.25"/>
    <row r="78298" customFormat="1" x14ac:dyDescent="0.25"/>
    <row r="78299" customFormat="1" x14ac:dyDescent="0.25"/>
    <row r="78300" customFormat="1" x14ac:dyDescent="0.25"/>
    <row r="78301" customFormat="1" x14ac:dyDescent="0.25"/>
    <row r="78302" customFormat="1" x14ac:dyDescent="0.25"/>
    <row r="78303" customFormat="1" x14ac:dyDescent="0.25"/>
    <row r="78304" customFormat="1" x14ac:dyDescent="0.25"/>
    <row r="78305" customFormat="1" x14ac:dyDescent="0.25"/>
    <row r="78306" customFormat="1" x14ac:dyDescent="0.25"/>
    <row r="78307" customFormat="1" x14ac:dyDescent="0.25"/>
    <row r="78308" customFormat="1" x14ac:dyDescent="0.25"/>
    <row r="78309" customFormat="1" x14ac:dyDescent="0.25"/>
    <row r="78310" customFormat="1" x14ac:dyDescent="0.25"/>
    <row r="78311" customFormat="1" x14ac:dyDescent="0.25"/>
    <row r="78312" customFormat="1" x14ac:dyDescent="0.25"/>
    <row r="78313" customFormat="1" x14ac:dyDescent="0.25"/>
    <row r="78314" customFormat="1" x14ac:dyDescent="0.25"/>
    <row r="78315" customFormat="1" x14ac:dyDescent="0.25"/>
    <row r="78316" customFormat="1" x14ac:dyDescent="0.25"/>
    <row r="78317" customFormat="1" x14ac:dyDescent="0.25"/>
    <row r="78318" customFormat="1" x14ac:dyDescent="0.25"/>
    <row r="78319" customFormat="1" x14ac:dyDescent="0.25"/>
    <row r="78320" customFormat="1" x14ac:dyDescent="0.25"/>
    <row r="78321" customFormat="1" x14ac:dyDescent="0.25"/>
    <row r="78322" customFormat="1" x14ac:dyDescent="0.25"/>
    <row r="78323" customFormat="1" x14ac:dyDescent="0.25"/>
    <row r="78324" customFormat="1" x14ac:dyDescent="0.25"/>
    <row r="78325" customFormat="1" x14ac:dyDescent="0.25"/>
    <row r="78326" customFormat="1" x14ac:dyDescent="0.25"/>
    <row r="78327" customFormat="1" x14ac:dyDescent="0.25"/>
    <row r="78328" customFormat="1" x14ac:dyDescent="0.25"/>
    <row r="78329" customFormat="1" x14ac:dyDescent="0.25"/>
    <row r="78330" customFormat="1" x14ac:dyDescent="0.25"/>
    <row r="78331" customFormat="1" x14ac:dyDescent="0.25"/>
    <row r="78332" customFormat="1" x14ac:dyDescent="0.25"/>
    <row r="78333" customFormat="1" x14ac:dyDescent="0.25"/>
    <row r="78334" customFormat="1" x14ac:dyDescent="0.25"/>
    <row r="78335" customFormat="1" x14ac:dyDescent="0.25"/>
    <row r="78336" customFormat="1" x14ac:dyDescent="0.25"/>
    <row r="78337" customFormat="1" x14ac:dyDescent="0.25"/>
    <row r="78338" customFormat="1" x14ac:dyDescent="0.25"/>
    <row r="78339" customFormat="1" x14ac:dyDescent="0.25"/>
    <row r="78340" customFormat="1" x14ac:dyDescent="0.25"/>
    <row r="78341" customFormat="1" x14ac:dyDescent="0.25"/>
    <row r="78342" customFormat="1" x14ac:dyDescent="0.25"/>
    <row r="78343" customFormat="1" x14ac:dyDescent="0.25"/>
    <row r="78344" customFormat="1" x14ac:dyDescent="0.25"/>
    <row r="78345" customFormat="1" x14ac:dyDescent="0.25"/>
    <row r="78346" customFormat="1" x14ac:dyDescent="0.25"/>
    <row r="78347" customFormat="1" x14ac:dyDescent="0.25"/>
    <row r="78348" customFormat="1" x14ac:dyDescent="0.25"/>
    <row r="78349" customFormat="1" x14ac:dyDescent="0.25"/>
    <row r="78350" customFormat="1" x14ac:dyDescent="0.25"/>
    <row r="78351" customFormat="1" x14ac:dyDescent="0.25"/>
    <row r="78352" customFormat="1" x14ac:dyDescent="0.25"/>
    <row r="78353" customFormat="1" x14ac:dyDescent="0.25"/>
    <row r="78354" customFormat="1" x14ac:dyDescent="0.25"/>
    <row r="78355" customFormat="1" x14ac:dyDescent="0.25"/>
    <row r="78356" customFormat="1" x14ac:dyDescent="0.25"/>
    <row r="78357" customFormat="1" x14ac:dyDescent="0.25"/>
    <row r="78358" customFormat="1" x14ac:dyDescent="0.25"/>
    <row r="78359" customFormat="1" x14ac:dyDescent="0.25"/>
    <row r="78360" customFormat="1" x14ac:dyDescent="0.25"/>
    <row r="78361" customFormat="1" x14ac:dyDescent="0.25"/>
    <row r="78362" customFormat="1" x14ac:dyDescent="0.25"/>
    <row r="78363" customFormat="1" x14ac:dyDescent="0.25"/>
    <row r="78364" customFormat="1" x14ac:dyDescent="0.25"/>
    <row r="78365" customFormat="1" x14ac:dyDescent="0.25"/>
    <row r="78366" customFormat="1" x14ac:dyDescent="0.25"/>
    <row r="78367" customFormat="1" x14ac:dyDescent="0.25"/>
    <row r="78368" customFormat="1" x14ac:dyDescent="0.25"/>
    <row r="78369" customFormat="1" x14ac:dyDescent="0.25"/>
    <row r="78370" customFormat="1" x14ac:dyDescent="0.25"/>
    <row r="78371" customFormat="1" x14ac:dyDescent="0.25"/>
    <row r="78372" customFormat="1" x14ac:dyDescent="0.25"/>
    <row r="78373" customFormat="1" x14ac:dyDescent="0.25"/>
    <row r="78374" customFormat="1" x14ac:dyDescent="0.25"/>
    <row r="78375" customFormat="1" x14ac:dyDescent="0.25"/>
    <row r="78376" customFormat="1" x14ac:dyDescent="0.25"/>
    <row r="78377" customFormat="1" x14ac:dyDescent="0.25"/>
    <row r="78378" customFormat="1" x14ac:dyDescent="0.25"/>
    <row r="78379" customFormat="1" x14ac:dyDescent="0.25"/>
    <row r="78380" customFormat="1" x14ac:dyDescent="0.25"/>
    <row r="78381" customFormat="1" x14ac:dyDescent="0.25"/>
    <row r="78382" customFormat="1" x14ac:dyDescent="0.25"/>
    <row r="78383" customFormat="1" x14ac:dyDescent="0.25"/>
    <row r="78384" customFormat="1" x14ac:dyDescent="0.25"/>
    <row r="78385" customFormat="1" x14ac:dyDescent="0.25"/>
    <row r="78386" customFormat="1" x14ac:dyDescent="0.25"/>
    <row r="78387" customFormat="1" x14ac:dyDescent="0.25"/>
    <row r="78388" customFormat="1" x14ac:dyDescent="0.25"/>
    <row r="78389" customFormat="1" x14ac:dyDescent="0.25"/>
    <row r="78390" customFormat="1" x14ac:dyDescent="0.25"/>
    <row r="78391" customFormat="1" x14ac:dyDescent="0.25"/>
    <row r="78392" customFormat="1" x14ac:dyDescent="0.25"/>
    <row r="78393" customFormat="1" x14ac:dyDescent="0.25"/>
    <row r="78394" customFormat="1" x14ac:dyDescent="0.25"/>
    <row r="78395" customFormat="1" x14ac:dyDescent="0.25"/>
    <row r="78396" customFormat="1" x14ac:dyDescent="0.25"/>
    <row r="78397" customFormat="1" x14ac:dyDescent="0.25"/>
    <row r="78398" customFormat="1" x14ac:dyDescent="0.25"/>
    <row r="78399" customFormat="1" x14ac:dyDescent="0.25"/>
    <row r="78400" customFormat="1" x14ac:dyDescent="0.25"/>
    <row r="78401" customFormat="1" x14ac:dyDescent="0.25"/>
    <row r="78402" customFormat="1" x14ac:dyDescent="0.25"/>
    <row r="78403" customFormat="1" x14ac:dyDescent="0.25"/>
    <row r="78404" customFormat="1" x14ac:dyDescent="0.25"/>
    <row r="78405" customFormat="1" x14ac:dyDescent="0.25"/>
    <row r="78406" customFormat="1" x14ac:dyDescent="0.25"/>
    <row r="78407" customFormat="1" x14ac:dyDescent="0.25"/>
    <row r="78408" customFormat="1" x14ac:dyDescent="0.25"/>
    <row r="78409" customFormat="1" x14ac:dyDescent="0.25"/>
    <row r="78410" customFormat="1" x14ac:dyDescent="0.25"/>
    <row r="78411" customFormat="1" x14ac:dyDescent="0.25"/>
    <row r="78412" customFormat="1" x14ac:dyDescent="0.25"/>
    <row r="78413" customFormat="1" x14ac:dyDescent="0.25"/>
    <row r="78414" customFormat="1" x14ac:dyDescent="0.25"/>
    <row r="78415" customFormat="1" x14ac:dyDescent="0.25"/>
    <row r="78416" customFormat="1" x14ac:dyDescent="0.25"/>
    <row r="78417" customFormat="1" x14ac:dyDescent="0.25"/>
    <row r="78418" customFormat="1" x14ac:dyDescent="0.25"/>
    <row r="78419" customFormat="1" x14ac:dyDescent="0.25"/>
    <row r="78420" customFormat="1" x14ac:dyDescent="0.25"/>
    <row r="78421" customFormat="1" x14ac:dyDescent="0.25"/>
    <row r="78422" customFormat="1" x14ac:dyDescent="0.25"/>
    <row r="78423" customFormat="1" x14ac:dyDescent="0.25"/>
    <row r="78424" customFormat="1" x14ac:dyDescent="0.25"/>
    <row r="78425" customFormat="1" x14ac:dyDescent="0.25"/>
    <row r="78426" customFormat="1" x14ac:dyDescent="0.25"/>
    <row r="78427" customFormat="1" x14ac:dyDescent="0.25"/>
    <row r="78428" customFormat="1" x14ac:dyDescent="0.25"/>
    <row r="78429" customFormat="1" x14ac:dyDescent="0.25"/>
    <row r="78430" customFormat="1" x14ac:dyDescent="0.25"/>
    <row r="78431" customFormat="1" x14ac:dyDescent="0.25"/>
    <row r="78432" customFormat="1" x14ac:dyDescent="0.25"/>
    <row r="78433" customFormat="1" x14ac:dyDescent="0.25"/>
    <row r="78434" customFormat="1" x14ac:dyDescent="0.25"/>
    <row r="78435" customFormat="1" x14ac:dyDescent="0.25"/>
    <row r="78436" customFormat="1" x14ac:dyDescent="0.25"/>
    <row r="78437" customFormat="1" x14ac:dyDescent="0.25"/>
    <row r="78438" customFormat="1" x14ac:dyDescent="0.25"/>
    <row r="78439" customFormat="1" x14ac:dyDescent="0.25"/>
    <row r="78440" customFormat="1" x14ac:dyDescent="0.25"/>
    <row r="78441" customFormat="1" x14ac:dyDescent="0.25"/>
    <row r="78442" customFormat="1" x14ac:dyDescent="0.25"/>
    <row r="78443" customFormat="1" x14ac:dyDescent="0.25"/>
    <row r="78444" customFormat="1" x14ac:dyDescent="0.25"/>
    <row r="78445" customFormat="1" x14ac:dyDescent="0.25"/>
    <row r="78446" customFormat="1" x14ac:dyDescent="0.25"/>
    <row r="78447" customFormat="1" x14ac:dyDescent="0.25"/>
    <row r="78448" customFormat="1" x14ac:dyDescent="0.25"/>
    <row r="78449" customFormat="1" x14ac:dyDescent="0.25"/>
    <row r="78450" customFormat="1" x14ac:dyDescent="0.25"/>
    <row r="78451" customFormat="1" x14ac:dyDescent="0.25"/>
    <row r="78452" customFormat="1" x14ac:dyDescent="0.25"/>
    <row r="78453" customFormat="1" x14ac:dyDescent="0.25"/>
    <row r="78454" customFormat="1" x14ac:dyDescent="0.25"/>
    <row r="78455" customFormat="1" x14ac:dyDescent="0.25"/>
    <row r="78456" customFormat="1" x14ac:dyDescent="0.25"/>
    <row r="78457" customFormat="1" x14ac:dyDescent="0.25"/>
    <row r="78458" customFormat="1" x14ac:dyDescent="0.25"/>
    <row r="78459" customFormat="1" x14ac:dyDescent="0.25"/>
    <row r="78460" customFormat="1" x14ac:dyDescent="0.25"/>
    <row r="78461" customFormat="1" x14ac:dyDescent="0.25"/>
    <row r="78462" customFormat="1" x14ac:dyDescent="0.25"/>
    <row r="78463" customFormat="1" x14ac:dyDescent="0.25"/>
    <row r="78464" customFormat="1" x14ac:dyDescent="0.25"/>
    <row r="78465" customFormat="1" x14ac:dyDescent="0.25"/>
    <row r="78466" customFormat="1" x14ac:dyDescent="0.25"/>
    <row r="78467" customFormat="1" x14ac:dyDescent="0.25"/>
    <row r="78468" customFormat="1" x14ac:dyDescent="0.25"/>
    <row r="78469" customFormat="1" x14ac:dyDescent="0.25"/>
    <row r="78470" customFormat="1" x14ac:dyDescent="0.25"/>
    <row r="78471" customFormat="1" x14ac:dyDescent="0.25"/>
    <row r="78472" customFormat="1" x14ac:dyDescent="0.25"/>
    <row r="78473" customFormat="1" x14ac:dyDescent="0.25"/>
    <row r="78474" customFormat="1" x14ac:dyDescent="0.25"/>
    <row r="78475" customFormat="1" x14ac:dyDescent="0.25"/>
    <row r="78476" customFormat="1" x14ac:dyDescent="0.25"/>
    <row r="78477" customFormat="1" x14ac:dyDescent="0.25"/>
    <row r="78478" customFormat="1" x14ac:dyDescent="0.25"/>
    <row r="78479" customFormat="1" x14ac:dyDescent="0.25"/>
    <row r="78480" customFormat="1" x14ac:dyDescent="0.25"/>
    <row r="78481" customFormat="1" x14ac:dyDescent="0.25"/>
    <row r="78482" customFormat="1" x14ac:dyDescent="0.25"/>
    <row r="78483" customFormat="1" x14ac:dyDescent="0.25"/>
    <row r="78484" customFormat="1" x14ac:dyDescent="0.25"/>
    <row r="78485" customFormat="1" x14ac:dyDescent="0.25"/>
    <row r="78486" customFormat="1" x14ac:dyDescent="0.25"/>
    <row r="78487" customFormat="1" x14ac:dyDescent="0.25"/>
    <row r="78488" customFormat="1" x14ac:dyDescent="0.25"/>
    <row r="78489" customFormat="1" x14ac:dyDescent="0.25"/>
    <row r="78490" customFormat="1" x14ac:dyDescent="0.25"/>
    <row r="78491" customFormat="1" x14ac:dyDescent="0.25"/>
    <row r="78492" customFormat="1" x14ac:dyDescent="0.25"/>
    <row r="78493" customFormat="1" x14ac:dyDescent="0.25"/>
    <row r="78494" customFormat="1" x14ac:dyDescent="0.25"/>
    <row r="78495" customFormat="1" x14ac:dyDescent="0.25"/>
    <row r="78496" customFormat="1" x14ac:dyDescent="0.25"/>
    <row r="78497" customFormat="1" x14ac:dyDescent="0.25"/>
    <row r="78498" customFormat="1" x14ac:dyDescent="0.25"/>
    <row r="78499" customFormat="1" x14ac:dyDescent="0.25"/>
    <row r="78500" customFormat="1" x14ac:dyDescent="0.25"/>
    <row r="78501" customFormat="1" x14ac:dyDescent="0.25"/>
    <row r="78502" customFormat="1" x14ac:dyDescent="0.25"/>
    <row r="78503" customFormat="1" x14ac:dyDescent="0.25"/>
    <row r="78504" customFormat="1" x14ac:dyDescent="0.25"/>
    <row r="78505" customFormat="1" x14ac:dyDescent="0.25"/>
    <row r="78506" customFormat="1" x14ac:dyDescent="0.25"/>
    <row r="78507" customFormat="1" x14ac:dyDescent="0.25"/>
    <row r="78508" customFormat="1" x14ac:dyDescent="0.25"/>
    <row r="78509" customFormat="1" x14ac:dyDescent="0.25"/>
    <row r="78510" customFormat="1" x14ac:dyDescent="0.25"/>
    <row r="78511" customFormat="1" x14ac:dyDescent="0.25"/>
    <row r="78512" customFormat="1" x14ac:dyDescent="0.25"/>
    <row r="78513" customFormat="1" x14ac:dyDescent="0.25"/>
    <row r="78514" customFormat="1" x14ac:dyDescent="0.25"/>
    <row r="78515" customFormat="1" x14ac:dyDescent="0.25"/>
    <row r="78516" customFormat="1" x14ac:dyDescent="0.25"/>
    <row r="78517" customFormat="1" x14ac:dyDescent="0.25"/>
    <row r="78518" customFormat="1" x14ac:dyDescent="0.25"/>
    <row r="78519" customFormat="1" x14ac:dyDescent="0.25"/>
    <row r="78520" customFormat="1" x14ac:dyDescent="0.25"/>
    <row r="78521" customFormat="1" x14ac:dyDescent="0.25"/>
    <row r="78522" customFormat="1" x14ac:dyDescent="0.25"/>
    <row r="78523" customFormat="1" x14ac:dyDescent="0.25"/>
    <row r="78524" customFormat="1" x14ac:dyDescent="0.25"/>
    <row r="78525" customFormat="1" x14ac:dyDescent="0.25"/>
    <row r="78526" customFormat="1" x14ac:dyDescent="0.25"/>
    <row r="78527" customFormat="1" x14ac:dyDescent="0.25"/>
    <row r="78528" customFormat="1" x14ac:dyDescent="0.25"/>
    <row r="78529" customFormat="1" x14ac:dyDescent="0.25"/>
    <row r="78530" customFormat="1" x14ac:dyDescent="0.25"/>
    <row r="78531" customFormat="1" x14ac:dyDescent="0.25"/>
    <row r="78532" customFormat="1" x14ac:dyDescent="0.25"/>
    <row r="78533" customFormat="1" x14ac:dyDescent="0.25"/>
    <row r="78534" customFormat="1" x14ac:dyDescent="0.25"/>
    <row r="78535" customFormat="1" x14ac:dyDescent="0.25"/>
    <row r="78536" customFormat="1" x14ac:dyDescent="0.25"/>
    <row r="78537" customFormat="1" x14ac:dyDescent="0.25"/>
    <row r="78538" customFormat="1" x14ac:dyDescent="0.25"/>
    <row r="78539" customFormat="1" x14ac:dyDescent="0.25"/>
    <row r="78540" customFormat="1" x14ac:dyDescent="0.25"/>
    <row r="78541" customFormat="1" x14ac:dyDescent="0.25"/>
    <row r="78542" customFormat="1" x14ac:dyDescent="0.25"/>
    <row r="78543" customFormat="1" x14ac:dyDescent="0.25"/>
    <row r="78544" customFormat="1" x14ac:dyDescent="0.25"/>
    <row r="78545" customFormat="1" x14ac:dyDescent="0.25"/>
    <row r="78546" customFormat="1" x14ac:dyDescent="0.25"/>
    <row r="78547" customFormat="1" x14ac:dyDescent="0.25"/>
    <row r="78548" customFormat="1" x14ac:dyDescent="0.25"/>
    <row r="78549" customFormat="1" x14ac:dyDescent="0.25"/>
    <row r="78550" customFormat="1" x14ac:dyDescent="0.25"/>
    <row r="78551" customFormat="1" x14ac:dyDescent="0.25"/>
    <row r="78552" customFormat="1" x14ac:dyDescent="0.25"/>
    <row r="78553" customFormat="1" x14ac:dyDescent="0.25"/>
    <row r="78554" customFormat="1" x14ac:dyDescent="0.25"/>
    <row r="78555" customFormat="1" x14ac:dyDescent="0.25"/>
    <row r="78556" customFormat="1" x14ac:dyDescent="0.25"/>
    <row r="78557" customFormat="1" x14ac:dyDescent="0.25"/>
    <row r="78558" customFormat="1" x14ac:dyDescent="0.25"/>
    <row r="78559" customFormat="1" x14ac:dyDescent="0.25"/>
    <row r="78560" customFormat="1" x14ac:dyDescent="0.25"/>
    <row r="78561" customFormat="1" x14ac:dyDescent="0.25"/>
    <row r="78562" customFormat="1" x14ac:dyDescent="0.25"/>
    <row r="78563" customFormat="1" x14ac:dyDescent="0.25"/>
    <row r="78564" customFormat="1" x14ac:dyDescent="0.25"/>
    <row r="78565" customFormat="1" x14ac:dyDescent="0.25"/>
    <row r="78566" customFormat="1" x14ac:dyDescent="0.25"/>
    <row r="78567" customFormat="1" x14ac:dyDescent="0.25"/>
    <row r="78568" customFormat="1" x14ac:dyDescent="0.25"/>
    <row r="78569" customFormat="1" x14ac:dyDescent="0.25"/>
    <row r="78570" customFormat="1" x14ac:dyDescent="0.25"/>
    <row r="78571" customFormat="1" x14ac:dyDescent="0.25"/>
    <row r="78572" customFormat="1" x14ac:dyDescent="0.25"/>
    <row r="78573" customFormat="1" x14ac:dyDescent="0.25"/>
    <row r="78574" customFormat="1" x14ac:dyDescent="0.25"/>
    <row r="78575" customFormat="1" x14ac:dyDescent="0.25"/>
    <row r="78576" customFormat="1" x14ac:dyDescent="0.25"/>
    <row r="78577" customFormat="1" x14ac:dyDescent="0.25"/>
    <row r="78578" customFormat="1" x14ac:dyDescent="0.25"/>
    <row r="78579" customFormat="1" x14ac:dyDescent="0.25"/>
    <row r="78580" customFormat="1" x14ac:dyDescent="0.25"/>
    <row r="78581" customFormat="1" x14ac:dyDescent="0.25"/>
    <row r="78582" customFormat="1" x14ac:dyDescent="0.25"/>
    <row r="78583" customFormat="1" x14ac:dyDescent="0.25"/>
    <row r="78584" customFormat="1" x14ac:dyDescent="0.25"/>
    <row r="78585" customFormat="1" x14ac:dyDescent="0.25"/>
    <row r="78586" customFormat="1" x14ac:dyDescent="0.25"/>
    <row r="78587" customFormat="1" x14ac:dyDescent="0.25"/>
    <row r="78588" customFormat="1" x14ac:dyDescent="0.25"/>
    <row r="78589" customFormat="1" x14ac:dyDescent="0.25"/>
    <row r="78590" customFormat="1" x14ac:dyDescent="0.25"/>
    <row r="78591" customFormat="1" x14ac:dyDescent="0.25"/>
    <row r="78592" customFormat="1" x14ac:dyDescent="0.25"/>
    <row r="78593" customFormat="1" x14ac:dyDescent="0.25"/>
    <row r="78594" customFormat="1" x14ac:dyDescent="0.25"/>
    <row r="78595" customFormat="1" x14ac:dyDescent="0.25"/>
    <row r="78596" customFormat="1" x14ac:dyDescent="0.25"/>
    <row r="78597" customFormat="1" x14ac:dyDescent="0.25"/>
    <row r="78598" customFormat="1" x14ac:dyDescent="0.25"/>
    <row r="78599" customFormat="1" x14ac:dyDescent="0.25"/>
    <row r="78600" customFormat="1" x14ac:dyDescent="0.25"/>
    <row r="78601" customFormat="1" x14ac:dyDescent="0.25"/>
    <row r="78602" customFormat="1" x14ac:dyDescent="0.25"/>
    <row r="78603" customFormat="1" x14ac:dyDescent="0.25"/>
    <row r="78604" customFormat="1" x14ac:dyDescent="0.25"/>
    <row r="78605" customFormat="1" x14ac:dyDescent="0.25"/>
    <row r="78606" customFormat="1" x14ac:dyDescent="0.25"/>
    <row r="78607" customFormat="1" x14ac:dyDescent="0.25"/>
    <row r="78608" customFormat="1" x14ac:dyDescent="0.25"/>
    <row r="78609" customFormat="1" x14ac:dyDescent="0.25"/>
    <row r="78610" customFormat="1" x14ac:dyDescent="0.25"/>
    <row r="78611" customFormat="1" x14ac:dyDescent="0.25"/>
    <row r="78612" customFormat="1" x14ac:dyDescent="0.25"/>
    <row r="78613" customFormat="1" x14ac:dyDescent="0.25"/>
    <row r="78614" customFormat="1" x14ac:dyDescent="0.25"/>
    <row r="78615" customFormat="1" x14ac:dyDescent="0.25"/>
    <row r="78616" customFormat="1" x14ac:dyDescent="0.25"/>
    <row r="78617" customFormat="1" x14ac:dyDescent="0.25"/>
    <row r="78618" customFormat="1" x14ac:dyDescent="0.25"/>
    <row r="78619" customFormat="1" x14ac:dyDescent="0.25"/>
    <row r="78620" customFormat="1" x14ac:dyDescent="0.25"/>
    <row r="78621" customFormat="1" x14ac:dyDescent="0.25"/>
    <row r="78622" customFormat="1" x14ac:dyDescent="0.25"/>
    <row r="78623" customFormat="1" x14ac:dyDescent="0.25"/>
    <row r="78624" customFormat="1" x14ac:dyDescent="0.25"/>
    <row r="78625" customFormat="1" x14ac:dyDescent="0.25"/>
    <row r="78626" customFormat="1" x14ac:dyDescent="0.25"/>
    <row r="78627" customFormat="1" x14ac:dyDescent="0.25"/>
    <row r="78628" customFormat="1" x14ac:dyDescent="0.25"/>
    <row r="78629" customFormat="1" x14ac:dyDescent="0.25"/>
    <row r="78630" customFormat="1" x14ac:dyDescent="0.25"/>
    <row r="78631" customFormat="1" x14ac:dyDescent="0.25"/>
    <row r="78632" customFormat="1" x14ac:dyDescent="0.25"/>
    <row r="78633" customFormat="1" x14ac:dyDescent="0.25"/>
    <row r="78634" customFormat="1" x14ac:dyDescent="0.25"/>
    <row r="78635" customFormat="1" x14ac:dyDescent="0.25"/>
    <row r="78636" customFormat="1" x14ac:dyDescent="0.25"/>
    <row r="78637" customFormat="1" x14ac:dyDescent="0.25"/>
    <row r="78638" customFormat="1" x14ac:dyDescent="0.25"/>
    <row r="78639" customFormat="1" x14ac:dyDescent="0.25"/>
    <row r="78640" customFormat="1" x14ac:dyDescent="0.25"/>
    <row r="78641" customFormat="1" x14ac:dyDescent="0.25"/>
    <row r="78642" customFormat="1" x14ac:dyDescent="0.25"/>
    <row r="78643" customFormat="1" x14ac:dyDescent="0.25"/>
    <row r="78644" customFormat="1" x14ac:dyDescent="0.25"/>
    <row r="78645" customFormat="1" x14ac:dyDescent="0.25"/>
    <row r="78646" customFormat="1" x14ac:dyDescent="0.25"/>
    <row r="78647" customFormat="1" x14ac:dyDescent="0.25"/>
    <row r="78648" customFormat="1" x14ac:dyDescent="0.25"/>
    <row r="78649" customFormat="1" x14ac:dyDescent="0.25"/>
    <row r="78650" customFormat="1" x14ac:dyDescent="0.25"/>
    <row r="78651" customFormat="1" x14ac:dyDescent="0.25"/>
    <row r="78652" customFormat="1" x14ac:dyDescent="0.25"/>
    <row r="78653" customFormat="1" x14ac:dyDescent="0.25"/>
    <row r="78654" customFormat="1" x14ac:dyDescent="0.25"/>
    <row r="78655" customFormat="1" x14ac:dyDescent="0.25"/>
    <row r="78656" customFormat="1" x14ac:dyDescent="0.25"/>
    <row r="78657" customFormat="1" x14ac:dyDescent="0.25"/>
    <row r="78658" customFormat="1" x14ac:dyDescent="0.25"/>
    <row r="78659" customFormat="1" x14ac:dyDescent="0.25"/>
    <row r="78660" customFormat="1" x14ac:dyDescent="0.25"/>
    <row r="78661" customFormat="1" x14ac:dyDescent="0.25"/>
    <row r="78662" customFormat="1" x14ac:dyDescent="0.25"/>
    <row r="78663" customFormat="1" x14ac:dyDescent="0.25"/>
    <row r="78664" customFormat="1" x14ac:dyDescent="0.25"/>
    <row r="78665" customFormat="1" x14ac:dyDescent="0.25"/>
    <row r="78666" customFormat="1" x14ac:dyDescent="0.25"/>
    <row r="78667" customFormat="1" x14ac:dyDescent="0.25"/>
    <row r="78668" customFormat="1" x14ac:dyDescent="0.25"/>
    <row r="78669" customFormat="1" x14ac:dyDescent="0.25"/>
    <row r="78670" customFormat="1" x14ac:dyDescent="0.25"/>
    <row r="78671" customFormat="1" x14ac:dyDescent="0.25"/>
    <row r="78672" customFormat="1" x14ac:dyDescent="0.25"/>
    <row r="78673" customFormat="1" x14ac:dyDescent="0.25"/>
    <row r="78674" customFormat="1" x14ac:dyDescent="0.25"/>
    <row r="78675" customFormat="1" x14ac:dyDescent="0.25"/>
    <row r="78676" customFormat="1" x14ac:dyDescent="0.25"/>
    <row r="78677" customFormat="1" x14ac:dyDescent="0.25"/>
    <row r="78678" customFormat="1" x14ac:dyDescent="0.25"/>
    <row r="78679" customFormat="1" x14ac:dyDescent="0.25"/>
    <row r="78680" customFormat="1" x14ac:dyDescent="0.25"/>
    <row r="78681" customFormat="1" x14ac:dyDescent="0.25"/>
    <row r="78682" customFormat="1" x14ac:dyDescent="0.25"/>
    <row r="78683" customFormat="1" x14ac:dyDescent="0.25"/>
    <row r="78684" customFormat="1" x14ac:dyDescent="0.25"/>
    <row r="78685" customFormat="1" x14ac:dyDescent="0.25"/>
    <row r="78686" customFormat="1" x14ac:dyDescent="0.25"/>
    <row r="78687" customFormat="1" x14ac:dyDescent="0.25"/>
    <row r="78688" customFormat="1" x14ac:dyDescent="0.25"/>
    <row r="78689" customFormat="1" x14ac:dyDescent="0.25"/>
    <row r="78690" customFormat="1" x14ac:dyDescent="0.25"/>
    <row r="78691" customFormat="1" x14ac:dyDescent="0.25"/>
    <row r="78692" customFormat="1" x14ac:dyDescent="0.25"/>
    <row r="78693" customFormat="1" x14ac:dyDescent="0.25"/>
    <row r="78694" customFormat="1" x14ac:dyDescent="0.25"/>
    <row r="78695" customFormat="1" x14ac:dyDescent="0.25"/>
    <row r="78696" customFormat="1" x14ac:dyDescent="0.25"/>
    <row r="78697" customFormat="1" x14ac:dyDescent="0.25"/>
    <row r="78698" customFormat="1" x14ac:dyDescent="0.25"/>
    <row r="78699" customFormat="1" x14ac:dyDescent="0.25"/>
    <row r="78700" customFormat="1" x14ac:dyDescent="0.25"/>
    <row r="78701" customFormat="1" x14ac:dyDescent="0.25"/>
    <row r="78702" customFormat="1" x14ac:dyDescent="0.25"/>
    <row r="78703" customFormat="1" x14ac:dyDescent="0.25"/>
    <row r="78704" customFormat="1" x14ac:dyDescent="0.25"/>
    <row r="78705" customFormat="1" x14ac:dyDescent="0.25"/>
    <row r="78706" customFormat="1" x14ac:dyDescent="0.25"/>
    <row r="78707" customFormat="1" x14ac:dyDescent="0.25"/>
    <row r="78708" customFormat="1" x14ac:dyDescent="0.25"/>
    <row r="78709" customFormat="1" x14ac:dyDescent="0.25"/>
    <row r="78710" customFormat="1" x14ac:dyDescent="0.25"/>
    <row r="78711" customFormat="1" x14ac:dyDescent="0.25"/>
    <row r="78712" customFormat="1" x14ac:dyDescent="0.25"/>
    <row r="78713" customFormat="1" x14ac:dyDescent="0.25"/>
    <row r="78714" customFormat="1" x14ac:dyDescent="0.25"/>
    <row r="78715" customFormat="1" x14ac:dyDescent="0.25"/>
    <row r="78716" customFormat="1" x14ac:dyDescent="0.25"/>
    <row r="78717" customFormat="1" x14ac:dyDescent="0.25"/>
    <row r="78718" customFormat="1" x14ac:dyDescent="0.25"/>
    <row r="78719" customFormat="1" x14ac:dyDescent="0.25"/>
    <row r="78720" customFormat="1" x14ac:dyDescent="0.25"/>
    <row r="78721" customFormat="1" x14ac:dyDescent="0.25"/>
    <row r="78722" customFormat="1" x14ac:dyDescent="0.25"/>
    <row r="78723" customFormat="1" x14ac:dyDescent="0.25"/>
    <row r="78724" customFormat="1" x14ac:dyDescent="0.25"/>
    <row r="78725" customFormat="1" x14ac:dyDescent="0.25"/>
    <row r="78726" customFormat="1" x14ac:dyDescent="0.25"/>
    <row r="78727" customFormat="1" x14ac:dyDescent="0.25"/>
    <row r="78728" customFormat="1" x14ac:dyDescent="0.25"/>
    <row r="78729" customFormat="1" x14ac:dyDescent="0.25"/>
    <row r="78730" customFormat="1" x14ac:dyDescent="0.25"/>
    <row r="78731" customFormat="1" x14ac:dyDescent="0.25"/>
    <row r="78732" customFormat="1" x14ac:dyDescent="0.25"/>
    <row r="78733" customFormat="1" x14ac:dyDescent="0.25"/>
    <row r="78734" customFormat="1" x14ac:dyDescent="0.25"/>
    <row r="78735" customFormat="1" x14ac:dyDescent="0.25"/>
    <row r="78736" customFormat="1" x14ac:dyDescent="0.25"/>
    <row r="78737" customFormat="1" x14ac:dyDescent="0.25"/>
    <row r="78738" customFormat="1" x14ac:dyDescent="0.25"/>
    <row r="78739" customFormat="1" x14ac:dyDescent="0.25"/>
    <row r="78740" customFormat="1" x14ac:dyDescent="0.25"/>
    <row r="78741" customFormat="1" x14ac:dyDescent="0.25"/>
    <row r="78742" customFormat="1" x14ac:dyDescent="0.25"/>
    <row r="78743" customFormat="1" x14ac:dyDescent="0.25"/>
    <row r="78744" customFormat="1" x14ac:dyDescent="0.25"/>
    <row r="78745" customFormat="1" x14ac:dyDescent="0.25"/>
    <row r="78746" customFormat="1" x14ac:dyDescent="0.25"/>
    <row r="78747" customFormat="1" x14ac:dyDescent="0.25"/>
    <row r="78748" customFormat="1" x14ac:dyDescent="0.25"/>
    <row r="78749" customFormat="1" x14ac:dyDescent="0.25"/>
    <row r="78750" customFormat="1" x14ac:dyDescent="0.25"/>
    <row r="78751" customFormat="1" x14ac:dyDescent="0.25"/>
    <row r="78752" customFormat="1" x14ac:dyDescent="0.25"/>
    <row r="78753" customFormat="1" x14ac:dyDescent="0.25"/>
    <row r="78754" customFormat="1" x14ac:dyDescent="0.25"/>
    <row r="78755" customFormat="1" x14ac:dyDescent="0.25"/>
    <row r="78756" customFormat="1" x14ac:dyDescent="0.25"/>
    <row r="78757" customFormat="1" x14ac:dyDescent="0.25"/>
    <row r="78758" customFormat="1" x14ac:dyDescent="0.25"/>
    <row r="78759" customFormat="1" x14ac:dyDescent="0.25"/>
    <row r="78760" customFormat="1" x14ac:dyDescent="0.25"/>
    <row r="78761" customFormat="1" x14ac:dyDescent="0.25"/>
    <row r="78762" customFormat="1" x14ac:dyDescent="0.25"/>
    <row r="78763" customFormat="1" x14ac:dyDescent="0.25"/>
    <row r="78764" customFormat="1" x14ac:dyDescent="0.25"/>
    <row r="78765" customFormat="1" x14ac:dyDescent="0.25"/>
    <row r="78766" customFormat="1" x14ac:dyDescent="0.25"/>
    <row r="78767" customFormat="1" x14ac:dyDescent="0.25"/>
    <row r="78768" customFormat="1" x14ac:dyDescent="0.25"/>
    <row r="78769" customFormat="1" x14ac:dyDescent="0.25"/>
    <row r="78770" customFormat="1" x14ac:dyDescent="0.25"/>
    <row r="78771" customFormat="1" x14ac:dyDescent="0.25"/>
    <row r="78772" customFormat="1" x14ac:dyDescent="0.25"/>
    <row r="78773" customFormat="1" x14ac:dyDescent="0.25"/>
    <row r="78774" customFormat="1" x14ac:dyDescent="0.25"/>
    <row r="78775" customFormat="1" x14ac:dyDescent="0.25"/>
    <row r="78776" customFormat="1" x14ac:dyDescent="0.25"/>
    <row r="78777" customFormat="1" x14ac:dyDescent="0.25"/>
    <row r="78778" customFormat="1" x14ac:dyDescent="0.25"/>
    <row r="78779" customFormat="1" x14ac:dyDescent="0.25"/>
    <row r="78780" customFormat="1" x14ac:dyDescent="0.25"/>
    <row r="78781" customFormat="1" x14ac:dyDescent="0.25"/>
    <row r="78782" customFormat="1" x14ac:dyDescent="0.25"/>
    <row r="78783" customFormat="1" x14ac:dyDescent="0.25"/>
    <row r="78784" customFormat="1" x14ac:dyDescent="0.25"/>
    <row r="78785" customFormat="1" x14ac:dyDescent="0.25"/>
    <row r="78786" customFormat="1" x14ac:dyDescent="0.25"/>
    <row r="78787" customFormat="1" x14ac:dyDescent="0.25"/>
    <row r="78788" customFormat="1" x14ac:dyDescent="0.25"/>
    <row r="78789" customFormat="1" x14ac:dyDescent="0.25"/>
    <row r="78790" customFormat="1" x14ac:dyDescent="0.25"/>
    <row r="78791" customFormat="1" x14ac:dyDescent="0.25"/>
    <row r="78792" customFormat="1" x14ac:dyDescent="0.25"/>
    <row r="78793" customFormat="1" x14ac:dyDescent="0.25"/>
    <row r="78794" customFormat="1" x14ac:dyDescent="0.25"/>
    <row r="78795" customFormat="1" x14ac:dyDescent="0.25"/>
    <row r="78796" customFormat="1" x14ac:dyDescent="0.25"/>
    <row r="78797" customFormat="1" x14ac:dyDescent="0.25"/>
    <row r="78798" customFormat="1" x14ac:dyDescent="0.25"/>
    <row r="78799" customFormat="1" x14ac:dyDescent="0.25"/>
    <row r="78800" customFormat="1" x14ac:dyDescent="0.25"/>
    <row r="78801" customFormat="1" x14ac:dyDescent="0.25"/>
    <row r="78802" customFormat="1" x14ac:dyDescent="0.25"/>
    <row r="78803" customFormat="1" x14ac:dyDescent="0.25"/>
    <row r="78804" customFormat="1" x14ac:dyDescent="0.25"/>
    <row r="78805" customFormat="1" x14ac:dyDescent="0.25"/>
    <row r="78806" customFormat="1" x14ac:dyDescent="0.25"/>
    <row r="78807" customFormat="1" x14ac:dyDescent="0.25"/>
    <row r="78808" customFormat="1" x14ac:dyDescent="0.25"/>
    <row r="78809" customFormat="1" x14ac:dyDescent="0.25"/>
    <row r="78810" customFormat="1" x14ac:dyDescent="0.25"/>
    <row r="78811" customFormat="1" x14ac:dyDescent="0.25"/>
    <row r="78812" customFormat="1" x14ac:dyDescent="0.25"/>
    <row r="78813" customFormat="1" x14ac:dyDescent="0.25"/>
    <row r="78814" customFormat="1" x14ac:dyDescent="0.25"/>
    <row r="78815" customFormat="1" x14ac:dyDescent="0.25"/>
    <row r="78816" customFormat="1" x14ac:dyDescent="0.25"/>
    <row r="78817" customFormat="1" x14ac:dyDescent="0.25"/>
    <row r="78818" customFormat="1" x14ac:dyDescent="0.25"/>
    <row r="78819" customFormat="1" x14ac:dyDescent="0.25"/>
    <row r="78820" customFormat="1" x14ac:dyDescent="0.25"/>
    <row r="78821" customFormat="1" x14ac:dyDescent="0.25"/>
    <row r="78822" customFormat="1" x14ac:dyDescent="0.25"/>
    <row r="78823" customFormat="1" x14ac:dyDescent="0.25"/>
    <row r="78824" customFormat="1" x14ac:dyDescent="0.25"/>
    <row r="78825" customFormat="1" x14ac:dyDescent="0.25"/>
    <row r="78826" customFormat="1" x14ac:dyDescent="0.25"/>
    <row r="78827" customFormat="1" x14ac:dyDescent="0.25"/>
    <row r="78828" customFormat="1" x14ac:dyDescent="0.25"/>
    <row r="78829" customFormat="1" x14ac:dyDescent="0.25"/>
    <row r="78830" customFormat="1" x14ac:dyDescent="0.25"/>
    <row r="78831" customFormat="1" x14ac:dyDescent="0.25"/>
    <row r="78832" customFormat="1" x14ac:dyDescent="0.25"/>
    <row r="78833" customFormat="1" x14ac:dyDescent="0.25"/>
    <row r="78834" customFormat="1" x14ac:dyDescent="0.25"/>
    <row r="78835" customFormat="1" x14ac:dyDescent="0.25"/>
    <row r="78836" customFormat="1" x14ac:dyDescent="0.25"/>
    <row r="78837" customFormat="1" x14ac:dyDescent="0.25"/>
    <row r="78838" customFormat="1" x14ac:dyDescent="0.25"/>
    <row r="78839" customFormat="1" x14ac:dyDescent="0.25"/>
    <row r="78840" customFormat="1" x14ac:dyDescent="0.25"/>
    <row r="78841" customFormat="1" x14ac:dyDescent="0.25"/>
    <row r="78842" customFormat="1" x14ac:dyDescent="0.25"/>
    <row r="78843" customFormat="1" x14ac:dyDescent="0.25"/>
    <row r="78844" customFormat="1" x14ac:dyDescent="0.25"/>
    <row r="78845" customFormat="1" x14ac:dyDescent="0.25"/>
    <row r="78846" customFormat="1" x14ac:dyDescent="0.25"/>
    <row r="78847" customFormat="1" x14ac:dyDescent="0.25"/>
    <row r="78848" customFormat="1" x14ac:dyDescent="0.25"/>
    <row r="78849" customFormat="1" x14ac:dyDescent="0.25"/>
    <row r="78850" customFormat="1" x14ac:dyDescent="0.25"/>
    <row r="78851" customFormat="1" x14ac:dyDescent="0.25"/>
    <row r="78852" customFormat="1" x14ac:dyDescent="0.25"/>
    <row r="78853" customFormat="1" x14ac:dyDescent="0.25"/>
    <row r="78854" customFormat="1" x14ac:dyDescent="0.25"/>
    <row r="78855" customFormat="1" x14ac:dyDescent="0.25"/>
    <row r="78856" customFormat="1" x14ac:dyDescent="0.25"/>
    <row r="78857" customFormat="1" x14ac:dyDescent="0.25"/>
    <row r="78858" customFormat="1" x14ac:dyDescent="0.25"/>
    <row r="78859" customFormat="1" x14ac:dyDescent="0.25"/>
    <row r="78860" customFormat="1" x14ac:dyDescent="0.25"/>
    <row r="78861" customFormat="1" x14ac:dyDescent="0.25"/>
    <row r="78862" customFormat="1" x14ac:dyDescent="0.25"/>
    <row r="78863" customFormat="1" x14ac:dyDescent="0.25"/>
    <row r="78864" customFormat="1" x14ac:dyDescent="0.25"/>
    <row r="78865" customFormat="1" x14ac:dyDescent="0.25"/>
    <row r="78866" customFormat="1" x14ac:dyDescent="0.25"/>
    <row r="78867" customFormat="1" x14ac:dyDescent="0.25"/>
    <row r="78868" customFormat="1" x14ac:dyDescent="0.25"/>
    <row r="78869" customFormat="1" x14ac:dyDescent="0.25"/>
    <row r="78870" customFormat="1" x14ac:dyDescent="0.25"/>
    <row r="78871" customFormat="1" x14ac:dyDescent="0.25"/>
    <row r="78872" customFormat="1" x14ac:dyDescent="0.25"/>
    <row r="78873" customFormat="1" x14ac:dyDescent="0.25"/>
    <row r="78874" customFormat="1" x14ac:dyDescent="0.25"/>
    <row r="78875" customFormat="1" x14ac:dyDescent="0.25"/>
    <row r="78876" customFormat="1" x14ac:dyDescent="0.25"/>
    <row r="78877" customFormat="1" x14ac:dyDescent="0.25"/>
    <row r="78878" customFormat="1" x14ac:dyDescent="0.25"/>
    <row r="78879" customFormat="1" x14ac:dyDescent="0.25"/>
    <row r="78880" customFormat="1" x14ac:dyDescent="0.25"/>
    <row r="78881" customFormat="1" x14ac:dyDescent="0.25"/>
    <row r="78882" customFormat="1" x14ac:dyDescent="0.25"/>
    <row r="78883" customFormat="1" x14ac:dyDescent="0.25"/>
    <row r="78884" customFormat="1" x14ac:dyDescent="0.25"/>
    <row r="78885" customFormat="1" x14ac:dyDescent="0.25"/>
    <row r="78886" customFormat="1" x14ac:dyDescent="0.25"/>
    <row r="78887" customFormat="1" x14ac:dyDescent="0.25"/>
    <row r="78888" customFormat="1" x14ac:dyDescent="0.25"/>
    <row r="78889" customFormat="1" x14ac:dyDescent="0.25"/>
    <row r="78890" customFormat="1" x14ac:dyDescent="0.25"/>
    <row r="78891" customFormat="1" x14ac:dyDescent="0.25"/>
    <row r="78892" customFormat="1" x14ac:dyDescent="0.25"/>
    <row r="78893" customFormat="1" x14ac:dyDescent="0.25"/>
    <row r="78894" customFormat="1" x14ac:dyDescent="0.25"/>
    <row r="78895" customFormat="1" x14ac:dyDescent="0.25"/>
    <row r="78896" customFormat="1" x14ac:dyDescent="0.25"/>
    <row r="78897" customFormat="1" x14ac:dyDescent="0.25"/>
    <row r="78898" customFormat="1" x14ac:dyDescent="0.25"/>
    <row r="78899" customFormat="1" x14ac:dyDescent="0.25"/>
    <row r="78900" customFormat="1" x14ac:dyDescent="0.25"/>
    <row r="78901" customFormat="1" x14ac:dyDescent="0.25"/>
    <row r="78902" customFormat="1" x14ac:dyDescent="0.25"/>
    <row r="78903" customFormat="1" x14ac:dyDescent="0.25"/>
    <row r="78904" customFormat="1" x14ac:dyDescent="0.25"/>
    <row r="78905" customFormat="1" x14ac:dyDescent="0.25"/>
    <row r="78906" customFormat="1" x14ac:dyDescent="0.25"/>
    <row r="78907" customFormat="1" x14ac:dyDescent="0.25"/>
    <row r="78908" customFormat="1" x14ac:dyDescent="0.25"/>
    <row r="78909" customFormat="1" x14ac:dyDescent="0.25"/>
    <row r="78910" customFormat="1" x14ac:dyDescent="0.25"/>
    <row r="78911" customFormat="1" x14ac:dyDescent="0.25"/>
    <row r="78912" customFormat="1" x14ac:dyDescent="0.25"/>
    <row r="78913" customFormat="1" x14ac:dyDescent="0.25"/>
    <row r="78914" customFormat="1" x14ac:dyDescent="0.25"/>
    <row r="78915" customFormat="1" x14ac:dyDescent="0.25"/>
    <row r="78916" customFormat="1" x14ac:dyDescent="0.25"/>
    <row r="78917" customFormat="1" x14ac:dyDescent="0.25"/>
    <row r="78918" customFormat="1" x14ac:dyDescent="0.25"/>
    <row r="78919" customFormat="1" x14ac:dyDescent="0.25"/>
    <row r="78920" customFormat="1" x14ac:dyDescent="0.25"/>
    <row r="78921" customFormat="1" x14ac:dyDescent="0.25"/>
    <row r="78922" customFormat="1" x14ac:dyDescent="0.25"/>
    <row r="78923" customFormat="1" x14ac:dyDescent="0.25"/>
    <row r="78924" customFormat="1" x14ac:dyDescent="0.25"/>
    <row r="78925" customFormat="1" x14ac:dyDescent="0.25"/>
    <row r="78926" customFormat="1" x14ac:dyDescent="0.25"/>
    <row r="78927" customFormat="1" x14ac:dyDescent="0.25"/>
    <row r="78928" customFormat="1" x14ac:dyDescent="0.25"/>
    <row r="78929" customFormat="1" x14ac:dyDescent="0.25"/>
    <row r="78930" customFormat="1" x14ac:dyDescent="0.25"/>
    <row r="78931" customFormat="1" x14ac:dyDescent="0.25"/>
    <row r="78932" customFormat="1" x14ac:dyDescent="0.25"/>
    <row r="78933" customFormat="1" x14ac:dyDescent="0.25"/>
    <row r="78934" customFormat="1" x14ac:dyDescent="0.25"/>
    <row r="78935" customFormat="1" x14ac:dyDescent="0.25"/>
    <row r="78936" customFormat="1" x14ac:dyDescent="0.25"/>
    <row r="78937" customFormat="1" x14ac:dyDescent="0.25"/>
    <row r="78938" customFormat="1" x14ac:dyDescent="0.25"/>
    <row r="78939" customFormat="1" x14ac:dyDescent="0.25"/>
    <row r="78940" customFormat="1" x14ac:dyDescent="0.25"/>
    <row r="78941" customFormat="1" x14ac:dyDescent="0.25"/>
    <row r="78942" customFormat="1" x14ac:dyDescent="0.25"/>
    <row r="78943" customFormat="1" x14ac:dyDescent="0.25"/>
    <row r="78944" customFormat="1" x14ac:dyDescent="0.25"/>
    <row r="78945" customFormat="1" x14ac:dyDescent="0.25"/>
    <row r="78946" customFormat="1" x14ac:dyDescent="0.25"/>
    <row r="78947" customFormat="1" x14ac:dyDescent="0.25"/>
    <row r="78948" customFormat="1" x14ac:dyDescent="0.25"/>
    <row r="78949" customFormat="1" x14ac:dyDescent="0.25"/>
    <row r="78950" customFormat="1" x14ac:dyDescent="0.25"/>
    <row r="78951" customFormat="1" x14ac:dyDescent="0.25"/>
    <row r="78952" customFormat="1" x14ac:dyDescent="0.25"/>
    <row r="78953" customFormat="1" x14ac:dyDescent="0.25"/>
    <row r="78954" customFormat="1" x14ac:dyDescent="0.25"/>
    <row r="78955" customFormat="1" x14ac:dyDescent="0.25"/>
    <row r="78956" customFormat="1" x14ac:dyDescent="0.25"/>
    <row r="78957" customFormat="1" x14ac:dyDescent="0.25"/>
    <row r="78958" customFormat="1" x14ac:dyDescent="0.25"/>
    <row r="78959" customFormat="1" x14ac:dyDescent="0.25"/>
    <row r="78960" customFormat="1" x14ac:dyDescent="0.25"/>
    <row r="78961" customFormat="1" x14ac:dyDescent="0.25"/>
    <row r="78962" customFormat="1" x14ac:dyDescent="0.25"/>
    <row r="78963" customFormat="1" x14ac:dyDescent="0.25"/>
    <row r="78964" customFormat="1" x14ac:dyDescent="0.25"/>
    <row r="78965" customFormat="1" x14ac:dyDescent="0.25"/>
    <row r="78966" customFormat="1" x14ac:dyDescent="0.25"/>
    <row r="78967" customFormat="1" x14ac:dyDescent="0.25"/>
    <row r="78968" customFormat="1" x14ac:dyDescent="0.25"/>
    <row r="78969" customFormat="1" x14ac:dyDescent="0.25"/>
    <row r="78970" customFormat="1" x14ac:dyDescent="0.25"/>
    <row r="78971" customFormat="1" x14ac:dyDescent="0.25"/>
    <row r="78972" customFormat="1" x14ac:dyDescent="0.25"/>
    <row r="78973" customFormat="1" x14ac:dyDescent="0.25"/>
    <row r="78974" customFormat="1" x14ac:dyDescent="0.25"/>
    <row r="78975" customFormat="1" x14ac:dyDescent="0.25"/>
    <row r="78976" customFormat="1" x14ac:dyDescent="0.25"/>
    <row r="78977" customFormat="1" x14ac:dyDescent="0.25"/>
    <row r="78978" customFormat="1" x14ac:dyDescent="0.25"/>
    <row r="78979" customFormat="1" x14ac:dyDescent="0.25"/>
    <row r="78980" customFormat="1" x14ac:dyDescent="0.25"/>
    <row r="78981" customFormat="1" x14ac:dyDescent="0.25"/>
    <row r="78982" customFormat="1" x14ac:dyDescent="0.25"/>
    <row r="78983" customFormat="1" x14ac:dyDescent="0.25"/>
    <row r="78984" customFormat="1" x14ac:dyDescent="0.25"/>
    <row r="78985" customFormat="1" x14ac:dyDescent="0.25"/>
    <row r="78986" customFormat="1" x14ac:dyDescent="0.25"/>
    <row r="78987" customFormat="1" x14ac:dyDescent="0.25"/>
    <row r="78988" customFormat="1" x14ac:dyDescent="0.25"/>
    <row r="78989" customFormat="1" x14ac:dyDescent="0.25"/>
    <row r="78990" customFormat="1" x14ac:dyDescent="0.25"/>
    <row r="78991" customFormat="1" x14ac:dyDescent="0.25"/>
    <row r="78992" customFormat="1" x14ac:dyDescent="0.25"/>
    <row r="78993" customFormat="1" x14ac:dyDescent="0.25"/>
    <row r="78994" customFormat="1" x14ac:dyDescent="0.25"/>
    <row r="78995" customFormat="1" x14ac:dyDescent="0.25"/>
    <row r="78996" customFormat="1" x14ac:dyDescent="0.25"/>
    <row r="78997" customFormat="1" x14ac:dyDescent="0.25"/>
    <row r="78998" customFormat="1" x14ac:dyDescent="0.25"/>
    <row r="78999" customFormat="1" x14ac:dyDescent="0.25"/>
    <row r="79000" customFormat="1" x14ac:dyDescent="0.25"/>
    <row r="79001" customFormat="1" x14ac:dyDescent="0.25"/>
    <row r="79002" customFormat="1" x14ac:dyDescent="0.25"/>
    <row r="79003" customFormat="1" x14ac:dyDescent="0.25"/>
    <row r="79004" customFormat="1" x14ac:dyDescent="0.25"/>
    <row r="79005" customFormat="1" x14ac:dyDescent="0.25"/>
    <row r="79006" customFormat="1" x14ac:dyDescent="0.25"/>
    <row r="79007" customFormat="1" x14ac:dyDescent="0.25"/>
    <row r="79008" customFormat="1" x14ac:dyDescent="0.25"/>
    <row r="79009" customFormat="1" x14ac:dyDescent="0.25"/>
    <row r="79010" customFormat="1" x14ac:dyDescent="0.25"/>
    <row r="79011" customFormat="1" x14ac:dyDescent="0.25"/>
    <row r="79012" customFormat="1" x14ac:dyDescent="0.25"/>
    <row r="79013" customFormat="1" x14ac:dyDescent="0.25"/>
    <row r="79014" customFormat="1" x14ac:dyDescent="0.25"/>
    <row r="79015" customFormat="1" x14ac:dyDescent="0.25"/>
    <row r="79016" customFormat="1" x14ac:dyDescent="0.25"/>
    <row r="79017" customFormat="1" x14ac:dyDescent="0.25"/>
    <row r="79018" customFormat="1" x14ac:dyDescent="0.25"/>
    <row r="79019" customFormat="1" x14ac:dyDescent="0.25"/>
    <row r="79020" customFormat="1" x14ac:dyDescent="0.25"/>
    <row r="79021" customFormat="1" x14ac:dyDescent="0.25"/>
    <row r="79022" customFormat="1" x14ac:dyDescent="0.25"/>
    <row r="79023" customFormat="1" x14ac:dyDescent="0.25"/>
    <row r="79024" customFormat="1" x14ac:dyDescent="0.25"/>
    <row r="79025" customFormat="1" x14ac:dyDescent="0.25"/>
    <row r="79026" customFormat="1" x14ac:dyDescent="0.25"/>
    <row r="79027" customFormat="1" x14ac:dyDescent="0.25"/>
    <row r="79028" customFormat="1" x14ac:dyDescent="0.25"/>
    <row r="79029" customFormat="1" x14ac:dyDescent="0.25"/>
    <row r="79030" customFormat="1" x14ac:dyDescent="0.25"/>
    <row r="79031" customFormat="1" x14ac:dyDescent="0.25"/>
    <row r="79032" customFormat="1" x14ac:dyDescent="0.25"/>
    <row r="79033" customFormat="1" x14ac:dyDescent="0.25"/>
    <row r="79034" customFormat="1" x14ac:dyDescent="0.25"/>
    <row r="79035" customFormat="1" x14ac:dyDescent="0.25"/>
    <row r="79036" customFormat="1" x14ac:dyDescent="0.25"/>
    <row r="79037" customFormat="1" x14ac:dyDescent="0.25"/>
    <row r="79038" customFormat="1" x14ac:dyDescent="0.25"/>
    <row r="79039" customFormat="1" x14ac:dyDescent="0.25"/>
    <row r="79040" customFormat="1" x14ac:dyDescent="0.25"/>
    <row r="79041" customFormat="1" x14ac:dyDescent="0.25"/>
    <row r="79042" customFormat="1" x14ac:dyDescent="0.25"/>
    <row r="79043" customFormat="1" x14ac:dyDescent="0.25"/>
    <row r="79044" customFormat="1" x14ac:dyDescent="0.25"/>
    <row r="79045" customFormat="1" x14ac:dyDescent="0.25"/>
    <row r="79046" customFormat="1" x14ac:dyDescent="0.25"/>
    <row r="79047" customFormat="1" x14ac:dyDescent="0.25"/>
    <row r="79048" customFormat="1" x14ac:dyDescent="0.25"/>
    <row r="79049" customFormat="1" x14ac:dyDescent="0.25"/>
    <row r="79050" customFormat="1" x14ac:dyDescent="0.25"/>
    <row r="79051" customFormat="1" x14ac:dyDescent="0.25"/>
    <row r="79052" customFormat="1" x14ac:dyDescent="0.25"/>
    <row r="79053" customFormat="1" x14ac:dyDescent="0.25"/>
    <row r="79054" customFormat="1" x14ac:dyDescent="0.25"/>
    <row r="79055" customFormat="1" x14ac:dyDescent="0.25"/>
    <row r="79056" customFormat="1" x14ac:dyDescent="0.25"/>
    <row r="79057" customFormat="1" x14ac:dyDescent="0.25"/>
    <row r="79058" customFormat="1" x14ac:dyDescent="0.25"/>
    <row r="79059" customFormat="1" x14ac:dyDescent="0.25"/>
    <row r="79060" customFormat="1" x14ac:dyDescent="0.25"/>
    <row r="79061" customFormat="1" x14ac:dyDescent="0.25"/>
    <row r="79062" customFormat="1" x14ac:dyDescent="0.25"/>
    <row r="79063" customFormat="1" x14ac:dyDescent="0.25"/>
    <row r="79064" customFormat="1" x14ac:dyDescent="0.25"/>
    <row r="79065" customFormat="1" x14ac:dyDescent="0.25"/>
    <row r="79066" customFormat="1" x14ac:dyDescent="0.25"/>
    <row r="79067" customFormat="1" x14ac:dyDescent="0.25"/>
    <row r="79068" customFormat="1" x14ac:dyDescent="0.25"/>
    <row r="79069" customFormat="1" x14ac:dyDescent="0.25"/>
    <row r="79070" customFormat="1" x14ac:dyDescent="0.25"/>
    <row r="79071" customFormat="1" x14ac:dyDescent="0.25"/>
    <row r="79072" customFormat="1" x14ac:dyDescent="0.25"/>
    <row r="79073" customFormat="1" x14ac:dyDescent="0.25"/>
    <row r="79074" customFormat="1" x14ac:dyDescent="0.25"/>
    <row r="79075" customFormat="1" x14ac:dyDescent="0.25"/>
    <row r="79076" customFormat="1" x14ac:dyDescent="0.25"/>
    <row r="79077" customFormat="1" x14ac:dyDescent="0.25"/>
    <row r="79078" customFormat="1" x14ac:dyDescent="0.25"/>
    <row r="79079" customFormat="1" x14ac:dyDescent="0.25"/>
    <row r="79080" customFormat="1" x14ac:dyDescent="0.25"/>
    <row r="79081" customFormat="1" x14ac:dyDescent="0.25"/>
    <row r="79082" customFormat="1" x14ac:dyDescent="0.25"/>
    <row r="79083" customFormat="1" x14ac:dyDescent="0.25"/>
    <row r="79084" customFormat="1" x14ac:dyDescent="0.25"/>
    <row r="79085" customFormat="1" x14ac:dyDescent="0.25"/>
    <row r="79086" customFormat="1" x14ac:dyDescent="0.25"/>
    <row r="79087" customFormat="1" x14ac:dyDescent="0.25"/>
    <row r="79088" customFormat="1" x14ac:dyDescent="0.25"/>
    <row r="79089" customFormat="1" x14ac:dyDescent="0.25"/>
    <row r="79090" customFormat="1" x14ac:dyDescent="0.25"/>
    <row r="79091" customFormat="1" x14ac:dyDescent="0.25"/>
    <row r="79092" customFormat="1" x14ac:dyDescent="0.25"/>
    <row r="79093" customFormat="1" x14ac:dyDescent="0.25"/>
    <row r="79094" customFormat="1" x14ac:dyDescent="0.25"/>
    <row r="79095" customFormat="1" x14ac:dyDescent="0.25"/>
    <row r="79096" customFormat="1" x14ac:dyDescent="0.25"/>
    <row r="79097" customFormat="1" x14ac:dyDescent="0.25"/>
    <row r="79098" customFormat="1" x14ac:dyDescent="0.25"/>
    <row r="79099" customFormat="1" x14ac:dyDescent="0.25"/>
    <row r="79100" customFormat="1" x14ac:dyDescent="0.25"/>
    <row r="79101" customFormat="1" x14ac:dyDescent="0.25"/>
    <row r="79102" customFormat="1" x14ac:dyDescent="0.25"/>
    <row r="79103" customFormat="1" x14ac:dyDescent="0.25"/>
    <row r="79104" customFormat="1" x14ac:dyDescent="0.25"/>
    <row r="79105" customFormat="1" x14ac:dyDescent="0.25"/>
    <row r="79106" customFormat="1" x14ac:dyDescent="0.25"/>
    <row r="79107" customFormat="1" x14ac:dyDescent="0.25"/>
    <row r="79108" customFormat="1" x14ac:dyDescent="0.25"/>
    <row r="79109" customFormat="1" x14ac:dyDescent="0.25"/>
    <row r="79110" customFormat="1" x14ac:dyDescent="0.25"/>
    <row r="79111" customFormat="1" x14ac:dyDescent="0.25"/>
    <row r="79112" customFormat="1" x14ac:dyDescent="0.25"/>
    <row r="79113" customFormat="1" x14ac:dyDescent="0.25"/>
    <row r="79114" customFormat="1" x14ac:dyDescent="0.25"/>
    <row r="79115" customFormat="1" x14ac:dyDescent="0.25"/>
    <row r="79116" customFormat="1" x14ac:dyDescent="0.25"/>
    <row r="79117" customFormat="1" x14ac:dyDescent="0.25"/>
    <row r="79118" customFormat="1" x14ac:dyDescent="0.25"/>
    <row r="79119" customFormat="1" x14ac:dyDescent="0.25"/>
    <row r="79120" customFormat="1" x14ac:dyDescent="0.25"/>
    <row r="79121" customFormat="1" x14ac:dyDescent="0.25"/>
    <row r="79122" customFormat="1" x14ac:dyDescent="0.25"/>
    <row r="79123" customFormat="1" x14ac:dyDescent="0.25"/>
    <row r="79124" customFormat="1" x14ac:dyDescent="0.25"/>
    <row r="79125" customFormat="1" x14ac:dyDescent="0.25"/>
    <row r="79126" customFormat="1" x14ac:dyDescent="0.25"/>
    <row r="79127" customFormat="1" x14ac:dyDescent="0.25"/>
    <row r="79128" customFormat="1" x14ac:dyDescent="0.25"/>
    <row r="79129" customFormat="1" x14ac:dyDescent="0.25"/>
    <row r="79130" customFormat="1" x14ac:dyDescent="0.25"/>
    <row r="79131" customFormat="1" x14ac:dyDescent="0.25"/>
    <row r="79132" customFormat="1" x14ac:dyDescent="0.25"/>
    <row r="79133" customFormat="1" x14ac:dyDescent="0.25"/>
    <row r="79134" customFormat="1" x14ac:dyDescent="0.25"/>
    <row r="79135" customFormat="1" x14ac:dyDescent="0.25"/>
    <row r="79136" customFormat="1" x14ac:dyDescent="0.25"/>
    <row r="79137" customFormat="1" x14ac:dyDescent="0.25"/>
    <row r="79138" customFormat="1" x14ac:dyDescent="0.25"/>
    <row r="79139" customFormat="1" x14ac:dyDescent="0.25"/>
    <row r="79140" customFormat="1" x14ac:dyDescent="0.25"/>
    <row r="79141" customFormat="1" x14ac:dyDescent="0.25"/>
    <row r="79142" customFormat="1" x14ac:dyDescent="0.25"/>
    <row r="79143" customFormat="1" x14ac:dyDescent="0.25"/>
    <row r="79144" customFormat="1" x14ac:dyDescent="0.25"/>
    <row r="79145" customFormat="1" x14ac:dyDescent="0.25"/>
    <row r="79146" customFormat="1" x14ac:dyDescent="0.25"/>
    <row r="79147" customFormat="1" x14ac:dyDescent="0.25"/>
    <row r="79148" customFormat="1" x14ac:dyDescent="0.25"/>
    <row r="79149" customFormat="1" x14ac:dyDescent="0.25"/>
    <row r="79150" customFormat="1" x14ac:dyDescent="0.25"/>
    <row r="79151" customFormat="1" x14ac:dyDescent="0.25"/>
    <row r="79152" customFormat="1" x14ac:dyDescent="0.25"/>
    <row r="79153" customFormat="1" x14ac:dyDescent="0.25"/>
    <row r="79154" customFormat="1" x14ac:dyDescent="0.25"/>
    <row r="79155" customFormat="1" x14ac:dyDescent="0.25"/>
    <row r="79156" customFormat="1" x14ac:dyDescent="0.25"/>
    <row r="79157" customFormat="1" x14ac:dyDescent="0.25"/>
    <row r="79158" customFormat="1" x14ac:dyDescent="0.25"/>
    <row r="79159" customFormat="1" x14ac:dyDescent="0.25"/>
    <row r="79160" customFormat="1" x14ac:dyDescent="0.25"/>
    <row r="79161" customFormat="1" x14ac:dyDescent="0.25"/>
    <row r="79162" customFormat="1" x14ac:dyDescent="0.25"/>
    <row r="79163" customFormat="1" x14ac:dyDescent="0.25"/>
    <row r="79164" customFormat="1" x14ac:dyDescent="0.25"/>
    <row r="79165" customFormat="1" x14ac:dyDescent="0.25"/>
    <row r="79166" customFormat="1" x14ac:dyDescent="0.25"/>
    <row r="79167" customFormat="1" x14ac:dyDescent="0.25"/>
    <row r="79168" customFormat="1" x14ac:dyDescent="0.25"/>
    <row r="79169" customFormat="1" x14ac:dyDescent="0.25"/>
    <row r="79170" customFormat="1" x14ac:dyDescent="0.25"/>
    <row r="79171" customFormat="1" x14ac:dyDescent="0.25"/>
    <row r="79172" customFormat="1" x14ac:dyDescent="0.25"/>
    <row r="79173" customFormat="1" x14ac:dyDescent="0.25"/>
    <row r="79174" customFormat="1" x14ac:dyDescent="0.25"/>
    <row r="79175" customFormat="1" x14ac:dyDescent="0.25"/>
    <row r="79176" customFormat="1" x14ac:dyDescent="0.25"/>
    <row r="79177" customFormat="1" x14ac:dyDescent="0.25"/>
    <row r="79178" customFormat="1" x14ac:dyDescent="0.25"/>
    <row r="79179" customFormat="1" x14ac:dyDescent="0.25"/>
    <row r="79180" customFormat="1" x14ac:dyDescent="0.25"/>
    <row r="79181" customFormat="1" x14ac:dyDescent="0.25"/>
    <row r="79182" customFormat="1" x14ac:dyDescent="0.25"/>
    <row r="79183" customFormat="1" x14ac:dyDescent="0.25"/>
    <row r="79184" customFormat="1" x14ac:dyDescent="0.25"/>
    <row r="79185" customFormat="1" x14ac:dyDescent="0.25"/>
    <row r="79186" customFormat="1" x14ac:dyDescent="0.25"/>
    <row r="79187" customFormat="1" x14ac:dyDescent="0.25"/>
    <row r="79188" customFormat="1" x14ac:dyDescent="0.25"/>
    <row r="79189" customFormat="1" x14ac:dyDescent="0.25"/>
    <row r="79190" customFormat="1" x14ac:dyDescent="0.25"/>
    <row r="79191" customFormat="1" x14ac:dyDescent="0.25"/>
    <row r="79192" customFormat="1" x14ac:dyDescent="0.25"/>
    <row r="79193" customFormat="1" x14ac:dyDescent="0.25"/>
    <row r="79194" customFormat="1" x14ac:dyDescent="0.25"/>
    <row r="79195" customFormat="1" x14ac:dyDescent="0.25"/>
    <row r="79196" customFormat="1" x14ac:dyDescent="0.25"/>
    <row r="79197" customFormat="1" x14ac:dyDescent="0.25"/>
    <row r="79198" customFormat="1" x14ac:dyDescent="0.25"/>
    <row r="79199" customFormat="1" x14ac:dyDescent="0.25"/>
    <row r="79200" customFormat="1" x14ac:dyDescent="0.25"/>
    <row r="79201" customFormat="1" x14ac:dyDescent="0.25"/>
    <row r="79202" customFormat="1" x14ac:dyDescent="0.25"/>
    <row r="79203" customFormat="1" x14ac:dyDescent="0.25"/>
    <row r="79204" customFormat="1" x14ac:dyDescent="0.25"/>
    <row r="79205" customFormat="1" x14ac:dyDescent="0.25"/>
    <row r="79206" customFormat="1" x14ac:dyDescent="0.25"/>
    <row r="79207" customFormat="1" x14ac:dyDescent="0.25"/>
    <row r="79208" customFormat="1" x14ac:dyDescent="0.25"/>
    <row r="79209" customFormat="1" x14ac:dyDescent="0.25"/>
    <row r="79210" customFormat="1" x14ac:dyDescent="0.25"/>
    <row r="79211" customFormat="1" x14ac:dyDescent="0.25"/>
    <row r="79212" customFormat="1" x14ac:dyDescent="0.25"/>
    <row r="79213" customFormat="1" x14ac:dyDescent="0.25"/>
    <row r="79214" customFormat="1" x14ac:dyDescent="0.25"/>
    <row r="79215" customFormat="1" x14ac:dyDescent="0.25"/>
    <row r="79216" customFormat="1" x14ac:dyDescent="0.25"/>
    <row r="79217" customFormat="1" x14ac:dyDescent="0.25"/>
    <row r="79218" customFormat="1" x14ac:dyDescent="0.25"/>
    <row r="79219" customFormat="1" x14ac:dyDescent="0.25"/>
    <row r="79220" customFormat="1" x14ac:dyDescent="0.25"/>
    <row r="79221" customFormat="1" x14ac:dyDescent="0.25"/>
    <row r="79222" customFormat="1" x14ac:dyDescent="0.25"/>
    <row r="79223" customFormat="1" x14ac:dyDescent="0.25"/>
    <row r="79224" customFormat="1" x14ac:dyDescent="0.25"/>
    <row r="79225" customFormat="1" x14ac:dyDescent="0.25"/>
    <row r="79226" customFormat="1" x14ac:dyDescent="0.25"/>
    <row r="79227" customFormat="1" x14ac:dyDescent="0.25"/>
    <row r="79228" customFormat="1" x14ac:dyDescent="0.25"/>
    <row r="79229" customFormat="1" x14ac:dyDescent="0.25"/>
    <row r="79230" customFormat="1" x14ac:dyDescent="0.25"/>
    <row r="79231" customFormat="1" x14ac:dyDescent="0.25"/>
    <row r="79232" customFormat="1" x14ac:dyDescent="0.25"/>
    <row r="79233" customFormat="1" x14ac:dyDescent="0.25"/>
    <row r="79234" customFormat="1" x14ac:dyDescent="0.25"/>
    <row r="79235" customFormat="1" x14ac:dyDescent="0.25"/>
    <row r="79236" customFormat="1" x14ac:dyDescent="0.25"/>
    <row r="79237" customFormat="1" x14ac:dyDescent="0.25"/>
    <row r="79238" customFormat="1" x14ac:dyDescent="0.25"/>
    <row r="79239" customFormat="1" x14ac:dyDescent="0.25"/>
    <row r="79240" customFormat="1" x14ac:dyDescent="0.25"/>
    <row r="79241" customFormat="1" x14ac:dyDescent="0.25"/>
    <row r="79242" customFormat="1" x14ac:dyDescent="0.25"/>
    <row r="79243" customFormat="1" x14ac:dyDescent="0.25"/>
    <row r="79244" customFormat="1" x14ac:dyDescent="0.25"/>
    <row r="79245" customFormat="1" x14ac:dyDescent="0.25"/>
    <row r="79246" customFormat="1" x14ac:dyDescent="0.25"/>
    <row r="79247" customFormat="1" x14ac:dyDescent="0.25"/>
    <row r="79248" customFormat="1" x14ac:dyDescent="0.25"/>
    <row r="79249" customFormat="1" x14ac:dyDescent="0.25"/>
    <row r="79250" customFormat="1" x14ac:dyDescent="0.25"/>
    <row r="79251" customFormat="1" x14ac:dyDescent="0.25"/>
    <row r="79252" customFormat="1" x14ac:dyDescent="0.25"/>
    <row r="79253" customFormat="1" x14ac:dyDescent="0.25"/>
    <row r="79254" customFormat="1" x14ac:dyDescent="0.25"/>
    <row r="79255" customFormat="1" x14ac:dyDescent="0.25"/>
    <row r="79256" customFormat="1" x14ac:dyDescent="0.25"/>
    <row r="79257" customFormat="1" x14ac:dyDescent="0.25"/>
    <row r="79258" customFormat="1" x14ac:dyDescent="0.25"/>
    <row r="79259" customFormat="1" x14ac:dyDescent="0.25"/>
    <row r="79260" customFormat="1" x14ac:dyDescent="0.25"/>
    <row r="79261" customFormat="1" x14ac:dyDescent="0.25"/>
    <row r="79262" customFormat="1" x14ac:dyDescent="0.25"/>
    <row r="79263" customFormat="1" x14ac:dyDescent="0.25"/>
    <row r="79264" customFormat="1" x14ac:dyDescent="0.25"/>
    <row r="79265" customFormat="1" x14ac:dyDescent="0.25"/>
    <row r="79266" customFormat="1" x14ac:dyDescent="0.25"/>
    <row r="79267" customFormat="1" x14ac:dyDescent="0.25"/>
    <row r="79268" customFormat="1" x14ac:dyDescent="0.25"/>
    <row r="79269" customFormat="1" x14ac:dyDescent="0.25"/>
    <row r="79270" customFormat="1" x14ac:dyDescent="0.25"/>
    <row r="79271" customFormat="1" x14ac:dyDescent="0.25"/>
    <row r="79272" customFormat="1" x14ac:dyDescent="0.25"/>
    <row r="79273" customFormat="1" x14ac:dyDescent="0.25"/>
    <row r="79274" customFormat="1" x14ac:dyDescent="0.25"/>
    <row r="79275" customFormat="1" x14ac:dyDescent="0.25"/>
    <row r="79276" customFormat="1" x14ac:dyDescent="0.25"/>
    <row r="79277" customFormat="1" x14ac:dyDescent="0.25"/>
    <row r="79278" customFormat="1" x14ac:dyDescent="0.25"/>
    <row r="79279" customFormat="1" x14ac:dyDescent="0.25"/>
    <row r="79280" customFormat="1" x14ac:dyDescent="0.25"/>
    <row r="79281" customFormat="1" x14ac:dyDescent="0.25"/>
    <row r="79282" customFormat="1" x14ac:dyDescent="0.25"/>
    <row r="79283" customFormat="1" x14ac:dyDescent="0.25"/>
    <row r="79284" customFormat="1" x14ac:dyDescent="0.25"/>
    <row r="79285" customFormat="1" x14ac:dyDescent="0.25"/>
    <row r="79286" customFormat="1" x14ac:dyDescent="0.25"/>
    <row r="79287" customFormat="1" x14ac:dyDescent="0.25"/>
    <row r="79288" customFormat="1" x14ac:dyDescent="0.25"/>
    <row r="79289" customFormat="1" x14ac:dyDescent="0.25"/>
    <row r="79290" customFormat="1" x14ac:dyDescent="0.25"/>
    <row r="79291" customFormat="1" x14ac:dyDescent="0.25"/>
    <row r="79292" customFormat="1" x14ac:dyDescent="0.25"/>
    <row r="79293" customFormat="1" x14ac:dyDescent="0.25"/>
    <row r="79294" customFormat="1" x14ac:dyDescent="0.25"/>
    <row r="79295" customFormat="1" x14ac:dyDescent="0.25"/>
    <row r="79296" customFormat="1" x14ac:dyDescent="0.25"/>
    <row r="79297" customFormat="1" x14ac:dyDescent="0.25"/>
    <row r="79298" customFormat="1" x14ac:dyDescent="0.25"/>
    <row r="79299" customFormat="1" x14ac:dyDescent="0.25"/>
    <row r="79300" customFormat="1" x14ac:dyDescent="0.25"/>
    <row r="79301" customFormat="1" x14ac:dyDescent="0.25"/>
    <row r="79302" customFormat="1" x14ac:dyDescent="0.25"/>
    <row r="79303" customFormat="1" x14ac:dyDescent="0.25"/>
    <row r="79304" customFormat="1" x14ac:dyDescent="0.25"/>
    <row r="79305" customFormat="1" x14ac:dyDescent="0.25"/>
    <row r="79306" customFormat="1" x14ac:dyDescent="0.25"/>
    <row r="79307" customFormat="1" x14ac:dyDescent="0.25"/>
    <row r="79308" customFormat="1" x14ac:dyDescent="0.25"/>
    <row r="79309" customFormat="1" x14ac:dyDescent="0.25"/>
    <row r="79310" customFormat="1" x14ac:dyDescent="0.25"/>
    <row r="79311" customFormat="1" x14ac:dyDescent="0.25"/>
    <row r="79312" customFormat="1" x14ac:dyDescent="0.25"/>
    <row r="79313" customFormat="1" x14ac:dyDescent="0.25"/>
    <row r="79314" customFormat="1" x14ac:dyDescent="0.25"/>
    <row r="79315" customFormat="1" x14ac:dyDescent="0.25"/>
    <row r="79316" customFormat="1" x14ac:dyDescent="0.25"/>
    <row r="79317" customFormat="1" x14ac:dyDescent="0.25"/>
    <row r="79318" customFormat="1" x14ac:dyDescent="0.25"/>
    <row r="79319" customFormat="1" x14ac:dyDescent="0.25"/>
    <row r="79320" customFormat="1" x14ac:dyDescent="0.25"/>
    <row r="79321" customFormat="1" x14ac:dyDescent="0.25"/>
    <row r="79322" customFormat="1" x14ac:dyDescent="0.25"/>
    <row r="79323" customFormat="1" x14ac:dyDescent="0.25"/>
    <row r="79324" customFormat="1" x14ac:dyDescent="0.25"/>
    <row r="79325" customFormat="1" x14ac:dyDescent="0.25"/>
    <row r="79326" customFormat="1" x14ac:dyDescent="0.25"/>
    <row r="79327" customFormat="1" x14ac:dyDescent="0.25"/>
    <row r="79328" customFormat="1" x14ac:dyDescent="0.25"/>
    <row r="79329" customFormat="1" x14ac:dyDescent="0.25"/>
    <row r="79330" customFormat="1" x14ac:dyDescent="0.25"/>
    <row r="79331" customFormat="1" x14ac:dyDescent="0.25"/>
    <row r="79332" customFormat="1" x14ac:dyDescent="0.25"/>
    <row r="79333" customFormat="1" x14ac:dyDescent="0.25"/>
    <row r="79334" customFormat="1" x14ac:dyDescent="0.25"/>
    <row r="79335" customFormat="1" x14ac:dyDescent="0.25"/>
    <row r="79336" customFormat="1" x14ac:dyDescent="0.25"/>
    <row r="79337" customFormat="1" x14ac:dyDescent="0.25"/>
    <row r="79338" customFormat="1" x14ac:dyDescent="0.25"/>
    <row r="79339" customFormat="1" x14ac:dyDescent="0.25"/>
    <row r="79340" customFormat="1" x14ac:dyDescent="0.25"/>
    <row r="79341" customFormat="1" x14ac:dyDescent="0.25"/>
    <row r="79342" customFormat="1" x14ac:dyDescent="0.25"/>
    <row r="79343" customFormat="1" x14ac:dyDescent="0.25"/>
    <row r="79344" customFormat="1" x14ac:dyDescent="0.25"/>
    <row r="79345" customFormat="1" x14ac:dyDescent="0.25"/>
    <row r="79346" customFormat="1" x14ac:dyDescent="0.25"/>
    <row r="79347" customFormat="1" x14ac:dyDescent="0.25"/>
    <row r="79348" customFormat="1" x14ac:dyDescent="0.25"/>
    <row r="79349" customFormat="1" x14ac:dyDescent="0.25"/>
    <row r="79350" customFormat="1" x14ac:dyDescent="0.25"/>
    <row r="79351" customFormat="1" x14ac:dyDescent="0.25"/>
    <row r="79352" customFormat="1" x14ac:dyDescent="0.25"/>
    <row r="79353" customFormat="1" x14ac:dyDescent="0.25"/>
    <row r="79354" customFormat="1" x14ac:dyDescent="0.25"/>
    <row r="79355" customFormat="1" x14ac:dyDescent="0.25"/>
    <row r="79356" customFormat="1" x14ac:dyDescent="0.25"/>
    <row r="79357" customFormat="1" x14ac:dyDescent="0.25"/>
    <row r="79358" customFormat="1" x14ac:dyDescent="0.25"/>
    <row r="79359" customFormat="1" x14ac:dyDescent="0.25"/>
    <row r="79360" customFormat="1" x14ac:dyDescent="0.25"/>
    <row r="79361" customFormat="1" x14ac:dyDescent="0.25"/>
    <row r="79362" customFormat="1" x14ac:dyDescent="0.25"/>
    <row r="79363" customFormat="1" x14ac:dyDescent="0.25"/>
    <row r="79364" customFormat="1" x14ac:dyDescent="0.25"/>
    <row r="79365" customFormat="1" x14ac:dyDescent="0.25"/>
    <row r="79366" customFormat="1" x14ac:dyDescent="0.25"/>
    <row r="79367" customFormat="1" x14ac:dyDescent="0.25"/>
    <row r="79368" customFormat="1" x14ac:dyDescent="0.25"/>
    <row r="79369" customFormat="1" x14ac:dyDescent="0.25"/>
    <row r="79370" customFormat="1" x14ac:dyDescent="0.25"/>
    <row r="79371" customFormat="1" x14ac:dyDescent="0.25"/>
    <row r="79372" customFormat="1" x14ac:dyDescent="0.25"/>
    <row r="79373" customFormat="1" x14ac:dyDescent="0.25"/>
    <row r="79374" customFormat="1" x14ac:dyDescent="0.25"/>
    <row r="79375" customFormat="1" x14ac:dyDescent="0.25"/>
    <row r="79376" customFormat="1" x14ac:dyDescent="0.25"/>
    <row r="79377" customFormat="1" x14ac:dyDescent="0.25"/>
    <row r="79378" customFormat="1" x14ac:dyDescent="0.25"/>
    <row r="79379" customFormat="1" x14ac:dyDescent="0.25"/>
    <row r="79380" customFormat="1" x14ac:dyDescent="0.25"/>
    <row r="79381" customFormat="1" x14ac:dyDescent="0.25"/>
    <row r="79382" customFormat="1" x14ac:dyDescent="0.25"/>
    <row r="79383" customFormat="1" x14ac:dyDescent="0.25"/>
    <row r="79384" customFormat="1" x14ac:dyDescent="0.25"/>
    <row r="79385" customFormat="1" x14ac:dyDescent="0.25"/>
    <row r="79386" customFormat="1" x14ac:dyDescent="0.25"/>
    <row r="79387" customFormat="1" x14ac:dyDescent="0.25"/>
    <row r="79388" customFormat="1" x14ac:dyDescent="0.25"/>
    <row r="79389" customFormat="1" x14ac:dyDescent="0.25"/>
    <row r="79390" customFormat="1" x14ac:dyDescent="0.25"/>
    <row r="79391" customFormat="1" x14ac:dyDescent="0.25"/>
    <row r="79392" customFormat="1" x14ac:dyDescent="0.25"/>
    <row r="79393" customFormat="1" x14ac:dyDescent="0.25"/>
    <row r="79394" customFormat="1" x14ac:dyDescent="0.25"/>
    <row r="79395" customFormat="1" x14ac:dyDescent="0.25"/>
    <row r="79396" customFormat="1" x14ac:dyDescent="0.25"/>
    <row r="79397" customFormat="1" x14ac:dyDescent="0.25"/>
    <row r="79398" customFormat="1" x14ac:dyDescent="0.25"/>
    <row r="79399" customFormat="1" x14ac:dyDescent="0.25"/>
    <row r="79400" customFormat="1" x14ac:dyDescent="0.25"/>
    <row r="79401" customFormat="1" x14ac:dyDescent="0.25"/>
    <row r="79402" customFormat="1" x14ac:dyDescent="0.25"/>
    <row r="79403" customFormat="1" x14ac:dyDescent="0.25"/>
    <row r="79404" customFormat="1" x14ac:dyDescent="0.25"/>
    <row r="79405" customFormat="1" x14ac:dyDescent="0.25"/>
    <row r="79406" customFormat="1" x14ac:dyDescent="0.25"/>
    <row r="79407" customFormat="1" x14ac:dyDescent="0.25"/>
    <row r="79408" customFormat="1" x14ac:dyDescent="0.25"/>
    <row r="79409" customFormat="1" x14ac:dyDescent="0.25"/>
    <row r="79410" customFormat="1" x14ac:dyDescent="0.25"/>
    <row r="79411" customFormat="1" x14ac:dyDescent="0.25"/>
    <row r="79412" customFormat="1" x14ac:dyDescent="0.25"/>
    <row r="79413" customFormat="1" x14ac:dyDescent="0.25"/>
    <row r="79414" customFormat="1" x14ac:dyDescent="0.25"/>
    <row r="79415" customFormat="1" x14ac:dyDescent="0.25"/>
    <row r="79416" customFormat="1" x14ac:dyDescent="0.25"/>
    <row r="79417" customFormat="1" x14ac:dyDescent="0.25"/>
    <row r="79418" customFormat="1" x14ac:dyDescent="0.25"/>
    <row r="79419" customFormat="1" x14ac:dyDescent="0.25"/>
    <row r="79420" customFormat="1" x14ac:dyDescent="0.25"/>
    <row r="79421" customFormat="1" x14ac:dyDescent="0.25"/>
    <row r="79422" customFormat="1" x14ac:dyDescent="0.25"/>
    <row r="79423" customFormat="1" x14ac:dyDescent="0.25"/>
    <row r="79424" customFormat="1" x14ac:dyDescent="0.25"/>
    <row r="79425" customFormat="1" x14ac:dyDescent="0.25"/>
    <row r="79426" customFormat="1" x14ac:dyDescent="0.25"/>
    <row r="79427" customFormat="1" x14ac:dyDescent="0.25"/>
    <row r="79428" customFormat="1" x14ac:dyDescent="0.25"/>
    <row r="79429" customFormat="1" x14ac:dyDescent="0.25"/>
    <row r="79430" customFormat="1" x14ac:dyDescent="0.25"/>
    <row r="79431" customFormat="1" x14ac:dyDescent="0.25"/>
    <row r="79432" customFormat="1" x14ac:dyDescent="0.25"/>
    <row r="79433" customFormat="1" x14ac:dyDescent="0.25"/>
    <row r="79434" customFormat="1" x14ac:dyDescent="0.25"/>
    <row r="79435" customFormat="1" x14ac:dyDescent="0.25"/>
    <row r="79436" customFormat="1" x14ac:dyDescent="0.25"/>
    <row r="79437" customFormat="1" x14ac:dyDescent="0.25"/>
    <row r="79438" customFormat="1" x14ac:dyDescent="0.25"/>
    <row r="79439" customFormat="1" x14ac:dyDescent="0.25"/>
    <row r="79440" customFormat="1" x14ac:dyDescent="0.25"/>
    <row r="79441" customFormat="1" x14ac:dyDescent="0.25"/>
    <row r="79442" customFormat="1" x14ac:dyDescent="0.25"/>
    <row r="79443" customFormat="1" x14ac:dyDescent="0.25"/>
    <row r="79444" customFormat="1" x14ac:dyDescent="0.25"/>
    <row r="79445" customFormat="1" x14ac:dyDescent="0.25"/>
    <row r="79446" customFormat="1" x14ac:dyDescent="0.25"/>
    <row r="79447" customFormat="1" x14ac:dyDescent="0.25"/>
    <row r="79448" customFormat="1" x14ac:dyDescent="0.25"/>
    <row r="79449" customFormat="1" x14ac:dyDescent="0.25"/>
    <row r="79450" customFormat="1" x14ac:dyDescent="0.25"/>
    <row r="79451" customFormat="1" x14ac:dyDescent="0.25"/>
    <row r="79452" customFormat="1" x14ac:dyDescent="0.25"/>
    <row r="79453" customFormat="1" x14ac:dyDescent="0.25"/>
    <row r="79454" customFormat="1" x14ac:dyDescent="0.25"/>
    <row r="79455" customFormat="1" x14ac:dyDescent="0.25"/>
    <row r="79456" customFormat="1" x14ac:dyDescent="0.25"/>
    <row r="79457" customFormat="1" x14ac:dyDescent="0.25"/>
    <row r="79458" customFormat="1" x14ac:dyDescent="0.25"/>
    <row r="79459" customFormat="1" x14ac:dyDescent="0.25"/>
    <row r="79460" customFormat="1" x14ac:dyDescent="0.25"/>
    <row r="79461" customFormat="1" x14ac:dyDescent="0.25"/>
    <row r="79462" customFormat="1" x14ac:dyDescent="0.25"/>
    <row r="79463" customFormat="1" x14ac:dyDescent="0.25"/>
    <row r="79464" customFormat="1" x14ac:dyDescent="0.25"/>
    <row r="79465" customFormat="1" x14ac:dyDescent="0.25"/>
    <row r="79466" customFormat="1" x14ac:dyDescent="0.25"/>
    <row r="79467" customFormat="1" x14ac:dyDescent="0.25"/>
    <row r="79468" customFormat="1" x14ac:dyDescent="0.25"/>
    <row r="79469" customFormat="1" x14ac:dyDescent="0.25"/>
    <row r="79470" customFormat="1" x14ac:dyDescent="0.25"/>
    <row r="79471" customFormat="1" x14ac:dyDescent="0.25"/>
    <row r="79472" customFormat="1" x14ac:dyDescent="0.25"/>
    <row r="79473" customFormat="1" x14ac:dyDescent="0.25"/>
    <row r="79474" customFormat="1" x14ac:dyDescent="0.25"/>
    <row r="79475" customFormat="1" x14ac:dyDescent="0.25"/>
    <row r="79476" customFormat="1" x14ac:dyDescent="0.25"/>
    <row r="79477" customFormat="1" x14ac:dyDescent="0.25"/>
    <row r="79478" customFormat="1" x14ac:dyDescent="0.25"/>
    <row r="79479" customFormat="1" x14ac:dyDescent="0.25"/>
    <row r="79480" customFormat="1" x14ac:dyDescent="0.25"/>
    <row r="79481" customFormat="1" x14ac:dyDescent="0.25"/>
    <row r="79482" customFormat="1" x14ac:dyDescent="0.25"/>
    <row r="79483" customFormat="1" x14ac:dyDescent="0.25"/>
    <row r="79484" customFormat="1" x14ac:dyDescent="0.25"/>
    <row r="79485" customFormat="1" x14ac:dyDescent="0.25"/>
    <row r="79486" customFormat="1" x14ac:dyDescent="0.25"/>
    <row r="79487" customFormat="1" x14ac:dyDescent="0.25"/>
    <row r="79488" customFormat="1" x14ac:dyDescent="0.25"/>
    <row r="79489" customFormat="1" x14ac:dyDescent="0.25"/>
    <row r="79490" customFormat="1" x14ac:dyDescent="0.25"/>
    <row r="79491" customFormat="1" x14ac:dyDescent="0.25"/>
    <row r="79492" customFormat="1" x14ac:dyDescent="0.25"/>
    <row r="79493" customFormat="1" x14ac:dyDescent="0.25"/>
    <row r="79494" customFormat="1" x14ac:dyDescent="0.25"/>
    <row r="79495" customFormat="1" x14ac:dyDescent="0.25"/>
    <row r="79496" customFormat="1" x14ac:dyDescent="0.25"/>
    <row r="79497" customFormat="1" x14ac:dyDescent="0.25"/>
    <row r="79498" customFormat="1" x14ac:dyDescent="0.25"/>
    <row r="79499" customFormat="1" x14ac:dyDescent="0.25"/>
    <row r="79500" customFormat="1" x14ac:dyDescent="0.25"/>
    <row r="79501" customFormat="1" x14ac:dyDescent="0.25"/>
    <row r="79502" customFormat="1" x14ac:dyDescent="0.25"/>
    <row r="79503" customFormat="1" x14ac:dyDescent="0.25"/>
    <row r="79504" customFormat="1" x14ac:dyDescent="0.25"/>
    <row r="79505" customFormat="1" x14ac:dyDescent="0.25"/>
    <row r="79506" customFormat="1" x14ac:dyDescent="0.25"/>
    <row r="79507" customFormat="1" x14ac:dyDescent="0.25"/>
    <row r="79508" customFormat="1" x14ac:dyDescent="0.25"/>
    <row r="79509" customFormat="1" x14ac:dyDescent="0.25"/>
    <row r="79510" customFormat="1" x14ac:dyDescent="0.25"/>
    <row r="79511" customFormat="1" x14ac:dyDescent="0.25"/>
    <row r="79512" customFormat="1" x14ac:dyDescent="0.25"/>
    <row r="79513" customFormat="1" x14ac:dyDescent="0.25"/>
    <row r="79514" customFormat="1" x14ac:dyDescent="0.25"/>
    <row r="79515" customFormat="1" x14ac:dyDescent="0.25"/>
    <row r="79516" customFormat="1" x14ac:dyDescent="0.25"/>
    <row r="79517" customFormat="1" x14ac:dyDescent="0.25"/>
    <row r="79518" customFormat="1" x14ac:dyDescent="0.25"/>
    <row r="79519" customFormat="1" x14ac:dyDescent="0.25"/>
    <row r="79520" customFormat="1" x14ac:dyDescent="0.25"/>
    <row r="79521" customFormat="1" x14ac:dyDescent="0.25"/>
    <row r="79522" customFormat="1" x14ac:dyDescent="0.25"/>
    <row r="79523" customFormat="1" x14ac:dyDescent="0.25"/>
    <row r="79524" customFormat="1" x14ac:dyDescent="0.25"/>
    <row r="79525" customFormat="1" x14ac:dyDescent="0.25"/>
    <row r="79526" customFormat="1" x14ac:dyDescent="0.25"/>
    <row r="79527" customFormat="1" x14ac:dyDescent="0.25"/>
    <row r="79528" customFormat="1" x14ac:dyDescent="0.25"/>
    <row r="79529" customFormat="1" x14ac:dyDescent="0.25"/>
    <row r="79530" customFormat="1" x14ac:dyDescent="0.25"/>
    <row r="79531" customFormat="1" x14ac:dyDescent="0.25"/>
    <row r="79532" customFormat="1" x14ac:dyDescent="0.25"/>
    <row r="79533" customFormat="1" x14ac:dyDescent="0.25"/>
    <row r="79534" customFormat="1" x14ac:dyDescent="0.25"/>
    <row r="79535" customFormat="1" x14ac:dyDescent="0.25"/>
    <row r="79536" customFormat="1" x14ac:dyDescent="0.25"/>
    <row r="79537" customFormat="1" x14ac:dyDescent="0.25"/>
    <row r="79538" customFormat="1" x14ac:dyDescent="0.25"/>
    <row r="79539" customFormat="1" x14ac:dyDescent="0.25"/>
    <row r="79540" customFormat="1" x14ac:dyDescent="0.25"/>
    <row r="79541" customFormat="1" x14ac:dyDescent="0.25"/>
    <row r="79542" customFormat="1" x14ac:dyDescent="0.25"/>
    <row r="79543" customFormat="1" x14ac:dyDescent="0.25"/>
    <row r="79544" customFormat="1" x14ac:dyDescent="0.25"/>
    <row r="79545" customFormat="1" x14ac:dyDescent="0.25"/>
    <row r="79546" customFormat="1" x14ac:dyDescent="0.25"/>
    <row r="79547" customFormat="1" x14ac:dyDescent="0.25"/>
    <row r="79548" customFormat="1" x14ac:dyDescent="0.25"/>
    <row r="79549" customFormat="1" x14ac:dyDescent="0.25"/>
    <row r="79550" customFormat="1" x14ac:dyDescent="0.25"/>
    <row r="79551" customFormat="1" x14ac:dyDescent="0.25"/>
    <row r="79552" customFormat="1" x14ac:dyDescent="0.25"/>
    <row r="79553" customFormat="1" x14ac:dyDescent="0.25"/>
    <row r="79554" customFormat="1" x14ac:dyDescent="0.25"/>
    <row r="79555" customFormat="1" x14ac:dyDescent="0.25"/>
    <row r="79556" customFormat="1" x14ac:dyDescent="0.25"/>
    <row r="79557" customFormat="1" x14ac:dyDescent="0.25"/>
    <row r="79558" customFormat="1" x14ac:dyDescent="0.25"/>
    <row r="79559" customFormat="1" x14ac:dyDescent="0.25"/>
    <row r="79560" customFormat="1" x14ac:dyDescent="0.25"/>
    <row r="79561" customFormat="1" x14ac:dyDescent="0.25"/>
    <row r="79562" customFormat="1" x14ac:dyDescent="0.25"/>
    <row r="79563" customFormat="1" x14ac:dyDescent="0.25"/>
    <row r="79564" customFormat="1" x14ac:dyDescent="0.25"/>
    <row r="79565" customFormat="1" x14ac:dyDescent="0.25"/>
    <row r="79566" customFormat="1" x14ac:dyDescent="0.25"/>
    <row r="79567" customFormat="1" x14ac:dyDescent="0.25"/>
    <row r="79568" customFormat="1" x14ac:dyDescent="0.25"/>
    <row r="79569" customFormat="1" x14ac:dyDescent="0.25"/>
    <row r="79570" customFormat="1" x14ac:dyDescent="0.25"/>
    <row r="79571" customFormat="1" x14ac:dyDescent="0.25"/>
    <row r="79572" customFormat="1" x14ac:dyDescent="0.25"/>
    <row r="79573" customFormat="1" x14ac:dyDescent="0.25"/>
    <row r="79574" customFormat="1" x14ac:dyDescent="0.25"/>
    <row r="79575" customFormat="1" x14ac:dyDescent="0.25"/>
    <row r="79576" customFormat="1" x14ac:dyDescent="0.25"/>
    <row r="79577" customFormat="1" x14ac:dyDescent="0.25"/>
    <row r="79578" customFormat="1" x14ac:dyDescent="0.25"/>
    <row r="79579" customFormat="1" x14ac:dyDescent="0.25"/>
    <row r="79580" customFormat="1" x14ac:dyDescent="0.25"/>
    <row r="79581" customFormat="1" x14ac:dyDescent="0.25"/>
    <row r="79582" customFormat="1" x14ac:dyDescent="0.25"/>
    <row r="79583" customFormat="1" x14ac:dyDescent="0.25"/>
    <row r="79584" customFormat="1" x14ac:dyDescent="0.25"/>
    <row r="79585" customFormat="1" x14ac:dyDescent="0.25"/>
    <row r="79586" customFormat="1" x14ac:dyDescent="0.25"/>
    <row r="79587" customFormat="1" x14ac:dyDescent="0.25"/>
    <row r="79588" customFormat="1" x14ac:dyDescent="0.25"/>
    <row r="79589" customFormat="1" x14ac:dyDescent="0.25"/>
    <row r="79590" customFormat="1" x14ac:dyDescent="0.25"/>
    <row r="79591" customFormat="1" x14ac:dyDescent="0.25"/>
    <row r="79592" customFormat="1" x14ac:dyDescent="0.25"/>
    <row r="79593" customFormat="1" x14ac:dyDescent="0.25"/>
    <row r="79594" customFormat="1" x14ac:dyDescent="0.25"/>
    <row r="79595" customFormat="1" x14ac:dyDescent="0.25"/>
    <row r="79596" customFormat="1" x14ac:dyDescent="0.25"/>
    <row r="79597" customFormat="1" x14ac:dyDescent="0.25"/>
    <row r="79598" customFormat="1" x14ac:dyDescent="0.25"/>
    <row r="79599" customFormat="1" x14ac:dyDescent="0.25"/>
    <row r="79600" customFormat="1" x14ac:dyDescent="0.25"/>
    <row r="79601" customFormat="1" x14ac:dyDescent="0.25"/>
    <row r="79602" customFormat="1" x14ac:dyDescent="0.25"/>
    <row r="79603" customFormat="1" x14ac:dyDescent="0.25"/>
    <row r="79604" customFormat="1" x14ac:dyDescent="0.25"/>
    <row r="79605" customFormat="1" x14ac:dyDescent="0.25"/>
    <row r="79606" customFormat="1" x14ac:dyDescent="0.25"/>
    <row r="79607" customFormat="1" x14ac:dyDescent="0.25"/>
    <row r="79608" customFormat="1" x14ac:dyDescent="0.25"/>
    <row r="79609" customFormat="1" x14ac:dyDescent="0.25"/>
    <row r="79610" customFormat="1" x14ac:dyDescent="0.25"/>
    <row r="79611" customFormat="1" x14ac:dyDescent="0.25"/>
    <row r="79612" customFormat="1" x14ac:dyDescent="0.25"/>
    <row r="79613" customFormat="1" x14ac:dyDescent="0.25"/>
    <row r="79614" customFormat="1" x14ac:dyDescent="0.25"/>
    <row r="79615" customFormat="1" x14ac:dyDescent="0.25"/>
    <row r="79616" customFormat="1" x14ac:dyDescent="0.25"/>
    <row r="79617" customFormat="1" x14ac:dyDescent="0.25"/>
    <row r="79618" customFormat="1" x14ac:dyDescent="0.25"/>
    <row r="79619" customFormat="1" x14ac:dyDescent="0.25"/>
    <row r="79620" customFormat="1" x14ac:dyDescent="0.25"/>
    <row r="79621" customFormat="1" x14ac:dyDescent="0.25"/>
    <row r="79622" customFormat="1" x14ac:dyDescent="0.25"/>
    <row r="79623" customFormat="1" x14ac:dyDescent="0.25"/>
    <row r="79624" customFormat="1" x14ac:dyDescent="0.25"/>
    <row r="79625" customFormat="1" x14ac:dyDescent="0.25"/>
    <row r="79626" customFormat="1" x14ac:dyDescent="0.25"/>
    <row r="79627" customFormat="1" x14ac:dyDescent="0.25"/>
    <row r="79628" customFormat="1" x14ac:dyDescent="0.25"/>
    <row r="79629" customFormat="1" x14ac:dyDescent="0.25"/>
    <row r="79630" customFormat="1" x14ac:dyDescent="0.25"/>
    <row r="79631" customFormat="1" x14ac:dyDescent="0.25"/>
    <row r="79632" customFormat="1" x14ac:dyDescent="0.25"/>
    <row r="79633" customFormat="1" x14ac:dyDescent="0.25"/>
    <row r="79634" customFormat="1" x14ac:dyDescent="0.25"/>
    <row r="79635" customFormat="1" x14ac:dyDescent="0.25"/>
    <row r="79636" customFormat="1" x14ac:dyDescent="0.25"/>
    <row r="79637" customFormat="1" x14ac:dyDescent="0.25"/>
    <row r="79638" customFormat="1" x14ac:dyDescent="0.25"/>
    <row r="79639" customFormat="1" x14ac:dyDescent="0.25"/>
    <row r="79640" customFormat="1" x14ac:dyDescent="0.25"/>
    <row r="79641" customFormat="1" x14ac:dyDescent="0.25"/>
    <row r="79642" customFormat="1" x14ac:dyDescent="0.25"/>
    <row r="79643" customFormat="1" x14ac:dyDescent="0.25"/>
    <row r="79644" customFormat="1" x14ac:dyDescent="0.25"/>
    <row r="79645" customFormat="1" x14ac:dyDescent="0.25"/>
    <row r="79646" customFormat="1" x14ac:dyDescent="0.25"/>
    <row r="79647" customFormat="1" x14ac:dyDescent="0.25"/>
    <row r="79648" customFormat="1" x14ac:dyDescent="0.25"/>
    <row r="79649" customFormat="1" x14ac:dyDescent="0.25"/>
    <row r="79650" customFormat="1" x14ac:dyDescent="0.25"/>
    <row r="79651" customFormat="1" x14ac:dyDescent="0.25"/>
    <row r="79652" customFormat="1" x14ac:dyDescent="0.25"/>
    <row r="79653" customFormat="1" x14ac:dyDescent="0.25"/>
    <row r="79654" customFormat="1" x14ac:dyDescent="0.25"/>
    <row r="79655" customFormat="1" x14ac:dyDescent="0.25"/>
    <row r="79656" customFormat="1" x14ac:dyDescent="0.25"/>
    <row r="79657" customFormat="1" x14ac:dyDescent="0.25"/>
    <row r="79658" customFormat="1" x14ac:dyDescent="0.25"/>
    <row r="79659" customFormat="1" x14ac:dyDescent="0.25"/>
    <row r="79660" customFormat="1" x14ac:dyDescent="0.25"/>
    <row r="79661" customFormat="1" x14ac:dyDescent="0.25"/>
    <row r="79662" customFormat="1" x14ac:dyDescent="0.25"/>
    <row r="79663" customFormat="1" x14ac:dyDescent="0.25"/>
    <row r="79664" customFormat="1" x14ac:dyDescent="0.25"/>
    <row r="79665" customFormat="1" x14ac:dyDescent="0.25"/>
    <row r="79666" customFormat="1" x14ac:dyDescent="0.25"/>
    <row r="79667" customFormat="1" x14ac:dyDescent="0.25"/>
    <row r="79668" customFormat="1" x14ac:dyDescent="0.25"/>
    <row r="79669" customFormat="1" x14ac:dyDescent="0.25"/>
    <row r="79670" customFormat="1" x14ac:dyDescent="0.25"/>
    <row r="79671" customFormat="1" x14ac:dyDescent="0.25"/>
    <row r="79672" customFormat="1" x14ac:dyDescent="0.25"/>
    <row r="79673" customFormat="1" x14ac:dyDescent="0.25"/>
    <row r="79674" customFormat="1" x14ac:dyDescent="0.25"/>
    <row r="79675" customFormat="1" x14ac:dyDescent="0.25"/>
    <row r="79676" customFormat="1" x14ac:dyDescent="0.25"/>
    <row r="79677" customFormat="1" x14ac:dyDescent="0.25"/>
    <row r="79678" customFormat="1" x14ac:dyDescent="0.25"/>
    <row r="79679" customFormat="1" x14ac:dyDescent="0.25"/>
    <row r="79680" customFormat="1" x14ac:dyDescent="0.25"/>
    <row r="79681" customFormat="1" x14ac:dyDescent="0.25"/>
    <row r="79682" customFormat="1" x14ac:dyDescent="0.25"/>
    <row r="79683" customFormat="1" x14ac:dyDescent="0.25"/>
    <row r="79684" customFormat="1" x14ac:dyDescent="0.25"/>
    <row r="79685" customFormat="1" x14ac:dyDescent="0.25"/>
    <row r="79686" customFormat="1" x14ac:dyDescent="0.25"/>
    <row r="79687" customFormat="1" x14ac:dyDescent="0.25"/>
    <row r="79688" customFormat="1" x14ac:dyDescent="0.25"/>
    <row r="79689" customFormat="1" x14ac:dyDescent="0.25"/>
    <row r="79690" customFormat="1" x14ac:dyDescent="0.25"/>
    <row r="79691" customFormat="1" x14ac:dyDescent="0.25"/>
    <row r="79692" customFormat="1" x14ac:dyDescent="0.25"/>
    <row r="79693" customFormat="1" x14ac:dyDescent="0.25"/>
    <row r="79694" customFormat="1" x14ac:dyDescent="0.25"/>
    <row r="79695" customFormat="1" x14ac:dyDescent="0.25"/>
    <row r="79696" customFormat="1" x14ac:dyDescent="0.25"/>
    <row r="79697" customFormat="1" x14ac:dyDescent="0.25"/>
    <row r="79698" customFormat="1" x14ac:dyDescent="0.25"/>
    <row r="79699" customFormat="1" x14ac:dyDescent="0.25"/>
    <row r="79700" customFormat="1" x14ac:dyDescent="0.25"/>
    <row r="79701" customFormat="1" x14ac:dyDescent="0.25"/>
    <row r="79702" customFormat="1" x14ac:dyDescent="0.25"/>
    <row r="79703" customFormat="1" x14ac:dyDescent="0.25"/>
    <row r="79704" customFormat="1" x14ac:dyDescent="0.25"/>
    <row r="79705" customFormat="1" x14ac:dyDescent="0.25"/>
    <row r="79706" customFormat="1" x14ac:dyDescent="0.25"/>
    <row r="79707" customFormat="1" x14ac:dyDescent="0.25"/>
    <row r="79708" customFormat="1" x14ac:dyDescent="0.25"/>
    <row r="79709" customFormat="1" x14ac:dyDescent="0.25"/>
    <row r="79710" customFormat="1" x14ac:dyDescent="0.25"/>
    <row r="79711" customFormat="1" x14ac:dyDescent="0.25"/>
    <row r="79712" customFormat="1" x14ac:dyDescent="0.25"/>
    <row r="79713" customFormat="1" x14ac:dyDescent="0.25"/>
    <row r="79714" customFormat="1" x14ac:dyDescent="0.25"/>
    <row r="79715" customFormat="1" x14ac:dyDescent="0.25"/>
    <row r="79716" customFormat="1" x14ac:dyDescent="0.25"/>
    <row r="79717" customFormat="1" x14ac:dyDescent="0.25"/>
    <row r="79718" customFormat="1" x14ac:dyDescent="0.25"/>
    <row r="79719" customFormat="1" x14ac:dyDescent="0.25"/>
    <row r="79720" customFormat="1" x14ac:dyDescent="0.25"/>
    <row r="79721" customFormat="1" x14ac:dyDescent="0.25"/>
    <row r="79722" customFormat="1" x14ac:dyDescent="0.25"/>
    <row r="79723" customFormat="1" x14ac:dyDescent="0.25"/>
    <row r="79724" customFormat="1" x14ac:dyDescent="0.25"/>
    <row r="79725" customFormat="1" x14ac:dyDescent="0.25"/>
    <row r="79726" customFormat="1" x14ac:dyDescent="0.25"/>
    <row r="79727" customFormat="1" x14ac:dyDescent="0.25"/>
    <row r="79728" customFormat="1" x14ac:dyDescent="0.25"/>
    <row r="79729" customFormat="1" x14ac:dyDescent="0.25"/>
    <row r="79730" customFormat="1" x14ac:dyDescent="0.25"/>
    <row r="79731" customFormat="1" x14ac:dyDescent="0.25"/>
    <row r="79732" customFormat="1" x14ac:dyDescent="0.25"/>
    <row r="79733" customFormat="1" x14ac:dyDescent="0.25"/>
    <row r="79734" customFormat="1" x14ac:dyDescent="0.25"/>
    <row r="79735" customFormat="1" x14ac:dyDescent="0.25"/>
    <row r="79736" customFormat="1" x14ac:dyDescent="0.25"/>
    <row r="79737" customFormat="1" x14ac:dyDescent="0.25"/>
    <row r="79738" customFormat="1" x14ac:dyDescent="0.25"/>
    <row r="79739" customFormat="1" x14ac:dyDescent="0.25"/>
    <row r="79740" customFormat="1" x14ac:dyDescent="0.25"/>
    <row r="79741" customFormat="1" x14ac:dyDescent="0.25"/>
    <row r="79742" customFormat="1" x14ac:dyDescent="0.25"/>
    <row r="79743" customFormat="1" x14ac:dyDescent="0.25"/>
    <row r="79744" customFormat="1" x14ac:dyDescent="0.25"/>
    <row r="79745" customFormat="1" x14ac:dyDescent="0.25"/>
    <row r="79746" customFormat="1" x14ac:dyDescent="0.25"/>
    <row r="79747" customFormat="1" x14ac:dyDescent="0.25"/>
    <row r="79748" customFormat="1" x14ac:dyDescent="0.25"/>
    <row r="79749" customFormat="1" x14ac:dyDescent="0.25"/>
    <row r="79750" customFormat="1" x14ac:dyDescent="0.25"/>
    <row r="79751" customFormat="1" x14ac:dyDescent="0.25"/>
    <row r="79752" customFormat="1" x14ac:dyDescent="0.25"/>
    <row r="79753" customFormat="1" x14ac:dyDescent="0.25"/>
    <row r="79754" customFormat="1" x14ac:dyDescent="0.25"/>
    <row r="79755" customFormat="1" x14ac:dyDescent="0.25"/>
    <row r="79756" customFormat="1" x14ac:dyDescent="0.25"/>
    <row r="79757" customFormat="1" x14ac:dyDescent="0.25"/>
    <row r="79758" customFormat="1" x14ac:dyDescent="0.25"/>
    <row r="79759" customFormat="1" x14ac:dyDescent="0.25"/>
    <row r="79760" customFormat="1" x14ac:dyDescent="0.25"/>
    <row r="79761" customFormat="1" x14ac:dyDescent="0.25"/>
    <row r="79762" customFormat="1" x14ac:dyDescent="0.25"/>
    <row r="79763" customFormat="1" x14ac:dyDescent="0.25"/>
    <row r="79764" customFormat="1" x14ac:dyDescent="0.25"/>
    <row r="79765" customFormat="1" x14ac:dyDescent="0.25"/>
    <row r="79766" customFormat="1" x14ac:dyDescent="0.25"/>
    <row r="79767" customFormat="1" x14ac:dyDescent="0.25"/>
    <row r="79768" customFormat="1" x14ac:dyDescent="0.25"/>
    <row r="79769" customFormat="1" x14ac:dyDescent="0.25"/>
    <row r="79770" customFormat="1" x14ac:dyDescent="0.25"/>
    <row r="79771" customFormat="1" x14ac:dyDescent="0.25"/>
    <row r="79772" customFormat="1" x14ac:dyDescent="0.25"/>
    <row r="79773" customFormat="1" x14ac:dyDescent="0.25"/>
    <row r="79774" customFormat="1" x14ac:dyDescent="0.25"/>
    <row r="79775" customFormat="1" x14ac:dyDescent="0.25"/>
    <row r="79776" customFormat="1" x14ac:dyDescent="0.25"/>
    <row r="79777" customFormat="1" x14ac:dyDescent="0.25"/>
    <row r="79778" customFormat="1" x14ac:dyDescent="0.25"/>
    <row r="79779" customFormat="1" x14ac:dyDescent="0.25"/>
    <row r="79780" customFormat="1" x14ac:dyDescent="0.25"/>
    <row r="79781" customFormat="1" x14ac:dyDescent="0.25"/>
    <row r="79782" customFormat="1" x14ac:dyDescent="0.25"/>
    <row r="79783" customFormat="1" x14ac:dyDescent="0.25"/>
    <row r="79784" customFormat="1" x14ac:dyDescent="0.25"/>
    <row r="79785" customFormat="1" x14ac:dyDescent="0.25"/>
    <row r="79786" customFormat="1" x14ac:dyDescent="0.25"/>
    <row r="79787" customFormat="1" x14ac:dyDescent="0.25"/>
    <row r="79788" customFormat="1" x14ac:dyDescent="0.25"/>
    <row r="79789" customFormat="1" x14ac:dyDescent="0.25"/>
    <row r="79790" customFormat="1" x14ac:dyDescent="0.25"/>
    <row r="79791" customFormat="1" x14ac:dyDescent="0.25"/>
    <row r="79792" customFormat="1" x14ac:dyDescent="0.25"/>
    <row r="79793" customFormat="1" x14ac:dyDescent="0.25"/>
    <row r="79794" customFormat="1" x14ac:dyDescent="0.25"/>
    <row r="79795" customFormat="1" x14ac:dyDescent="0.25"/>
    <row r="79796" customFormat="1" x14ac:dyDescent="0.25"/>
    <row r="79797" customFormat="1" x14ac:dyDescent="0.25"/>
    <row r="79798" customFormat="1" x14ac:dyDescent="0.25"/>
    <row r="79799" customFormat="1" x14ac:dyDescent="0.25"/>
    <row r="79800" customFormat="1" x14ac:dyDescent="0.25"/>
    <row r="79801" customFormat="1" x14ac:dyDescent="0.25"/>
    <row r="79802" customFormat="1" x14ac:dyDescent="0.25"/>
    <row r="79803" customFormat="1" x14ac:dyDescent="0.25"/>
    <row r="79804" customFormat="1" x14ac:dyDescent="0.25"/>
    <row r="79805" customFormat="1" x14ac:dyDescent="0.25"/>
    <row r="79806" customFormat="1" x14ac:dyDescent="0.25"/>
    <row r="79807" customFormat="1" x14ac:dyDescent="0.25"/>
    <row r="79808" customFormat="1" x14ac:dyDescent="0.25"/>
    <row r="79809" customFormat="1" x14ac:dyDescent="0.25"/>
    <row r="79810" customFormat="1" x14ac:dyDescent="0.25"/>
    <row r="79811" customFormat="1" x14ac:dyDescent="0.25"/>
    <row r="79812" customFormat="1" x14ac:dyDescent="0.25"/>
    <row r="79813" customFormat="1" x14ac:dyDescent="0.25"/>
    <row r="79814" customFormat="1" x14ac:dyDescent="0.25"/>
    <row r="79815" customFormat="1" x14ac:dyDescent="0.25"/>
    <row r="79816" customFormat="1" x14ac:dyDescent="0.25"/>
    <row r="79817" customFormat="1" x14ac:dyDescent="0.25"/>
    <row r="79818" customFormat="1" x14ac:dyDescent="0.25"/>
    <row r="79819" customFormat="1" x14ac:dyDescent="0.25"/>
    <row r="79820" customFormat="1" x14ac:dyDescent="0.25"/>
    <row r="79821" customFormat="1" x14ac:dyDescent="0.25"/>
    <row r="79822" customFormat="1" x14ac:dyDescent="0.25"/>
    <row r="79823" customFormat="1" x14ac:dyDescent="0.25"/>
    <row r="79824" customFormat="1" x14ac:dyDescent="0.25"/>
    <row r="79825" customFormat="1" x14ac:dyDescent="0.25"/>
    <row r="79826" customFormat="1" x14ac:dyDescent="0.25"/>
    <row r="79827" customFormat="1" x14ac:dyDescent="0.25"/>
    <row r="79828" customFormat="1" x14ac:dyDescent="0.25"/>
    <row r="79829" customFormat="1" x14ac:dyDescent="0.25"/>
    <row r="79830" customFormat="1" x14ac:dyDescent="0.25"/>
    <row r="79831" customFormat="1" x14ac:dyDescent="0.25"/>
    <row r="79832" customFormat="1" x14ac:dyDescent="0.25"/>
    <row r="79833" customFormat="1" x14ac:dyDescent="0.25"/>
    <row r="79834" customFormat="1" x14ac:dyDescent="0.25"/>
    <row r="79835" customFormat="1" x14ac:dyDescent="0.25"/>
    <row r="79836" customFormat="1" x14ac:dyDescent="0.25"/>
    <row r="79837" customFormat="1" x14ac:dyDescent="0.25"/>
    <row r="79838" customFormat="1" x14ac:dyDescent="0.25"/>
    <row r="79839" customFormat="1" x14ac:dyDescent="0.25"/>
    <row r="79840" customFormat="1" x14ac:dyDescent="0.25"/>
    <row r="79841" customFormat="1" x14ac:dyDescent="0.25"/>
    <row r="79842" customFormat="1" x14ac:dyDescent="0.25"/>
    <row r="79843" customFormat="1" x14ac:dyDescent="0.25"/>
    <row r="79844" customFormat="1" x14ac:dyDescent="0.25"/>
    <row r="79845" customFormat="1" x14ac:dyDescent="0.25"/>
    <row r="79846" customFormat="1" x14ac:dyDescent="0.25"/>
    <row r="79847" customFormat="1" x14ac:dyDescent="0.25"/>
    <row r="79848" customFormat="1" x14ac:dyDescent="0.25"/>
    <row r="79849" customFormat="1" x14ac:dyDescent="0.25"/>
    <row r="79850" customFormat="1" x14ac:dyDescent="0.25"/>
    <row r="79851" customFormat="1" x14ac:dyDescent="0.25"/>
    <row r="79852" customFormat="1" x14ac:dyDescent="0.25"/>
    <row r="79853" customFormat="1" x14ac:dyDescent="0.25"/>
    <row r="79854" customFormat="1" x14ac:dyDescent="0.25"/>
    <row r="79855" customFormat="1" x14ac:dyDescent="0.25"/>
    <row r="79856" customFormat="1" x14ac:dyDescent="0.25"/>
    <row r="79857" customFormat="1" x14ac:dyDescent="0.25"/>
    <row r="79858" customFormat="1" x14ac:dyDescent="0.25"/>
    <row r="79859" customFormat="1" x14ac:dyDescent="0.25"/>
    <row r="79860" customFormat="1" x14ac:dyDescent="0.25"/>
    <row r="79861" customFormat="1" x14ac:dyDescent="0.25"/>
    <row r="79862" customFormat="1" x14ac:dyDescent="0.25"/>
    <row r="79863" customFormat="1" x14ac:dyDescent="0.25"/>
    <row r="79864" customFormat="1" x14ac:dyDescent="0.25"/>
    <row r="79865" customFormat="1" x14ac:dyDescent="0.25"/>
    <row r="79866" customFormat="1" x14ac:dyDescent="0.25"/>
    <row r="79867" customFormat="1" x14ac:dyDescent="0.25"/>
    <row r="79868" customFormat="1" x14ac:dyDescent="0.25"/>
    <row r="79869" customFormat="1" x14ac:dyDescent="0.25"/>
    <row r="79870" customFormat="1" x14ac:dyDescent="0.25"/>
    <row r="79871" customFormat="1" x14ac:dyDescent="0.25"/>
    <row r="79872" customFormat="1" x14ac:dyDescent="0.25"/>
    <row r="79873" customFormat="1" x14ac:dyDescent="0.25"/>
    <row r="79874" customFormat="1" x14ac:dyDescent="0.25"/>
    <row r="79875" customFormat="1" x14ac:dyDescent="0.25"/>
    <row r="79876" customFormat="1" x14ac:dyDescent="0.25"/>
    <row r="79877" customFormat="1" x14ac:dyDescent="0.25"/>
    <row r="79878" customFormat="1" x14ac:dyDescent="0.25"/>
    <row r="79879" customFormat="1" x14ac:dyDescent="0.25"/>
    <row r="79880" customFormat="1" x14ac:dyDescent="0.25"/>
    <row r="79881" customFormat="1" x14ac:dyDescent="0.25"/>
    <row r="79882" customFormat="1" x14ac:dyDescent="0.25"/>
    <row r="79883" customFormat="1" x14ac:dyDescent="0.25"/>
    <row r="79884" customFormat="1" x14ac:dyDescent="0.25"/>
    <row r="79885" customFormat="1" x14ac:dyDescent="0.25"/>
    <row r="79886" customFormat="1" x14ac:dyDescent="0.25"/>
    <row r="79887" customFormat="1" x14ac:dyDescent="0.25"/>
    <row r="79888" customFormat="1" x14ac:dyDescent="0.25"/>
    <row r="79889" customFormat="1" x14ac:dyDescent="0.25"/>
    <row r="79890" customFormat="1" x14ac:dyDescent="0.25"/>
    <row r="79891" customFormat="1" x14ac:dyDescent="0.25"/>
    <row r="79892" customFormat="1" x14ac:dyDescent="0.25"/>
    <row r="79893" customFormat="1" x14ac:dyDescent="0.25"/>
    <row r="79894" customFormat="1" x14ac:dyDescent="0.25"/>
    <row r="79895" customFormat="1" x14ac:dyDescent="0.25"/>
    <row r="79896" customFormat="1" x14ac:dyDescent="0.25"/>
    <row r="79897" customFormat="1" x14ac:dyDescent="0.25"/>
    <row r="79898" customFormat="1" x14ac:dyDescent="0.25"/>
    <row r="79899" customFormat="1" x14ac:dyDescent="0.25"/>
    <row r="79900" customFormat="1" x14ac:dyDescent="0.25"/>
    <row r="79901" customFormat="1" x14ac:dyDescent="0.25"/>
    <row r="79902" customFormat="1" x14ac:dyDescent="0.25"/>
    <row r="79903" customFormat="1" x14ac:dyDescent="0.25"/>
    <row r="79904" customFormat="1" x14ac:dyDescent="0.25"/>
    <row r="79905" customFormat="1" x14ac:dyDescent="0.25"/>
    <row r="79906" customFormat="1" x14ac:dyDescent="0.25"/>
    <row r="79907" customFormat="1" x14ac:dyDescent="0.25"/>
    <row r="79908" customFormat="1" x14ac:dyDescent="0.25"/>
    <row r="79909" customFormat="1" x14ac:dyDescent="0.25"/>
    <row r="79910" customFormat="1" x14ac:dyDescent="0.25"/>
    <row r="79911" customFormat="1" x14ac:dyDescent="0.25"/>
    <row r="79912" customFormat="1" x14ac:dyDescent="0.25"/>
    <row r="79913" customFormat="1" x14ac:dyDescent="0.25"/>
    <row r="79914" customFormat="1" x14ac:dyDescent="0.25"/>
    <row r="79915" customFormat="1" x14ac:dyDescent="0.25"/>
    <row r="79916" customFormat="1" x14ac:dyDescent="0.25"/>
    <row r="79917" customFormat="1" x14ac:dyDescent="0.25"/>
    <row r="79918" customFormat="1" x14ac:dyDescent="0.25"/>
    <row r="79919" customFormat="1" x14ac:dyDescent="0.25"/>
    <row r="79920" customFormat="1" x14ac:dyDescent="0.25"/>
    <row r="79921" customFormat="1" x14ac:dyDescent="0.25"/>
    <row r="79922" customFormat="1" x14ac:dyDescent="0.25"/>
    <row r="79923" customFormat="1" x14ac:dyDescent="0.25"/>
    <row r="79924" customFormat="1" x14ac:dyDescent="0.25"/>
    <row r="79925" customFormat="1" x14ac:dyDescent="0.25"/>
    <row r="79926" customFormat="1" x14ac:dyDescent="0.25"/>
    <row r="79927" customFormat="1" x14ac:dyDescent="0.25"/>
    <row r="79928" customFormat="1" x14ac:dyDescent="0.25"/>
    <row r="79929" customFormat="1" x14ac:dyDescent="0.25"/>
    <row r="79930" customFormat="1" x14ac:dyDescent="0.25"/>
    <row r="79931" customFormat="1" x14ac:dyDescent="0.25"/>
    <row r="79932" customFormat="1" x14ac:dyDescent="0.25"/>
    <row r="79933" customFormat="1" x14ac:dyDescent="0.25"/>
    <row r="79934" customFormat="1" x14ac:dyDescent="0.25"/>
    <row r="79935" customFormat="1" x14ac:dyDescent="0.25"/>
    <row r="79936" customFormat="1" x14ac:dyDescent="0.25"/>
    <row r="79937" customFormat="1" x14ac:dyDescent="0.25"/>
    <row r="79938" customFormat="1" x14ac:dyDescent="0.25"/>
    <row r="79939" customFormat="1" x14ac:dyDescent="0.25"/>
    <row r="79940" customFormat="1" x14ac:dyDescent="0.25"/>
    <row r="79941" customFormat="1" x14ac:dyDescent="0.25"/>
    <row r="79942" customFormat="1" x14ac:dyDescent="0.25"/>
    <row r="79943" customFormat="1" x14ac:dyDescent="0.25"/>
    <row r="79944" customFormat="1" x14ac:dyDescent="0.25"/>
    <row r="79945" customFormat="1" x14ac:dyDescent="0.25"/>
    <row r="79946" customFormat="1" x14ac:dyDescent="0.25"/>
    <row r="79947" customFormat="1" x14ac:dyDescent="0.25"/>
    <row r="79948" customFormat="1" x14ac:dyDescent="0.25"/>
    <row r="79949" customFormat="1" x14ac:dyDescent="0.25"/>
    <row r="79950" customFormat="1" x14ac:dyDescent="0.25"/>
    <row r="79951" customFormat="1" x14ac:dyDescent="0.25"/>
    <row r="79952" customFormat="1" x14ac:dyDescent="0.25"/>
    <row r="79953" customFormat="1" x14ac:dyDescent="0.25"/>
    <row r="79954" customFormat="1" x14ac:dyDescent="0.25"/>
    <row r="79955" customFormat="1" x14ac:dyDescent="0.25"/>
    <row r="79956" customFormat="1" x14ac:dyDescent="0.25"/>
    <row r="79957" customFormat="1" x14ac:dyDescent="0.25"/>
    <row r="79958" customFormat="1" x14ac:dyDescent="0.25"/>
    <row r="79959" customFormat="1" x14ac:dyDescent="0.25"/>
    <row r="79960" customFormat="1" x14ac:dyDescent="0.25"/>
    <row r="79961" customFormat="1" x14ac:dyDescent="0.25"/>
    <row r="79962" customFormat="1" x14ac:dyDescent="0.25"/>
    <row r="79963" customFormat="1" x14ac:dyDescent="0.25"/>
    <row r="79964" customFormat="1" x14ac:dyDescent="0.25"/>
    <row r="79965" customFormat="1" x14ac:dyDescent="0.25"/>
    <row r="79966" customFormat="1" x14ac:dyDescent="0.25"/>
    <row r="79967" customFormat="1" x14ac:dyDescent="0.25"/>
    <row r="79968" customFormat="1" x14ac:dyDescent="0.25"/>
    <row r="79969" customFormat="1" x14ac:dyDescent="0.25"/>
    <row r="79970" customFormat="1" x14ac:dyDescent="0.25"/>
    <row r="79971" customFormat="1" x14ac:dyDescent="0.25"/>
    <row r="79972" customFormat="1" x14ac:dyDescent="0.25"/>
    <row r="79973" customFormat="1" x14ac:dyDescent="0.25"/>
    <row r="79974" customFormat="1" x14ac:dyDescent="0.25"/>
    <row r="79975" customFormat="1" x14ac:dyDescent="0.25"/>
    <row r="79976" customFormat="1" x14ac:dyDescent="0.25"/>
    <row r="79977" customFormat="1" x14ac:dyDescent="0.25"/>
    <row r="79978" customFormat="1" x14ac:dyDescent="0.25"/>
    <row r="79979" customFormat="1" x14ac:dyDescent="0.25"/>
    <row r="79980" customFormat="1" x14ac:dyDescent="0.25"/>
    <row r="79981" customFormat="1" x14ac:dyDescent="0.25"/>
    <row r="79982" customFormat="1" x14ac:dyDescent="0.25"/>
    <row r="79983" customFormat="1" x14ac:dyDescent="0.25"/>
    <row r="79984" customFormat="1" x14ac:dyDescent="0.25"/>
    <row r="79985" customFormat="1" x14ac:dyDescent="0.25"/>
    <row r="79986" customFormat="1" x14ac:dyDescent="0.25"/>
    <row r="79987" customFormat="1" x14ac:dyDescent="0.25"/>
    <row r="79988" customFormat="1" x14ac:dyDescent="0.25"/>
    <row r="79989" customFormat="1" x14ac:dyDescent="0.25"/>
    <row r="79990" customFormat="1" x14ac:dyDescent="0.25"/>
    <row r="79991" customFormat="1" x14ac:dyDescent="0.25"/>
    <row r="79992" customFormat="1" x14ac:dyDescent="0.25"/>
    <row r="79993" customFormat="1" x14ac:dyDescent="0.25"/>
    <row r="79994" customFormat="1" x14ac:dyDescent="0.25"/>
    <row r="79995" customFormat="1" x14ac:dyDescent="0.25"/>
    <row r="79996" customFormat="1" x14ac:dyDescent="0.25"/>
    <row r="79997" customFormat="1" x14ac:dyDescent="0.25"/>
    <row r="79998" customFormat="1" x14ac:dyDescent="0.25"/>
    <row r="79999" customFormat="1" x14ac:dyDescent="0.25"/>
    <row r="80000" customFormat="1" x14ac:dyDescent="0.25"/>
  </sheetData>
  <autoFilter ref="B18:P2293" xr:uid="{48DBD50D-2684-4A39-B88A-BC1667020C26}"/>
  <mergeCells count="9">
    <mergeCell ref="B14:C14"/>
    <mergeCell ref="B16:M16"/>
    <mergeCell ref="N16:X16"/>
    <mergeCell ref="Z17:AB17"/>
    <mergeCell ref="DO16:DU16"/>
    <mergeCell ref="DA16:DM16"/>
    <mergeCell ref="Z16:BN16"/>
    <mergeCell ref="BP17:BR17"/>
    <mergeCell ref="BP16:CY16"/>
  </mergeCells>
  <dataValidations xWindow="308" yWindow="338" count="1">
    <dataValidation allowBlank="1" showInputMessage="1" showErrorMessage="1" promptTitle="NSS" sqref="DO18" xr:uid="{00000000-0002-0000-0000-000000000000}"/>
  </dataValidations>
  <pageMargins left="0.7" right="0.7" top="0.75" bottom="0.75" header="0.3" footer="0.3"/>
  <pageSetup orientation="portrait" verticalDpi="0" r:id="rId1"/>
  <customProperties>
    <customPr name="watsonwyatt_sheetdata" r:id="rId2"/>
  </customProperties>
  <ignoredErrors>
    <ignoredError sqref="BE17:BI17 BK17:BL17 BA17:BB17 AY17:AZ17 BC17:BD17 CO17:CW17" numberStoredAsText="1"/>
  </ignoredErrors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xWindow="308" yWindow="338" count="5">
        <x14:dataValidation type="list" allowBlank="1" showInputMessage="1" showErrorMessage="1" xr:uid="{00000000-0002-0000-0000-000001000000}">
          <x14:formula1>
            <xm:f>Listas!$D$4:$D$6</xm:f>
          </x14:formula1>
          <xm:sqref>D14</xm:sqref>
        </x14:dataValidation>
        <x14:dataValidation type="list" allowBlank="1" showInputMessage="1" showErrorMessage="1" xr:uid="{00000000-0002-0000-0000-000002000000}">
          <x14:formula1>
            <xm:f>Listas!$B$4:$B$5</xm:f>
          </x14:formula1>
          <xm:sqref>D12 D9</xm:sqref>
        </x14:dataValidation>
        <x14:dataValidation type="list" allowBlank="1" showInputMessage="1" showErrorMessage="1" promptTitle="Limpiar Nombres" prompt="Para generar el CURP debes tambier seleccionar la opción &quot;Sí&quot; en &quot;Limpiar Nombres&quot; y seleccionar el estado del domicilio de la empresa en &quot;Domicilio(Estado)&quot;." xr:uid="{00000000-0002-0000-0000-000003000000}">
          <x14:formula1>
            <xm:f>Listas!$B$4:$B$5</xm:f>
          </x14:formula1>
          <xm:sqref>D10</xm:sqref>
        </x14:dataValidation>
        <x14:dataValidation type="list" allowBlank="1" showInputMessage="1" showErrorMessage="1" xr:uid="{00000000-0002-0000-0000-000004000000}">
          <x14:formula1>
            <xm:f>Listas!$G$4:$G$35</xm:f>
          </x14:formula1>
          <xm:sqref>G5</xm:sqref>
        </x14:dataValidation>
        <x14:dataValidation type="list" allowBlank="1" showInputMessage="1" showErrorMessage="1" promptTitle="RFC, Limpiar Nombres" prompt="Para generar el RFC debes tambier seleccionar la opción &quot;Sí&quot; en &quot;Limpiar Nombres&quot;" xr:uid="{00000000-0002-0000-0000-000005000000}">
          <x14:formula1>
            <xm:f>Listas!$B$4:$B$5</xm:f>
          </x14:formula1>
          <xm:sqref>D11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17A2C-978A-4F78-BC3C-FCEF9FDC9EB8}">
  <sheetPr codeName="Sheet5"/>
  <dimension ref="A1:H204"/>
  <sheetViews>
    <sheetView topLeftCell="A181" workbookViewId="0">
      <selection sqref="A1:A204"/>
    </sheetView>
  </sheetViews>
  <sheetFormatPr defaultRowHeight="12.5" x14ac:dyDescent="0.25"/>
  <sheetData>
    <row r="1" spans="1:8" x14ac:dyDescent="0.25">
      <c r="A1" t="s">
        <v>397</v>
      </c>
      <c r="F1" t="e" cm="1">
        <f t="array" aca="1" ref="F1" ca="1">GetNamePart(A1, "F", TRUE)</f>
        <v>#NAME?</v>
      </c>
      <c r="G1" t="e" cm="1">
        <f t="array" aca="1" ref="G1" ca="1">GetNamePart(A1, "M", TRUE)</f>
        <v>#NAME?</v>
      </c>
      <c r="H1" t="e" cm="1">
        <f t="array" aca="1" ref="H1" ca="1">GetNamePart(A1, "L", TRUE)</f>
        <v>#NAME?</v>
      </c>
    </row>
    <row r="2" spans="1:8" x14ac:dyDescent="0.25">
      <c r="A2" t="s">
        <v>193</v>
      </c>
    </row>
    <row r="3" spans="1:8" x14ac:dyDescent="0.25">
      <c r="A3" t="s">
        <v>194</v>
      </c>
    </row>
    <row r="4" spans="1:8" x14ac:dyDescent="0.25">
      <c r="A4" t="s">
        <v>195</v>
      </c>
    </row>
    <row r="5" spans="1:8" x14ac:dyDescent="0.25">
      <c r="A5" t="s">
        <v>196</v>
      </c>
    </row>
    <row r="6" spans="1:8" x14ac:dyDescent="0.25">
      <c r="A6" t="s">
        <v>197</v>
      </c>
    </row>
    <row r="7" spans="1:8" x14ac:dyDescent="0.25">
      <c r="A7" t="s">
        <v>198</v>
      </c>
    </row>
    <row r="8" spans="1:8" x14ac:dyDescent="0.25">
      <c r="A8" t="s">
        <v>199</v>
      </c>
    </row>
    <row r="9" spans="1:8" x14ac:dyDescent="0.25">
      <c r="A9" t="s">
        <v>200</v>
      </c>
    </row>
    <row r="10" spans="1:8" x14ac:dyDescent="0.25">
      <c r="A10" t="s">
        <v>201</v>
      </c>
    </row>
    <row r="11" spans="1:8" x14ac:dyDescent="0.25">
      <c r="A11" t="s">
        <v>202</v>
      </c>
    </row>
    <row r="12" spans="1:8" x14ac:dyDescent="0.25">
      <c r="A12" t="s">
        <v>203</v>
      </c>
    </row>
    <row r="13" spans="1:8" x14ac:dyDescent="0.25">
      <c r="A13" t="s">
        <v>204</v>
      </c>
    </row>
    <row r="14" spans="1:8" x14ac:dyDescent="0.25">
      <c r="A14" t="s">
        <v>205</v>
      </c>
    </row>
    <row r="15" spans="1:8" x14ac:dyDescent="0.25">
      <c r="A15" t="s">
        <v>206</v>
      </c>
    </row>
    <row r="16" spans="1:8" x14ac:dyDescent="0.25">
      <c r="A16" t="s">
        <v>207</v>
      </c>
    </row>
    <row r="17" spans="1:1" x14ac:dyDescent="0.25">
      <c r="A17" t="s">
        <v>208</v>
      </c>
    </row>
    <row r="18" spans="1:1" x14ac:dyDescent="0.25">
      <c r="A18" t="s">
        <v>209</v>
      </c>
    </row>
    <row r="19" spans="1:1" x14ac:dyDescent="0.25">
      <c r="A19" t="s">
        <v>210</v>
      </c>
    </row>
    <row r="20" spans="1:1" x14ac:dyDescent="0.25">
      <c r="A20" t="s">
        <v>211</v>
      </c>
    </row>
    <row r="21" spans="1:1" x14ac:dyDescent="0.25">
      <c r="A21" t="s">
        <v>212</v>
      </c>
    </row>
    <row r="22" spans="1:1" x14ac:dyDescent="0.25">
      <c r="A22" t="s">
        <v>213</v>
      </c>
    </row>
    <row r="23" spans="1:1" x14ac:dyDescent="0.25">
      <c r="A23" t="s">
        <v>214</v>
      </c>
    </row>
    <row r="24" spans="1:1" x14ac:dyDescent="0.25">
      <c r="A24" t="s">
        <v>215</v>
      </c>
    </row>
    <row r="25" spans="1:1" x14ac:dyDescent="0.25">
      <c r="A25" t="s">
        <v>216</v>
      </c>
    </row>
    <row r="26" spans="1:1" x14ac:dyDescent="0.25">
      <c r="A26" t="s">
        <v>217</v>
      </c>
    </row>
    <row r="27" spans="1:1" x14ac:dyDescent="0.25">
      <c r="A27" t="s">
        <v>218</v>
      </c>
    </row>
    <row r="28" spans="1:1" x14ac:dyDescent="0.25">
      <c r="A28" t="s">
        <v>219</v>
      </c>
    </row>
    <row r="29" spans="1:1" x14ac:dyDescent="0.25">
      <c r="A29" t="s">
        <v>220</v>
      </c>
    </row>
    <row r="30" spans="1:1" x14ac:dyDescent="0.25">
      <c r="A30" t="s">
        <v>221</v>
      </c>
    </row>
    <row r="31" spans="1:1" x14ac:dyDescent="0.25">
      <c r="A31" t="s">
        <v>222</v>
      </c>
    </row>
    <row r="32" spans="1:1" x14ac:dyDescent="0.25">
      <c r="A32" t="s">
        <v>223</v>
      </c>
    </row>
    <row r="33" spans="1:1" x14ac:dyDescent="0.25">
      <c r="A33" t="s">
        <v>224</v>
      </c>
    </row>
    <row r="34" spans="1:1" x14ac:dyDescent="0.25">
      <c r="A34" t="s">
        <v>225</v>
      </c>
    </row>
    <row r="35" spans="1:1" x14ac:dyDescent="0.25">
      <c r="A35" t="s">
        <v>226</v>
      </c>
    </row>
    <row r="36" spans="1:1" x14ac:dyDescent="0.25">
      <c r="A36" t="s">
        <v>227</v>
      </c>
    </row>
    <row r="37" spans="1:1" x14ac:dyDescent="0.25">
      <c r="A37" t="s">
        <v>228</v>
      </c>
    </row>
    <row r="38" spans="1:1" x14ac:dyDescent="0.25">
      <c r="A38" t="s">
        <v>229</v>
      </c>
    </row>
    <row r="39" spans="1:1" x14ac:dyDescent="0.25">
      <c r="A39" t="s">
        <v>230</v>
      </c>
    </row>
    <row r="40" spans="1:1" x14ac:dyDescent="0.25">
      <c r="A40" t="s">
        <v>231</v>
      </c>
    </row>
    <row r="41" spans="1:1" x14ac:dyDescent="0.25">
      <c r="A41" t="s">
        <v>232</v>
      </c>
    </row>
    <row r="42" spans="1:1" x14ac:dyDescent="0.25">
      <c r="A42" t="s">
        <v>233</v>
      </c>
    </row>
    <row r="43" spans="1:1" x14ac:dyDescent="0.25">
      <c r="A43" t="s">
        <v>234</v>
      </c>
    </row>
    <row r="44" spans="1:1" x14ac:dyDescent="0.25">
      <c r="A44" t="s">
        <v>235</v>
      </c>
    </row>
    <row r="45" spans="1:1" x14ac:dyDescent="0.25">
      <c r="A45" t="s">
        <v>236</v>
      </c>
    </row>
    <row r="46" spans="1:1" x14ac:dyDescent="0.25">
      <c r="A46" t="s">
        <v>237</v>
      </c>
    </row>
    <row r="47" spans="1:1" x14ac:dyDescent="0.25">
      <c r="A47" t="s">
        <v>238</v>
      </c>
    </row>
    <row r="48" spans="1:1" x14ac:dyDescent="0.25">
      <c r="A48" t="s">
        <v>239</v>
      </c>
    </row>
    <row r="49" spans="1:1" x14ac:dyDescent="0.25">
      <c r="A49" t="s">
        <v>240</v>
      </c>
    </row>
    <row r="50" spans="1:1" x14ac:dyDescent="0.25">
      <c r="A50" t="s">
        <v>241</v>
      </c>
    </row>
    <row r="51" spans="1:1" x14ac:dyDescent="0.25">
      <c r="A51" t="s">
        <v>242</v>
      </c>
    </row>
    <row r="52" spans="1:1" x14ac:dyDescent="0.25">
      <c r="A52" t="s">
        <v>243</v>
      </c>
    </row>
    <row r="53" spans="1:1" x14ac:dyDescent="0.25">
      <c r="A53" t="s">
        <v>244</v>
      </c>
    </row>
    <row r="54" spans="1:1" x14ac:dyDescent="0.25">
      <c r="A54" t="s">
        <v>245</v>
      </c>
    </row>
    <row r="55" spans="1:1" x14ac:dyDescent="0.25">
      <c r="A55" t="s">
        <v>246</v>
      </c>
    </row>
    <row r="56" spans="1:1" x14ac:dyDescent="0.25">
      <c r="A56" t="s">
        <v>247</v>
      </c>
    </row>
    <row r="57" spans="1:1" x14ac:dyDescent="0.25">
      <c r="A57" t="s">
        <v>248</v>
      </c>
    </row>
    <row r="58" spans="1:1" x14ac:dyDescent="0.25">
      <c r="A58" t="s">
        <v>249</v>
      </c>
    </row>
    <row r="59" spans="1:1" x14ac:dyDescent="0.25">
      <c r="A59" t="s">
        <v>250</v>
      </c>
    </row>
    <row r="60" spans="1:1" x14ac:dyDescent="0.25">
      <c r="A60" t="s">
        <v>251</v>
      </c>
    </row>
    <row r="61" spans="1:1" x14ac:dyDescent="0.25">
      <c r="A61" t="s">
        <v>252</v>
      </c>
    </row>
    <row r="62" spans="1:1" x14ac:dyDescent="0.25">
      <c r="A62" t="s">
        <v>253</v>
      </c>
    </row>
    <row r="63" spans="1:1" x14ac:dyDescent="0.25">
      <c r="A63" t="s">
        <v>254</v>
      </c>
    </row>
    <row r="64" spans="1:1" x14ac:dyDescent="0.25">
      <c r="A64" t="s">
        <v>255</v>
      </c>
    </row>
    <row r="65" spans="1:1" x14ac:dyDescent="0.25">
      <c r="A65" t="s">
        <v>256</v>
      </c>
    </row>
    <row r="66" spans="1:1" x14ac:dyDescent="0.25">
      <c r="A66" t="s">
        <v>257</v>
      </c>
    </row>
    <row r="67" spans="1:1" x14ac:dyDescent="0.25">
      <c r="A67" t="s">
        <v>258</v>
      </c>
    </row>
    <row r="68" spans="1:1" x14ac:dyDescent="0.25">
      <c r="A68" t="s">
        <v>259</v>
      </c>
    </row>
    <row r="69" spans="1:1" x14ac:dyDescent="0.25">
      <c r="A69" t="s">
        <v>260</v>
      </c>
    </row>
    <row r="70" spans="1:1" x14ac:dyDescent="0.25">
      <c r="A70" t="s">
        <v>261</v>
      </c>
    </row>
    <row r="71" spans="1:1" x14ac:dyDescent="0.25">
      <c r="A71" t="s">
        <v>262</v>
      </c>
    </row>
    <row r="72" spans="1:1" x14ac:dyDescent="0.25">
      <c r="A72" t="s">
        <v>263</v>
      </c>
    </row>
    <row r="73" spans="1:1" x14ac:dyDescent="0.25">
      <c r="A73" t="s">
        <v>264</v>
      </c>
    </row>
    <row r="74" spans="1:1" x14ac:dyDescent="0.25">
      <c r="A74" t="s">
        <v>265</v>
      </c>
    </row>
    <row r="75" spans="1:1" x14ac:dyDescent="0.25">
      <c r="A75" t="s">
        <v>266</v>
      </c>
    </row>
    <row r="76" spans="1:1" x14ac:dyDescent="0.25">
      <c r="A76" t="s">
        <v>267</v>
      </c>
    </row>
    <row r="77" spans="1:1" x14ac:dyDescent="0.25">
      <c r="A77" t="s">
        <v>268</v>
      </c>
    </row>
    <row r="78" spans="1:1" x14ac:dyDescent="0.25">
      <c r="A78" t="s">
        <v>269</v>
      </c>
    </row>
    <row r="79" spans="1:1" x14ac:dyDescent="0.25">
      <c r="A79" t="s">
        <v>270</v>
      </c>
    </row>
    <row r="80" spans="1:1" x14ac:dyDescent="0.25">
      <c r="A80" t="s">
        <v>271</v>
      </c>
    </row>
    <row r="81" spans="1:1" x14ac:dyDescent="0.25">
      <c r="A81" t="s">
        <v>272</v>
      </c>
    </row>
    <row r="82" spans="1:1" x14ac:dyDescent="0.25">
      <c r="A82" t="s">
        <v>273</v>
      </c>
    </row>
    <row r="83" spans="1:1" x14ac:dyDescent="0.25">
      <c r="A83" t="s">
        <v>274</v>
      </c>
    </row>
    <row r="84" spans="1:1" x14ac:dyDescent="0.25">
      <c r="A84" t="s">
        <v>275</v>
      </c>
    </row>
    <row r="85" spans="1:1" x14ac:dyDescent="0.25">
      <c r="A85" t="s">
        <v>276</v>
      </c>
    </row>
    <row r="86" spans="1:1" x14ac:dyDescent="0.25">
      <c r="A86" t="s">
        <v>277</v>
      </c>
    </row>
    <row r="87" spans="1:1" x14ac:dyDescent="0.25">
      <c r="A87" t="s">
        <v>278</v>
      </c>
    </row>
    <row r="88" spans="1:1" x14ac:dyDescent="0.25">
      <c r="A88" t="s">
        <v>279</v>
      </c>
    </row>
    <row r="89" spans="1:1" x14ac:dyDescent="0.25">
      <c r="A89" t="s">
        <v>280</v>
      </c>
    </row>
    <row r="90" spans="1:1" x14ac:dyDescent="0.25">
      <c r="A90" t="s">
        <v>281</v>
      </c>
    </row>
    <row r="91" spans="1:1" x14ac:dyDescent="0.25">
      <c r="A91" t="s">
        <v>282</v>
      </c>
    </row>
    <row r="92" spans="1:1" x14ac:dyDescent="0.25">
      <c r="A92" t="s">
        <v>283</v>
      </c>
    </row>
    <row r="93" spans="1:1" x14ac:dyDescent="0.25">
      <c r="A93" t="s">
        <v>284</v>
      </c>
    </row>
    <row r="94" spans="1:1" x14ac:dyDescent="0.25">
      <c r="A94" t="s">
        <v>285</v>
      </c>
    </row>
    <row r="95" spans="1:1" x14ac:dyDescent="0.25">
      <c r="A95" t="s">
        <v>286</v>
      </c>
    </row>
    <row r="96" spans="1:1" x14ac:dyDescent="0.25">
      <c r="A96" t="s">
        <v>287</v>
      </c>
    </row>
    <row r="97" spans="1:1" x14ac:dyDescent="0.25">
      <c r="A97" t="s">
        <v>288</v>
      </c>
    </row>
    <row r="98" spans="1:1" x14ac:dyDescent="0.25">
      <c r="A98" t="s">
        <v>289</v>
      </c>
    </row>
    <row r="99" spans="1:1" x14ac:dyDescent="0.25">
      <c r="A99" t="s">
        <v>290</v>
      </c>
    </row>
    <row r="100" spans="1:1" x14ac:dyDescent="0.25">
      <c r="A100" t="s">
        <v>291</v>
      </c>
    </row>
    <row r="101" spans="1:1" x14ac:dyDescent="0.25">
      <c r="A101" t="s">
        <v>292</v>
      </c>
    </row>
    <row r="102" spans="1:1" x14ac:dyDescent="0.25">
      <c r="A102" t="s">
        <v>293</v>
      </c>
    </row>
    <row r="103" spans="1:1" x14ac:dyDescent="0.25">
      <c r="A103" t="s">
        <v>294</v>
      </c>
    </row>
    <row r="104" spans="1:1" x14ac:dyDescent="0.25">
      <c r="A104" t="s">
        <v>295</v>
      </c>
    </row>
    <row r="105" spans="1:1" x14ac:dyDescent="0.25">
      <c r="A105" t="s">
        <v>296</v>
      </c>
    </row>
    <row r="106" spans="1:1" x14ac:dyDescent="0.25">
      <c r="A106" t="s">
        <v>297</v>
      </c>
    </row>
    <row r="107" spans="1:1" x14ac:dyDescent="0.25">
      <c r="A107" t="s">
        <v>298</v>
      </c>
    </row>
    <row r="108" spans="1:1" x14ac:dyDescent="0.25">
      <c r="A108" t="s">
        <v>299</v>
      </c>
    </row>
    <row r="109" spans="1:1" x14ac:dyDescent="0.25">
      <c r="A109" t="s">
        <v>300</v>
      </c>
    </row>
    <row r="110" spans="1:1" x14ac:dyDescent="0.25">
      <c r="A110" t="s">
        <v>301</v>
      </c>
    </row>
    <row r="111" spans="1:1" x14ac:dyDescent="0.25">
      <c r="A111" t="s">
        <v>302</v>
      </c>
    </row>
    <row r="112" spans="1:1" x14ac:dyDescent="0.25">
      <c r="A112" t="s">
        <v>303</v>
      </c>
    </row>
    <row r="113" spans="1:1" x14ac:dyDescent="0.25">
      <c r="A113" t="s">
        <v>304</v>
      </c>
    </row>
    <row r="114" spans="1:1" x14ac:dyDescent="0.25">
      <c r="A114" t="s">
        <v>305</v>
      </c>
    </row>
    <row r="115" spans="1:1" x14ac:dyDescent="0.25">
      <c r="A115" t="s">
        <v>306</v>
      </c>
    </row>
    <row r="116" spans="1:1" x14ac:dyDescent="0.25">
      <c r="A116" t="s">
        <v>307</v>
      </c>
    </row>
    <row r="117" spans="1:1" x14ac:dyDescent="0.25">
      <c r="A117" t="s">
        <v>308</v>
      </c>
    </row>
    <row r="118" spans="1:1" x14ac:dyDescent="0.25">
      <c r="A118" t="s">
        <v>309</v>
      </c>
    </row>
    <row r="119" spans="1:1" x14ac:dyDescent="0.25">
      <c r="A119" t="s">
        <v>310</v>
      </c>
    </row>
    <row r="120" spans="1:1" x14ac:dyDescent="0.25">
      <c r="A120" t="s">
        <v>311</v>
      </c>
    </row>
    <row r="121" spans="1:1" x14ac:dyDescent="0.25">
      <c r="A121" t="s">
        <v>312</v>
      </c>
    </row>
    <row r="122" spans="1:1" x14ac:dyDescent="0.25">
      <c r="A122" t="s">
        <v>313</v>
      </c>
    </row>
    <row r="123" spans="1:1" x14ac:dyDescent="0.25">
      <c r="A123" t="s">
        <v>314</v>
      </c>
    </row>
    <row r="124" spans="1:1" x14ac:dyDescent="0.25">
      <c r="A124" t="s">
        <v>315</v>
      </c>
    </row>
    <row r="125" spans="1:1" x14ac:dyDescent="0.25">
      <c r="A125" t="s">
        <v>316</v>
      </c>
    </row>
    <row r="126" spans="1:1" x14ac:dyDescent="0.25">
      <c r="A126" t="s">
        <v>317</v>
      </c>
    </row>
    <row r="127" spans="1:1" x14ac:dyDescent="0.25">
      <c r="A127" t="s">
        <v>318</v>
      </c>
    </row>
    <row r="128" spans="1:1" x14ac:dyDescent="0.25">
      <c r="A128" t="s">
        <v>319</v>
      </c>
    </row>
    <row r="129" spans="1:1" x14ac:dyDescent="0.25">
      <c r="A129" t="s">
        <v>320</v>
      </c>
    </row>
    <row r="130" spans="1:1" x14ac:dyDescent="0.25">
      <c r="A130" t="s">
        <v>321</v>
      </c>
    </row>
    <row r="131" spans="1:1" x14ac:dyDescent="0.25">
      <c r="A131" t="s">
        <v>322</v>
      </c>
    </row>
    <row r="132" spans="1:1" x14ac:dyDescent="0.25">
      <c r="A132" t="s">
        <v>323</v>
      </c>
    </row>
    <row r="133" spans="1:1" x14ac:dyDescent="0.25">
      <c r="A133" t="s">
        <v>324</v>
      </c>
    </row>
    <row r="134" spans="1:1" x14ac:dyDescent="0.25">
      <c r="A134" t="s">
        <v>325</v>
      </c>
    </row>
    <row r="135" spans="1:1" x14ac:dyDescent="0.25">
      <c r="A135" t="s">
        <v>326</v>
      </c>
    </row>
    <row r="136" spans="1:1" x14ac:dyDescent="0.25">
      <c r="A136" t="s">
        <v>327</v>
      </c>
    </row>
    <row r="137" spans="1:1" x14ac:dyDescent="0.25">
      <c r="A137" t="s">
        <v>328</v>
      </c>
    </row>
    <row r="138" spans="1:1" x14ac:dyDescent="0.25">
      <c r="A138" t="s">
        <v>329</v>
      </c>
    </row>
    <row r="139" spans="1:1" x14ac:dyDescent="0.25">
      <c r="A139" t="s">
        <v>330</v>
      </c>
    </row>
    <row r="140" spans="1:1" x14ac:dyDescent="0.25">
      <c r="A140" t="s">
        <v>331</v>
      </c>
    </row>
    <row r="141" spans="1:1" x14ac:dyDescent="0.25">
      <c r="A141" t="s">
        <v>332</v>
      </c>
    </row>
    <row r="142" spans="1:1" x14ac:dyDescent="0.25">
      <c r="A142" t="s">
        <v>333</v>
      </c>
    </row>
    <row r="143" spans="1:1" x14ac:dyDescent="0.25">
      <c r="A143" t="s">
        <v>334</v>
      </c>
    </row>
    <row r="144" spans="1:1" x14ac:dyDescent="0.25">
      <c r="A144" t="s">
        <v>335</v>
      </c>
    </row>
    <row r="145" spans="1:1" x14ac:dyDescent="0.25">
      <c r="A145" t="s">
        <v>336</v>
      </c>
    </row>
    <row r="146" spans="1:1" x14ac:dyDescent="0.25">
      <c r="A146" t="s">
        <v>337</v>
      </c>
    </row>
    <row r="147" spans="1:1" x14ac:dyDescent="0.25">
      <c r="A147" t="s">
        <v>338</v>
      </c>
    </row>
    <row r="148" spans="1:1" x14ac:dyDescent="0.25">
      <c r="A148" t="s">
        <v>339</v>
      </c>
    </row>
    <row r="149" spans="1:1" x14ac:dyDescent="0.25">
      <c r="A149" t="s">
        <v>340</v>
      </c>
    </row>
    <row r="150" spans="1:1" x14ac:dyDescent="0.25">
      <c r="A150" t="s">
        <v>341</v>
      </c>
    </row>
    <row r="151" spans="1:1" x14ac:dyDescent="0.25">
      <c r="A151" t="s">
        <v>342</v>
      </c>
    </row>
    <row r="152" spans="1:1" x14ac:dyDescent="0.25">
      <c r="A152" t="s">
        <v>343</v>
      </c>
    </row>
    <row r="153" spans="1:1" x14ac:dyDescent="0.25">
      <c r="A153" t="s">
        <v>344</v>
      </c>
    </row>
    <row r="154" spans="1:1" x14ac:dyDescent="0.25">
      <c r="A154" t="s">
        <v>345</v>
      </c>
    </row>
    <row r="155" spans="1:1" x14ac:dyDescent="0.25">
      <c r="A155" t="s">
        <v>346</v>
      </c>
    </row>
    <row r="156" spans="1:1" x14ac:dyDescent="0.25">
      <c r="A156" t="s">
        <v>347</v>
      </c>
    </row>
    <row r="157" spans="1:1" x14ac:dyDescent="0.25">
      <c r="A157" t="s">
        <v>348</v>
      </c>
    </row>
    <row r="158" spans="1:1" x14ac:dyDescent="0.25">
      <c r="A158" t="s">
        <v>349</v>
      </c>
    </row>
    <row r="159" spans="1:1" x14ac:dyDescent="0.25">
      <c r="A159" t="s">
        <v>350</v>
      </c>
    </row>
    <row r="160" spans="1:1" x14ac:dyDescent="0.25">
      <c r="A160" t="s">
        <v>351</v>
      </c>
    </row>
    <row r="161" spans="1:1" x14ac:dyDescent="0.25">
      <c r="A161" t="s">
        <v>352</v>
      </c>
    </row>
    <row r="162" spans="1:1" x14ac:dyDescent="0.25">
      <c r="A162" t="s">
        <v>353</v>
      </c>
    </row>
    <row r="163" spans="1:1" x14ac:dyDescent="0.25">
      <c r="A163" t="s">
        <v>354</v>
      </c>
    </row>
    <row r="164" spans="1:1" x14ac:dyDescent="0.25">
      <c r="A164" t="s">
        <v>355</v>
      </c>
    </row>
    <row r="165" spans="1:1" x14ac:dyDescent="0.25">
      <c r="A165" t="s">
        <v>356</v>
      </c>
    </row>
    <row r="166" spans="1:1" x14ac:dyDescent="0.25">
      <c r="A166" t="s">
        <v>357</v>
      </c>
    </row>
    <row r="167" spans="1:1" x14ac:dyDescent="0.25">
      <c r="A167" t="s">
        <v>358</v>
      </c>
    </row>
    <row r="168" spans="1:1" x14ac:dyDescent="0.25">
      <c r="A168" t="s">
        <v>359</v>
      </c>
    </row>
    <row r="169" spans="1:1" x14ac:dyDescent="0.25">
      <c r="A169" t="s">
        <v>360</v>
      </c>
    </row>
    <row r="170" spans="1:1" x14ac:dyDescent="0.25">
      <c r="A170" t="s">
        <v>361</v>
      </c>
    </row>
    <row r="171" spans="1:1" x14ac:dyDescent="0.25">
      <c r="A171" t="s">
        <v>362</v>
      </c>
    </row>
    <row r="172" spans="1:1" x14ac:dyDescent="0.25">
      <c r="A172" t="s">
        <v>363</v>
      </c>
    </row>
    <row r="173" spans="1:1" x14ac:dyDescent="0.25">
      <c r="A173" t="s">
        <v>364</v>
      </c>
    </row>
    <row r="174" spans="1:1" x14ac:dyDescent="0.25">
      <c r="A174" t="s">
        <v>365</v>
      </c>
    </row>
    <row r="175" spans="1:1" x14ac:dyDescent="0.25">
      <c r="A175" t="s">
        <v>366</v>
      </c>
    </row>
    <row r="176" spans="1:1" x14ac:dyDescent="0.25">
      <c r="A176" t="s">
        <v>367</v>
      </c>
    </row>
    <row r="177" spans="1:1" x14ac:dyDescent="0.25">
      <c r="A177" t="s">
        <v>368</v>
      </c>
    </row>
    <row r="178" spans="1:1" x14ac:dyDescent="0.25">
      <c r="A178" t="s">
        <v>369</v>
      </c>
    </row>
    <row r="179" spans="1:1" x14ac:dyDescent="0.25">
      <c r="A179" t="s">
        <v>370</v>
      </c>
    </row>
    <row r="180" spans="1:1" x14ac:dyDescent="0.25">
      <c r="A180" t="s">
        <v>371</v>
      </c>
    </row>
    <row r="181" spans="1:1" x14ac:dyDescent="0.25">
      <c r="A181" t="s">
        <v>372</v>
      </c>
    </row>
    <row r="182" spans="1:1" x14ac:dyDescent="0.25">
      <c r="A182" t="s">
        <v>373</v>
      </c>
    </row>
    <row r="183" spans="1:1" x14ac:dyDescent="0.25">
      <c r="A183" t="s">
        <v>374</v>
      </c>
    </row>
    <row r="184" spans="1:1" x14ac:dyDescent="0.25">
      <c r="A184" t="s">
        <v>375</v>
      </c>
    </row>
    <row r="185" spans="1:1" x14ac:dyDescent="0.25">
      <c r="A185" t="s">
        <v>376</v>
      </c>
    </row>
    <row r="186" spans="1:1" x14ac:dyDescent="0.25">
      <c r="A186" t="s">
        <v>377</v>
      </c>
    </row>
    <row r="187" spans="1:1" x14ac:dyDescent="0.25">
      <c r="A187" t="s">
        <v>395</v>
      </c>
    </row>
    <row r="188" spans="1:1" x14ac:dyDescent="0.25">
      <c r="A188" t="s">
        <v>378</v>
      </c>
    </row>
    <row r="189" spans="1:1" x14ac:dyDescent="0.25">
      <c r="A189" t="s">
        <v>379</v>
      </c>
    </row>
    <row r="190" spans="1:1" x14ac:dyDescent="0.25">
      <c r="A190" t="s">
        <v>380</v>
      </c>
    </row>
    <row r="191" spans="1:1" x14ac:dyDescent="0.25">
      <c r="A191" t="s">
        <v>381</v>
      </c>
    </row>
    <row r="192" spans="1:1" x14ac:dyDescent="0.25">
      <c r="A192" t="s">
        <v>382</v>
      </c>
    </row>
    <row r="193" spans="1:1" x14ac:dyDescent="0.25">
      <c r="A193" t="s">
        <v>383</v>
      </c>
    </row>
    <row r="194" spans="1:1" x14ac:dyDescent="0.25">
      <c r="A194" t="s">
        <v>384</v>
      </c>
    </row>
    <row r="195" spans="1:1" x14ac:dyDescent="0.25">
      <c r="A195" t="s">
        <v>385</v>
      </c>
    </row>
    <row r="196" spans="1:1" x14ac:dyDescent="0.25">
      <c r="A196" t="s">
        <v>386</v>
      </c>
    </row>
    <row r="197" spans="1:1" x14ac:dyDescent="0.25">
      <c r="A197" t="s">
        <v>387</v>
      </c>
    </row>
    <row r="198" spans="1:1" x14ac:dyDescent="0.25">
      <c r="A198" t="s">
        <v>388</v>
      </c>
    </row>
    <row r="199" spans="1:1" x14ac:dyDescent="0.25">
      <c r="A199" t="s">
        <v>389</v>
      </c>
    </row>
    <row r="200" spans="1:1" x14ac:dyDescent="0.25">
      <c r="A200" t="s">
        <v>390</v>
      </c>
    </row>
    <row r="201" spans="1:1" x14ac:dyDescent="0.25">
      <c r="A201" t="s">
        <v>391</v>
      </c>
    </row>
    <row r="202" spans="1:1" x14ac:dyDescent="0.25">
      <c r="A202" t="s">
        <v>392</v>
      </c>
    </row>
    <row r="203" spans="1:1" x14ac:dyDescent="0.25">
      <c r="A203" t="s">
        <v>393</v>
      </c>
    </row>
    <row r="204" spans="1:1" x14ac:dyDescent="0.25">
      <c r="A204" t="s">
        <v>394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S461"/>
  <sheetViews>
    <sheetView workbookViewId="0">
      <selection activeCell="E7" sqref="E7"/>
    </sheetView>
  </sheetViews>
  <sheetFormatPr defaultColWidth="9.1796875" defaultRowHeight="12.5" x14ac:dyDescent="0.25"/>
  <cols>
    <col min="13" max="13" width="11.81640625" bestFit="1" customWidth="1"/>
    <col min="16" max="16" width="16.81640625" customWidth="1"/>
    <col min="18" max="18" width="10.81640625" bestFit="1" customWidth="1"/>
  </cols>
  <sheetData>
    <row r="2" spans="2:19" ht="18" x14ac:dyDescent="0.4">
      <c r="B2" s="50" t="s">
        <v>101</v>
      </c>
    </row>
    <row r="3" spans="2:19" ht="13" thickBot="1" x14ac:dyDescent="0.3"/>
    <row r="4" spans="2:19" ht="13.5" thickBot="1" x14ac:dyDescent="0.35">
      <c r="B4" s="82" t="s">
        <v>102</v>
      </c>
      <c r="C4" s="82"/>
      <c r="D4" s="80">
        <v>43101</v>
      </c>
      <c r="E4" s="81"/>
      <c r="G4" s="82" t="s">
        <v>103</v>
      </c>
      <c r="H4" s="82"/>
      <c r="I4" s="54">
        <v>73.040000000000006</v>
      </c>
    </row>
    <row r="6" spans="2:19" ht="13" x14ac:dyDescent="0.3">
      <c r="R6" s="56">
        <f>+MAX(R8:R1593)</f>
        <v>0</v>
      </c>
      <c r="S6" s="56">
        <f>+MAX(S8:S1593)</f>
        <v>0</v>
      </c>
    </row>
    <row r="7" spans="2:19" ht="28.5" customHeight="1" x14ac:dyDescent="0.3">
      <c r="B7" s="51" t="s">
        <v>28</v>
      </c>
      <c r="C7" s="51" t="s">
        <v>104</v>
      </c>
      <c r="D7" s="51" t="s">
        <v>105</v>
      </c>
      <c r="E7" s="51" t="s">
        <v>106</v>
      </c>
      <c r="F7" s="51" t="s">
        <v>107</v>
      </c>
      <c r="G7" s="51" t="s">
        <v>108</v>
      </c>
      <c r="H7" s="51" t="s">
        <v>109</v>
      </c>
      <c r="I7" s="51" t="s">
        <v>110</v>
      </c>
      <c r="J7" s="51" t="s">
        <v>111</v>
      </c>
      <c r="K7" s="51" t="s">
        <v>112</v>
      </c>
      <c r="L7" s="51" t="s">
        <v>113</v>
      </c>
      <c r="M7" s="51" t="s">
        <v>114</v>
      </c>
      <c r="N7" s="52" t="s">
        <v>115</v>
      </c>
      <c r="O7" s="52" t="s">
        <v>116</v>
      </c>
      <c r="P7" s="53" t="s">
        <v>117</v>
      </c>
      <c r="Q7" s="40"/>
      <c r="R7" s="55" t="s">
        <v>118</v>
      </c>
      <c r="S7" s="55" t="s">
        <v>119</v>
      </c>
    </row>
    <row r="8" spans="2:19" ht="13" x14ac:dyDescent="0.3">
      <c r="N8" s="47" t="e">
        <f>($D$4-DATE(H8,F8,G8))/365.25</f>
        <v>#NUM!</v>
      </c>
      <c r="O8" s="47" t="e">
        <f>($D$4-DATE(K8,I8,J8))/365.25</f>
        <v>#NUM!</v>
      </c>
      <c r="P8" s="48">
        <f>M8/($I$4*30.4)</f>
        <v>0</v>
      </c>
      <c r="Q8" s="40"/>
      <c r="R8" s="49">
        <f>+IF(L8&lt;=1997,M8,0)</f>
        <v>0</v>
      </c>
      <c r="S8" s="49">
        <f>+IF(L8&gt;1997,M8,0)</f>
        <v>0</v>
      </c>
    </row>
    <row r="9" spans="2:19" ht="13" x14ac:dyDescent="0.3">
      <c r="N9" s="47" t="e">
        <f>($D$4-DATE(H9,F9,G9))/365.25</f>
        <v>#NUM!</v>
      </c>
      <c r="O9" s="47" t="e">
        <f t="shared" ref="O9:O72" si="0">($D$4-DATE(K9,I9,J9))/365.25</f>
        <v>#NUM!</v>
      </c>
      <c r="P9" s="48">
        <f t="shared" ref="P9:P72" si="1">M9/($I$4*30.4)</f>
        <v>0</v>
      </c>
      <c r="R9" s="49">
        <f t="shared" ref="R9:R72" si="2">+IF(L9&lt;=1997,M9,0)</f>
        <v>0</v>
      </c>
      <c r="S9" s="49">
        <f t="shared" ref="S9:S72" si="3">+IF(L9&gt;1997,M9,0)</f>
        <v>0</v>
      </c>
    </row>
    <row r="10" spans="2:19" ht="13" x14ac:dyDescent="0.3">
      <c r="N10" s="47" t="e">
        <f t="shared" ref="N10:N72" si="4">($D$4-DATE(H10,F10,G10))/365.25</f>
        <v>#NUM!</v>
      </c>
      <c r="O10" s="47" t="e">
        <f t="shared" si="0"/>
        <v>#NUM!</v>
      </c>
      <c r="P10" s="48">
        <f t="shared" si="1"/>
        <v>0</v>
      </c>
      <c r="R10" s="49">
        <f t="shared" si="2"/>
        <v>0</v>
      </c>
      <c r="S10" s="49">
        <f t="shared" si="3"/>
        <v>0</v>
      </c>
    </row>
    <row r="11" spans="2:19" ht="13" x14ac:dyDescent="0.3">
      <c r="N11" s="47" t="e">
        <f t="shared" si="4"/>
        <v>#NUM!</v>
      </c>
      <c r="O11" s="47" t="e">
        <f t="shared" si="0"/>
        <v>#NUM!</v>
      </c>
      <c r="P11" s="48">
        <f t="shared" si="1"/>
        <v>0</v>
      </c>
      <c r="R11" s="49">
        <f t="shared" si="2"/>
        <v>0</v>
      </c>
      <c r="S11" s="49">
        <f t="shared" si="3"/>
        <v>0</v>
      </c>
    </row>
    <row r="12" spans="2:19" ht="13" x14ac:dyDescent="0.3">
      <c r="N12" s="47" t="e">
        <f t="shared" si="4"/>
        <v>#NUM!</v>
      </c>
      <c r="O12" s="47" t="e">
        <f t="shared" si="0"/>
        <v>#NUM!</v>
      </c>
      <c r="P12" s="48">
        <f t="shared" si="1"/>
        <v>0</v>
      </c>
      <c r="R12" s="49">
        <f t="shared" si="2"/>
        <v>0</v>
      </c>
      <c r="S12" s="49">
        <f t="shared" si="3"/>
        <v>0</v>
      </c>
    </row>
    <row r="13" spans="2:19" ht="13" x14ac:dyDescent="0.3">
      <c r="N13" s="47" t="e">
        <f t="shared" si="4"/>
        <v>#NUM!</v>
      </c>
      <c r="O13" s="47" t="e">
        <f t="shared" si="0"/>
        <v>#NUM!</v>
      </c>
      <c r="P13" s="48">
        <f t="shared" si="1"/>
        <v>0</v>
      </c>
      <c r="R13" s="49">
        <f t="shared" si="2"/>
        <v>0</v>
      </c>
      <c r="S13" s="49">
        <f t="shared" si="3"/>
        <v>0</v>
      </c>
    </row>
    <row r="14" spans="2:19" ht="13" x14ac:dyDescent="0.3">
      <c r="N14" s="47" t="e">
        <f t="shared" si="4"/>
        <v>#NUM!</v>
      </c>
      <c r="O14" s="47" t="e">
        <f t="shared" si="0"/>
        <v>#NUM!</v>
      </c>
      <c r="P14" s="48">
        <f t="shared" si="1"/>
        <v>0</v>
      </c>
      <c r="R14" s="49">
        <f t="shared" si="2"/>
        <v>0</v>
      </c>
      <c r="S14" s="49">
        <f t="shared" si="3"/>
        <v>0</v>
      </c>
    </row>
    <row r="15" spans="2:19" ht="13" x14ac:dyDescent="0.3">
      <c r="N15" s="47" t="e">
        <f t="shared" si="4"/>
        <v>#NUM!</v>
      </c>
      <c r="O15" s="47" t="e">
        <f t="shared" si="0"/>
        <v>#NUM!</v>
      </c>
      <c r="P15" s="48">
        <f t="shared" si="1"/>
        <v>0</v>
      </c>
      <c r="R15" s="49">
        <f t="shared" si="2"/>
        <v>0</v>
      </c>
      <c r="S15" s="49">
        <f t="shared" si="3"/>
        <v>0</v>
      </c>
    </row>
    <row r="16" spans="2:19" ht="13" x14ac:dyDescent="0.3">
      <c r="N16" s="47" t="e">
        <f t="shared" si="4"/>
        <v>#NUM!</v>
      </c>
      <c r="O16" s="47" t="e">
        <f t="shared" si="0"/>
        <v>#NUM!</v>
      </c>
      <c r="P16" s="48">
        <f t="shared" si="1"/>
        <v>0</v>
      </c>
      <c r="R16" s="49">
        <f t="shared" si="2"/>
        <v>0</v>
      </c>
      <c r="S16" s="49">
        <f t="shared" si="3"/>
        <v>0</v>
      </c>
    </row>
    <row r="17" spans="14:19" ht="13" x14ac:dyDescent="0.3">
      <c r="N17" s="47" t="e">
        <f t="shared" si="4"/>
        <v>#NUM!</v>
      </c>
      <c r="O17" s="47" t="e">
        <f t="shared" si="0"/>
        <v>#NUM!</v>
      </c>
      <c r="P17" s="48">
        <f t="shared" si="1"/>
        <v>0</v>
      </c>
      <c r="R17" s="49">
        <f t="shared" si="2"/>
        <v>0</v>
      </c>
      <c r="S17" s="49">
        <f t="shared" si="3"/>
        <v>0</v>
      </c>
    </row>
    <row r="18" spans="14:19" ht="13" x14ac:dyDescent="0.3">
      <c r="N18" s="47" t="e">
        <f t="shared" si="4"/>
        <v>#NUM!</v>
      </c>
      <c r="O18" s="47" t="e">
        <f t="shared" si="0"/>
        <v>#NUM!</v>
      </c>
      <c r="P18" s="48">
        <f t="shared" si="1"/>
        <v>0</v>
      </c>
      <c r="R18" s="49">
        <f t="shared" si="2"/>
        <v>0</v>
      </c>
      <c r="S18" s="49">
        <f t="shared" si="3"/>
        <v>0</v>
      </c>
    </row>
    <row r="19" spans="14:19" ht="13" x14ac:dyDescent="0.3">
      <c r="N19" s="47" t="e">
        <f t="shared" si="4"/>
        <v>#NUM!</v>
      </c>
      <c r="O19" s="47" t="e">
        <f t="shared" si="0"/>
        <v>#NUM!</v>
      </c>
      <c r="P19" s="48">
        <f t="shared" si="1"/>
        <v>0</v>
      </c>
      <c r="R19" s="49">
        <f t="shared" si="2"/>
        <v>0</v>
      </c>
      <c r="S19" s="49">
        <f t="shared" si="3"/>
        <v>0</v>
      </c>
    </row>
    <row r="20" spans="14:19" ht="13" x14ac:dyDescent="0.3">
      <c r="N20" s="47" t="e">
        <f t="shared" si="4"/>
        <v>#NUM!</v>
      </c>
      <c r="O20" s="47" t="e">
        <f t="shared" si="0"/>
        <v>#NUM!</v>
      </c>
      <c r="P20" s="48">
        <f t="shared" si="1"/>
        <v>0</v>
      </c>
      <c r="R20" s="49">
        <f t="shared" si="2"/>
        <v>0</v>
      </c>
      <c r="S20" s="49">
        <f t="shared" si="3"/>
        <v>0</v>
      </c>
    </row>
    <row r="21" spans="14:19" ht="13" x14ac:dyDescent="0.3">
      <c r="N21" s="47" t="e">
        <f t="shared" si="4"/>
        <v>#NUM!</v>
      </c>
      <c r="O21" s="47" t="e">
        <f t="shared" si="0"/>
        <v>#NUM!</v>
      </c>
      <c r="P21" s="48">
        <f t="shared" si="1"/>
        <v>0</v>
      </c>
      <c r="R21" s="49">
        <f t="shared" si="2"/>
        <v>0</v>
      </c>
      <c r="S21" s="49">
        <f t="shared" si="3"/>
        <v>0</v>
      </c>
    </row>
    <row r="22" spans="14:19" ht="13" x14ac:dyDescent="0.3">
      <c r="N22" s="47" t="e">
        <f t="shared" si="4"/>
        <v>#NUM!</v>
      </c>
      <c r="O22" s="47" t="e">
        <f t="shared" si="0"/>
        <v>#NUM!</v>
      </c>
      <c r="P22" s="48">
        <f t="shared" si="1"/>
        <v>0</v>
      </c>
      <c r="R22" s="49">
        <f t="shared" si="2"/>
        <v>0</v>
      </c>
      <c r="S22" s="49">
        <f t="shared" si="3"/>
        <v>0</v>
      </c>
    </row>
    <row r="23" spans="14:19" ht="13" x14ac:dyDescent="0.3">
      <c r="N23" s="47" t="e">
        <f t="shared" si="4"/>
        <v>#NUM!</v>
      </c>
      <c r="O23" s="47" t="e">
        <f t="shared" si="0"/>
        <v>#NUM!</v>
      </c>
      <c r="P23" s="48">
        <f t="shared" si="1"/>
        <v>0</v>
      </c>
      <c r="R23" s="49">
        <f t="shared" si="2"/>
        <v>0</v>
      </c>
      <c r="S23" s="49">
        <f t="shared" si="3"/>
        <v>0</v>
      </c>
    </row>
    <row r="24" spans="14:19" ht="13" x14ac:dyDescent="0.3">
      <c r="N24" s="47" t="e">
        <f t="shared" si="4"/>
        <v>#NUM!</v>
      </c>
      <c r="O24" s="47" t="e">
        <f t="shared" si="0"/>
        <v>#NUM!</v>
      </c>
      <c r="P24" s="48">
        <f t="shared" si="1"/>
        <v>0</v>
      </c>
      <c r="R24" s="49">
        <f t="shared" si="2"/>
        <v>0</v>
      </c>
      <c r="S24" s="49">
        <f t="shared" si="3"/>
        <v>0</v>
      </c>
    </row>
    <row r="25" spans="14:19" ht="13" x14ac:dyDescent="0.3">
      <c r="N25" s="47" t="e">
        <f t="shared" si="4"/>
        <v>#NUM!</v>
      </c>
      <c r="O25" s="47" t="e">
        <f t="shared" si="0"/>
        <v>#NUM!</v>
      </c>
      <c r="P25" s="48">
        <f t="shared" si="1"/>
        <v>0</v>
      </c>
      <c r="R25" s="49">
        <f t="shared" si="2"/>
        <v>0</v>
      </c>
      <c r="S25" s="49">
        <f t="shared" si="3"/>
        <v>0</v>
      </c>
    </row>
    <row r="26" spans="14:19" ht="13" x14ac:dyDescent="0.3">
      <c r="N26" s="47" t="e">
        <f t="shared" si="4"/>
        <v>#NUM!</v>
      </c>
      <c r="O26" s="47" t="e">
        <f t="shared" si="0"/>
        <v>#NUM!</v>
      </c>
      <c r="P26" s="48">
        <f t="shared" si="1"/>
        <v>0</v>
      </c>
      <c r="R26" s="49">
        <f t="shared" si="2"/>
        <v>0</v>
      </c>
      <c r="S26" s="49">
        <f t="shared" si="3"/>
        <v>0</v>
      </c>
    </row>
    <row r="27" spans="14:19" ht="13" x14ac:dyDescent="0.3">
      <c r="N27" s="47" t="e">
        <f t="shared" si="4"/>
        <v>#NUM!</v>
      </c>
      <c r="O27" s="47" t="e">
        <f t="shared" si="0"/>
        <v>#NUM!</v>
      </c>
      <c r="P27" s="48">
        <f t="shared" si="1"/>
        <v>0</v>
      </c>
      <c r="R27" s="49">
        <f t="shared" si="2"/>
        <v>0</v>
      </c>
      <c r="S27" s="49">
        <f t="shared" si="3"/>
        <v>0</v>
      </c>
    </row>
    <row r="28" spans="14:19" ht="13" x14ac:dyDescent="0.3">
      <c r="N28" s="47" t="e">
        <f t="shared" si="4"/>
        <v>#NUM!</v>
      </c>
      <c r="O28" s="47" t="e">
        <f t="shared" si="0"/>
        <v>#NUM!</v>
      </c>
      <c r="P28" s="48">
        <f t="shared" si="1"/>
        <v>0</v>
      </c>
      <c r="R28" s="49">
        <f t="shared" si="2"/>
        <v>0</v>
      </c>
      <c r="S28" s="49">
        <f t="shared" si="3"/>
        <v>0</v>
      </c>
    </row>
    <row r="29" spans="14:19" ht="13" x14ac:dyDescent="0.3">
      <c r="N29" s="47" t="e">
        <f t="shared" si="4"/>
        <v>#NUM!</v>
      </c>
      <c r="O29" s="47" t="e">
        <f t="shared" si="0"/>
        <v>#NUM!</v>
      </c>
      <c r="P29" s="48">
        <f t="shared" si="1"/>
        <v>0</v>
      </c>
      <c r="R29" s="49">
        <f t="shared" si="2"/>
        <v>0</v>
      </c>
      <c r="S29" s="49">
        <f t="shared" si="3"/>
        <v>0</v>
      </c>
    </row>
    <row r="30" spans="14:19" ht="13" x14ac:dyDescent="0.3">
      <c r="N30" s="47" t="e">
        <f t="shared" si="4"/>
        <v>#NUM!</v>
      </c>
      <c r="O30" s="47" t="e">
        <f t="shared" si="0"/>
        <v>#NUM!</v>
      </c>
      <c r="P30" s="48">
        <f t="shared" si="1"/>
        <v>0</v>
      </c>
      <c r="R30" s="49">
        <f t="shared" si="2"/>
        <v>0</v>
      </c>
      <c r="S30" s="49">
        <f t="shared" si="3"/>
        <v>0</v>
      </c>
    </row>
    <row r="31" spans="14:19" ht="13" x14ac:dyDescent="0.3">
      <c r="N31" s="47" t="e">
        <f t="shared" si="4"/>
        <v>#NUM!</v>
      </c>
      <c r="O31" s="47" t="e">
        <f t="shared" si="0"/>
        <v>#NUM!</v>
      </c>
      <c r="P31" s="48">
        <f t="shared" si="1"/>
        <v>0</v>
      </c>
      <c r="R31" s="49">
        <f t="shared" si="2"/>
        <v>0</v>
      </c>
      <c r="S31" s="49">
        <f t="shared" si="3"/>
        <v>0</v>
      </c>
    </row>
    <row r="32" spans="14:19" ht="13" x14ac:dyDescent="0.3">
      <c r="N32" s="47" t="e">
        <f t="shared" si="4"/>
        <v>#NUM!</v>
      </c>
      <c r="O32" s="47" t="e">
        <f t="shared" si="0"/>
        <v>#NUM!</v>
      </c>
      <c r="P32" s="48">
        <f t="shared" si="1"/>
        <v>0</v>
      </c>
      <c r="R32" s="49">
        <f t="shared" si="2"/>
        <v>0</v>
      </c>
      <c r="S32" s="49">
        <f t="shared" si="3"/>
        <v>0</v>
      </c>
    </row>
    <row r="33" spans="14:19" ht="13" x14ac:dyDescent="0.3">
      <c r="N33" s="47" t="e">
        <f t="shared" si="4"/>
        <v>#NUM!</v>
      </c>
      <c r="O33" s="47" t="e">
        <f t="shared" si="0"/>
        <v>#NUM!</v>
      </c>
      <c r="P33" s="48">
        <f t="shared" si="1"/>
        <v>0</v>
      </c>
      <c r="R33" s="49">
        <f t="shared" si="2"/>
        <v>0</v>
      </c>
      <c r="S33" s="49">
        <f t="shared" si="3"/>
        <v>0</v>
      </c>
    </row>
    <row r="34" spans="14:19" ht="13" x14ac:dyDescent="0.3">
      <c r="N34" s="47" t="e">
        <f t="shared" si="4"/>
        <v>#NUM!</v>
      </c>
      <c r="O34" s="47" t="e">
        <f t="shared" si="0"/>
        <v>#NUM!</v>
      </c>
      <c r="P34" s="48">
        <f t="shared" si="1"/>
        <v>0</v>
      </c>
      <c r="R34" s="49">
        <f t="shared" si="2"/>
        <v>0</v>
      </c>
      <c r="S34" s="49">
        <f t="shared" si="3"/>
        <v>0</v>
      </c>
    </row>
    <row r="35" spans="14:19" ht="13" x14ac:dyDescent="0.3">
      <c r="N35" s="47" t="e">
        <f t="shared" si="4"/>
        <v>#NUM!</v>
      </c>
      <c r="O35" s="47" t="e">
        <f t="shared" si="0"/>
        <v>#NUM!</v>
      </c>
      <c r="P35" s="48">
        <f t="shared" si="1"/>
        <v>0</v>
      </c>
      <c r="R35" s="49">
        <f t="shared" si="2"/>
        <v>0</v>
      </c>
      <c r="S35" s="49">
        <f t="shared" si="3"/>
        <v>0</v>
      </c>
    </row>
    <row r="36" spans="14:19" ht="13" x14ac:dyDescent="0.3">
      <c r="N36" s="47" t="e">
        <f t="shared" si="4"/>
        <v>#NUM!</v>
      </c>
      <c r="O36" s="47" t="e">
        <f t="shared" si="0"/>
        <v>#NUM!</v>
      </c>
      <c r="P36" s="48">
        <f t="shared" si="1"/>
        <v>0</v>
      </c>
      <c r="R36" s="49">
        <f t="shared" si="2"/>
        <v>0</v>
      </c>
      <c r="S36" s="49">
        <f t="shared" si="3"/>
        <v>0</v>
      </c>
    </row>
    <row r="37" spans="14:19" ht="13" x14ac:dyDescent="0.3">
      <c r="N37" s="47" t="e">
        <f t="shared" si="4"/>
        <v>#NUM!</v>
      </c>
      <c r="O37" s="47" t="e">
        <f t="shared" si="0"/>
        <v>#NUM!</v>
      </c>
      <c r="P37" s="48">
        <f t="shared" si="1"/>
        <v>0</v>
      </c>
      <c r="R37" s="49">
        <f t="shared" si="2"/>
        <v>0</v>
      </c>
      <c r="S37" s="49">
        <f t="shared" si="3"/>
        <v>0</v>
      </c>
    </row>
    <row r="38" spans="14:19" ht="13" x14ac:dyDescent="0.3">
      <c r="N38" s="47" t="e">
        <f t="shared" si="4"/>
        <v>#NUM!</v>
      </c>
      <c r="O38" s="47" t="e">
        <f t="shared" si="0"/>
        <v>#NUM!</v>
      </c>
      <c r="P38" s="48">
        <f t="shared" si="1"/>
        <v>0</v>
      </c>
      <c r="R38" s="49">
        <f t="shared" si="2"/>
        <v>0</v>
      </c>
      <c r="S38" s="49">
        <f t="shared" si="3"/>
        <v>0</v>
      </c>
    </row>
    <row r="39" spans="14:19" ht="13" x14ac:dyDescent="0.3">
      <c r="N39" s="47" t="e">
        <f t="shared" si="4"/>
        <v>#NUM!</v>
      </c>
      <c r="O39" s="47" t="e">
        <f t="shared" si="0"/>
        <v>#NUM!</v>
      </c>
      <c r="P39" s="48">
        <f t="shared" si="1"/>
        <v>0</v>
      </c>
      <c r="R39" s="49">
        <f t="shared" si="2"/>
        <v>0</v>
      </c>
      <c r="S39" s="49">
        <f t="shared" si="3"/>
        <v>0</v>
      </c>
    </row>
    <row r="40" spans="14:19" ht="13" x14ac:dyDescent="0.3">
      <c r="N40" s="47" t="e">
        <f t="shared" si="4"/>
        <v>#NUM!</v>
      </c>
      <c r="O40" s="47" t="e">
        <f t="shared" si="0"/>
        <v>#NUM!</v>
      </c>
      <c r="P40" s="48">
        <f t="shared" si="1"/>
        <v>0</v>
      </c>
      <c r="R40" s="49">
        <f t="shared" si="2"/>
        <v>0</v>
      </c>
      <c r="S40" s="49">
        <f t="shared" si="3"/>
        <v>0</v>
      </c>
    </row>
    <row r="41" spans="14:19" ht="13" x14ac:dyDescent="0.3">
      <c r="N41" s="47" t="e">
        <f t="shared" si="4"/>
        <v>#NUM!</v>
      </c>
      <c r="O41" s="47" t="e">
        <f t="shared" si="0"/>
        <v>#NUM!</v>
      </c>
      <c r="P41" s="48">
        <f t="shared" si="1"/>
        <v>0</v>
      </c>
      <c r="R41" s="49">
        <f t="shared" si="2"/>
        <v>0</v>
      </c>
      <c r="S41" s="49">
        <f t="shared" si="3"/>
        <v>0</v>
      </c>
    </row>
    <row r="42" spans="14:19" ht="13" x14ac:dyDescent="0.3">
      <c r="N42" s="47" t="e">
        <f t="shared" si="4"/>
        <v>#NUM!</v>
      </c>
      <c r="O42" s="47" t="e">
        <f t="shared" si="0"/>
        <v>#NUM!</v>
      </c>
      <c r="P42" s="48">
        <f t="shared" si="1"/>
        <v>0</v>
      </c>
      <c r="R42" s="49">
        <f t="shared" si="2"/>
        <v>0</v>
      </c>
      <c r="S42" s="49">
        <f t="shared" si="3"/>
        <v>0</v>
      </c>
    </row>
    <row r="43" spans="14:19" ht="13" x14ac:dyDescent="0.3">
      <c r="N43" s="47" t="e">
        <f t="shared" si="4"/>
        <v>#NUM!</v>
      </c>
      <c r="O43" s="47" t="e">
        <f t="shared" si="0"/>
        <v>#NUM!</v>
      </c>
      <c r="P43" s="48">
        <f t="shared" si="1"/>
        <v>0</v>
      </c>
      <c r="R43" s="49">
        <f t="shared" si="2"/>
        <v>0</v>
      </c>
      <c r="S43" s="49">
        <f t="shared" si="3"/>
        <v>0</v>
      </c>
    </row>
    <row r="44" spans="14:19" ht="13" x14ac:dyDescent="0.3">
      <c r="N44" s="47" t="e">
        <f t="shared" si="4"/>
        <v>#NUM!</v>
      </c>
      <c r="O44" s="47" t="e">
        <f t="shared" si="0"/>
        <v>#NUM!</v>
      </c>
      <c r="P44" s="48">
        <f t="shared" si="1"/>
        <v>0</v>
      </c>
      <c r="R44" s="49">
        <f t="shared" si="2"/>
        <v>0</v>
      </c>
      <c r="S44" s="49">
        <f t="shared" si="3"/>
        <v>0</v>
      </c>
    </row>
    <row r="45" spans="14:19" ht="13" x14ac:dyDescent="0.3">
      <c r="N45" s="47" t="e">
        <f t="shared" si="4"/>
        <v>#NUM!</v>
      </c>
      <c r="O45" s="47" t="e">
        <f t="shared" si="0"/>
        <v>#NUM!</v>
      </c>
      <c r="P45" s="48">
        <f t="shared" si="1"/>
        <v>0</v>
      </c>
      <c r="R45" s="49">
        <f t="shared" si="2"/>
        <v>0</v>
      </c>
      <c r="S45" s="49">
        <f t="shared" si="3"/>
        <v>0</v>
      </c>
    </row>
    <row r="46" spans="14:19" ht="13" x14ac:dyDescent="0.3">
      <c r="N46" s="47" t="e">
        <f t="shared" si="4"/>
        <v>#NUM!</v>
      </c>
      <c r="O46" s="47" t="e">
        <f t="shared" si="0"/>
        <v>#NUM!</v>
      </c>
      <c r="P46" s="48">
        <f t="shared" si="1"/>
        <v>0</v>
      </c>
      <c r="R46" s="49">
        <f t="shared" si="2"/>
        <v>0</v>
      </c>
      <c r="S46" s="49">
        <f t="shared" si="3"/>
        <v>0</v>
      </c>
    </row>
    <row r="47" spans="14:19" ht="13" x14ac:dyDescent="0.3">
      <c r="N47" s="47" t="e">
        <f t="shared" si="4"/>
        <v>#NUM!</v>
      </c>
      <c r="O47" s="47" t="e">
        <f t="shared" si="0"/>
        <v>#NUM!</v>
      </c>
      <c r="P47" s="48">
        <f t="shared" si="1"/>
        <v>0</v>
      </c>
      <c r="R47" s="49">
        <f t="shared" si="2"/>
        <v>0</v>
      </c>
      <c r="S47" s="49">
        <f t="shared" si="3"/>
        <v>0</v>
      </c>
    </row>
    <row r="48" spans="14:19" ht="13" x14ac:dyDescent="0.3">
      <c r="N48" s="47" t="e">
        <f t="shared" si="4"/>
        <v>#NUM!</v>
      </c>
      <c r="O48" s="47" t="e">
        <f t="shared" si="0"/>
        <v>#NUM!</v>
      </c>
      <c r="P48" s="48">
        <f t="shared" si="1"/>
        <v>0</v>
      </c>
      <c r="R48" s="49">
        <f t="shared" si="2"/>
        <v>0</v>
      </c>
      <c r="S48" s="49">
        <f t="shared" si="3"/>
        <v>0</v>
      </c>
    </row>
    <row r="49" spans="14:19" ht="13" x14ac:dyDescent="0.3">
      <c r="N49" s="47" t="e">
        <f t="shared" si="4"/>
        <v>#NUM!</v>
      </c>
      <c r="O49" s="47" t="e">
        <f t="shared" si="0"/>
        <v>#NUM!</v>
      </c>
      <c r="P49" s="48">
        <f t="shared" si="1"/>
        <v>0</v>
      </c>
      <c r="R49" s="49">
        <f t="shared" si="2"/>
        <v>0</v>
      </c>
      <c r="S49" s="49">
        <f t="shared" si="3"/>
        <v>0</v>
      </c>
    </row>
    <row r="50" spans="14:19" ht="13" x14ac:dyDescent="0.3">
      <c r="N50" s="47" t="e">
        <f t="shared" si="4"/>
        <v>#NUM!</v>
      </c>
      <c r="O50" s="47" t="e">
        <f t="shared" si="0"/>
        <v>#NUM!</v>
      </c>
      <c r="P50" s="48">
        <f t="shared" si="1"/>
        <v>0</v>
      </c>
      <c r="R50" s="49">
        <f t="shared" si="2"/>
        <v>0</v>
      </c>
      <c r="S50" s="49">
        <f t="shared" si="3"/>
        <v>0</v>
      </c>
    </row>
    <row r="51" spans="14:19" ht="13" x14ac:dyDescent="0.3">
      <c r="N51" s="47" t="e">
        <f t="shared" si="4"/>
        <v>#NUM!</v>
      </c>
      <c r="O51" s="47" t="e">
        <f t="shared" si="0"/>
        <v>#NUM!</v>
      </c>
      <c r="P51" s="48">
        <f t="shared" si="1"/>
        <v>0</v>
      </c>
      <c r="R51" s="49">
        <f t="shared" si="2"/>
        <v>0</v>
      </c>
      <c r="S51" s="49">
        <f t="shared" si="3"/>
        <v>0</v>
      </c>
    </row>
    <row r="52" spans="14:19" ht="13" x14ac:dyDescent="0.3">
      <c r="N52" s="47" t="e">
        <f t="shared" si="4"/>
        <v>#NUM!</v>
      </c>
      <c r="O52" s="47" t="e">
        <f t="shared" si="0"/>
        <v>#NUM!</v>
      </c>
      <c r="P52" s="48">
        <f t="shared" si="1"/>
        <v>0</v>
      </c>
      <c r="R52" s="49">
        <f t="shared" si="2"/>
        <v>0</v>
      </c>
      <c r="S52" s="49">
        <f t="shared" si="3"/>
        <v>0</v>
      </c>
    </row>
    <row r="53" spans="14:19" ht="13" x14ac:dyDescent="0.3">
      <c r="N53" s="47" t="e">
        <f t="shared" si="4"/>
        <v>#NUM!</v>
      </c>
      <c r="O53" s="47" t="e">
        <f t="shared" si="0"/>
        <v>#NUM!</v>
      </c>
      <c r="P53" s="48">
        <f t="shared" si="1"/>
        <v>0</v>
      </c>
      <c r="R53" s="49">
        <f t="shared" si="2"/>
        <v>0</v>
      </c>
      <c r="S53" s="49">
        <f t="shared" si="3"/>
        <v>0</v>
      </c>
    </row>
    <row r="54" spans="14:19" ht="13" x14ac:dyDescent="0.3">
      <c r="N54" s="47" t="e">
        <f t="shared" si="4"/>
        <v>#NUM!</v>
      </c>
      <c r="O54" s="47" t="e">
        <f t="shared" si="0"/>
        <v>#NUM!</v>
      </c>
      <c r="P54" s="48">
        <f t="shared" si="1"/>
        <v>0</v>
      </c>
      <c r="R54" s="49">
        <f t="shared" si="2"/>
        <v>0</v>
      </c>
      <c r="S54" s="49">
        <f t="shared" si="3"/>
        <v>0</v>
      </c>
    </row>
    <row r="55" spans="14:19" ht="13" x14ac:dyDescent="0.3">
      <c r="N55" s="47" t="e">
        <f t="shared" si="4"/>
        <v>#NUM!</v>
      </c>
      <c r="O55" s="47" t="e">
        <f t="shared" si="0"/>
        <v>#NUM!</v>
      </c>
      <c r="P55" s="48">
        <f t="shared" si="1"/>
        <v>0</v>
      </c>
      <c r="R55" s="49">
        <f t="shared" si="2"/>
        <v>0</v>
      </c>
      <c r="S55" s="49">
        <f t="shared" si="3"/>
        <v>0</v>
      </c>
    </row>
    <row r="56" spans="14:19" ht="13" x14ac:dyDescent="0.3">
      <c r="N56" s="47" t="e">
        <f t="shared" si="4"/>
        <v>#NUM!</v>
      </c>
      <c r="O56" s="47" t="e">
        <f t="shared" si="0"/>
        <v>#NUM!</v>
      </c>
      <c r="P56" s="48">
        <f t="shared" si="1"/>
        <v>0</v>
      </c>
      <c r="R56" s="49">
        <f t="shared" si="2"/>
        <v>0</v>
      </c>
      <c r="S56" s="49">
        <f t="shared" si="3"/>
        <v>0</v>
      </c>
    </row>
    <row r="57" spans="14:19" ht="13" x14ac:dyDescent="0.3">
      <c r="N57" s="47" t="e">
        <f t="shared" si="4"/>
        <v>#NUM!</v>
      </c>
      <c r="O57" s="47" t="e">
        <f t="shared" si="0"/>
        <v>#NUM!</v>
      </c>
      <c r="P57" s="48">
        <f t="shared" si="1"/>
        <v>0</v>
      </c>
      <c r="R57" s="49">
        <f t="shared" si="2"/>
        <v>0</v>
      </c>
      <c r="S57" s="49">
        <f t="shared" si="3"/>
        <v>0</v>
      </c>
    </row>
    <row r="58" spans="14:19" ht="13" x14ac:dyDescent="0.3">
      <c r="N58" s="47" t="e">
        <f t="shared" si="4"/>
        <v>#NUM!</v>
      </c>
      <c r="O58" s="47" t="e">
        <f t="shared" si="0"/>
        <v>#NUM!</v>
      </c>
      <c r="P58" s="48">
        <f t="shared" si="1"/>
        <v>0</v>
      </c>
      <c r="R58" s="49">
        <f t="shared" si="2"/>
        <v>0</v>
      </c>
      <c r="S58" s="49">
        <f t="shared" si="3"/>
        <v>0</v>
      </c>
    </row>
    <row r="59" spans="14:19" ht="13" x14ac:dyDescent="0.3">
      <c r="N59" s="47" t="e">
        <f t="shared" si="4"/>
        <v>#NUM!</v>
      </c>
      <c r="O59" s="47" t="e">
        <f t="shared" si="0"/>
        <v>#NUM!</v>
      </c>
      <c r="P59" s="48">
        <f t="shared" si="1"/>
        <v>0</v>
      </c>
      <c r="R59" s="49">
        <f t="shared" si="2"/>
        <v>0</v>
      </c>
      <c r="S59" s="49">
        <f t="shared" si="3"/>
        <v>0</v>
      </c>
    </row>
    <row r="60" spans="14:19" ht="13" x14ac:dyDescent="0.3">
      <c r="N60" s="47" t="e">
        <f t="shared" si="4"/>
        <v>#NUM!</v>
      </c>
      <c r="O60" s="47" t="e">
        <f t="shared" si="0"/>
        <v>#NUM!</v>
      </c>
      <c r="P60" s="48">
        <f t="shared" si="1"/>
        <v>0</v>
      </c>
      <c r="R60" s="49">
        <f t="shared" si="2"/>
        <v>0</v>
      </c>
      <c r="S60" s="49">
        <f t="shared" si="3"/>
        <v>0</v>
      </c>
    </row>
    <row r="61" spans="14:19" ht="13" x14ac:dyDescent="0.3">
      <c r="N61" s="47" t="e">
        <f t="shared" si="4"/>
        <v>#NUM!</v>
      </c>
      <c r="O61" s="47" t="e">
        <f t="shared" si="0"/>
        <v>#NUM!</v>
      </c>
      <c r="P61" s="48">
        <f t="shared" si="1"/>
        <v>0</v>
      </c>
      <c r="R61" s="49">
        <f t="shared" si="2"/>
        <v>0</v>
      </c>
      <c r="S61" s="49">
        <f t="shared" si="3"/>
        <v>0</v>
      </c>
    </row>
    <row r="62" spans="14:19" ht="13" x14ac:dyDescent="0.3">
      <c r="N62" s="47" t="e">
        <f t="shared" si="4"/>
        <v>#NUM!</v>
      </c>
      <c r="O62" s="47" t="e">
        <f t="shared" si="0"/>
        <v>#NUM!</v>
      </c>
      <c r="P62" s="48">
        <f t="shared" si="1"/>
        <v>0</v>
      </c>
      <c r="R62" s="49">
        <f t="shared" si="2"/>
        <v>0</v>
      </c>
      <c r="S62" s="49">
        <f t="shared" si="3"/>
        <v>0</v>
      </c>
    </row>
    <row r="63" spans="14:19" ht="13" x14ac:dyDescent="0.3">
      <c r="N63" s="47" t="e">
        <f t="shared" si="4"/>
        <v>#NUM!</v>
      </c>
      <c r="O63" s="47" t="e">
        <f t="shared" si="0"/>
        <v>#NUM!</v>
      </c>
      <c r="P63" s="48">
        <f t="shared" si="1"/>
        <v>0</v>
      </c>
      <c r="R63" s="49">
        <f t="shared" si="2"/>
        <v>0</v>
      </c>
      <c r="S63" s="49">
        <f t="shared" si="3"/>
        <v>0</v>
      </c>
    </row>
    <row r="64" spans="14:19" ht="13" x14ac:dyDescent="0.3">
      <c r="N64" s="47" t="e">
        <f t="shared" si="4"/>
        <v>#NUM!</v>
      </c>
      <c r="O64" s="47" t="e">
        <f t="shared" si="0"/>
        <v>#NUM!</v>
      </c>
      <c r="P64" s="48">
        <f t="shared" si="1"/>
        <v>0</v>
      </c>
      <c r="R64" s="49">
        <f t="shared" si="2"/>
        <v>0</v>
      </c>
      <c r="S64" s="49">
        <f t="shared" si="3"/>
        <v>0</v>
      </c>
    </row>
    <row r="65" spans="14:19" ht="13" x14ac:dyDescent="0.3">
      <c r="N65" s="47" t="e">
        <f t="shared" si="4"/>
        <v>#NUM!</v>
      </c>
      <c r="O65" s="47" t="e">
        <f t="shared" si="0"/>
        <v>#NUM!</v>
      </c>
      <c r="P65" s="48">
        <f t="shared" si="1"/>
        <v>0</v>
      </c>
      <c r="R65" s="49">
        <f t="shared" si="2"/>
        <v>0</v>
      </c>
      <c r="S65" s="49">
        <f t="shared" si="3"/>
        <v>0</v>
      </c>
    </row>
    <row r="66" spans="14:19" ht="13" x14ac:dyDescent="0.3">
      <c r="N66" s="47" t="e">
        <f t="shared" si="4"/>
        <v>#NUM!</v>
      </c>
      <c r="O66" s="47" t="e">
        <f t="shared" si="0"/>
        <v>#NUM!</v>
      </c>
      <c r="P66" s="48">
        <f t="shared" si="1"/>
        <v>0</v>
      </c>
      <c r="R66" s="49">
        <f t="shared" si="2"/>
        <v>0</v>
      </c>
      <c r="S66" s="49">
        <f t="shared" si="3"/>
        <v>0</v>
      </c>
    </row>
    <row r="67" spans="14:19" ht="13" x14ac:dyDescent="0.3">
      <c r="N67" s="47" t="e">
        <f t="shared" si="4"/>
        <v>#NUM!</v>
      </c>
      <c r="O67" s="47" t="e">
        <f t="shared" si="0"/>
        <v>#NUM!</v>
      </c>
      <c r="P67" s="48">
        <f t="shared" si="1"/>
        <v>0</v>
      </c>
      <c r="R67" s="49">
        <f t="shared" si="2"/>
        <v>0</v>
      </c>
      <c r="S67" s="49">
        <f t="shared" si="3"/>
        <v>0</v>
      </c>
    </row>
    <row r="68" spans="14:19" ht="13" x14ac:dyDescent="0.3">
      <c r="N68" s="47" t="e">
        <f t="shared" si="4"/>
        <v>#NUM!</v>
      </c>
      <c r="O68" s="47" t="e">
        <f t="shared" si="0"/>
        <v>#NUM!</v>
      </c>
      <c r="P68" s="48">
        <f t="shared" si="1"/>
        <v>0</v>
      </c>
      <c r="R68" s="49">
        <f t="shared" si="2"/>
        <v>0</v>
      </c>
      <c r="S68" s="49">
        <f t="shared" si="3"/>
        <v>0</v>
      </c>
    </row>
    <row r="69" spans="14:19" ht="13" x14ac:dyDescent="0.3">
      <c r="N69" s="47" t="e">
        <f t="shared" si="4"/>
        <v>#NUM!</v>
      </c>
      <c r="O69" s="47" t="e">
        <f t="shared" si="0"/>
        <v>#NUM!</v>
      </c>
      <c r="P69" s="48">
        <f t="shared" si="1"/>
        <v>0</v>
      </c>
      <c r="R69" s="49">
        <f t="shared" si="2"/>
        <v>0</v>
      </c>
      <c r="S69" s="49">
        <f t="shared" si="3"/>
        <v>0</v>
      </c>
    </row>
    <row r="70" spans="14:19" ht="13" x14ac:dyDescent="0.3">
      <c r="N70" s="47" t="e">
        <f t="shared" si="4"/>
        <v>#NUM!</v>
      </c>
      <c r="O70" s="47" t="e">
        <f t="shared" si="0"/>
        <v>#NUM!</v>
      </c>
      <c r="P70" s="48">
        <f t="shared" si="1"/>
        <v>0</v>
      </c>
      <c r="R70" s="49">
        <f t="shared" si="2"/>
        <v>0</v>
      </c>
      <c r="S70" s="49">
        <f t="shared" si="3"/>
        <v>0</v>
      </c>
    </row>
    <row r="71" spans="14:19" ht="13" x14ac:dyDescent="0.3">
      <c r="N71" s="47" t="e">
        <f t="shared" si="4"/>
        <v>#NUM!</v>
      </c>
      <c r="O71" s="47" t="e">
        <f t="shared" si="0"/>
        <v>#NUM!</v>
      </c>
      <c r="P71" s="48">
        <f t="shared" si="1"/>
        <v>0</v>
      </c>
      <c r="R71" s="49">
        <f t="shared" si="2"/>
        <v>0</v>
      </c>
      <c r="S71" s="49">
        <f t="shared" si="3"/>
        <v>0</v>
      </c>
    </row>
    <row r="72" spans="14:19" ht="13" x14ac:dyDescent="0.3">
      <c r="N72" s="47" t="e">
        <f t="shared" si="4"/>
        <v>#NUM!</v>
      </c>
      <c r="O72" s="47" t="e">
        <f t="shared" si="0"/>
        <v>#NUM!</v>
      </c>
      <c r="P72" s="48">
        <f t="shared" si="1"/>
        <v>0</v>
      </c>
      <c r="R72" s="49">
        <f t="shared" si="2"/>
        <v>0</v>
      </c>
      <c r="S72" s="49">
        <f t="shared" si="3"/>
        <v>0</v>
      </c>
    </row>
    <row r="73" spans="14:19" ht="13" x14ac:dyDescent="0.3">
      <c r="N73" s="47" t="e">
        <f t="shared" ref="N73:N136" si="5">($D$4-DATE(H73,F73,G73))/365.25</f>
        <v>#NUM!</v>
      </c>
      <c r="O73" s="47" t="e">
        <f t="shared" ref="O73:O136" si="6">($D$4-DATE(K73,I73,J73))/365.25</f>
        <v>#NUM!</v>
      </c>
      <c r="P73" s="48">
        <f t="shared" ref="P73:P136" si="7">M73/($I$4*30.4)</f>
        <v>0</v>
      </c>
      <c r="R73" s="49">
        <f t="shared" ref="R73:R136" si="8">+IF(L73&lt;=1997,M73,0)</f>
        <v>0</v>
      </c>
      <c r="S73" s="49">
        <f t="shared" ref="S73:S136" si="9">+IF(L73&gt;1997,M73,0)</f>
        <v>0</v>
      </c>
    </row>
    <row r="74" spans="14:19" ht="13" x14ac:dyDescent="0.3">
      <c r="N74" s="47" t="e">
        <f t="shared" si="5"/>
        <v>#NUM!</v>
      </c>
      <c r="O74" s="47" t="e">
        <f t="shared" si="6"/>
        <v>#NUM!</v>
      </c>
      <c r="P74" s="48">
        <f t="shared" si="7"/>
        <v>0</v>
      </c>
      <c r="R74" s="49">
        <f t="shared" si="8"/>
        <v>0</v>
      </c>
      <c r="S74" s="49">
        <f t="shared" si="9"/>
        <v>0</v>
      </c>
    </row>
    <row r="75" spans="14:19" ht="13" x14ac:dyDescent="0.3">
      <c r="N75" s="47" t="e">
        <f t="shared" si="5"/>
        <v>#NUM!</v>
      </c>
      <c r="O75" s="47" t="e">
        <f t="shared" si="6"/>
        <v>#NUM!</v>
      </c>
      <c r="P75" s="48">
        <f t="shared" si="7"/>
        <v>0</v>
      </c>
      <c r="R75" s="49">
        <f t="shared" si="8"/>
        <v>0</v>
      </c>
      <c r="S75" s="49">
        <f t="shared" si="9"/>
        <v>0</v>
      </c>
    </row>
    <row r="76" spans="14:19" ht="13" x14ac:dyDescent="0.3">
      <c r="N76" s="47" t="e">
        <f t="shared" si="5"/>
        <v>#NUM!</v>
      </c>
      <c r="O76" s="47" t="e">
        <f t="shared" si="6"/>
        <v>#NUM!</v>
      </c>
      <c r="P76" s="48">
        <f t="shared" si="7"/>
        <v>0</v>
      </c>
      <c r="R76" s="49">
        <f t="shared" si="8"/>
        <v>0</v>
      </c>
      <c r="S76" s="49">
        <f t="shared" si="9"/>
        <v>0</v>
      </c>
    </row>
    <row r="77" spans="14:19" ht="13" x14ac:dyDescent="0.3">
      <c r="N77" s="47" t="e">
        <f t="shared" si="5"/>
        <v>#NUM!</v>
      </c>
      <c r="O77" s="47" t="e">
        <f t="shared" si="6"/>
        <v>#NUM!</v>
      </c>
      <c r="P77" s="48">
        <f t="shared" si="7"/>
        <v>0</v>
      </c>
      <c r="R77" s="49">
        <f t="shared" si="8"/>
        <v>0</v>
      </c>
      <c r="S77" s="49">
        <f t="shared" si="9"/>
        <v>0</v>
      </c>
    </row>
    <row r="78" spans="14:19" ht="13" x14ac:dyDescent="0.3">
      <c r="N78" s="47" t="e">
        <f t="shared" si="5"/>
        <v>#NUM!</v>
      </c>
      <c r="O78" s="47" t="e">
        <f t="shared" si="6"/>
        <v>#NUM!</v>
      </c>
      <c r="P78" s="48">
        <f t="shared" si="7"/>
        <v>0</v>
      </c>
      <c r="R78" s="49">
        <f t="shared" si="8"/>
        <v>0</v>
      </c>
      <c r="S78" s="49">
        <f t="shared" si="9"/>
        <v>0</v>
      </c>
    </row>
    <row r="79" spans="14:19" ht="13" x14ac:dyDescent="0.3">
      <c r="N79" s="47" t="e">
        <f t="shared" si="5"/>
        <v>#NUM!</v>
      </c>
      <c r="O79" s="47" t="e">
        <f t="shared" si="6"/>
        <v>#NUM!</v>
      </c>
      <c r="P79" s="48">
        <f t="shared" si="7"/>
        <v>0</v>
      </c>
      <c r="R79" s="49">
        <f t="shared" si="8"/>
        <v>0</v>
      </c>
      <c r="S79" s="49">
        <f t="shared" si="9"/>
        <v>0</v>
      </c>
    </row>
    <row r="80" spans="14:19" ht="13" x14ac:dyDescent="0.3">
      <c r="N80" s="47" t="e">
        <f t="shared" si="5"/>
        <v>#NUM!</v>
      </c>
      <c r="O80" s="47" t="e">
        <f t="shared" si="6"/>
        <v>#NUM!</v>
      </c>
      <c r="P80" s="48">
        <f t="shared" si="7"/>
        <v>0</v>
      </c>
      <c r="R80" s="49">
        <f t="shared" si="8"/>
        <v>0</v>
      </c>
      <c r="S80" s="49">
        <f t="shared" si="9"/>
        <v>0</v>
      </c>
    </row>
    <row r="81" spans="14:19" ht="13" x14ac:dyDescent="0.3">
      <c r="N81" s="47" t="e">
        <f t="shared" si="5"/>
        <v>#NUM!</v>
      </c>
      <c r="O81" s="47" t="e">
        <f t="shared" si="6"/>
        <v>#NUM!</v>
      </c>
      <c r="P81" s="48">
        <f t="shared" si="7"/>
        <v>0</v>
      </c>
      <c r="R81" s="49">
        <f t="shared" si="8"/>
        <v>0</v>
      </c>
      <c r="S81" s="49">
        <f t="shared" si="9"/>
        <v>0</v>
      </c>
    </row>
    <row r="82" spans="14:19" ht="13" x14ac:dyDescent="0.3">
      <c r="N82" s="47" t="e">
        <f t="shared" si="5"/>
        <v>#NUM!</v>
      </c>
      <c r="O82" s="47" t="e">
        <f t="shared" si="6"/>
        <v>#NUM!</v>
      </c>
      <c r="P82" s="48">
        <f t="shared" si="7"/>
        <v>0</v>
      </c>
      <c r="R82" s="49">
        <f t="shared" si="8"/>
        <v>0</v>
      </c>
      <c r="S82" s="49">
        <f t="shared" si="9"/>
        <v>0</v>
      </c>
    </row>
    <row r="83" spans="14:19" ht="13" x14ac:dyDescent="0.3">
      <c r="N83" s="47" t="e">
        <f t="shared" si="5"/>
        <v>#NUM!</v>
      </c>
      <c r="O83" s="47" t="e">
        <f t="shared" si="6"/>
        <v>#NUM!</v>
      </c>
      <c r="P83" s="48">
        <f t="shared" si="7"/>
        <v>0</v>
      </c>
      <c r="R83" s="49">
        <f t="shared" si="8"/>
        <v>0</v>
      </c>
      <c r="S83" s="49">
        <f t="shared" si="9"/>
        <v>0</v>
      </c>
    </row>
    <row r="84" spans="14:19" ht="13" x14ac:dyDescent="0.3">
      <c r="N84" s="47" t="e">
        <f t="shared" si="5"/>
        <v>#NUM!</v>
      </c>
      <c r="O84" s="47" t="e">
        <f t="shared" si="6"/>
        <v>#NUM!</v>
      </c>
      <c r="P84" s="48">
        <f t="shared" si="7"/>
        <v>0</v>
      </c>
      <c r="R84" s="49">
        <f t="shared" si="8"/>
        <v>0</v>
      </c>
      <c r="S84" s="49">
        <f t="shared" si="9"/>
        <v>0</v>
      </c>
    </row>
    <row r="85" spans="14:19" ht="13" x14ac:dyDescent="0.3">
      <c r="N85" s="47" t="e">
        <f t="shared" si="5"/>
        <v>#NUM!</v>
      </c>
      <c r="O85" s="47" t="e">
        <f t="shared" si="6"/>
        <v>#NUM!</v>
      </c>
      <c r="P85" s="48">
        <f t="shared" si="7"/>
        <v>0</v>
      </c>
      <c r="R85" s="49">
        <f t="shared" si="8"/>
        <v>0</v>
      </c>
      <c r="S85" s="49">
        <f t="shared" si="9"/>
        <v>0</v>
      </c>
    </row>
    <row r="86" spans="14:19" ht="13" x14ac:dyDescent="0.3">
      <c r="N86" s="47" t="e">
        <f t="shared" si="5"/>
        <v>#NUM!</v>
      </c>
      <c r="O86" s="47" t="e">
        <f t="shared" si="6"/>
        <v>#NUM!</v>
      </c>
      <c r="P86" s="48">
        <f t="shared" si="7"/>
        <v>0</v>
      </c>
      <c r="R86" s="49">
        <f t="shared" si="8"/>
        <v>0</v>
      </c>
      <c r="S86" s="49">
        <f t="shared" si="9"/>
        <v>0</v>
      </c>
    </row>
    <row r="87" spans="14:19" ht="13" x14ac:dyDescent="0.3">
      <c r="N87" s="47" t="e">
        <f t="shared" si="5"/>
        <v>#NUM!</v>
      </c>
      <c r="O87" s="47" t="e">
        <f t="shared" si="6"/>
        <v>#NUM!</v>
      </c>
      <c r="P87" s="48">
        <f t="shared" si="7"/>
        <v>0</v>
      </c>
      <c r="R87" s="49">
        <f t="shared" si="8"/>
        <v>0</v>
      </c>
      <c r="S87" s="49">
        <f t="shared" si="9"/>
        <v>0</v>
      </c>
    </row>
    <row r="88" spans="14:19" ht="13" x14ac:dyDescent="0.3">
      <c r="N88" s="47" t="e">
        <f t="shared" si="5"/>
        <v>#NUM!</v>
      </c>
      <c r="O88" s="47" t="e">
        <f t="shared" si="6"/>
        <v>#NUM!</v>
      </c>
      <c r="P88" s="48">
        <f t="shared" si="7"/>
        <v>0</v>
      </c>
      <c r="R88" s="49">
        <f t="shared" si="8"/>
        <v>0</v>
      </c>
      <c r="S88" s="49">
        <f t="shared" si="9"/>
        <v>0</v>
      </c>
    </row>
    <row r="89" spans="14:19" ht="13" x14ac:dyDescent="0.3">
      <c r="N89" s="47" t="e">
        <f t="shared" si="5"/>
        <v>#NUM!</v>
      </c>
      <c r="O89" s="47" t="e">
        <f t="shared" si="6"/>
        <v>#NUM!</v>
      </c>
      <c r="P89" s="48">
        <f t="shared" si="7"/>
        <v>0</v>
      </c>
      <c r="R89" s="49">
        <f t="shared" si="8"/>
        <v>0</v>
      </c>
      <c r="S89" s="49">
        <f t="shared" si="9"/>
        <v>0</v>
      </c>
    </row>
    <row r="90" spans="14:19" ht="13" x14ac:dyDescent="0.3">
      <c r="N90" s="47" t="e">
        <f t="shared" si="5"/>
        <v>#NUM!</v>
      </c>
      <c r="O90" s="47" t="e">
        <f t="shared" si="6"/>
        <v>#NUM!</v>
      </c>
      <c r="P90" s="48">
        <f t="shared" si="7"/>
        <v>0</v>
      </c>
      <c r="R90" s="49">
        <f t="shared" si="8"/>
        <v>0</v>
      </c>
      <c r="S90" s="49">
        <f t="shared" si="9"/>
        <v>0</v>
      </c>
    </row>
    <row r="91" spans="14:19" ht="13" x14ac:dyDescent="0.3">
      <c r="N91" s="47" t="e">
        <f t="shared" si="5"/>
        <v>#NUM!</v>
      </c>
      <c r="O91" s="47" t="e">
        <f t="shared" si="6"/>
        <v>#NUM!</v>
      </c>
      <c r="P91" s="48">
        <f t="shared" si="7"/>
        <v>0</v>
      </c>
      <c r="R91" s="49">
        <f t="shared" si="8"/>
        <v>0</v>
      </c>
      <c r="S91" s="49">
        <f t="shared" si="9"/>
        <v>0</v>
      </c>
    </row>
    <row r="92" spans="14:19" ht="13" x14ac:dyDescent="0.3">
      <c r="N92" s="47" t="e">
        <f t="shared" si="5"/>
        <v>#NUM!</v>
      </c>
      <c r="O92" s="47" t="e">
        <f t="shared" si="6"/>
        <v>#NUM!</v>
      </c>
      <c r="P92" s="48">
        <f t="shared" si="7"/>
        <v>0</v>
      </c>
      <c r="R92" s="49">
        <f t="shared" si="8"/>
        <v>0</v>
      </c>
      <c r="S92" s="49">
        <f t="shared" si="9"/>
        <v>0</v>
      </c>
    </row>
    <row r="93" spans="14:19" ht="13" x14ac:dyDescent="0.3">
      <c r="N93" s="47" t="e">
        <f t="shared" si="5"/>
        <v>#NUM!</v>
      </c>
      <c r="O93" s="47" t="e">
        <f t="shared" si="6"/>
        <v>#NUM!</v>
      </c>
      <c r="P93" s="48">
        <f t="shared" si="7"/>
        <v>0</v>
      </c>
      <c r="R93" s="49">
        <f t="shared" si="8"/>
        <v>0</v>
      </c>
      <c r="S93" s="49">
        <f t="shared" si="9"/>
        <v>0</v>
      </c>
    </row>
    <row r="94" spans="14:19" ht="13" x14ac:dyDescent="0.3">
      <c r="N94" s="47" t="e">
        <f t="shared" si="5"/>
        <v>#NUM!</v>
      </c>
      <c r="O94" s="47" t="e">
        <f t="shared" si="6"/>
        <v>#NUM!</v>
      </c>
      <c r="P94" s="48">
        <f t="shared" si="7"/>
        <v>0</v>
      </c>
      <c r="R94" s="49">
        <f t="shared" si="8"/>
        <v>0</v>
      </c>
      <c r="S94" s="49">
        <f t="shared" si="9"/>
        <v>0</v>
      </c>
    </row>
    <row r="95" spans="14:19" ht="13" x14ac:dyDescent="0.3">
      <c r="N95" s="47" t="e">
        <f t="shared" si="5"/>
        <v>#NUM!</v>
      </c>
      <c r="O95" s="47" t="e">
        <f t="shared" si="6"/>
        <v>#NUM!</v>
      </c>
      <c r="P95" s="48">
        <f t="shared" si="7"/>
        <v>0</v>
      </c>
      <c r="R95" s="49">
        <f t="shared" si="8"/>
        <v>0</v>
      </c>
      <c r="S95" s="49">
        <f t="shared" si="9"/>
        <v>0</v>
      </c>
    </row>
    <row r="96" spans="14:19" ht="13" x14ac:dyDescent="0.3">
      <c r="N96" s="47" t="e">
        <f t="shared" si="5"/>
        <v>#NUM!</v>
      </c>
      <c r="O96" s="47" t="e">
        <f t="shared" si="6"/>
        <v>#NUM!</v>
      </c>
      <c r="P96" s="48">
        <f t="shared" si="7"/>
        <v>0</v>
      </c>
      <c r="R96" s="49">
        <f t="shared" si="8"/>
        <v>0</v>
      </c>
      <c r="S96" s="49">
        <f t="shared" si="9"/>
        <v>0</v>
      </c>
    </row>
    <row r="97" spans="14:19" ht="13" x14ac:dyDescent="0.3">
      <c r="N97" s="47" t="e">
        <f t="shared" si="5"/>
        <v>#NUM!</v>
      </c>
      <c r="O97" s="47" t="e">
        <f t="shared" si="6"/>
        <v>#NUM!</v>
      </c>
      <c r="P97" s="48">
        <f t="shared" si="7"/>
        <v>0</v>
      </c>
      <c r="R97" s="49">
        <f t="shared" si="8"/>
        <v>0</v>
      </c>
      <c r="S97" s="49">
        <f t="shared" si="9"/>
        <v>0</v>
      </c>
    </row>
    <row r="98" spans="14:19" ht="13" x14ac:dyDescent="0.3">
      <c r="N98" s="47" t="e">
        <f t="shared" si="5"/>
        <v>#NUM!</v>
      </c>
      <c r="O98" s="47" t="e">
        <f t="shared" si="6"/>
        <v>#NUM!</v>
      </c>
      <c r="P98" s="48">
        <f t="shared" si="7"/>
        <v>0</v>
      </c>
      <c r="R98" s="49">
        <f t="shared" si="8"/>
        <v>0</v>
      </c>
      <c r="S98" s="49">
        <f t="shared" si="9"/>
        <v>0</v>
      </c>
    </row>
    <row r="99" spans="14:19" ht="13" x14ac:dyDescent="0.3">
      <c r="N99" s="47" t="e">
        <f t="shared" si="5"/>
        <v>#NUM!</v>
      </c>
      <c r="O99" s="47" t="e">
        <f t="shared" si="6"/>
        <v>#NUM!</v>
      </c>
      <c r="P99" s="48">
        <f t="shared" si="7"/>
        <v>0</v>
      </c>
      <c r="R99" s="49">
        <f t="shared" si="8"/>
        <v>0</v>
      </c>
      <c r="S99" s="49">
        <f t="shared" si="9"/>
        <v>0</v>
      </c>
    </row>
    <row r="100" spans="14:19" ht="13" x14ac:dyDescent="0.3">
      <c r="N100" s="47" t="e">
        <f t="shared" si="5"/>
        <v>#NUM!</v>
      </c>
      <c r="O100" s="47" t="e">
        <f t="shared" si="6"/>
        <v>#NUM!</v>
      </c>
      <c r="P100" s="48">
        <f t="shared" si="7"/>
        <v>0</v>
      </c>
      <c r="R100" s="49">
        <f t="shared" si="8"/>
        <v>0</v>
      </c>
      <c r="S100" s="49">
        <f t="shared" si="9"/>
        <v>0</v>
      </c>
    </row>
    <row r="101" spans="14:19" ht="13" x14ac:dyDescent="0.3">
      <c r="N101" s="47" t="e">
        <f t="shared" si="5"/>
        <v>#NUM!</v>
      </c>
      <c r="O101" s="47" t="e">
        <f t="shared" si="6"/>
        <v>#NUM!</v>
      </c>
      <c r="P101" s="48">
        <f t="shared" si="7"/>
        <v>0</v>
      </c>
      <c r="R101" s="49">
        <f t="shared" si="8"/>
        <v>0</v>
      </c>
      <c r="S101" s="49">
        <f t="shared" si="9"/>
        <v>0</v>
      </c>
    </row>
    <row r="102" spans="14:19" ht="13" x14ac:dyDescent="0.3">
      <c r="N102" s="47" t="e">
        <f t="shared" si="5"/>
        <v>#NUM!</v>
      </c>
      <c r="O102" s="47" t="e">
        <f t="shared" si="6"/>
        <v>#NUM!</v>
      </c>
      <c r="P102" s="48">
        <f t="shared" si="7"/>
        <v>0</v>
      </c>
      <c r="R102" s="49">
        <f t="shared" si="8"/>
        <v>0</v>
      </c>
      <c r="S102" s="49">
        <f t="shared" si="9"/>
        <v>0</v>
      </c>
    </row>
    <row r="103" spans="14:19" ht="13" x14ac:dyDescent="0.3">
      <c r="N103" s="47" t="e">
        <f t="shared" si="5"/>
        <v>#NUM!</v>
      </c>
      <c r="O103" s="47" t="e">
        <f t="shared" si="6"/>
        <v>#NUM!</v>
      </c>
      <c r="P103" s="48">
        <f t="shared" si="7"/>
        <v>0</v>
      </c>
      <c r="R103" s="49">
        <f t="shared" si="8"/>
        <v>0</v>
      </c>
      <c r="S103" s="49">
        <f t="shared" si="9"/>
        <v>0</v>
      </c>
    </row>
    <row r="104" spans="14:19" ht="13" x14ac:dyDescent="0.3">
      <c r="N104" s="47" t="e">
        <f t="shared" si="5"/>
        <v>#NUM!</v>
      </c>
      <c r="O104" s="47" t="e">
        <f t="shared" si="6"/>
        <v>#NUM!</v>
      </c>
      <c r="P104" s="48">
        <f t="shared" si="7"/>
        <v>0</v>
      </c>
      <c r="R104" s="49">
        <f t="shared" si="8"/>
        <v>0</v>
      </c>
      <c r="S104" s="49">
        <f t="shared" si="9"/>
        <v>0</v>
      </c>
    </row>
    <row r="105" spans="14:19" ht="13" x14ac:dyDescent="0.3">
      <c r="N105" s="47" t="e">
        <f t="shared" si="5"/>
        <v>#NUM!</v>
      </c>
      <c r="O105" s="47" t="e">
        <f t="shared" si="6"/>
        <v>#NUM!</v>
      </c>
      <c r="P105" s="48">
        <f t="shared" si="7"/>
        <v>0</v>
      </c>
      <c r="R105" s="49">
        <f t="shared" si="8"/>
        <v>0</v>
      </c>
      <c r="S105" s="49">
        <f t="shared" si="9"/>
        <v>0</v>
      </c>
    </row>
    <row r="106" spans="14:19" ht="13" x14ac:dyDescent="0.3">
      <c r="N106" s="47" t="e">
        <f t="shared" si="5"/>
        <v>#NUM!</v>
      </c>
      <c r="O106" s="47" t="e">
        <f t="shared" si="6"/>
        <v>#NUM!</v>
      </c>
      <c r="P106" s="48">
        <f t="shared" si="7"/>
        <v>0</v>
      </c>
      <c r="R106" s="49">
        <f t="shared" si="8"/>
        <v>0</v>
      </c>
      <c r="S106" s="49">
        <f t="shared" si="9"/>
        <v>0</v>
      </c>
    </row>
    <row r="107" spans="14:19" ht="13" x14ac:dyDescent="0.3">
      <c r="N107" s="47" t="e">
        <f t="shared" si="5"/>
        <v>#NUM!</v>
      </c>
      <c r="O107" s="47" t="e">
        <f t="shared" si="6"/>
        <v>#NUM!</v>
      </c>
      <c r="P107" s="48">
        <f t="shared" si="7"/>
        <v>0</v>
      </c>
      <c r="R107" s="49">
        <f t="shared" si="8"/>
        <v>0</v>
      </c>
      <c r="S107" s="49">
        <f t="shared" si="9"/>
        <v>0</v>
      </c>
    </row>
    <row r="108" spans="14:19" ht="13" x14ac:dyDescent="0.3">
      <c r="N108" s="47" t="e">
        <f t="shared" si="5"/>
        <v>#NUM!</v>
      </c>
      <c r="O108" s="47" t="e">
        <f t="shared" si="6"/>
        <v>#NUM!</v>
      </c>
      <c r="P108" s="48">
        <f t="shared" si="7"/>
        <v>0</v>
      </c>
      <c r="R108" s="49">
        <f t="shared" si="8"/>
        <v>0</v>
      </c>
      <c r="S108" s="49">
        <f t="shared" si="9"/>
        <v>0</v>
      </c>
    </row>
    <row r="109" spans="14:19" ht="13" x14ac:dyDescent="0.3">
      <c r="N109" s="47" t="e">
        <f t="shared" si="5"/>
        <v>#NUM!</v>
      </c>
      <c r="O109" s="47" t="e">
        <f t="shared" si="6"/>
        <v>#NUM!</v>
      </c>
      <c r="P109" s="48">
        <f t="shared" si="7"/>
        <v>0</v>
      </c>
      <c r="R109" s="49">
        <f t="shared" si="8"/>
        <v>0</v>
      </c>
      <c r="S109" s="49">
        <f t="shared" si="9"/>
        <v>0</v>
      </c>
    </row>
    <row r="110" spans="14:19" ht="13" x14ac:dyDescent="0.3">
      <c r="N110" s="47" t="e">
        <f t="shared" si="5"/>
        <v>#NUM!</v>
      </c>
      <c r="O110" s="47" t="e">
        <f t="shared" si="6"/>
        <v>#NUM!</v>
      </c>
      <c r="P110" s="48">
        <f t="shared" si="7"/>
        <v>0</v>
      </c>
      <c r="R110" s="49">
        <f t="shared" si="8"/>
        <v>0</v>
      </c>
      <c r="S110" s="49">
        <f t="shared" si="9"/>
        <v>0</v>
      </c>
    </row>
    <row r="111" spans="14:19" ht="13" x14ac:dyDescent="0.3">
      <c r="N111" s="47" t="e">
        <f t="shared" si="5"/>
        <v>#NUM!</v>
      </c>
      <c r="O111" s="47" t="e">
        <f t="shared" si="6"/>
        <v>#NUM!</v>
      </c>
      <c r="P111" s="48">
        <f t="shared" si="7"/>
        <v>0</v>
      </c>
      <c r="R111" s="49">
        <f t="shared" si="8"/>
        <v>0</v>
      </c>
      <c r="S111" s="49">
        <f t="shared" si="9"/>
        <v>0</v>
      </c>
    </row>
    <row r="112" spans="14:19" ht="13" x14ac:dyDescent="0.3">
      <c r="N112" s="47" t="e">
        <f t="shared" si="5"/>
        <v>#NUM!</v>
      </c>
      <c r="O112" s="47" t="e">
        <f t="shared" si="6"/>
        <v>#NUM!</v>
      </c>
      <c r="P112" s="48">
        <f t="shared" si="7"/>
        <v>0</v>
      </c>
      <c r="R112" s="49">
        <f t="shared" si="8"/>
        <v>0</v>
      </c>
      <c r="S112" s="49">
        <f t="shared" si="9"/>
        <v>0</v>
      </c>
    </row>
    <row r="113" spans="14:19" ht="13" x14ac:dyDescent="0.3">
      <c r="N113" s="47" t="e">
        <f t="shared" si="5"/>
        <v>#NUM!</v>
      </c>
      <c r="O113" s="47" t="e">
        <f t="shared" si="6"/>
        <v>#NUM!</v>
      </c>
      <c r="P113" s="48">
        <f t="shared" si="7"/>
        <v>0</v>
      </c>
      <c r="R113" s="49">
        <f t="shared" si="8"/>
        <v>0</v>
      </c>
      <c r="S113" s="49">
        <f t="shared" si="9"/>
        <v>0</v>
      </c>
    </row>
    <row r="114" spans="14:19" ht="13" x14ac:dyDescent="0.3">
      <c r="N114" s="47" t="e">
        <f t="shared" si="5"/>
        <v>#NUM!</v>
      </c>
      <c r="O114" s="47" t="e">
        <f t="shared" si="6"/>
        <v>#NUM!</v>
      </c>
      <c r="P114" s="48">
        <f t="shared" si="7"/>
        <v>0</v>
      </c>
      <c r="R114" s="49">
        <f t="shared" si="8"/>
        <v>0</v>
      </c>
      <c r="S114" s="49">
        <f t="shared" si="9"/>
        <v>0</v>
      </c>
    </row>
    <row r="115" spans="14:19" ht="13" x14ac:dyDescent="0.3">
      <c r="N115" s="47" t="e">
        <f t="shared" si="5"/>
        <v>#NUM!</v>
      </c>
      <c r="O115" s="47" t="e">
        <f t="shared" si="6"/>
        <v>#NUM!</v>
      </c>
      <c r="P115" s="48">
        <f t="shared" si="7"/>
        <v>0</v>
      </c>
      <c r="R115" s="49">
        <f t="shared" si="8"/>
        <v>0</v>
      </c>
      <c r="S115" s="49">
        <f t="shared" si="9"/>
        <v>0</v>
      </c>
    </row>
    <row r="116" spans="14:19" ht="13" x14ac:dyDescent="0.3">
      <c r="N116" s="47" t="e">
        <f t="shared" si="5"/>
        <v>#NUM!</v>
      </c>
      <c r="O116" s="47" t="e">
        <f t="shared" si="6"/>
        <v>#NUM!</v>
      </c>
      <c r="P116" s="48">
        <f t="shared" si="7"/>
        <v>0</v>
      </c>
      <c r="R116" s="49">
        <f t="shared" si="8"/>
        <v>0</v>
      </c>
      <c r="S116" s="49">
        <f t="shared" si="9"/>
        <v>0</v>
      </c>
    </row>
    <row r="117" spans="14:19" ht="13" x14ac:dyDescent="0.3">
      <c r="N117" s="47" t="e">
        <f t="shared" si="5"/>
        <v>#NUM!</v>
      </c>
      <c r="O117" s="47" t="e">
        <f t="shared" si="6"/>
        <v>#NUM!</v>
      </c>
      <c r="P117" s="48">
        <f t="shared" si="7"/>
        <v>0</v>
      </c>
      <c r="R117" s="49">
        <f t="shared" si="8"/>
        <v>0</v>
      </c>
      <c r="S117" s="49">
        <f t="shared" si="9"/>
        <v>0</v>
      </c>
    </row>
    <row r="118" spans="14:19" ht="13" x14ac:dyDescent="0.3">
      <c r="N118" s="47" t="e">
        <f t="shared" si="5"/>
        <v>#NUM!</v>
      </c>
      <c r="O118" s="47" t="e">
        <f t="shared" si="6"/>
        <v>#NUM!</v>
      </c>
      <c r="P118" s="48">
        <f t="shared" si="7"/>
        <v>0</v>
      </c>
      <c r="R118" s="49">
        <f t="shared" si="8"/>
        <v>0</v>
      </c>
      <c r="S118" s="49">
        <f t="shared" si="9"/>
        <v>0</v>
      </c>
    </row>
    <row r="119" spans="14:19" ht="13" x14ac:dyDescent="0.3">
      <c r="N119" s="47" t="e">
        <f t="shared" si="5"/>
        <v>#NUM!</v>
      </c>
      <c r="O119" s="47" t="e">
        <f t="shared" si="6"/>
        <v>#NUM!</v>
      </c>
      <c r="P119" s="48">
        <f t="shared" si="7"/>
        <v>0</v>
      </c>
      <c r="R119" s="49">
        <f t="shared" si="8"/>
        <v>0</v>
      </c>
      <c r="S119" s="49">
        <f t="shared" si="9"/>
        <v>0</v>
      </c>
    </row>
    <row r="120" spans="14:19" ht="13" x14ac:dyDescent="0.3">
      <c r="N120" s="47" t="e">
        <f t="shared" si="5"/>
        <v>#NUM!</v>
      </c>
      <c r="O120" s="47" t="e">
        <f t="shared" si="6"/>
        <v>#NUM!</v>
      </c>
      <c r="P120" s="48">
        <f t="shared" si="7"/>
        <v>0</v>
      </c>
      <c r="R120" s="49">
        <f t="shared" si="8"/>
        <v>0</v>
      </c>
      <c r="S120" s="49">
        <f t="shared" si="9"/>
        <v>0</v>
      </c>
    </row>
    <row r="121" spans="14:19" ht="13" x14ac:dyDescent="0.3">
      <c r="N121" s="47" t="e">
        <f t="shared" si="5"/>
        <v>#NUM!</v>
      </c>
      <c r="O121" s="47" t="e">
        <f t="shared" si="6"/>
        <v>#NUM!</v>
      </c>
      <c r="P121" s="48">
        <f t="shared" si="7"/>
        <v>0</v>
      </c>
      <c r="R121" s="49">
        <f t="shared" si="8"/>
        <v>0</v>
      </c>
      <c r="S121" s="49">
        <f t="shared" si="9"/>
        <v>0</v>
      </c>
    </row>
    <row r="122" spans="14:19" ht="13" x14ac:dyDescent="0.3">
      <c r="N122" s="47" t="e">
        <f t="shared" si="5"/>
        <v>#NUM!</v>
      </c>
      <c r="O122" s="47" t="e">
        <f t="shared" si="6"/>
        <v>#NUM!</v>
      </c>
      <c r="P122" s="48">
        <f t="shared" si="7"/>
        <v>0</v>
      </c>
      <c r="R122" s="49">
        <f t="shared" si="8"/>
        <v>0</v>
      </c>
      <c r="S122" s="49">
        <f t="shared" si="9"/>
        <v>0</v>
      </c>
    </row>
    <row r="123" spans="14:19" ht="13" x14ac:dyDescent="0.3">
      <c r="N123" s="47" t="e">
        <f t="shared" si="5"/>
        <v>#NUM!</v>
      </c>
      <c r="O123" s="47" t="e">
        <f t="shared" si="6"/>
        <v>#NUM!</v>
      </c>
      <c r="P123" s="48">
        <f t="shared" si="7"/>
        <v>0</v>
      </c>
      <c r="R123" s="49">
        <f t="shared" si="8"/>
        <v>0</v>
      </c>
      <c r="S123" s="49">
        <f t="shared" si="9"/>
        <v>0</v>
      </c>
    </row>
    <row r="124" spans="14:19" ht="13" x14ac:dyDescent="0.3">
      <c r="N124" s="47" t="e">
        <f t="shared" si="5"/>
        <v>#NUM!</v>
      </c>
      <c r="O124" s="47" t="e">
        <f t="shared" si="6"/>
        <v>#NUM!</v>
      </c>
      <c r="P124" s="48">
        <f t="shared" si="7"/>
        <v>0</v>
      </c>
      <c r="R124" s="49">
        <f t="shared" si="8"/>
        <v>0</v>
      </c>
      <c r="S124" s="49">
        <f t="shared" si="9"/>
        <v>0</v>
      </c>
    </row>
    <row r="125" spans="14:19" ht="13" x14ac:dyDescent="0.3">
      <c r="N125" s="47" t="e">
        <f t="shared" si="5"/>
        <v>#NUM!</v>
      </c>
      <c r="O125" s="47" t="e">
        <f t="shared" si="6"/>
        <v>#NUM!</v>
      </c>
      <c r="P125" s="48">
        <f t="shared" si="7"/>
        <v>0</v>
      </c>
      <c r="R125" s="49">
        <f t="shared" si="8"/>
        <v>0</v>
      </c>
      <c r="S125" s="49">
        <f t="shared" si="9"/>
        <v>0</v>
      </c>
    </row>
    <row r="126" spans="14:19" ht="13" x14ac:dyDescent="0.3">
      <c r="N126" s="47" t="e">
        <f t="shared" si="5"/>
        <v>#NUM!</v>
      </c>
      <c r="O126" s="47" t="e">
        <f t="shared" si="6"/>
        <v>#NUM!</v>
      </c>
      <c r="P126" s="48">
        <f t="shared" si="7"/>
        <v>0</v>
      </c>
      <c r="R126" s="49">
        <f t="shared" si="8"/>
        <v>0</v>
      </c>
      <c r="S126" s="49">
        <f t="shared" si="9"/>
        <v>0</v>
      </c>
    </row>
    <row r="127" spans="14:19" ht="13" x14ac:dyDescent="0.3">
      <c r="N127" s="47" t="e">
        <f t="shared" si="5"/>
        <v>#NUM!</v>
      </c>
      <c r="O127" s="47" t="e">
        <f t="shared" si="6"/>
        <v>#NUM!</v>
      </c>
      <c r="P127" s="48">
        <f t="shared" si="7"/>
        <v>0</v>
      </c>
      <c r="R127" s="49">
        <f t="shared" si="8"/>
        <v>0</v>
      </c>
      <c r="S127" s="49">
        <f t="shared" si="9"/>
        <v>0</v>
      </c>
    </row>
    <row r="128" spans="14:19" ht="13" x14ac:dyDescent="0.3">
      <c r="N128" s="47" t="e">
        <f t="shared" si="5"/>
        <v>#NUM!</v>
      </c>
      <c r="O128" s="47" t="e">
        <f t="shared" si="6"/>
        <v>#NUM!</v>
      </c>
      <c r="P128" s="48">
        <f t="shared" si="7"/>
        <v>0</v>
      </c>
      <c r="R128" s="49">
        <f t="shared" si="8"/>
        <v>0</v>
      </c>
      <c r="S128" s="49">
        <f t="shared" si="9"/>
        <v>0</v>
      </c>
    </row>
    <row r="129" spans="14:19" ht="13" x14ac:dyDescent="0.3">
      <c r="N129" s="47" t="e">
        <f t="shared" si="5"/>
        <v>#NUM!</v>
      </c>
      <c r="O129" s="47" t="e">
        <f t="shared" si="6"/>
        <v>#NUM!</v>
      </c>
      <c r="P129" s="48">
        <f t="shared" si="7"/>
        <v>0</v>
      </c>
      <c r="R129" s="49">
        <f t="shared" si="8"/>
        <v>0</v>
      </c>
      <c r="S129" s="49">
        <f t="shared" si="9"/>
        <v>0</v>
      </c>
    </row>
    <row r="130" spans="14:19" ht="13" x14ac:dyDescent="0.3">
      <c r="N130" s="47" t="e">
        <f t="shared" si="5"/>
        <v>#NUM!</v>
      </c>
      <c r="O130" s="47" t="e">
        <f t="shared" si="6"/>
        <v>#NUM!</v>
      </c>
      <c r="P130" s="48">
        <f t="shared" si="7"/>
        <v>0</v>
      </c>
      <c r="R130" s="49">
        <f t="shared" si="8"/>
        <v>0</v>
      </c>
      <c r="S130" s="49">
        <f t="shared" si="9"/>
        <v>0</v>
      </c>
    </row>
    <row r="131" spans="14:19" ht="13" x14ac:dyDescent="0.3">
      <c r="N131" s="47" t="e">
        <f t="shared" si="5"/>
        <v>#NUM!</v>
      </c>
      <c r="O131" s="47" t="e">
        <f t="shared" si="6"/>
        <v>#NUM!</v>
      </c>
      <c r="P131" s="48">
        <f t="shared" si="7"/>
        <v>0</v>
      </c>
      <c r="R131" s="49">
        <f t="shared" si="8"/>
        <v>0</v>
      </c>
      <c r="S131" s="49">
        <f t="shared" si="9"/>
        <v>0</v>
      </c>
    </row>
    <row r="132" spans="14:19" ht="13" x14ac:dyDescent="0.3">
      <c r="N132" s="47" t="e">
        <f t="shared" si="5"/>
        <v>#NUM!</v>
      </c>
      <c r="O132" s="47" t="e">
        <f t="shared" si="6"/>
        <v>#NUM!</v>
      </c>
      <c r="P132" s="48">
        <f t="shared" si="7"/>
        <v>0</v>
      </c>
      <c r="R132" s="49">
        <f t="shared" si="8"/>
        <v>0</v>
      </c>
      <c r="S132" s="49">
        <f t="shared" si="9"/>
        <v>0</v>
      </c>
    </row>
    <row r="133" spans="14:19" ht="13" x14ac:dyDescent="0.3">
      <c r="N133" s="47" t="e">
        <f t="shared" si="5"/>
        <v>#NUM!</v>
      </c>
      <c r="O133" s="47" t="e">
        <f t="shared" si="6"/>
        <v>#NUM!</v>
      </c>
      <c r="P133" s="48">
        <f t="shared" si="7"/>
        <v>0</v>
      </c>
      <c r="R133" s="49">
        <f t="shared" si="8"/>
        <v>0</v>
      </c>
      <c r="S133" s="49">
        <f t="shared" si="9"/>
        <v>0</v>
      </c>
    </row>
    <row r="134" spans="14:19" ht="13" x14ac:dyDescent="0.3">
      <c r="N134" s="47" t="e">
        <f t="shared" si="5"/>
        <v>#NUM!</v>
      </c>
      <c r="O134" s="47" t="e">
        <f t="shared" si="6"/>
        <v>#NUM!</v>
      </c>
      <c r="P134" s="48">
        <f t="shared" si="7"/>
        <v>0</v>
      </c>
      <c r="R134" s="49">
        <f t="shared" si="8"/>
        <v>0</v>
      </c>
      <c r="S134" s="49">
        <f t="shared" si="9"/>
        <v>0</v>
      </c>
    </row>
    <row r="135" spans="14:19" ht="13" x14ac:dyDescent="0.3">
      <c r="N135" s="47" t="e">
        <f t="shared" si="5"/>
        <v>#NUM!</v>
      </c>
      <c r="O135" s="47" t="e">
        <f t="shared" si="6"/>
        <v>#NUM!</v>
      </c>
      <c r="P135" s="48">
        <f t="shared" si="7"/>
        <v>0</v>
      </c>
      <c r="R135" s="49">
        <f t="shared" si="8"/>
        <v>0</v>
      </c>
      <c r="S135" s="49">
        <f t="shared" si="9"/>
        <v>0</v>
      </c>
    </row>
    <row r="136" spans="14:19" ht="13" x14ac:dyDescent="0.3">
      <c r="N136" s="47" t="e">
        <f t="shared" si="5"/>
        <v>#NUM!</v>
      </c>
      <c r="O136" s="47" t="e">
        <f t="shared" si="6"/>
        <v>#NUM!</v>
      </c>
      <c r="P136" s="48">
        <f t="shared" si="7"/>
        <v>0</v>
      </c>
      <c r="R136" s="49">
        <f t="shared" si="8"/>
        <v>0</v>
      </c>
      <c r="S136" s="49">
        <f t="shared" si="9"/>
        <v>0</v>
      </c>
    </row>
    <row r="137" spans="14:19" ht="13" x14ac:dyDescent="0.3">
      <c r="N137" s="47" t="e">
        <f t="shared" ref="N137:N200" si="10">($D$4-DATE(H137,F137,G137))/365.25</f>
        <v>#NUM!</v>
      </c>
      <c r="O137" s="47" t="e">
        <f t="shared" ref="O137:O200" si="11">($D$4-DATE(K137,I137,J137))/365.25</f>
        <v>#NUM!</v>
      </c>
      <c r="P137" s="48">
        <f t="shared" ref="P137:P200" si="12">M137/($I$4*30.4)</f>
        <v>0</v>
      </c>
      <c r="R137" s="49">
        <f t="shared" ref="R137:R200" si="13">+IF(L137&lt;=1997,M137,0)</f>
        <v>0</v>
      </c>
      <c r="S137" s="49">
        <f t="shared" ref="S137:S200" si="14">+IF(L137&gt;1997,M137,0)</f>
        <v>0</v>
      </c>
    </row>
    <row r="138" spans="14:19" ht="13" x14ac:dyDescent="0.3">
      <c r="N138" s="47" t="e">
        <f t="shared" si="10"/>
        <v>#NUM!</v>
      </c>
      <c r="O138" s="47" t="e">
        <f t="shared" si="11"/>
        <v>#NUM!</v>
      </c>
      <c r="P138" s="48">
        <f t="shared" si="12"/>
        <v>0</v>
      </c>
      <c r="R138" s="49">
        <f t="shared" si="13"/>
        <v>0</v>
      </c>
      <c r="S138" s="49">
        <f t="shared" si="14"/>
        <v>0</v>
      </c>
    </row>
    <row r="139" spans="14:19" ht="13" x14ac:dyDescent="0.3">
      <c r="N139" s="47" t="e">
        <f t="shared" si="10"/>
        <v>#NUM!</v>
      </c>
      <c r="O139" s="47" t="e">
        <f t="shared" si="11"/>
        <v>#NUM!</v>
      </c>
      <c r="P139" s="48">
        <f t="shared" si="12"/>
        <v>0</v>
      </c>
      <c r="R139" s="49">
        <f t="shared" si="13"/>
        <v>0</v>
      </c>
      <c r="S139" s="49">
        <f t="shared" si="14"/>
        <v>0</v>
      </c>
    </row>
    <row r="140" spans="14:19" ht="13" x14ac:dyDescent="0.3">
      <c r="N140" s="47" t="e">
        <f t="shared" si="10"/>
        <v>#NUM!</v>
      </c>
      <c r="O140" s="47" t="e">
        <f t="shared" si="11"/>
        <v>#NUM!</v>
      </c>
      <c r="P140" s="48">
        <f t="shared" si="12"/>
        <v>0</v>
      </c>
      <c r="R140" s="49">
        <f t="shared" si="13"/>
        <v>0</v>
      </c>
      <c r="S140" s="49">
        <f t="shared" si="14"/>
        <v>0</v>
      </c>
    </row>
    <row r="141" spans="14:19" ht="13" x14ac:dyDescent="0.3">
      <c r="N141" s="47" t="e">
        <f t="shared" si="10"/>
        <v>#NUM!</v>
      </c>
      <c r="O141" s="47" t="e">
        <f t="shared" si="11"/>
        <v>#NUM!</v>
      </c>
      <c r="P141" s="48">
        <f t="shared" si="12"/>
        <v>0</v>
      </c>
      <c r="R141" s="49">
        <f t="shared" si="13"/>
        <v>0</v>
      </c>
      <c r="S141" s="49">
        <f t="shared" si="14"/>
        <v>0</v>
      </c>
    </row>
    <row r="142" spans="14:19" ht="13" x14ac:dyDescent="0.3">
      <c r="N142" s="47" t="e">
        <f t="shared" si="10"/>
        <v>#NUM!</v>
      </c>
      <c r="O142" s="47" t="e">
        <f t="shared" si="11"/>
        <v>#NUM!</v>
      </c>
      <c r="P142" s="48">
        <f t="shared" si="12"/>
        <v>0</v>
      </c>
      <c r="R142" s="49">
        <f t="shared" si="13"/>
        <v>0</v>
      </c>
      <c r="S142" s="49">
        <f t="shared" si="14"/>
        <v>0</v>
      </c>
    </row>
    <row r="143" spans="14:19" ht="13" x14ac:dyDescent="0.3">
      <c r="N143" s="47" t="e">
        <f t="shared" si="10"/>
        <v>#NUM!</v>
      </c>
      <c r="O143" s="47" t="e">
        <f t="shared" si="11"/>
        <v>#NUM!</v>
      </c>
      <c r="P143" s="48">
        <f t="shared" si="12"/>
        <v>0</v>
      </c>
      <c r="R143" s="49">
        <f t="shared" si="13"/>
        <v>0</v>
      </c>
      <c r="S143" s="49">
        <f t="shared" si="14"/>
        <v>0</v>
      </c>
    </row>
    <row r="144" spans="14:19" ht="13" x14ac:dyDescent="0.3">
      <c r="N144" s="47" t="e">
        <f t="shared" si="10"/>
        <v>#NUM!</v>
      </c>
      <c r="O144" s="47" t="e">
        <f t="shared" si="11"/>
        <v>#NUM!</v>
      </c>
      <c r="P144" s="48">
        <f t="shared" si="12"/>
        <v>0</v>
      </c>
      <c r="R144" s="49">
        <f t="shared" si="13"/>
        <v>0</v>
      </c>
      <c r="S144" s="49">
        <f t="shared" si="14"/>
        <v>0</v>
      </c>
    </row>
    <row r="145" spans="14:19" ht="13" x14ac:dyDescent="0.3">
      <c r="N145" s="47" t="e">
        <f t="shared" si="10"/>
        <v>#NUM!</v>
      </c>
      <c r="O145" s="47" t="e">
        <f t="shared" si="11"/>
        <v>#NUM!</v>
      </c>
      <c r="P145" s="48">
        <f t="shared" si="12"/>
        <v>0</v>
      </c>
      <c r="R145" s="49">
        <f t="shared" si="13"/>
        <v>0</v>
      </c>
      <c r="S145" s="49">
        <f t="shared" si="14"/>
        <v>0</v>
      </c>
    </row>
    <row r="146" spans="14:19" ht="13" x14ac:dyDescent="0.3">
      <c r="N146" s="47" t="e">
        <f t="shared" si="10"/>
        <v>#NUM!</v>
      </c>
      <c r="O146" s="47" t="e">
        <f t="shared" si="11"/>
        <v>#NUM!</v>
      </c>
      <c r="P146" s="48">
        <f t="shared" si="12"/>
        <v>0</v>
      </c>
      <c r="R146" s="49">
        <f t="shared" si="13"/>
        <v>0</v>
      </c>
      <c r="S146" s="49">
        <f t="shared" si="14"/>
        <v>0</v>
      </c>
    </row>
    <row r="147" spans="14:19" ht="13" x14ac:dyDescent="0.3">
      <c r="N147" s="47" t="e">
        <f t="shared" si="10"/>
        <v>#NUM!</v>
      </c>
      <c r="O147" s="47" t="e">
        <f t="shared" si="11"/>
        <v>#NUM!</v>
      </c>
      <c r="P147" s="48">
        <f t="shared" si="12"/>
        <v>0</v>
      </c>
      <c r="R147" s="49">
        <f t="shared" si="13"/>
        <v>0</v>
      </c>
      <c r="S147" s="49">
        <f t="shared" si="14"/>
        <v>0</v>
      </c>
    </row>
    <row r="148" spans="14:19" ht="13" x14ac:dyDescent="0.3">
      <c r="N148" s="47" t="e">
        <f t="shared" si="10"/>
        <v>#NUM!</v>
      </c>
      <c r="O148" s="47" t="e">
        <f t="shared" si="11"/>
        <v>#NUM!</v>
      </c>
      <c r="P148" s="48">
        <f t="shared" si="12"/>
        <v>0</v>
      </c>
      <c r="R148" s="49">
        <f t="shared" si="13"/>
        <v>0</v>
      </c>
      <c r="S148" s="49">
        <f t="shared" si="14"/>
        <v>0</v>
      </c>
    </row>
    <row r="149" spans="14:19" ht="13" x14ac:dyDescent="0.3">
      <c r="N149" s="47" t="e">
        <f t="shared" si="10"/>
        <v>#NUM!</v>
      </c>
      <c r="O149" s="47" t="e">
        <f t="shared" si="11"/>
        <v>#NUM!</v>
      </c>
      <c r="P149" s="48">
        <f t="shared" si="12"/>
        <v>0</v>
      </c>
      <c r="R149" s="49">
        <f t="shared" si="13"/>
        <v>0</v>
      </c>
      <c r="S149" s="49">
        <f t="shared" si="14"/>
        <v>0</v>
      </c>
    </row>
    <row r="150" spans="14:19" ht="13" x14ac:dyDescent="0.3">
      <c r="N150" s="47" t="e">
        <f t="shared" si="10"/>
        <v>#NUM!</v>
      </c>
      <c r="O150" s="47" t="e">
        <f t="shared" si="11"/>
        <v>#NUM!</v>
      </c>
      <c r="P150" s="48">
        <f t="shared" si="12"/>
        <v>0</v>
      </c>
      <c r="R150" s="49">
        <f t="shared" si="13"/>
        <v>0</v>
      </c>
      <c r="S150" s="49">
        <f t="shared" si="14"/>
        <v>0</v>
      </c>
    </row>
    <row r="151" spans="14:19" ht="13" x14ac:dyDescent="0.3">
      <c r="N151" s="47" t="e">
        <f t="shared" si="10"/>
        <v>#NUM!</v>
      </c>
      <c r="O151" s="47" t="e">
        <f t="shared" si="11"/>
        <v>#NUM!</v>
      </c>
      <c r="P151" s="48">
        <f t="shared" si="12"/>
        <v>0</v>
      </c>
      <c r="R151" s="49">
        <f t="shared" si="13"/>
        <v>0</v>
      </c>
      <c r="S151" s="49">
        <f t="shared" si="14"/>
        <v>0</v>
      </c>
    </row>
    <row r="152" spans="14:19" ht="13" x14ac:dyDescent="0.3">
      <c r="N152" s="47" t="e">
        <f t="shared" si="10"/>
        <v>#NUM!</v>
      </c>
      <c r="O152" s="47" t="e">
        <f t="shared" si="11"/>
        <v>#NUM!</v>
      </c>
      <c r="P152" s="48">
        <f t="shared" si="12"/>
        <v>0</v>
      </c>
      <c r="R152" s="49">
        <f t="shared" si="13"/>
        <v>0</v>
      </c>
      <c r="S152" s="49">
        <f t="shared" si="14"/>
        <v>0</v>
      </c>
    </row>
    <row r="153" spans="14:19" ht="13" x14ac:dyDescent="0.3">
      <c r="N153" s="47" t="e">
        <f t="shared" si="10"/>
        <v>#NUM!</v>
      </c>
      <c r="O153" s="47" t="e">
        <f t="shared" si="11"/>
        <v>#NUM!</v>
      </c>
      <c r="P153" s="48">
        <f t="shared" si="12"/>
        <v>0</v>
      </c>
      <c r="R153" s="49">
        <f t="shared" si="13"/>
        <v>0</v>
      </c>
      <c r="S153" s="49">
        <f t="shared" si="14"/>
        <v>0</v>
      </c>
    </row>
    <row r="154" spans="14:19" ht="13" x14ac:dyDescent="0.3">
      <c r="N154" s="47" t="e">
        <f t="shared" si="10"/>
        <v>#NUM!</v>
      </c>
      <c r="O154" s="47" t="e">
        <f t="shared" si="11"/>
        <v>#NUM!</v>
      </c>
      <c r="P154" s="48">
        <f t="shared" si="12"/>
        <v>0</v>
      </c>
      <c r="R154" s="49">
        <f t="shared" si="13"/>
        <v>0</v>
      </c>
      <c r="S154" s="49">
        <f t="shared" si="14"/>
        <v>0</v>
      </c>
    </row>
    <row r="155" spans="14:19" ht="13" x14ac:dyDescent="0.3">
      <c r="N155" s="47" t="e">
        <f t="shared" si="10"/>
        <v>#NUM!</v>
      </c>
      <c r="O155" s="47" t="e">
        <f t="shared" si="11"/>
        <v>#NUM!</v>
      </c>
      <c r="P155" s="48">
        <f t="shared" si="12"/>
        <v>0</v>
      </c>
      <c r="R155" s="49">
        <f t="shared" si="13"/>
        <v>0</v>
      </c>
      <c r="S155" s="49">
        <f t="shared" si="14"/>
        <v>0</v>
      </c>
    </row>
    <row r="156" spans="14:19" ht="13" x14ac:dyDescent="0.3">
      <c r="N156" s="47" t="e">
        <f t="shared" si="10"/>
        <v>#NUM!</v>
      </c>
      <c r="O156" s="47" t="e">
        <f t="shared" si="11"/>
        <v>#NUM!</v>
      </c>
      <c r="P156" s="48">
        <f t="shared" si="12"/>
        <v>0</v>
      </c>
      <c r="R156" s="49">
        <f t="shared" si="13"/>
        <v>0</v>
      </c>
      <c r="S156" s="49">
        <f t="shared" si="14"/>
        <v>0</v>
      </c>
    </row>
    <row r="157" spans="14:19" ht="13" x14ac:dyDescent="0.3">
      <c r="N157" s="47" t="e">
        <f t="shared" si="10"/>
        <v>#NUM!</v>
      </c>
      <c r="O157" s="47" t="e">
        <f t="shared" si="11"/>
        <v>#NUM!</v>
      </c>
      <c r="P157" s="48">
        <f t="shared" si="12"/>
        <v>0</v>
      </c>
      <c r="R157" s="49">
        <f t="shared" si="13"/>
        <v>0</v>
      </c>
      <c r="S157" s="49">
        <f t="shared" si="14"/>
        <v>0</v>
      </c>
    </row>
    <row r="158" spans="14:19" ht="13" x14ac:dyDescent="0.3">
      <c r="N158" s="47" t="e">
        <f t="shared" si="10"/>
        <v>#NUM!</v>
      </c>
      <c r="O158" s="47" t="e">
        <f t="shared" si="11"/>
        <v>#NUM!</v>
      </c>
      <c r="P158" s="48">
        <f t="shared" si="12"/>
        <v>0</v>
      </c>
      <c r="R158" s="49">
        <f t="shared" si="13"/>
        <v>0</v>
      </c>
      <c r="S158" s="49">
        <f t="shared" si="14"/>
        <v>0</v>
      </c>
    </row>
    <row r="159" spans="14:19" ht="13" x14ac:dyDescent="0.3">
      <c r="N159" s="47" t="e">
        <f t="shared" si="10"/>
        <v>#NUM!</v>
      </c>
      <c r="O159" s="47" t="e">
        <f t="shared" si="11"/>
        <v>#NUM!</v>
      </c>
      <c r="P159" s="48">
        <f t="shared" si="12"/>
        <v>0</v>
      </c>
      <c r="R159" s="49">
        <f t="shared" si="13"/>
        <v>0</v>
      </c>
      <c r="S159" s="49">
        <f t="shared" si="14"/>
        <v>0</v>
      </c>
    </row>
    <row r="160" spans="14:19" ht="13" x14ac:dyDescent="0.3">
      <c r="N160" s="47" t="e">
        <f t="shared" si="10"/>
        <v>#NUM!</v>
      </c>
      <c r="O160" s="47" t="e">
        <f t="shared" si="11"/>
        <v>#NUM!</v>
      </c>
      <c r="P160" s="48">
        <f t="shared" si="12"/>
        <v>0</v>
      </c>
      <c r="R160" s="49">
        <f t="shared" si="13"/>
        <v>0</v>
      </c>
      <c r="S160" s="49">
        <f t="shared" si="14"/>
        <v>0</v>
      </c>
    </row>
    <row r="161" spans="14:19" ht="13" x14ac:dyDescent="0.3">
      <c r="N161" s="47" t="e">
        <f t="shared" si="10"/>
        <v>#NUM!</v>
      </c>
      <c r="O161" s="47" t="e">
        <f t="shared" si="11"/>
        <v>#NUM!</v>
      </c>
      <c r="P161" s="48">
        <f t="shared" si="12"/>
        <v>0</v>
      </c>
      <c r="R161" s="49">
        <f t="shared" si="13"/>
        <v>0</v>
      </c>
      <c r="S161" s="49">
        <f t="shared" si="14"/>
        <v>0</v>
      </c>
    </row>
    <row r="162" spans="14:19" ht="13" x14ac:dyDescent="0.3">
      <c r="N162" s="47" t="e">
        <f t="shared" si="10"/>
        <v>#NUM!</v>
      </c>
      <c r="O162" s="47" t="e">
        <f t="shared" si="11"/>
        <v>#NUM!</v>
      </c>
      <c r="P162" s="48">
        <f t="shared" si="12"/>
        <v>0</v>
      </c>
      <c r="R162" s="49">
        <f t="shared" si="13"/>
        <v>0</v>
      </c>
      <c r="S162" s="49">
        <f t="shared" si="14"/>
        <v>0</v>
      </c>
    </row>
    <row r="163" spans="14:19" ht="13" x14ac:dyDescent="0.3">
      <c r="N163" s="47" t="e">
        <f t="shared" si="10"/>
        <v>#NUM!</v>
      </c>
      <c r="O163" s="47" t="e">
        <f t="shared" si="11"/>
        <v>#NUM!</v>
      </c>
      <c r="P163" s="48">
        <f t="shared" si="12"/>
        <v>0</v>
      </c>
      <c r="R163" s="49">
        <f t="shared" si="13"/>
        <v>0</v>
      </c>
      <c r="S163" s="49">
        <f t="shared" si="14"/>
        <v>0</v>
      </c>
    </row>
    <row r="164" spans="14:19" ht="13" x14ac:dyDescent="0.3">
      <c r="N164" s="47" t="e">
        <f t="shared" si="10"/>
        <v>#NUM!</v>
      </c>
      <c r="O164" s="47" t="e">
        <f t="shared" si="11"/>
        <v>#NUM!</v>
      </c>
      <c r="P164" s="48">
        <f t="shared" si="12"/>
        <v>0</v>
      </c>
      <c r="R164" s="49">
        <f t="shared" si="13"/>
        <v>0</v>
      </c>
      <c r="S164" s="49">
        <f t="shared" si="14"/>
        <v>0</v>
      </c>
    </row>
    <row r="165" spans="14:19" ht="13" x14ac:dyDescent="0.3">
      <c r="N165" s="47" t="e">
        <f t="shared" si="10"/>
        <v>#NUM!</v>
      </c>
      <c r="O165" s="47" t="e">
        <f t="shared" si="11"/>
        <v>#NUM!</v>
      </c>
      <c r="P165" s="48">
        <f t="shared" si="12"/>
        <v>0</v>
      </c>
      <c r="R165" s="49">
        <f t="shared" si="13"/>
        <v>0</v>
      </c>
      <c r="S165" s="49">
        <f t="shared" si="14"/>
        <v>0</v>
      </c>
    </row>
    <row r="166" spans="14:19" ht="13" x14ac:dyDescent="0.3">
      <c r="N166" s="47" t="e">
        <f t="shared" si="10"/>
        <v>#NUM!</v>
      </c>
      <c r="O166" s="47" t="e">
        <f t="shared" si="11"/>
        <v>#NUM!</v>
      </c>
      <c r="P166" s="48">
        <f t="shared" si="12"/>
        <v>0</v>
      </c>
      <c r="R166" s="49">
        <f t="shared" si="13"/>
        <v>0</v>
      </c>
      <c r="S166" s="49">
        <f t="shared" si="14"/>
        <v>0</v>
      </c>
    </row>
    <row r="167" spans="14:19" ht="13" x14ac:dyDescent="0.3">
      <c r="N167" s="47" t="e">
        <f t="shared" si="10"/>
        <v>#NUM!</v>
      </c>
      <c r="O167" s="47" t="e">
        <f t="shared" si="11"/>
        <v>#NUM!</v>
      </c>
      <c r="P167" s="48">
        <f t="shared" si="12"/>
        <v>0</v>
      </c>
      <c r="R167" s="49">
        <f t="shared" si="13"/>
        <v>0</v>
      </c>
      <c r="S167" s="49">
        <f t="shared" si="14"/>
        <v>0</v>
      </c>
    </row>
    <row r="168" spans="14:19" ht="13" x14ac:dyDescent="0.3">
      <c r="N168" s="47" t="e">
        <f t="shared" si="10"/>
        <v>#NUM!</v>
      </c>
      <c r="O168" s="47" t="e">
        <f t="shared" si="11"/>
        <v>#NUM!</v>
      </c>
      <c r="P168" s="48">
        <f t="shared" si="12"/>
        <v>0</v>
      </c>
      <c r="R168" s="49">
        <f t="shared" si="13"/>
        <v>0</v>
      </c>
      <c r="S168" s="49">
        <f t="shared" si="14"/>
        <v>0</v>
      </c>
    </row>
    <row r="169" spans="14:19" ht="13" x14ac:dyDescent="0.3">
      <c r="N169" s="47" t="e">
        <f t="shared" si="10"/>
        <v>#NUM!</v>
      </c>
      <c r="O169" s="47" t="e">
        <f t="shared" si="11"/>
        <v>#NUM!</v>
      </c>
      <c r="P169" s="48">
        <f t="shared" si="12"/>
        <v>0</v>
      </c>
      <c r="R169" s="49">
        <f t="shared" si="13"/>
        <v>0</v>
      </c>
      <c r="S169" s="49">
        <f t="shared" si="14"/>
        <v>0</v>
      </c>
    </row>
    <row r="170" spans="14:19" ht="13" x14ac:dyDescent="0.3">
      <c r="N170" s="47" t="e">
        <f t="shared" si="10"/>
        <v>#NUM!</v>
      </c>
      <c r="O170" s="47" t="e">
        <f t="shared" si="11"/>
        <v>#NUM!</v>
      </c>
      <c r="P170" s="48">
        <f t="shared" si="12"/>
        <v>0</v>
      </c>
      <c r="R170" s="49">
        <f t="shared" si="13"/>
        <v>0</v>
      </c>
      <c r="S170" s="49">
        <f t="shared" si="14"/>
        <v>0</v>
      </c>
    </row>
    <row r="171" spans="14:19" ht="13" x14ac:dyDescent="0.3">
      <c r="N171" s="47" t="e">
        <f t="shared" si="10"/>
        <v>#NUM!</v>
      </c>
      <c r="O171" s="47" t="e">
        <f t="shared" si="11"/>
        <v>#NUM!</v>
      </c>
      <c r="P171" s="48">
        <f t="shared" si="12"/>
        <v>0</v>
      </c>
      <c r="R171" s="49">
        <f t="shared" si="13"/>
        <v>0</v>
      </c>
      <c r="S171" s="49">
        <f t="shared" si="14"/>
        <v>0</v>
      </c>
    </row>
    <row r="172" spans="14:19" ht="13" x14ac:dyDescent="0.3">
      <c r="N172" s="47" t="e">
        <f t="shared" si="10"/>
        <v>#NUM!</v>
      </c>
      <c r="O172" s="47" t="e">
        <f t="shared" si="11"/>
        <v>#NUM!</v>
      </c>
      <c r="P172" s="48">
        <f t="shared" si="12"/>
        <v>0</v>
      </c>
      <c r="R172" s="49">
        <f t="shared" si="13"/>
        <v>0</v>
      </c>
      <c r="S172" s="49">
        <f t="shared" si="14"/>
        <v>0</v>
      </c>
    </row>
    <row r="173" spans="14:19" ht="13" x14ac:dyDescent="0.3">
      <c r="N173" s="47" t="e">
        <f t="shared" si="10"/>
        <v>#NUM!</v>
      </c>
      <c r="O173" s="47" t="e">
        <f t="shared" si="11"/>
        <v>#NUM!</v>
      </c>
      <c r="P173" s="48">
        <f t="shared" si="12"/>
        <v>0</v>
      </c>
      <c r="R173" s="49">
        <f t="shared" si="13"/>
        <v>0</v>
      </c>
      <c r="S173" s="49">
        <f t="shared" si="14"/>
        <v>0</v>
      </c>
    </row>
    <row r="174" spans="14:19" ht="13" x14ac:dyDescent="0.3">
      <c r="N174" s="47" t="e">
        <f t="shared" si="10"/>
        <v>#NUM!</v>
      </c>
      <c r="O174" s="47" t="e">
        <f t="shared" si="11"/>
        <v>#NUM!</v>
      </c>
      <c r="P174" s="48">
        <f t="shared" si="12"/>
        <v>0</v>
      </c>
      <c r="R174" s="49">
        <f t="shared" si="13"/>
        <v>0</v>
      </c>
      <c r="S174" s="49">
        <f t="shared" si="14"/>
        <v>0</v>
      </c>
    </row>
    <row r="175" spans="14:19" ht="13" x14ac:dyDescent="0.3">
      <c r="N175" s="47" t="e">
        <f t="shared" si="10"/>
        <v>#NUM!</v>
      </c>
      <c r="O175" s="47" t="e">
        <f t="shared" si="11"/>
        <v>#NUM!</v>
      </c>
      <c r="P175" s="48">
        <f t="shared" si="12"/>
        <v>0</v>
      </c>
      <c r="R175" s="49">
        <f t="shared" si="13"/>
        <v>0</v>
      </c>
      <c r="S175" s="49">
        <f t="shared" si="14"/>
        <v>0</v>
      </c>
    </row>
    <row r="176" spans="14:19" ht="13" x14ac:dyDescent="0.3">
      <c r="N176" s="47" t="e">
        <f t="shared" si="10"/>
        <v>#NUM!</v>
      </c>
      <c r="O176" s="47" t="e">
        <f t="shared" si="11"/>
        <v>#NUM!</v>
      </c>
      <c r="P176" s="48">
        <f t="shared" si="12"/>
        <v>0</v>
      </c>
      <c r="R176" s="49">
        <f t="shared" si="13"/>
        <v>0</v>
      </c>
      <c r="S176" s="49">
        <f t="shared" si="14"/>
        <v>0</v>
      </c>
    </row>
    <row r="177" spans="14:19" ht="13" x14ac:dyDescent="0.3">
      <c r="N177" s="47" t="e">
        <f t="shared" si="10"/>
        <v>#NUM!</v>
      </c>
      <c r="O177" s="47" t="e">
        <f t="shared" si="11"/>
        <v>#NUM!</v>
      </c>
      <c r="P177" s="48">
        <f t="shared" si="12"/>
        <v>0</v>
      </c>
      <c r="R177" s="49">
        <f t="shared" si="13"/>
        <v>0</v>
      </c>
      <c r="S177" s="49">
        <f t="shared" si="14"/>
        <v>0</v>
      </c>
    </row>
    <row r="178" spans="14:19" ht="13" x14ac:dyDescent="0.3">
      <c r="N178" s="47" t="e">
        <f t="shared" si="10"/>
        <v>#NUM!</v>
      </c>
      <c r="O178" s="47" t="e">
        <f t="shared" si="11"/>
        <v>#NUM!</v>
      </c>
      <c r="P178" s="48">
        <f t="shared" si="12"/>
        <v>0</v>
      </c>
      <c r="R178" s="49">
        <f t="shared" si="13"/>
        <v>0</v>
      </c>
      <c r="S178" s="49">
        <f t="shared" si="14"/>
        <v>0</v>
      </c>
    </row>
    <row r="179" spans="14:19" ht="13" x14ac:dyDescent="0.3">
      <c r="N179" s="47" t="e">
        <f t="shared" si="10"/>
        <v>#NUM!</v>
      </c>
      <c r="O179" s="47" t="e">
        <f t="shared" si="11"/>
        <v>#NUM!</v>
      </c>
      <c r="P179" s="48">
        <f t="shared" si="12"/>
        <v>0</v>
      </c>
      <c r="R179" s="49">
        <f t="shared" si="13"/>
        <v>0</v>
      </c>
      <c r="S179" s="49">
        <f t="shared" si="14"/>
        <v>0</v>
      </c>
    </row>
    <row r="180" spans="14:19" ht="13" x14ac:dyDescent="0.3">
      <c r="N180" s="47" t="e">
        <f t="shared" si="10"/>
        <v>#NUM!</v>
      </c>
      <c r="O180" s="47" t="e">
        <f t="shared" si="11"/>
        <v>#NUM!</v>
      </c>
      <c r="P180" s="48">
        <f t="shared" si="12"/>
        <v>0</v>
      </c>
      <c r="R180" s="49">
        <f t="shared" si="13"/>
        <v>0</v>
      </c>
      <c r="S180" s="49">
        <f t="shared" si="14"/>
        <v>0</v>
      </c>
    </row>
    <row r="181" spans="14:19" ht="13" x14ac:dyDescent="0.3">
      <c r="N181" s="47" t="e">
        <f t="shared" si="10"/>
        <v>#NUM!</v>
      </c>
      <c r="O181" s="47" t="e">
        <f t="shared" si="11"/>
        <v>#NUM!</v>
      </c>
      <c r="P181" s="48">
        <f t="shared" si="12"/>
        <v>0</v>
      </c>
      <c r="R181" s="49">
        <f t="shared" si="13"/>
        <v>0</v>
      </c>
      <c r="S181" s="49">
        <f t="shared" si="14"/>
        <v>0</v>
      </c>
    </row>
    <row r="182" spans="14:19" ht="13" x14ac:dyDescent="0.3">
      <c r="N182" s="47" t="e">
        <f t="shared" si="10"/>
        <v>#NUM!</v>
      </c>
      <c r="O182" s="47" t="e">
        <f t="shared" si="11"/>
        <v>#NUM!</v>
      </c>
      <c r="P182" s="48">
        <f t="shared" si="12"/>
        <v>0</v>
      </c>
      <c r="R182" s="49">
        <f t="shared" si="13"/>
        <v>0</v>
      </c>
      <c r="S182" s="49">
        <f t="shared" si="14"/>
        <v>0</v>
      </c>
    </row>
    <row r="183" spans="14:19" ht="13" x14ac:dyDescent="0.3">
      <c r="N183" s="47" t="e">
        <f t="shared" si="10"/>
        <v>#NUM!</v>
      </c>
      <c r="O183" s="47" t="e">
        <f t="shared" si="11"/>
        <v>#NUM!</v>
      </c>
      <c r="P183" s="48">
        <f t="shared" si="12"/>
        <v>0</v>
      </c>
      <c r="R183" s="49">
        <f t="shared" si="13"/>
        <v>0</v>
      </c>
      <c r="S183" s="49">
        <f t="shared" si="14"/>
        <v>0</v>
      </c>
    </row>
    <row r="184" spans="14:19" ht="13" x14ac:dyDescent="0.3">
      <c r="N184" s="47" t="e">
        <f t="shared" si="10"/>
        <v>#NUM!</v>
      </c>
      <c r="O184" s="47" t="e">
        <f t="shared" si="11"/>
        <v>#NUM!</v>
      </c>
      <c r="P184" s="48">
        <f t="shared" si="12"/>
        <v>0</v>
      </c>
      <c r="R184" s="49">
        <f t="shared" si="13"/>
        <v>0</v>
      </c>
      <c r="S184" s="49">
        <f t="shared" si="14"/>
        <v>0</v>
      </c>
    </row>
    <row r="185" spans="14:19" ht="13" x14ac:dyDescent="0.3">
      <c r="N185" s="47" t="e">
        <f t="shared" si="10"/>
        <v>#NUM!</v>
      </c>
      <c r="O185" s="47" t="e">
        <f t="shared" si="11"/>
        <v>#NUM!</v>
      </c>
      <c r="P185" s="48">
        <f t="shared" si="12"/>
        <v>0</v>
      </c>
      <c r="R185" s="49">
        <f t="shared" si="13"/>
        <v>0</v>
      </c>
      <c r="S185" s="49">
        <f t="shared" si="14"/>
        <v>0</v>
      </c>
    </row>
    <row r="186" spans="14:19" ht="13" x14ac:dyDescent="0.3">
      <c r="N186" s="47" t="e">
        <f t="shared" si="10"/>
        <v>#NUM!</v>
      </c>
      <c r="O186" s="47" t="e">
        <f t="shared" si="11"/>
        <v>#NUM!</v>
      </c>
      <c r="P186" s="48">
        <f t="shared" si="12"/>
        <v>0</v>
      </c>
      <c r="R186" s="49">
        <f t="shared" si="13"/>
        <v>0</v>
      </c>
      <c r="S186" s="49">
        <f t="shared" si="14"/>
        <v>0</v>
      </c>
    </row>
    <row r="187" spans="14:19" ht="13" x14ac:dyDescent="0.3">
      <c r="N187" s="47" t="e">
        <f t="shared" si="10"/>
        <v>#NUM!</v>
      </c>
      <c r="O187" s="47" t="e">
        <f t="shared" si="11"/>
        <v>#NUM!</v>
      </c>
      <c r="P187" s="48">
        <f t="shared" si="12"/>
        <v>0</v>
      </c>
      <c r="R187" s="49">
        <f t="shared" si="13"/>
        <v>0</v>
      </c>
      <c r="S187" s="49">
        <f t="shared" si="14"/>
        <v>0</v>
      </c>
    </row>
    <row r="188" spans="14:19" ht="13" x14ac:dyDescent="0.3">
      <c r="N188" s="47" t="e">
        <f t="shared" si="10"/>
        <v>#NUM!</v>
      </c>
      <c r="O188" s="47" t="e">
        <f t="shared" si="11"/>
        <v>#NUM!</v>
      </c>
      <c r="P188" s="48">
        <f t="shared" si="12"/>
        <v>0</v>
      </c>
      <c r="R188" s="49">
        <f t="shared" si="13"/>
        <v>0</v>
      </c>
      <c r="S188" s="49">
        <f t="shared" si="14"/>
        <v>0</v>
      </c>
    </row>
    <row r="189" spans="14:19" ht="13" x14ac:dyDescent="0.3">
      <c r="N189" s="47" t="e">
        <f t="shared" si="10"/>
        <v>#NUM!</v>
      </c>
      <c r="O189" s="47" t="e">
        <f t="shared" si="11"/>
        <v>#NUM!</v>
      </c>
      <c r="P189" s="48">
        <f t="shared" si="12"/>
        <v>0</v>
      </c>
      <c r="R189" s="49">
        <f t="shared" si="13"/>
        <v>0</v>
      </c>
      <c r="S189" s="49">
        <f t="shared" si="14"/>
        <v>0</v>
      </c>
    </row>
    <row r="190" spans="14:19" ht="13" x14ac:dyDescent="0.3">
      <c r="N190" s="47" t="e">
        <f t="shared" si="10"/>
        <v>#NUM!</v>
      </c>
      <c r="O190" s="47" t="e">
        <f t="shared" si="11"/>
        <v>#NUM!</v>
      </c>
      <c r="P190" s="48">
        <f t="shared" si="12"/>
        <v>0</v>
      </c>
      <c r="R190" s="49">
        <f t="shared" si="13"/>
        <v>0</v>
      </c>
      <c r="S190" s="49">
        <f t="shared" si="14"/>
        <v>0</v>
      </c>
    </row>
    <row r="191" spans="14:19" ht="13" x14ac:dyDescent="0.3">
      <c r="N191" s="47" t="e">
        <f t="shared" si="10"/>
        <v>#NUM!</v>
      </c>
      <c r="O191" s="47" t="e">
        <f t="shared" si="11"/>
        <v>#NUM!</v>
      </c>
      <c r="P191" s="48">
        <f t="shared" si="12"/>
        <v>0</v>
      </c>
      <c r="R191" s="49">
        <f t="shared" si="13"/>
        <v>0</v>
      </c>
      <c r="S191" s="49">
        <f t="shared" si="14"/>
        <v>0</v>
      </c>
    </row>
    <row r="192" spans="14:19" ht="13" x14ac:dyDescent="0.3">
      <c r="N192" s="47" t="e">
        <f t="shared" si="10"/>
        <v>#NUM!</v>
      </c>
      <c r="O192" s="47" t="e">
        <f t="shared" si="11"/>
        <v>#NUM!</v>
      </c>
      <c r="P192" s="48">
        <f t="shared" si="12"/>
        <v>0</v>
      </c>
      <c r="R192" s="49">
        <f t="shared" si="13"/>
        <v>0</v>
      </c>
      <c r="S192" s="49">
        <f t="shared" si="14"/>
        <v>0</v>
      </c>
    </row>
    <row r="193" spans="14:19" ht="13" x14ac:dyDescent="0.3">
      <c r="N193" s="47" t="e">
        <f t="shared" si="10"/>
        <v>#NUM!</v>
      </c>
      <c r="O193" s="47" t="e">
        <f t="shared" si="11"/>
        <v>#NUM!</v>
      </c>
      <c r="P193" s="48">
        <f t="shared" si="12"/>
        <v>0</v>
      </c>
      <c r="R193" s="49">
        <f t="shared" si="13"/>
        <v>0</v>
      </c>
      <c r="S193" s="49">
        <f t="shared" si="14"/>
        <v>0</v>
      </c>
    </row>
    <row r="194" spans="14:19" ht="13" x14ac:dyDescent="0.3">
      <c r="N194" s="47" t="e">
        <f t="shared" si="10"/>
        <v>#NUM!</v>
      </c>
      <c r="O194" s="47" t="e">
        <f t="shared" si="11"/>
        <v>#NUM!</v>
      </c>
      <c r="P194" s="48">
        <f t="shared" si="12"/>
        <v>0</v>
      </c>
      <c r="R194" s="49">
        <f t="shared" si="13"/>
        <v>0</v>
      </c>
      <c r="S194" s="49">
        <f t="shared" si="14"/>
        <v>0</v>
      </c>
    </row>
    <row r="195" spans="14:19" ht="13" x14ac:dyDescent="0.3">
      <c r="N195" s="47" t="e">
        <f t="shared" si="10"/>
        <v>#NUM!</v>
      </c>
      <c r="O195" s="47" t="e">
        <f t="shared" si="11"/>
        <v>#NUM!</v>
      </c>
      <c r="P195" s="48">
        <f t="shared" si="12"/>
        <v>0</v>
      </c>
      <c r="R195" s="49">
        <f t="shared" si="13"/>
        <v>0</v>
      </c>
      <c r="S195" s="49">
        <f t="shared" si="14"/>
        <v>0</v>
      </c>
    </row>
    <row r="196" spans="14:19" ht="13" x14ac:dyDescent="0.3">
      <c r="N196" s="47" t="e">
        <f t="shared" si="10"/>
        <v>#NUM!</v>
      </c>
      <c r="O196" s="47" t="e">
        <f t="shared" si="11"/>
        <v>#NUM!</v>
      </c>
      <c r="P196" s="48">
        <f t="shared" si="12"/>
        <v>0</v>
      </c>
      <c r="R196" s="49">
        <f t="shared" si="13"/>
        <v>0</v>
      </c>
      <c r="S196" s="49">
        <f t="shared" si="14"/>
        <v>0</v>
      </c>
    </row>
    <row r="197" spans="14:19" ht="13" x14ac:dyDescent="0.3">
      <c r="N197" s="47" t="e">
        <f t="shared" si="10"/>
        <v>#NUM!</v>
      </c>
      <c r="O197" s="47" t="e">
        <f t="shared" si="11"/>
        <v>#NUM!</v>
      </c>
      <c r="P197" s="48">
        <f t="shared" si="12"/>
        <v>0</v>
      </c>
      <c r="R197" s="49">
        <f t="shared" si="13"/>
        <v>0</v>
      </c>
      <c r="S197" s="49">
        <f t="shared" si="14"/>
        <v>0</v>
      </c>
    </row>
    <row r="198" spans="14:19" ht="13" x14ac:dyDescent="0.3">
      <c r="N198" s="47" t="e">
        <f t="shared" si="10"/>
        <v>#NUM!</v>
      </c>
      <c r="O198" s="47" t="e">
        <f t="shared" si="11"/>
        <v>#NUM!</v>
      </c>
      <c r="P198" s="48">
        <f t="shared" si="12"/>
        <v>0</v>
      </c>
      <c r="R198" s="49">
        <f t="shared" si="13"/>
        <v>0</v>
      </c>
      <c r="S198" s="49">
        <f t="shared" si="14"/>
        <v>0</v>
      </c>
    </row>
    <row r="199" spans="14:19" ht="13" x14ac:dyDescent="0.3">
      <c r="N199" s="47" t="e">
        <f t="shared" si="10"/>
        <v>#NUM!</v>
      </c>
      <c r="O199" s="47" t="e">
        <f t="shared" si="11"/>
        <v>#NUM!</v>
      </c>
      <c r="P199" s="48">
        <f t="shared" si="12"/>
        <v>0</v>
      </c>
      <c r="R199" s="49">
        <f t="shared" si="13"/>
        <v>0</v>
      </c>
      <c r="S199" s="49">
        <f t="shared" si="14"/>
        <v>0</v>
      </c>
    </row>
    <row r="200" spans="14:19" ht="13" x14ac:dyDescent="0.3">
      <c r="N200" s="47" t="e">
        <f t="shared" si="10"/>
        <v>#NUM!</v>
      </c>
      <c r="O200" s="47" t="e">
        <f t="shared" si="11"/>
        <v>#NUM!</v>
      </c>
      <c r="P200" s="48">
        <f t="shared" si="12"/>
        <v>0</v>
      </c>
      <c r="R200" s="49">
        <f t="shared" si="13"/>
        <v>0</v>
      </c>
      <c r="S200" s="49">
        <f t="shared" si="14"/>
        <v>0</v>
      </c>
    </row>
    <row r="201" spans="14:19" ht="13" x14ac:dyDescent="0.3">
      <c r="N201" s="47" t="e">
        <f t="shared" ref="N201:N204" si="15">($D$4-DATE(H201,F201,G201))/365.25</f>
        <v>#NUM!</v>
      </c>
      <c r="O201" s="47" t="e">
        <f t="shared" ref="O201:O204" si="16">($D$4-DATE(K201,I201,J201))/365.25</f>
        <v>#NUM!</v>
      </c>
      <c r="P201" s="48">
        <f t="shared" ref="P201:P204" si="17">M201/($I$4*30.4)</f>
        <v>0</v>
      </c>
      <c r="R201" s="49">
        <f t="shared" ref="R201:R204" si="18">+IF(L201&lt;=1997,M201,0)</f>
        <v>0</v>
      </c>
      <c r="S201" s="49">
        <f t="shared" ref="S201:S204" si="19">+IF(L201&gt;1997,M201,0)</f>
        <v>0</v>
      </c>
    </row>
    <row r="202" spans="14:19" ht="13" x14ac:dyDescent="0.3">
      <c r="N202" s="47" t="e">
        <f t="shared" si="15"/>
        <v>#NUM!</v>
      </c>
      <c r="O202" s="47" t="e">
        <f t="shared" si="16"/>
        <v>#NUM!</v>
      </c>
      <c r="P202" s="48">
        <f t="shared" si="17"/>
        <v>0</v>
      </c>
      <c r="R202" s="49">
        <f t="shared" si="18"/>
        <v>0</v>
      </c>
      <c r="S202" s="49">
        <f t="shared" si="19"/>
        <v>0</v>
      </c>
    </row>
    <row r="203" spans="14:19" ht="13" x14ac:dyDescent="0.3">
      <c r="N203" s="47" t="e">
        <f t="shared" si="15"/>
        <v>#NUM!</v>
      </c>
      <c r="O203" s="47" t="e">
        <f t="shared" si="16"/>
        <v>#NUM!</v>
      </c>
      <c r="P203" s="48">
        <f t="shared" si="17"/>
        <v>0</v>
      </c>
      <c r="R203" s="49">
        <f t="shared" si="18"/>
        <v>0</v>
      </c>
      <c r="S203" s="49">
        <f t="shared" si="19"/>
        <v>0</v>
      </c>
    </row>
    <row r="204" spans="14:19" ht="13" x14ac:dyDescent="0.3">
      <c r="N204" s="47" t="e">
        <f t="shared" si="15"/>
        <v>#NUM!</v>
      </c>
      <c r="O204" s="47" t="e">
        <f t="shared" si="16"/>
        <v>#NUM!</v>
      </c>
      <c r="P204" s="48">
        <f t="shared" si="17"/>
        <v>0</v>
      </c>
      <c r="R204" s="49">
        <f t="shared" si="18"/>
        <v>0</v>
      </c>
      <c r="S204" s="49">
        <f t="shared" si="19"/>
        <v>0</v>
      </c>
    </row>
    <row r="205" spans="14:19" ht="13" x14ac:dyDescent="0.3">
      <c r="N205" s="47" t="e">
        <f t="shared" ref="N205:N268" si="20">($D$4-DATE(H205,F205,G205))/365.25</f>
        <v>#NUM!</v>
      </c>
      <c r="O205" s="47" t="e">
        <f t="shared" ref="O205:O268" si="21">($D$4-DATE(K205,I205,J205))/365.25</f>
        <v>#NUM!</v>
      </c>
      <c r="P205" s="48">
        <f t="shared" ref="P205:P268" si="22">M205/($I$4*30.4)</f>
        <v>0</v>
      </c>
      <c r="R205" s="49">
        <f t="shared" ref="R205:R268" si="23">+IF(L205&lt;=1997,M205,0)</f>
        <v>0</v>
      </c>
      <c r="S205" s="49">
        <f t="shared" ref="S205:S268" si="24">+IF(L205&gt;1997,M205,0)</f>
        <v>0</v>
      </c>
    </row>
    <row r="206" spans="14:19" ht="13" x14ac:dyDescent="0.3">
      <c r="N206" s="47" t="e">
        <f t="shared" si="20"/>
        <v>#NUM!</v>
      </c>
      <c r="O206" s="47" t="e">
        <f t="shared" si="21"/>
        <v>#NUM!</v>
      </c>
      <c r="P206" s="48">
        <f t="shared" si="22"/>
        <v>0</v>
      </c>
      <c r="R206" s="49">
        <f t="shared" si="23"/>
        <v>0</v>
      </c>
      <c r="S206" s="49">
        <f t="shared" si="24"/>
        <v>0</v>
      </c>
    </row>
    <row r="207" spans="14:19" ht="13" x14ac:dyDescent="0.3">
      <c r="N207" s="47" t="e">
        <f t="shared" si="20"/>
        <v>#NUM!</v>
      </c>
      <c r="O207" s="47" t="e">
        <f t="shared" si="21"/>
        <v>#NUM!</v>
      </c>
      <c r="P207" s="48">
        <f t="shared" si="22"/>
        <v>0</v>
      </c>
      <c r="R207" s="49">
        <f t="shared" si="23"/>
        <v>0</v>
      </c>
      <c r="S207" s="49">
        <f t="shared" si="24"/>
        <v>0</v>
      </c>
    </row>
    <row r="208" spans="14:19" ht="13" x14ac:dyDescent="0.3">
      <c r="N208" s="47" t="e">
        <f t="shared" si="20"/>
        <v>#NUM!</v>
      </c>
      <c r="O208" s="47" t="e">
        <f t="shared" si="21"/>
        <v>#NUM!</v>
      </c>
      <c r="P208" s="48">
        <f t="shared" si="22"/>
        <v>0</v>
      </c>
      <c r="R208" s="49">
        <f t="shared" si="23"/>
        <v>0</v>
      </c>
      <c r="S208" s="49">
        <f t="shared" si="24"/>
        <v>0</v>
      </c>
    </row>
    <row r="209" spans="14:19" ht="13" x14ac:dyDescent="0.3">
      <c r="N209" s="47" t="e">
        <f t="shared" si="20"/>
        <v>#NUM!</v>
      </c>
      <c r="O209" s="47" t="e">
        <f t="shared" si="21"/>
        <v>#NUM!</v>
      </c>
      <c r="P209" s="48">
        <f t="shared" si="22"/>
        <v>0</v>
      </c>
      <c r="R209" s="49">
        <f t="shared" si="23"/>
        <v>0</v>
      </c>
      <c r="S209" s="49">
        <f t="shared" si="24"/>
        <v>0</v>
      </c>
    </row>
    <row r="210" spans="14:19" ht="13" x14ac:dyDescent="0.3">
      <c r="N210" s="47" t="e">
        <f t="shared" si="20"/>
        <v>#NUM!</v>
      </c>
      <c r="O210" s="47" t="e">
        <f t="shared" si="21"/>
        <v>#NUM!</v>
      </c>
      <c r="P210" s="48">
        <f t="shared" si="22"/>
        <v>0</v>
      </c>
      <c r="R210" s="49">
        <f t="shared" si="23"/>
        <v>0</v>
      </c>
      <c r="S210" s="49">
        <f t="shared" si="24"/>
        <v>0</v>
      </c>
    </row>
    <row r="211" spans="14:19" ht="13" x14ac:dyDescent="0.3">
      <c r="N211" s="47" t="e">
        <f t="shared" si="20"/>
        <v>#NUM!</v>
      </c>
      <c r="O211" s="47" t="e">
        <f t="shared" si="21"/>
        <v>#NUM!</v>
      </c>
      <c r="P211" s="48">
        <f t="shared" si="22"/>
        <v>0</v>
      </c>
      <c r="R211" s="49">
        <f t="shared" si="23"/>
        <v>0</v>
      </c>
      <c r="S211" s="49">
        <f t="shared" si="24"/>
        <v>0</v>
      </c>
    </row>
    <row r="212" spans="14:19" ht="13" x14ac:dyDescent="0.3">
      <c r="N212" s="47" t="e">
        <f t="shared" si="20"/>
        <v>#NUM!</v>
      </c>
      <c r="O212" s="47" t="e">
        <f t="shared" si="21"/>
        <v>#NUM!</v>
      </c>
      <c r="P212" s="48">
        <f t="shared" si="22"/>
        <v>0</v>
      </c>
      <c r="R212" s="49">
        <f t="shared" si="23"/>
        <v>0</v>
      </c>
      <c r="S212" s="49">
        <f t="shared" si="24"/>
        <v>0</v>
      </c>
    </row>
    <row r="213" spans="14:19" ht="13" x14ac:dyDescent="0.3">
      <c r="N213" s="47" t="e">
        <f t="shared" si="20"/>
        <v>#NUM!</v>
      </c>
      <c r="O213" s="47" t="e">
        <f t="shared" si="21"/>
        <v>#NUM!</v>
      </c>
      <c r="P213" s="48">
        <f t="shared" si="22"/>
        <v>0</v>
      </c>
      <c r="R213" s="49">
        <f t="shared" si="23"/>
        <v>0</v>
      </c>
      <c r="S213" s="49">
        <f t="shared" si="24"/>
        <v>0</v>
      </c>
    </row>
    <row r="214" spans="14:19" ht="13" x14ac:dyDescent="0.3">
      <c r="N214" s="47" t="e">
        <f t="shared" si="20"/>
        <v>#NUM!</v>
      </c>
      <c r="O214" s="47" t="e">
        <f t="shared" si="21"/>
        <v>#NUM!</v>
      </c>
      <c r="P214" s="48">
        <f t="shared" si="22"/>
        <v>0</v>
      </c>
      <c r="R214" s="49">
        <f t="shared" si="23"/>
        <v>0</v>
      </c>
      <c r="S214" s="49">
        <f t="shared" si="24"/>
        <v>0</v>
      </c>
    </row>
    <row r="215" spans="14:19" ht="13" x14ac:dyDescent="0.3">
      <c r="N215" s="47" t="e">
        <f t="shared" si="20"/>
        <v>#NUM!</v>
      </c>
      <c r="O215" s="47" t="e">
        <f t="shared" si="21"/>
        <v>#NUM!</v>
      </c>
      <c r="P215" s="48">
        <f t="shared" si="22"/>
        <v>0</v>
      </c>
      <c r="R215" s="49">
        <f t="shared" si="23"/>
        <v>0</v>
      </c>
      <c r="S215" s="49">
        <f t="shared" si="24"/>
        <v>0</v>
      </c>
    </row>
    <row r="216" spans="14:19" ht="13" x14ac:dyDescent="0.3">
      <c r="N216" s="47" t="e">
        <f t="shared" si="20"/>
        <v>#NUM!</v>
      </c>
      <c r="O216" s="47" t="e">
        <f t="shared" si="21"/>
        <v>#NUM!</v>
      </c>
      <c r="P216" s="48">
        <f t="shared" si="22"/>
        <v>0</v>
      </c>
      <c r="R216" s="49">
        <f t="shared" si="23"/>
        <v>0</v>
      </c>
      <c r="S216" s="49">
        <f t="shared" si="24"/>
        <v>0</v>
      </c>
    </row>
    <row r="217" spans="14:19" ht="13" x14ac:dyDescent="0.3">
      <c r="N217" s="47" t="e">
        <f t="shared" si="20"/>
        <v>#NUM!</v>
      </c>
      <c r="O217" s="47" t="e">
        <f t="shared" si="21"/>
        <v>#NUM!</v>
      </c>
      <c r="P217" s="48">
        <f t="shared" si="22"/>
        <v>0</v>
      </c>
      <c r="R217" s="49">
        <f t="shared" si="23"/>
        <v>0</v>
      </c>
      <c r="S217" s="49">
        <f t="shared" si="24"/>
        <v>0</v>
      </c>
    </row>
    <row r="218" spans="14:19" ht="13" x14ac:dyDescent="0.3">
      <c r="N218" s="47" t="e">
        <f t="shared" si="20"/>
        <v>#NUM!</v>
      </c>
      <c r="O218" s="47" t="e">
        <f t="shared" si="21"/>
        <v>#NUM!</v>
      </c>
      <c r="P218" s="48">
        <f t="shared" si="22"/>
        <v>0</v>
      </c>
      <c r="R218" s="49">
        <f t="shared" si="23"/>
        <v>0</v>
      </c>
      <c r="S218" s="49">
        <f t="shared" si="24"/>
        <v>0</v>
      </c>
    </row>
    <row r="219" spans="14:19" ht="13" x14ac:dyDescent="0.3">
      <c r="N219" s="47" t="e">
        <f t="shared" si="20"/>
        <v>#NUM!</v>
      </c>
      <c r="O219" s="47" t="e">
        <f t="shared" si="21"/>
        <v>#NUM!</v>
      </c>
      <c r="P219" s="48">
        <f t="shared" si="22"/>
        <v>0</v>
      </c>
      <c r="R219" s="49">
        <f t="shared" si="23"/>
        <v>0</v>
      </c>
      <c r="S219" s="49">
        <f t="shared" si="24"/>
        <v>0</v>
      </c>
    </row>
    <row r="220" spans="14:19" ht="13" x14ac:dyDescent="0.3">
      <c r="N220" s="47" t="e">
        <f t="shared" si="20"/>
        <v>#NUM!</v>
      </c>
      <c r="O220" s="47" t="e">
        <f t="shared" si="21"/>
        <v>#NUM!</v>
      </c>
      <c r="P220" s="48">
        <f t="shared" si="22"/>
        <v>0</v>
      </c>
      <c r="R220" s="49">
        <f t="shared" si="23"/>
        <v>0</v>
      </c>
      <c r="S220" s="49">
        <f t="shared" si="24"/>
        <v>0</v>
      </c>
    </row>
    <row r="221" spans="14:19" ht="13" x14ac:dyDescent="0.3">
      <c r="N221" s="47" t="e">
        <f t="shared" si="20"/>
        <v>#NUM!</v>
      </c>
      <c r="O221" s="47" t="e">
        <f t="shared" si="21"/>
        <v>#NUM!</v>
      </c>
      <c r="P221" s="48">
        <f t="shared" si="22"/>
        <v>0</v>
      </c>
      <c r="R221" s="49">
        <f t="shared" si="23"/>
        <v>0</v>
      </c>
      <c r="S221" s="49">
        <f t="shared" si="24"/>
        <v>0</v>
      </c>
    </row>
    <row r="222" spans="14:19" ht="13" x14ac:dyDescent="0.3">
      <c r="N222" s="47" t="e">
        <f t="shared" si="20"/>
        <v>#NUM!</v>
      </c>
      <c r="O222" s="47" t="e">
        <f t="shared" si="21"/>
        <v>#NUM!</v>
      </c>
      <c r="P222" s="48">
        <f t="shared" si="22"/>
        <v>0</v>
      </c>
      <c r="R222" s="49">
        <f t="shared" si="23"/>
        <v>0</v>
      </c>
      <c r="S222" s="49">
        <f t="shared" si="24"/>
        <v>0</v>
      </c>
    </row>
    <row r="223" spans="14:19" ht="13" x14ac:dyDescent="0.3">
      <c r="N223" s="47" t="e">
        <f t="shared" si="20"/>
        <v>#NUM!</v>
      </c>
      <c r="O223" s="47" t="e">
        <f t="shared" si="21"/>
        <v>#NUM!</v>
      </c>
      <c r="P223" s="48">
        <f t="shared" si="22"/>
        <v>0</v>
      </c>
      <c r="R223" s="49">
        <f t="shared" si="23"/>
        <v>0</v>
      </c>
      <c r="S223" s="49">
        <f t="shared" si="24"/>
        <v>0</v>
      </c>
    </row>
    <row r="224" spans="14:19" ht="13" x14ac:dyDescent="0.3">
      <c r="N224" s="47" t="e">
        <f t="shared" si="20"/>
        <v>#NUM!</v>
      </c>
      <c r="O224" s="47" t="e">
        <f t="shared" si="21"/>
        <v>#NUM!</v>
      </c>
      <c r="P224" s="48">
        <f t="shared" si="22"/>
        <v>0</v>
      </c>
      <c r="R224" s="49">
        <f t="shared" si="23"/>
        <v>0</v>
      </c>
      <c r="S224" s="49">
        <f t="shared" si="24"/>
        <v>0</v>
      </c>
    </row>
    <row r="225" spans="14:19" ht="13" x14ac:dyDescent="0.3">
      <c r="N225" s="47" t="e">
        <f t="shared" si="20"/>
        <v>#NUM!</v>
      </c>
      <c r="O225" s="47" t="e">
        <f t="shared" si="21"/>
        <v>#NUM!</v>
      </c>
      <c r="P225" s="48">
        <f t="shared" si="22"/>
        <v>0</v>
      </c>
      <c r="R225" s="49">
        <f t="shared" si="23"/>
        <v>0</v>
      </c>
      <c r="S225" s="49">
        <f t="shared" si="24"/>
        <v>0</v>
      </c>
    </row>
    <row r="226" spans="14:19" ht="13" x14ac:dyDescent="0.3">
      <c r="N226" s="47" t="e">
        <f t="shared" si="20"/>
        <v>#NUM!</v>
      </c>
      <c r="O226" s="47" t="e">
        <f t="shared" si="21"/>
        <v>#NUM!</v>
      </c>
      <c r="P226" s="48">
        <f t="shared" si="22"/>
        <v>0</v>
      </c>
      <c r="R226" s="49">
        <f t="shared" si="23"/>
        <v>0</v>
      </c>
      <c r="S226" s="49">
        <f t="shared" si="24"/>
        <v>0</v>
      </c>
    </row>
    <row r="227" spans="14:19" ht="13" x14ac:dyDescent="0.3">
      <c r="N227" s="47" t="e">
        <f t="shared" si="20"/>
        <v>#NUM!</v>
      </c>
      <c r="O227" s="47" t="e">
        <f t="shared" si="21"/>
        <v>#NUM!</v>
      </c>
      <c r="P227" s="48">
        <f t="shared" si="22"/>
        <v>0</v>
      </c>
      <c r="R227" s="49">
        <f t="shared" si="23"/>
        <v>0</v>
      </c>
      <c r="S227" s="49">
        <f t="shared" si="24"/>
        <v>0</v>
      </c>
    </row>
    <row r="228" spans="14:19" ht="13" x14ac:dyDescent="0.3">
      <c r="N228" s="47" t="e">
        <f t="shared" si="20"/>
        <v>#NUM!</v>
      </c>
      <c r="O228" s="47" t="e">
        <f t="shared" si="21"/>
        <v>#NUM!</v>
      </c>
      <c r="P228" s="48">
        <f t="shared" si="22"/>
        <v>0</v>
      </c>
      <c r="R228" s="49">
        <f t="shared" si="23"/>
        <v>0</v>
      </c>
      <c r="S228" s="49">
        <f t="shared" si="24"/>
        <v>0</v>
      </c>
    </row>
    <row r="229" spans="14:19" ht="13" x14ac:dyDescent="0.3">
      <c r="N229" s="47" t="e">
        <f t="shared" si="20"/>
        <v>#NUM!</v>
      </c>
      <c r="O229" s="47" t="e">
        <f t="shared" si="21"/>
        <v>#NUM!</v>
      </c>
      <c r="P229" s="48">
        <f t="shared" si="22"/>
        <v>0</v>
      </c>
      <c r="R229" s="49">
        <f t="shared" si="23"/>
        <v>0</v>
      </c>
      <c r="S229" s="49">
        <f t="shared" si="24"/>
        <v>0</v>
      </c>
    </row>
    <row r="230" spans="14:19" ht="13" x14ac:dyDescent="0.3">
      <c r="N230" s="47" t="e">
        <f t="shared" si="20"/>
        <v>#NUM!</v>
      </c>
      <c r="O230" s="47" t="e">
        <f t="shared" si="21"/>
        <v>#NUM!</v>
      </c>
      <c r="P230" s="48">
        <f t="shared" si="22"/>
        <v>0</v>
      </c>
      <c r="R230" s="49">
        <f t="shared" si="23"/>
        <v>0</v>
      </c>
      <c r="S230" s="49">
        <f t="shared" si="24"/>
        <v>0</v>
      </c>
    </row>
    <row r="231" spans="14:19" ht="13" x14ac:dyDescent="0.3">
      <c r="N231" s="47" t="e">
        <f t="shared" si="20"/>
        <v>#NUM!</v>
      </c>
      <c r="O231" s="47" t="e">
        <f t="shared" si="21"/>
        <v>#NUM!</v>
      </c>
      <c r="P231" s="48">
        <f t="shared" si="22"/>
        <v>0</v>
      </c>
      <c r="R231" s="49">
        <f t="shared" si="23"/>
        <v>0</v>
      </c>
      <c r="S231" s="49">
        <f t="shared" si="24"/>
        <v>0</v>
      </c>
    </row>
    <row r="232" spans="14:19" ht="13" x14ac:dyDescent="0.3">
      <c r="N232" s="47" t="e">
        <f t="shared" si="20"/>
        <v>#NUM!</v>
      </c>
      <c r="O232" s="47" t="e">
        <f t="shared" si="21"/>
        <v>#NUM!</v>
      </c>
      <c r="P232" s="48">
        <f t="shared" si="22"/>
        <v>0</v>
      </c>
      <c r="R232" s="49">
        <f t="shared" si="23"/>
        <v>0</v>
      </c>
      <c r="S232" s="49">
        <f t="shared" si="24"/>
        <v>0</v>
      </c>
    </row>
    <row r="233" spans="14:19" ht="13" x14ac:dyDescent="0.3">
      <c r="N233" s="47" t="e">
        <f t="shared" si="20"/>
        <v>#NUM!</v>
      </c>
      <c r="O233" s="47" t="e">
        <f t="shared" si="21"/>
        <v>#NUM!</v>
      </c>
      <c r="P233" s="48">
        <f t="shared" si="22"/>
        <v>0</v>
      </c>
      <c r="R233" s="49">
        <f t="shared" si="23"/>
        <v>0</v>
      </c>
      <c r="S233" s="49">
        <f t="shared" si="24"/>
        <v>0</v>
      </c>
    </row>
    <row r="234" spans="14:19" ht="13" x14ac:dyDescent="0.3">
      <c r="N234" s="47" t="e">
        <f t="shared" si="20"/>
        <v>#NUM!</v>
      </c>
      <c r="O234" s="47" t="e">
        <f t="shared" si="21"/>
        <v>#NUM!</v>
      </c>
      <c r="P234" s="48">
        <f t="shared" si="22"/>
        <v>0</v>
      </c>
      <c r="R234" s="49">
        <f t="shared" si="23"/>
        <v>0</v>
      </c>
      <c r="S234" s="49">
        <f t="shared" si="24"/>
        <v>0</v>
      </c>
    </row>
    <row r="235" spans="14:19" ht="13" x14ac:dyDescent="0.3">
      <c r="N235" s="47" t="e">
        <f t="shared" si="20"/>
        <v>#NUM!</v>
      </c>
      <c r="O235" s="47" t="e">
        <f t="shared" si="21"/>
        <v>#NUM!</v>
      </c>
      <c r="P235" s="48">
        <f t="shared" si="22"/>
        <v>0</v>
      </c>
      <c r="R235" s="49">
        <f t="shared" si="23"/>
        <v>0</v>
      </c>
      <c r="S235" s="49">
        <f t="shared" si="24"/>
        <v>0</v>
      </c>
    </row>
    <row r="236" spans="14:19" ht="13" x14ac:dyDescent="0.3">
      <c r="N236" s="47" t="e">
        <f t="shared" si="20"/>
        <v>#NUM!</v>
      </c>
      <c r="O236" s="47" t="e">
        <f t="shared" si="21"/>
        <v>#NUM!</v>
      </c>
      <c r="P236" s="48">
        <f t="shared" si="22"/>
        <v>0</v>
      </c>
      <c r="R236" s="49">
        <f t="shared" si="23"/>
        <v>0</v>
      </c>
      <c r="S236" s="49">
        <f t="shared" si="24"/>
        <v>0</v>
      </c>
    </row>
    <row r="237" spans="14:19" ht="13" x14ac:dyDescent="0.3">
      <c r="N237" s="47" t="e">
        <f t="shared" si="20"/>
        <v>#NUM!</v>
      </c>
      <c r="O237" s="47" t="e">
        <f t="shared" si="21"/>
        <v>#NUM!</v>
      </c>
      <c r="P237" s="48">
        <f t="shared" si="22"/>
        <v>0</v>
      </c>
      <c r="R237" s="49">
        <f t="shared" si="23"/>
        <v>0</v>
      </c>
      <c r="S237" s="49">
        <f t="shared" si="24"/>
        <v>0</v>
      </c>
    </row>
    <row r="238" spans="14:19" ht="13" x14ac:dyDescent="0.3">
      <c r="N238" s="47" t="e">
        <f t="shared" si="20"/>
        <v>#NUM!</v>
      </c>
      <c r="O238" s="47" t="e">
        <f t="shared" si="21"/>
        <v>#NUM!</v>
      </c>
      <c r="P238" s="48">
        <f t="shared" si="22"/>
        <v>0</v>
      </c>
      <c r="R238" s="49">
        <f t="shared" si="23"/>
        <v>0</v>
      </c>
      <c r="S238" s="49">
        <f t="shared" si="24"/>
        <v>0</v>
      </c>
    </row>
    <row r="239" spans="14:19" ht="13" x14ac:dyDescent="0.3">
      <c r="N239" s="47" t="e">
        <f t="shared" si="20"/>
        <v>#NUM!</v>
      </c>
      <c r="O239" s="47" t="e">
        <f t="shared" si="21"/>
        <v>#NUM!</v>
      </c>
      <c r="P239" s="48">
        <f t="shared" si="22"/>
        <v>0</v>
      </c>
      <c r="R239" s="49">
        <f t="shared" si="23"/>
        <v>0</v>
      </c>
      <c r="S239" s="49">
        <f t="shared" si="24"/>
        <v>0</v>
      </c>
    </row>
    <row r="240" spans="14:19" ht="13" x14ac:dyDescent="0.3">
      <c r="N240" s="47" t="e">
        <f t="shared" si="20"/>
        <v>#NUM!</v>
      </c>
      <c r="O240" s="47" t="e">
        <f t="shared" si="21"/>
        <v>#NUM!</v>
      </c>
      <c r="P240" s="48">
        <f t="shared" si="22"/>
        <v>0</v>
      </c>
      <c r="R240" s="49">
        <f t="shared" si="23"/>
        <v>0</v>
      </c>
      <c r="S240" s="49">
        <f t="shared" si="24"/>
        <v>0</v>
      </c>
    </row>
    <row r="241" spans="14:19" ht="13" x14ac:dyDescent="0.3">
      <c r="N241" s="47" t="e">
        <f t="shared" si="20"/>
        <v>#NUM!</v>
      </c>
      <c r="O241" s="47" t="e">
        <f t="shared" si="21"/>
        <v>#NUM!</v>
      </c>
      <c r="P241" s="48">
        <f t="shared" si="22"/>
        <v>0</v>
      </c>
      <c r="R241" s="49">
        <f t="shared" si="23"/>
        <v>0</v>
      </c>
      <c r="S241" s="49">
        <f t="shared" si="24"/>
        <v>0</v>
      </c>
    </row>
    <row r="242" spans="14:19" ht="13" x14ac:dyDescent="0.3">
      <c r="N242" s="47" t="e">
        <f t="shared" si="20"/>
        <v>#NUM!</v>
      </c>
      <c r="O242" s="47" t="e">
        <f t="shared" si="21"/>
        <v>#NUM!</v>
      </c>
      <c r="P242" s="48">
        <f t="shared" si="22"/>
        <v>0</v>
      </c>
      <c r="R242" s="49">
        <f t="shared" si="23"/>
        <v>0</v>
      </c>
      <c r="S242" s="49">
        <f t="shared" si="24"/>
        <v>0</v>
      </c>
    </row>
    <row r="243" spans="14:19" ht="13" x14ac:dyDescent="0.3">
      <c r="N243" s="47" t="e">
        <f t="shared" si="20"/>
        <v>#NUM!</v>
      </c>
      <c r="O243" s="47" t="e">
        <f t="shared" si="21"/>
        <v>#NUM!</v>
      </c>
      <c r="P243" s="48">
        <f t="shared" si="22"/>
        <v>0</v>
      </c>
      <c r="R243" s="49">
        <f t="shared" si="23"/>
        <v>0</v>
      </c>
      <c r="S243" s="49">
        <f t="shared" si="24"/>
        <v>0</v>
      </c>
    </row>
    <row r="244" spans="14:19" ht="13" x14ac:dyDescent="0.3">
      <c r="N244" s="47" t="e">
        <f t="shared" si="20"/>
        <v>#NUM!</v>
      </c>
      <c r="O244" s="47" t="e">
        <f t="shared" si="21"/>
        <v>#NUM!</v>
      </c>
      <c r="P244" s="48">
        <f t="shared" si="22"/>
        <v>0</v>
      </c>
      <c r="R244" s="49">
        <f t="shared" si="23"/>
        <v>0</v>
      </c>
      <c r="S244" s="49">
        <f t="shared" si="24"/>
        <v>0</v>
      </c>
    </row>
    <row r="245" spans="14:19" ht="13" x14ac:dyDescent="0.3">
      <c r="N245" s="47" t="e">
        <f t="shared" si="20"/>
        <v>#NUM!</v>
      </c>
      <c r="O245" s="47" t="e">
        <f t="shared" si="21"/>
        <v>#NUM!</v>
      </c>
      <c r="P245" s="48">
        <f t="shared" si="22"/>
        <v>0</v>
      </c>
      <c r="R245" s="49">
        <f t="shared" si="23"/>
        <v>0</v>
      </c>
      <c r="S245" s="49">
        <f t="shared" si="24"/>
        <v>0</v>
      </c>
    </row>
    <row r="246" spans="14:19" ht="13" x14ac:dyDescent="0.3">
      <c r="N246" s="47" t="e">
        <f t="shared" si="20"/>
        <v>#NUM!</v>
      </c>
      <c r="O246" s="47" t="e">
        <f t="shared" si="21"/>
        <v>#NUM!</v>
      </c>
      <c r="P246" s="48">
        <f t="shared" si="22"/>
        <v>0</v>
      </c>
      <c r="R246" s="49">
        <f t="shared" si="23"/>
        <v>0</v>
      </c>
      <c r="S246" s="49">
        <f t="shared" si="24"/>
        <v>0</v>
      </c>
    </row>
    <row r="247" spans="14:19" ht="13" x14ac:dyDescent="0.3">
      <c r="N247" s="47" t="e">
        <f t="shared" si="20"/>
        <v>#NUM!</v>
      </c>
      <c r="O247" s="47" t="e">
        <f t="shared" si="21"/>
        <v>#NUM!</v>
      </c>
      <c r="P247" s="48">
        <f t="shared" si="22"/>
        <v>0</v>
      </c>
      <c r="R247" s="49">
        <f t="shared" si="23"/>
        <v>0</v>
      </c>
      <c r="S247" s="49">
        <f t="shared" si="24"/>
        <v>0</v>
      </c>
    </row>
    <row r="248" spans="14:19" ht="13" x14ac:dyDescent="0.3">
      <c r="N248" s="47" t="e">
        <f t="shared" si="20"/>
        <v>#NUM!</v>
      </c>
      <c r="O248" s="47" t="e">
        <f t="shared" si="21"/>
        <v>#NUM!</v>
      </c>
      <c r="P248" s="48">
        <f t="shared" si="22"/>
        <v>0</v>
      </c>
      <c r="R248" s="49">
        <f t="shared" si="23"/>
        <v>0</v>
      </c>
      <c r="S248" s="49">
        <f t="shared" si="24"/>
        <v>0</v>
      </c>
    </row>
    <row r="249" spans="14:19" ht="13" x14ac:dyDescent="0.3">
      <c r="N249" s="47" t="e">
        <f t="shared" si="20"/>
        <v>#NUM!</v>
      </c>
      <c r="O249" s="47" t="e">
        <f t="shared" si="21"/>
        <v>#NUM!</v>
      </c>
      <c r="P249" s="48">
        <f t="shared" si="22"/>
        <v>0</v>
      </c>
      <c r="R249" s="49">
        <f t="shared" si="23"/>
        <v>0</v>
      </c>
      <c r="S249" s="49">
        <f t="shared" si="24"/>
        <v>0</v>
      </c>
    </row>
    <row r="250" spans="14:19" ht="13" x14ac:dyDescent="0.3">
      <c r="N250" s="47" t="e">
        <f t="shared" si="20"/>
        <v>#NUM!</v>
      </c>
      <c r="O250" s="47" t="e">
        <f t="shared" si="21"/>
        <v>#NUM!</v>
      </c>
      <c r="P250" s="48">
        <f t="shared" si="22"/>
        <v>0</v>
      </c>
      <c r="R250" s="49">
        <f t="shared" si="23"/>
        <v>0</v>
      </c>
      <c r="S250" s="49">
        <f t="shared" si="24"/>
        <v>0</v>
      </c>
    </row>
    <row r="251" spans="14:19" ht="13" x14ac:dyDescent="0.3">
      <c r="N251" s="47" t="e">
        <f t="shared" si="20"/>
        <v>#NUM!</v>
      </c>
      <c r="O251" s="47" t="e">
        <f t="shared" si="21"/>
        <v>#NUM!</v>
      </c>
      <c r="P251" s="48">
        <f t="shared" si="22"/>
        <v>0</v>
      </c>
      <c r="R251" s="49">
        <f t="shared" si="23"/>
        <v>0</v>
      </c>
      <c r="S251" s="49">
        <f t="shared" si="24"/>
        <v>0</v>
      </c>
    </row>
    <row r="252" spans="14:19" ht="13" x14ac:dyDescent="0.3">
      <c r="N252" s="47" t="e">
        <f t="shared" si="20"/>
        <v>#NUM!</v>
      </c>
      <c r="O252" s="47" t="e">
        <f t="shared" si="21"/>
        <v>#NUM!</v>
      </c>
      <c r="P252" s="48">
        <f t="shared" si="22"/>
        <v>0</v>
      </c>
      <c r="R252" s="49">
        <f t="shared" si="23"/>
        <v>0</v>
      </c>
      <c r="S252" s="49">
        <f t="shared" si="24"/>
        <v>0</v>
      </c>
    </row>
    <row r="253" spans="14:19" ht="13" x14ac:dyDescent="0.3">
      <c r="N253" s="47" t="e">
        <f t="shared" si="20"/>
        <v>#NUM!</v>
      </c>
      <c r="O253" s="47" t="e">
        <f t="shared" si="21"/>
        <v>#NUM!</v>
      </c>
      <c r="P253" s="48">
        <f t="shared" si="22"/>
        <v>0</v>
      </c>
      <c r="R253" s="49">
        <f t="shared" si="23"/>
        <v>0</v>
      </c>
      <c r="S253" s="49">
        <f t="shared" si="24"/>
        <v>0</v>
      </c>
    </row>
    <row r="254" spans="14:19" ht="13" x14ac:dyDescent="0.3">
      <c r="N254" s="47" t="e">
        <f t="shared" si="20"/>
        <v>#NUM!</v>
      </c>
      <c r="O254" s="47" t="e">
        <f t="shared" si="21"/>
        <v>#NUM!</v>
      </c>
      <c r="P254" s="48">
        <f t="shared" si="22"/>
        <v>0</v>
      </c>
      <c r="R254" s="49">
        <f t="shared" si="23"/>
        <v>0</v>
      </c>
      <c r="S254" s="49">
        <f t="shared" si="24"/>
        <v>0</v>
      </c>
    </row>
    <row r="255" spans="14:19" ht="13" x14ac:dyDescent="0.3">
      <c r="N255" s="47" t="e">
        <f t="shared" si="20"/>
        <v>#NUM!</v>
      </c>
      <c r="O255" s="47" t="e">
        <f t="shared" si="21"/>
        <v>#NUM!</v>
      </c>
      <c r="P255" s="48">
        <f t="shared" si="22"/>
        <v>0</v>
      </c>
      <c r="R255" s="49">
        <f t="shared" si="23"/>
        <v>0</v>
      </c>
      <c r="S255" s="49">
        <f t="shared" si="24"/>
        <v>0</v>
      </c>
    </row>
    <row r="256" spans="14:19" ht="13" x14ac:dyDescent="0.3">
      <c r="N256" s="47" t="e">
        <f t="shared" si="20"/>
        <v>#NUM!</v>
      </c>
      <c r="O256" s="47" t="e">
        <f t="shared" si="21"/>
        <v>#NUM!</v>
      </c>
      <c r="P256" s="48">
        <f t="shared" si="22"/>
        <v>0</v>
      </c>
      <c r="R256" s="49">
        <f t="shared" si="23"/>
        <v>0</v>
      </c>
      <c r="S256" s="49">
        <f t="shared" si="24"/>
        <v>0</v>
      </c>
    </row>
    <row r="257" spans="14:19" ht="13" x14ac:dyDescent="0.3">
      <c r="N257" s="47" t="e">
        <f t="shared" si="20"/>
        <v>#NUM!</v>
      </c>
      <c r="O257" s="47" t="e">
        <f t="shared" si="21"/>
        <v>#NUM!</v>
      </c>
      <c r="P257" s="48">
        <f t="shared" si="22"/>
        <v>0</v>
      </c>
      <c r="R257" s="49">
        <f t="shared" si="23"/>
        <v>0</v>
      </c>
      <c r="S257" s="49">
        <f t="shared" si="24"/>
        <v>0</v>
      </c>
    </row>
    <row r="258" spans="14:19" ht="13" x14ac:dyDescent="0.3">
      <c r="N258" s="47" t="e">
        <f t="shared" si="20"/>
        <v>#NUM!</v>
      </c>
      <c r="O258" s="47" t="e">
        <f t="shared" si="21"/>
        <v>#NUM!</v>
      </c>
      <c r="P258" s="48">
        <f t="shared" si="22"/>
        <v>0</v>
      </c>
      <c r="R258" s="49">
        <f t="shared" si="23"/>
        <v>0</v>
      </c>
      <c r="S258" s="49">
        <f t="shared" si="24"/>
        <v>0</v>
      </c>
    </row>
    <row r="259" spans="14:19" ht="13" x14ac:dyDescent="0.3">
      <c r="N259" s="47" t="e">
        <f t="shared" si="20"/>
        <v>#NUM!</v>
      </c>
      <c r="O259" s="47" t="e">
        <f t="shared" si="21"/>
        <v>#NUM!</v>
      </c>
      <c r="P259" s="48">
        <f t="shared" si="22"/>
        <v>0</v>
      </c>
      <c r="R259" s="49">
        <f t="shared" si="23"/>
        <v>0</v>
      </c>
      <c r="S259" s="49">
        <f t="shared" si="24"/>
        <v>0</v>
      </c>
    </row>
    <row r="260" spans="14:19" ht="13" x14ac:dyDescent="0.3">
      <c r="N260" s="47" t="e">
        <f t="shared" si="20"/>
        <v>#NUM!</v>
      </c>
      <c r="O260" s="47" t="e">
        <f t="shared" si="21"/>
        <v>#NUM!</v>
      </c>
      <c r="P260" s="48">
        <f t="shared" si="22"/>
        <v>0</v>
      </c>
      <c r="R260" s="49">
        <f t="shared" si="23"/>
        <v>0</v>
      </c>
      <c r="S260" s="49">
        <f t="shared" si="24"/>
        <v>0</v>
      </c>
    </row>
    <row r="261" spans="14:19" ht="13" x14ac:dyDescent="0.3">
      <c r="N261" s="47" t="e">
        <f t="shared" si="20"/>
        <v>#NUM!</v>
      </c>
      <c r="O261" s="47" t="e">
        <f t="shared" si="21"/>
        <v>#NUM!</v>
      </c>
      <c r="P261" s="48">
        <f t="shared" si="22"/>
        <v>0</v>
      </c>
      <c r="R261" s="49">
        <f t="shared" si="23"/>
        <v>0</v>
      </c>
      <c r="S261" s="49">
        <f t="shared" si="24"/>
        <v>0</v>
      </c>
    </row>
    <row r="262" spans="14:19" ht="13" x14ac:dyDescent="0.3">
      <c r="N262" s="47" t="e">
        <f t="shared" si="20"/>
        <v>#NUM!</v>
      </c>
      <c r="O262" s="47" t="e">
        <f t="shared" si="21"/>
        <v>#NUM!</v>
      </c>
      <c r="P262" s="48">
        <f t="shared" si="22"/>
        <v>0</v>
      </c>
      <c r="R262" s="49">
        <f t="shared" si="23"/>
        <v>0</v>
      </c>
      <c r="S262" s="49">
        <f t="shared" si="24"/>
        <v>0</v>
      </c>
    </row>
    <row r="263" spans="14:19" ht="13" x14ac:dyDescent="0.3">
      <c r="N263" s="47" t="e">
        <f t="shared" si="20"/>
        <v>#NUM!</v>
      </c>
      <c r="O263" s="47" t="e">
        <f t="shared" si="21"/>
        <v>#NUM!</v>
      </c>
      <c r="P263" s="48">
        <f t="shared" si="22"/>
        <v>0</v>
      </c>
      <c r="R263" s="49">
        <f t="shared" si="23"/>
        <v>0</v>
      </c>
      <c r="S263" s="49">
        <f t="shared" si="24"/>
        <v>0</v>
      </c>
    </row>
    <row r="264" spans="14:19" ht="13" x14ac:dyDescent="0.3">
      <c r="N264" s="47" t="e">
        <f t="shared" si="20"/>
        <v>#NUM!</v>
      </c>
      <c r="O264" s="47" t="e">
        <f t="shared" si="21"/>
        <v>#NUM!</v>
      </c>
      <c r="P264" s="48">
        <f t="shared" si="22"/>
        <v>0</v>
      </c>
      <c r="R264" s="49">
        <f t="shared" si="23"/>
        <v>0</v>
      </c>
      <c r="S264" s="49">
        <f t="shared" si="24"/>
        <v>0</v>
      </c>
    </row>
    <row r="265" spans="14:19" ht="13" x14ac:dyDescent="0.3">
      <c r="N265" s="47" t="e">
        <f t="shared" si="20"/>
        <v>#NUM!</v>
      </c>
      <c r="O265" s="47" t="e">
        <f t="shared" si="21"/>
        <v>#NUM!</v>
      </c>
      <c r="P265" s="48">
        <f t="shared" si="22"/>
        <v>0</v>
      </c>
      <c r="R265" s="49">
        <f t="shared" si="23"/>
        <v>0</v>
      </c>
      <c r="S265" s="49">
        <f t="shared" si="24"/>
        <v>0</v>
      </c>
    </row>
    <row r="266" spans="14:19" ht="13" x14ac:dyDescent="0.3">
      <c r="N266" s="47" t="e">
        <f t="shared" si="20"/>
        <v>#NUM!</v>
      </c>
      <c r="O266" s="47" t="e">
        <f t="shared" si="21"/>
        <v>#NUM!</v>
      </c>
      <c r="P266" s="48">
        <f t="shared" si="22"/>
        <v>0</v>
      </c>
      <c r="R266" s="49">
        <f t="shared" si="23"/>
        <v>0</v>
      </c>
      <c r="S266" s="49">
        <f t="shared" si="24"/>
        <v>0</v>
      </c>
    </row>
    <row r="267" spans="14:19" ht="13" x14ac:dyDescent="0.3">
      <c r="N267" s="47" t="e">
        <f t="shared" si="20"/>
        <v>#NUM!</v>
      </c>
      <c r="O267" s="47" t="e">
        <f t="shared" si="21"/>
        <v>#NUM!</v>
      </c>
      <c r="P267" s="48">
        <f t="shared" si="22"/>
        <v>0</v>
      </c>
      <c r="R267" s="49">
        <f t="shared" si="23"/>
        <v>0</v>
      </c>
      <c r="S267" s="49">
        <f t="shared" si="24"/>
        <v>0</v>
      </c>
    </row>
    <row r="268" spans="14:19" ht="13" x14ac:dyDescent="0.3">
      <c r="N268" s="47" t="e">
        <f t="shared" si="20"/>
        <v>#NUM!</v>
      </c>
      <c r="O268" s="47" t="e">
        <f t="shared" si="21"/>
        <v>#NUM!</v>
      </c>
      <c r="P268" s="48">
        <f t="shared" si="22"/>
        <v>0</v>
      </c>
      <c r="R268" s="49">
        <f t="shared" si="23"/>
        <v>0</v>
      </c>
      <c r="S268" s="49">
        <f t="shared" si="24"/>
        <v>0</v>
      </c>
    </row>
    <row r="269" spans="14:19" ht="13" x14ac:dyDescent="0.3">
      <c r="N269" s="47" t="e">
        <f t="shared" ref="N269:N332" si="25">($D$4-DATE(H269,F269,G269))/365.25</f>
        <v>#NUM!</v>
      </c>
      <c r="O269" s="47" t="e">
        <f t="shared" ref="O269:O332" si="26">($D$4-DATE(K269,I269,J269))/365.25</f>
        <v>#NUM!</v>
      </c>
      <c r="P269" s="48">
        <f t="shared" ref="P269:P332" si="27">M269/($I$4*30.4)</f>
        <v>0</v>
      </c>
      <c r="R269" s="49">
        <f t="shared" ref="R269:R332" si="28">+IF(L269&lt;=1997,M269,0)</f>
        <v>0</v>
      </c>
      <c r="S269" s="49">
        <f t="shared" ref="S269:S332" si="29">+IF(L269&gt;1997,M269,0)</f>
        <v>0</v>
      </c>
    </row>
    <row r="270" spans="14:19" ht="13" x14ac:dyDescent="0.3">
      <c r="N270" s="47" t="e">
        <f t="shared" si="25"/>
        <v>#NUM!</v>
      </c>
      <c r="O270" s="47" t="e">
        <f t="shared" si="26"/>
        <v>#NUM!</v>
      </c>
      <c r="P270" s="48">
        <f t="shared" si="27"/>
        <v>0</v>
      </c>
      <c r="R270" s="49">
        <f t="shared" si="28"/>
        <v>0</v>
      </c>
      <c r="S270" s="49">
        <f t="shared" si="29"/>
        <v>0</v>
      </c>
    </row>
    <row r="271" spans="14:19" ht="13" x14ac:dyDescent="0.3">
      <c r="N271" s="47" t="e">
        <f t="shared" si="25"/>
        <v>#NUM!</v>
      </c>
      <c r="O271" s="47" t="e">
        <f t="shared" si="26"/>
        <v>#NUM!</v>
      </c>
      <c r="P271" s="48">
        <f t="shared" si="27"/>
        <v>0</v>
      </c>
      <c r="R271" s="49">
        <f t="shared" si="28"/>
        <v>0</v>
      </c>
      <c r="S271" s="49">
        <f t="shared" si="29"/>
        <v>0</v>
      </c>
    </row>
    <row r="272" spans="14:19" ht="13" x14ac:dyDescent="0.3">
      <c r="N272" s="47" t="e">
        <f t="shared" si="25"/>
        <v>#NUM!</v>
      </c>
      <c r="O272" s="47" t="e">
        <f t="shared" si="26"/>
        <v>#NUM!</v>
      </c>
      <c r="P272" s="48">
        <f t="shared" si="27"/>
        <v>0</v>
      </c>
      <c r="R272" s="49">
        <f t="shared" si="28"/>
        <v>0</v>
      </c>
      <c r="S272" s="49">
        <f t="shared" si="29"/>
        <v>0</v>
      </c>
    </row>
    <row r="273" spans="14:19" ht="13" x14ac:dyDescent="0.3">
      <c r="N273" s="47" t="e">
        <f t="shared" si="25"/>
        <v>#NUM!</v>
      </c>
      <c r="O273" s="47" t="e">
        <f t="shared" si="26"/>
        <v>#NUM!</v>
      </c>
      <c r="P273" s="48">
        <f t="shared" si="27"/>
        <v>0</v>
      </c>
      <c r="R273" s="49">
        <f t="shared" si="28"/>
        <v>0</v>
      </c>
      <c r="S273" s="49">
        <f t="shared" si="29"/>
        <v>0</v>
      </c>
    </row>
    <row r="274" spans="14:19" ht="13" x14ac:dyDescent="0.3">
      <c r="N274" s="47" t="e">
        <f t="shared" si="25"/>
        <v>#NUM!</v>
      </c>
      <c r="O274" s="47" t="e">
        <f t="shared" si="26"/>
        <v>#NUM!</v>
      </c>
      <c r="P274" s="48">
        <f t="shared" si="27"/>
        <v>0</v>
      </c>
      <c r="R274" s="49">
        <f t="shared" si="28"/>
        <v>0</v>
      </c>
      <c r="S274" s="49">
        <f t="shared" si="29"/>
        <v>0</v>
      </c>
    </row>
    <row r="275" spans="14:19" ht="13" x14ac:dyDescent="0.3">
      <c r="N275" s="47" t="e">
        <f t="shared" si="25"/>
        <v>#NUM!</v>
      </c>
      <c r="O275" s="47" t="e">
        <f t="shared" si="26"/>
        <v>#NUM!</v>
      </c>
      <c r="P275" s="48">
        <f t="shared" si="27"/>
        <v>0</v>
      </c>
      <c r="R275" s="49">
        <f t="shared" si="28"/>
        <v>0</v>
      </c>
      <c r="S275" s="49">
        <f t="shared" si="29"/>
        <v>0</v>
      </c>
    </row>
    <row r="276" spans="14:19" ht="13" x14ac:dyDescent="0.3">
      <c r="N276" s="47" t="e">
        <f t="shared" si="25"/>
        <v>#NUM!</v>
      </c>
      <c r="O276" s="47" t="e">
        <f t="shared" si="26"/>
        <v>#NUM!</v>
      </c>
      <c r="P276" s="48">
        <f t="shared" si="27"/>
        <v>0</v>
      </c>
      <c r="R276" s="49">
        <f t="shared" si="28"/>
        <v>0</v>
      </c>
      <c r="S276" s="49">
        <f t="shared" si="29"/>
        <v>0</v>
      </c>
    </row>
    <row r="277" spans="14:19" ht="13" x14ac:dyDescent="0.3">
      <c r="N277" s="47" t="e">
        <f t="shared" si="25"/>
        <v>#NUM!</v>
      </c>
      <c r="O277" s="47" t="e">
        <f t="shared" si="26"/>
        <v>#NUM!</v>
      </c>
      <c r="P277" s="48">
        <f t="shared" si="27"/>
        <v>0</v>
      </c>
      <c r="R277" s="49">
        <f t="shared" si="28"/>
        <v>0</v>
      </c>
      <c r="S277" s="49">
        <f t="shared" si="29"/>
        <v>0</v>
      </c>
    </row>
    <row r="278" spans="14:19" ht="13" x14ac:dyDescent="0.3">
      <c r="N278" s="47" t="e">
        <f t="shared" si="25"/>
        <v>#NUM!</v>
      </c>
      <c r="O278" s="47" t="e">
        <f t="shared" si="26"/>
        <v>#NUM!</v>
      </c>
      <c r="P278" s="48">
        <f t="shared" si="27"/>
        <v>0</v>
      </c>
      <c r="R278" s="49">
        <f t="shared" si="28"/>
        <v>0</v>
      </c>
      <c r="S278" s="49">
        <f t="shared" si="29"/>
        <v>0</v>
      </c>
    </row>
    <row r="279" spans="14:19" ht="13" x14ac:dyDescent="0.3">
      <c r="N279" s="47" t="e">
        <f t="shared" si="25"/>
        <v>#NUM!</v>
      </c>
      <c r="O279" s="47" t="e">
        <f t="shared" si="26"/>
        <v>#NUM!</v>
      </c>
      <c r="P279" s="48">
        <f t="shared" si="27"/>
        <v>0</v>
      </c>
      <c r="R279" s="49">
        <f t="shared" si="28"/>
        <v>0</v>
      </c>
      <c r="S279" s="49">
        <f t="shared" si="29"/>
        <v>0</v>
      </c>
    </row>
    <row r="280" spans="14:19" ht="13" x14ac:dyDescent="0.3">
      <c r="N280" s="47" t="e">
        <f t="shared" si="25"/>
        <v>#NUM!</v>
      </c>
      <c r="O280" s="47" t="e">
        <f t="shared" si="26"/>
        <v>#NUM!</v>
      </c>
      <c r="P280" s="48">
        <f t="shared" si="27"/>
        <v>0</v>
      </c>
      <c r="R280" s="49">
        <f t="shared" si="28"/>
        <v>0</v>
      </c>
      <c r="S280" s="49">
        <f t="shared" si="29"/>
        <v>0</v>
      </c>
    </row>
    <row r="281" spans="14:19" ht="13" x14ac:dyDescent="0.3">
      <c r="N281" s="47" t="e">
        <f t="shared" si="25"/>
        <v>#NUM!</v>
      </c>
      <c r="O281" s="47" t="e">
        <f t="shared" si="26"/>
        <v>#NUM!</v>
      </c>
      <c r="P281" s="48">
        <f t="shared" si="27"/>
        <v>0</v>
      </c>
      <c r="R281" s="49">
        <f t="shared" si="28"/>
        <v>0</v>
      </c>
      <c r="S281" s="49">
        <f t="shared" si="29"/>
        <v>0</v>
      </c>
    </row>
    <row r="282" spans="14:19" ht="13" x14ac:dyDescent="0.3">
      <c r="N282" s="47" t="e">
        <f t="shared" si="25"/>
        <v>#NUM!</v>
      </c>
      <c r="O282" s="47" t="e">
        <f t="shared" si="26"/>
        <v>#NUM!</v>
      </c>
      <c r="P282" s="48">
        <f t="shared" si="27"/>
        <v>0</v>
      </c>
      <c r="R282" s="49">
        <f t="shared" si="28"/>
        <v>0</v>
      </c>
      <c r="S282" s="49">
        <f t="shared" si="29"/>
        <v>0</v>
      </c>
    </row>
    <row r="283" spans="14:19" ht="13" x14ac:dyDescent="0.3">
      <c r="N283" s="47" t="e">
        <f t="shared" si="25"/>
        <v>#NUM!</v>
      </c>
      <c r="O283" s="47" t="e">
        <f t="shared" si="26"/>
        <v>#NUM!</v>
      </c>
      <c r="P283" s="48">
        <f t="shared" si="27"/>
        <v>0</v>
      </c>
      <c r="R283" s="49">
        <f t="shared" si="28"/>
        <v>0</v>
      </c>
      <c r="S283" s="49">
        <f t="shared" si="29"/>
        <v>0</v>
      </c>
    </row>
    <row r="284" spans="14:19" ht="13" x14ac:dyDescent="0.3">
      <c r="N284" s="47" t="e">
        <f t="shared" si="25"/>
        <v>#NUM!</v>
      </c>
      <c r="O284" s="47" t="e">
        <f t="shared" si="26"/>
        <v>#NUM!</v>
      </c>
      <c r="P284" s="48">
        <f t="shared" si="27"/>
        <v>0</v>
      </c>
      <c r="R284" s="49">
        <f t="shared" si="28"/>
        <v>0</v>
      </c>
      <c r="S284" s="49">
        <f t="shared" si="29"/>
        <v>0</v>
      </c>
    </row>
    <row r="285" spans="14:19" ht="13" x14ac:dyDescent="0.3">
      <c r="N285" s="47" t="e">
        <f t="shared" si="25"/>
        <v>#NUM!</v>
      </c>
      <c r="O285" s="47" t="e">
        <f t="shared" si="26"/>
        <v>#NUM!</v>
      </c>
      <c r="P285" s="48">
        <f t="shared" si="27"/>
        <v>0</v>
      </c>
      <c r="R285" s="49">
        <f t="shared" si="28"/>
        <v>0</v>
      </c>
      <c r="S285" s="49">
        <f t="shared" si="29"/>
        <v>0</v>
      </c>
    </row>
    <row r="286" spans="14:19" ht="13" x14ac:dyDescent="0.3">
      <c r="N286" s="47" t="e">
        <f t="shared" si="25"/>
        <v>#NUM!</v>
      </c>
      <c r="O286" s="47" t="e">
        <f t="shared" si="26"/>
        <v>#NUM!</v>
      </c>
      <c r="P286" s="48">
        <f t="shared" si="27"/>
        <v>0</v>
      </c>
      <c r="R286" s="49">
        <f t="shared" si="28"/>
        <v>0</v>
      </c>
      <c r="S286" s="49">
        <f t="shared" si="29"/>
        <v>0</v>
      </c>
    </row>
    <row r="287" spans="14:19" ht="13" x14ac:dyDescent="0.3">
      <c r="N287" s="47" t="e">
        <f t="shared" si="25"/>
        <v>#NUM!</v>
      </c>
      <c r="O287" s="47" t="e">
        <f t="shared" si="26"/>
        <v>#NUM!</v>
      </c>
      <c r="P287" s="48">
        <f t="shared" si="27"/>
        <v>0</v>
      </c>
      <c r="R287" s="49">
        <f t="shared" si="28"/>
        <v>0</v>
      </c>
      <c r="S287" s="49">
        <f t="shared" si="29"/>
        <v>0</v>
      </c>
    </row>
    <row r="288" spans="14:19" ht="13" x14ac:dyDescent="0.3">
      <c r="N288" s="47" t="e">
        <f t="shared" si="25"/>
        <v>#NUM!</v>
      </c>
      <c r="O288" s="47" t="e">
        <f t="shared" si="26"/>
        <v>#NUM!</v>
      </c>
      <c r="P288" s="48">
        <f t="shared" si="27"/>
        <v>0</v>
      </c>
      <c r="R288" s="49">
        <f t="shared" si="28"/>
        <v>0</v>
      </c>
      <c r="S288" s="49">
        <f t="shared" si="29"/>
        <v>0</v>
      </c>
    </row>
    <row r="289" spans="14:19" ht="13" x14ac:dyDescent="0.3">
      <c r="N289" s="47" t="e">
        <f t="shared" si="25"/>
        <v>#NUM!</v>
      </c>
      <c r="O289" s="47" t="e">
        <f t="shared" si="26"/>
        <v>#NUM!</v>
      </c>
      <c r="P289" s="48">
        <f t="shared" si="27"/>
        <v>0</v>
      </c>
      <c r="R289" s="49">
        <f t="shared" si="28"/>
        <v>0</v>
      </c>
      <c r="S289" s="49">
        <f t="shared" si="29"/>
        <v>0</v>
      </c>
    </row>
    <row r="290" spans="14:19" ht="13" x14ac:dyDescent="0.3">
      <c r="N290" s="47" t="e">
        <f t="shared" si="25"/>
        <v>#NUM!</v>
      </c>
      <c r="O290" s="47" t="e">
        <f t="shared" si="26"/>
        <v>#NUM!</v>
      </c>
      <c r="P290" s="48">
        <f t="shared" si="27"/>
        <v>0</v>
      </c>
      <c r="R290" s="49">
        <f t="shared" si="28"/>
        <v>0</v>
      </c>
      <c r="S290" s="49">
        <f t="shared" si="29"/>
        <v>0</v>
      </c>
    </row>
    <row r="291" spans="14:19" ht="13" x14ac:dyDescent="0.3">
      <c r="N291" s="47" t="e">
        <f t="shared" si="25"/>
        <v>#NUM!</v>
      </c>
      <c r="O291" s="47" t="e">
        <f t="shared" si="26"/>
        <v>#NUM!</v>
      </c>
      <c r="P291" s="48">
        <f t="shared" si="27"/>
        <v>0</v>
      </c>
      <c r="R291" s="49">
        <f t="shared" si="28"/>
        <v>0</v>
      </c>
      <c r="S291" s="49">
        <f t="shared" si="29"/>
        <v>0</v>
      </c>
    </row>
    <row r="292" spans="14:19" ht="13" x14ac:dyDescent="0.3">
      <c r="N292" s="47" t="e">
        <f t="shared" si="25"/>
        <v>#NUM!</v>
      </c>
      <c r="O292" s="47" t="e">
        <f t="shared" si="26"/>
        <v>#NUM!</v>
      </c>
      <c r="P292" s="48">
        <f t="shared" si="27"/>
        <v>0</v>
      </c>
      <c r="R292" s="49">
        <f t="shared" si="28"/>
        <v>0</v>
      </c>
      <c r="S292" s="49">
        <f t="shared" si="29"/>
        <v>0</v>
      </c>
    </row>
    <row r="293" spans="14:19" ht="13" x14ac:dyDescent="0.3">
      <c r="N293" s="47" t="e">
        <f t="shared" si="25"/>
        <v>#NUM!</v>
      </c>
      <c r="O293" s="47" t="e">
        <f t="shared" si="26"/>
        <v>#NUM!</v>
      </c>
      <c r="P293" s="48">
        <f t="shared" si="27"/>
        <v>0</v>
      </c>
      <c r="R293" s="49">
        <f t="shared" si="28"/>
        <v>0</v>
      </c>
      <c r="S293" s="49">
        <f t="shared" si="29"/>
        <v>0</v>
      </c>
    </row>
    <row r="294" spans="14:19" ht="13" x14ac:dyDescent="0.3">
      <c r="N294" s="47" t="e">
        <f t="shared" si="25"/>
        <v>#NUM!</v>
      </c>
      <c r="O294" s="47" t="e">
        <f t="shared" si="26"/>
        <v>#NUM!</v>
      </c>
      <c r="P294" s="48">
        <f t="shared" si="27"/>
        <v>0</v>
      </c>
      <c r="R294" s="49">
        <f t="shared" si="28"/>
        <v>0</v>
      </c>
      <c r="S294" s="49">
        <f t="shared" si="29"/>
        <v>0</v>
      </c>
    </row>
    <row r="295" spans="14:19" ht="13" x14ac:dyDescent="0.3">
      <c r="N295" s="47" t="e">
        <f t="shared" si="25"/>
        <v>#NUM!</v>
      </c>
      <c r="O295" s="47" t="e">
        <f t="shared" si="26"/>
        <v>#NUM!</v>
      </c>
      <c r="P295" s="48">
        <f t="shared" si="27"/>
        <v>0</v>
      </c>
      <c r="R295" s="49">
        <f t="shared" si="28"/>
        <v>0</v>
      </c>
      <c r="S295" s="49">
        <f t="shared" si="29"/>
        <v>0</v>
      </c>
    </row>
    <row r="296" spans="14:19" ht="13" x14ac:dyDescent="0.3">
      <c r="N296" s="47" t="e">
        <f t="shared" si="25"/>
        <v>#NUM!</v>
      </c>
      <c r="O296" s="47" t="e">
        <f t="shared" si="26"/>
        <v>#NUM!</v>
      </c>
      <c r="P296" s="48">
        <f t="shared" si="27"/>
        <v>0</v>
      </c>
      <c r="R296" s="49">
        <f t="shared" si="28"/>
        <v>0</v>
      </c>
      <c r="S296" s="49">
        <f t="shared" si="29"/>
        <v>0</v>
      </c>
    </row>
    <row r="297" spans="14:19" ht="13" x14ac:dyDescent="0.3">
      <c r="N297" s="47" t="e">
        <f t="shared" si="25"/>
        <v>#NUM!</v>
      </c>
      <c r="O297" s="47" t="e">
        <f t="shared" si="26"/>
        <v>#NUM!</v>
      </c>
      <c r="P297" s="48">
        <f t="shared" si="27"/>
        <v>0</v>
      </c>
      <c r="R297" s="49">
        <f t="shared" si="28"/>
        <v>0</v>
      </c>
      <c r="S297" s="49">
        <f t="shared" si="29"/>
        <v>0</v>
      </c>
    </row>
    <row r="298" spans="14:19" ht="13" x14ac:dyDescent="0.3">
      <c r="N298" s="47" t="e">
        <f t="shared" si="25"/>
        <v>#NUM!</v>
      </c>
      <c r="O298" s="47" t="e">
        <f t="shared" si="26"/>
        <v>#NUM!</v>
      </c>
      <c r="P298" s="48">
        <f t="shared" si="27"/>
        <v>0</v>
      </c>
      <c r="R298" s="49">
        <f t="shared" si="28"/>
        <v>0</v>
      </c>
      <c r="S298" s="49">
        <f t="shared" si="29"/>
        <v>0</v>
      </c>
    </row>
    <row r="299" spans="14:19" ht="13" x14ac:dyDescent="0.3">
      <c r="N299" s="47" t="e">
        <f t="shared" si="25"/>
        <v>#NUM!</v>
      </c>
      <c r="O299" s="47" t="e">
        <f t="shared" si="26"/>
        <v>#NUM!</v>
      </c>
      <c r="P299" s="48">
        <f t="shared" si="27"/>
        <v>0</v>
      </c>
      <c r="R299" s="49">
        <f t="shared" si="28"/>
        <v>0</v>
      </c>
      <c r="S299" s="49">
        <f t="shared" si="29"/>
        <v>0</v>
      </c>
    </row>
    <row r="300" spans="14:19" ht="13" x14ac:dyDescent="0.3">
      <c r="N300" s="47" t="e">
        <f t="shared" si="25"/>
        <v>#NUM!</v>
      </c>
      <c r="O300" s="47" t="e">
        <f t="shared" si="26"/>
        <v>#NUM!</v>
      </c>
      <c r="P300" s="48">
        <f t="shared" si="27"/>
        <v>0</v>
      </c>
      <c r="R300" s="49">
        <f t="shared" si="28"/>
        <v>0</v>
      </c>
      <c r="S300" s="49">
        <f t="shared" si="29"/>
        <v>0</v>
      </c>
    </row>
    <row r="301" spans="14:19" ht="13" x14ac:dyDescent="0.3">
      <c r="N301" s="47" t="e">
        <f t="shared" si="25"/>
        <v>#NUM!</v>
      </c>
      <c r="O301" s="47" t="e">
        <f t="shared" si="26"/>
        <v>#NUM!</v>
      </c>
      <c r="P301" s="48">
        <f t="shared" si="27"/>
        <v>0</v>
      </c>
      <c r="R301" s="49">
        <f t="shared" si="28"/>
        <v>0</v>
      </c>
      <c r="S301" s="49">
        <f t="shared" si="29"/>
        <v>0</v>
      </c>
    </row>
    <row r="302" spans="14:19" ht="13" x14ac:dyDescent="0.3">
      <c r="N302" s="47" t="e">
        <f t="shared" si="25"/>
        <v>#NUM!</v>
      </c>
      <c r="O302" s="47" t="e">
        <f t="shared" si="26"/>
        <v>#NUM!</v>
      </c>
      <c r="P302" s="48">
        <f t="shared" si="27"/>
        <v>0</v>
      </c>
      <c r="R302" s="49">
        <f t="shared" si="28"/>
        <v>0</v>
      </c>
      <c r="S302" s="49">
        <f t="shared" si="29"/>
        <v>0</v>
      </c>
    </row>
    <row r="303" spans="14:19" ht="13" x14ac:dyDescent="0.3">
      <c r="N303" s="47" t="e">
        <f t="shared" si="25"/>
        <v>#NUM!</v>
      </c>
      <c r="O303" s="47" t="e">
        <f t="shared" si="26"/>
        <v>#NUM!</v>
      </c>
      <c r="P303" s="48">
        <f t="shared" si="27"/>
        <v>0</v>
      </c>
      <c r="R303" s="49">
        <f t="shared" si="28"/>
        <v>0</v>
      </c>
      <c r="S303" s="49">
        <f t="shared" si="29"/>
        <v>0</v>
      </c>
    </row>
    <row r="304" spans="14:19" ht="13" x14ac:dyDescent="0.3">
      <c r="N304" s="47" t="e">
        <f t="shared" si="25"/>
        <v>#NUM!</v>
      </c>
      <c r="O304" s="47" t="e">
        <f t="shared" si="26"/>
        <v>#NUM!</v>
      </c>
      <c r="P304" s="48">
        <f t="shared" si="27"/>
        <v>0</v>
      </c>
      <c r="R304" s="49">
        <f t="shared" si="28"/>
        <v>0</v>
      </c>
      <c r="S304" s="49">
        <f t="shared" si="29"/>
        <v>0</v>
      </c>
    </row>
    <row r="305" spans="14:19" ht="13" x14ac:dyDescent="0.3">
      <c r="N305" s="47" t="e">
        <f t="shared" si="25"/>
        <v>#NUM!</v>
      </c>
      <c r="O305" s="47" t="e">
        <f t="shared" si="26"/>
        <v>#NUM!</v>
      </c>
      <c r="P305" s="48">
        <f t="shared" si="27"/>
        <v>0</v>
      </c>
      <c r="R305" s="49">
        <f t="shared" si="28"/>
        <v>0</v>
      </c>
      <c r="S305" s="49">
        <f t="shared" si="29"/>
        <v>0</v>
      </c>
    </row>
    <row r="306" spans="14:19" ht="13" x14ac:dyDescent="0.3">
      <c r="N306" s="47" t="e">
        <f t="shared" si="25"/>
        <v>#NUM!</v>
      </c>
      <c r="O306" s="47" t="e">
        <f t="shared" si="26"/>
        <v>#NUM!</v>
      </c>
      <c r="P306" s="48">
        <f t="shared" si="27"/>
        <v>0</v>
      </c>
      <c r="R306" s="49">
        <f t="shared" si="28"/>
        <v>0</v>
      </c>
      <c r="S306" s="49">
        <f t="shared" si="29"/>
        <v>0</v>
      </c>
    </row>
    <row r="307" spans="14:19" ht="13" x14ac:dyDescent="0.3">
      <c r="N307" s="47" t="e">
        <f t="shared" si="25"/>
        <v>#NUM!</v>
      </c>
      <c r="O307" s="47" t="e">
        <f t="shared" si="26"/>
        <v>#NUM!</v>
      </c>
      <c r="P307" s="48">
        <f t="shared" si="27"/>
        <v>0</v>
      </c>
      <c r="R307" s="49">
        <f t="shared" si="28"/>
        <v>0</v>
      </c>
      <c r="S307" s="49">
        <f t="shared" si="29"/>
        <v>0</v>
      </c>
    </row>
    <row r="308" spans="14:19" ht="13" x14ac:dyDescent="0.3">
      <c r="N308" s="47" t="e">
        <f t="shared" si="25"/>
        <v>#NUM!</v>
      </c>
      <c r="O308" s="47" t="e">
        <f t="shared" si="26"/>
        <v>#NUM!</v>
      </c>
      <c r="P308" s="48">
        <f t="shared" si="27"/>
        <v>0</v>
      </c>
      <c r="R308" s="49">
        <f t="shared" si="28"/>
        <v>0</v>
      </c>
      <c r="S308" s="49">
        <f t="shared" si="29"/>
        <v>0</v>
      </c>
    </row>
    <row r="309" spans="14:19" ht="13" x14ac:dyDescent="0.3">
      <c r="N309" s="47" t="e">
        <f t="shared" si="25"/>
        <v>#NUM!</v>
      </c>
      <c r="O309" s="47" t="e">
        <f t="shared" si="26"/>
        <v>#NUM!</v>
      </c>
      <c r="P309" s="48">
        <f t="shared" si="27"/>
        <v>0</v>
      </c>
      <c r="R309" s="49">
        <f t="shared" si="28"/>
        <v>0</v>
      </c>
      <c r="S309" s="49">
        <f t="shared" si="29"/>
        <v>0</v>
      </c>
    </row>
    <row r="310" spans="14:19" ht="13" x14ac:dyDescent="0.3">
      <c r="N310" s="47" t="e">
        <f t="shared" si="25"/>
        <v>#NUM!</v>
      </c>
      <c r="O310" s="47" t="e">
        <f t="shared" si="26"/>
        <v>#NUM!</v>
      </c>
      <c r="P310" s="48">
        <f t="shared" si="27"/>
        <v>0</v>
      </c>
      <c r="R310" s="49">
        <f t="shared" si="28"/>
        <v>0</v>
      </c>
      <c r="S310" s="49">
        <f t="shared" si="29"/>
        <v>0</v>
      </c>
    </row>
    <row r="311" spans="14:19" ht="13" x14ac:dyDescent="0.3">
      <c r="N311" s="47" t="e">
        <f t="shared" si="25"/>
        <v>#NUM!</v>
      </c>
      <c r="O311" s="47" t="e">
        <f t="shared" si="26"/>
        <v>#NUM!</v>
      </c>
      <c r="P311" s="48">
        <f t="shared" si="27"/>
        <v>0</v>
      </c>
      <c r="R311" s="49">
        <f t="shared" si="28"/>
        <v>0</v>
      </c>
      <c r="S311" s="49">
        <f t="shared" si="29"/>
        <v>0</v>
      </c>
    </row>
    <row r="312" spans="14:19" ht="13" x14ac:dyDescent="0.3">
      <c r="N312" s="47" t="e">
        <f t="shared" si="25"/>
        <v>#NUM!</v>
      </c>
      <c r="O312" s="47" t="e">
        <f t="shared" si="26"/>
        <v>#NUM!</v>
      </c>
      <c r="P312" s="48">
        <f t="shared" si="27"/>
        <v>0</v>
      </c>
      <c r="R312" s="49">
        <f t="shared" si="28"/>
        <v>0</v>
      </c>
      <c r="S312" s="49">
        <f t="shared" si="29"/>
        <v>0</v>
      </c>
    </row>
    <row r="313" spans="14:19" ht="13" x14ac:dyDescent="0.3">
      <c r="N313" s="47" t="e">
        <f t="shared" si="25"/>
        <v>#NUM!</v>
      </c>
      <c r="O313" s="47" t="e">
        <f t="shared" si="26"/>
        <v>#NUM!</v>
      </c>
      <c r="P313" s="48">
        <f t="shared" si="27"/>
        <v>0</v>
      </c>
      <c r="R313" s="49">
        <f t="shared" si="28"/>
        <v>0</v>
      </c>
      <c r="S313" s="49">
        <f t="shared" si="29"/>
        <v>0</v>
      </c>
    </row>
    <row r="314" spans="14:19" ht="13" x14ac:dyDescent="0.3">
      <c r="N314" s="47" t="e">
        <f t="shared" si="25"/>
        <v>#NUM!</v>
      </c>
      <c r="O314" s="47" t="e">
        <f t="shared" si="26"/>
        <v>#NUM!</v>
      </c>
      <c r="P314" s="48">
        <f t="shared" si="27"/>
        <v>0</v>
      </c>
      <c r="R314" s="49">
        <f t="shared" si="28"/>
        <v>0</v>
      </c>
      <c r="S314" s="49">
        <f t="shared" si="29"/>
        <v>0</v>
      </c>
    </row>
    <row r="315" spans="14:19" ht="13" x14ac:dyDescent="0.3">
      <c r="N315" s="47" t="e">
        <f t="shared" si="25"/>
        <v>#NUM!</v>
      </c>
      <c r="O315" s="47" t="e">
        <f t="shared" si="26"/>
        <v>#NUM!</v>
      </c>
      <c r="P315" s="48">
        <f t="shared" si="27"/>
        <v>0</v>
      </c>
      <c r="R315" s="49">
        <f t="shared" si="28"/>
        <v>0</v>
      </c>
      <c r="S315" s="49">
        <f t="shared" si="29"/>
        <v>0</v>
      </c>
    </row>
    <row r="316" spans="14:19" ht="13" x14ac:dyDescent="0.3">
      <c r="N316" s="47" t="e">
        <f t="shared" si="25"/>
        <v>#NUM!</v>
      </c>
      <c r="O316" s="47" t="e">
        <f t="shared" si="26"/>
        <v>#NUM!</v>
      </c>
      <c r="P316" s="48">
        <f t="shared" si="27"/>
        <v>0</v>
      </c>
      <c r="R316" s="49">
        <f t="shared" si="28"/>
        <v>0</v>
      </c>
      <c r="S316" s="49">
        <f t="shared" si="29"/>
        <v>0</v>
      </c>
    </row>
    <row r="317" spans="14:19" ht="13" x14ac:dyDescent="0.3">
      <c r="N317" s="47" t="e">
        <f t="shared" si="25"/>
        <v>#NUM!</v>
      </c>
      <c r="O317" s="47" t="e">
        <f t="shared" si="26"/>
        <v>#NUM!</v>
      </c>
      <c r="P317" s="48">
        <f t="shared" si="27"/>
        <v>0</v>
      </c>
      <c r="R317" s="49">
        <f t="shared" si="28"/>
        <v>0</v>
      </c>
      <c r="S317" s="49">
        <f t="shared" si="29"/>
        <v>0</v>
      </c>
    </row>
    <row r="318" spans="14:19" ht="13" x14ac:dyDescent="0.3">
      <c r="N318" s="47" t="e">
        <f t="shared" si="25"/>
        <v>#NUM!</v>
      </c>
      <c r="O318" s="47" t="e">
        <f t="shared" si="26"/>
        <v>#NUM!</v>
      </c>
      <c r="P318" s="48">
        <f t="shared" si="27"/>
        <v>0</v>
      </c>
      <c r="R318" s="49">
        <f t="shared" si="28"/>
        <v>0</v>
      </c>
      <c r="S318" s="49">
        <f t="shared" si="29"/>
        <v>0</v>
      </c>
    </row>
    <row r="319" spans="14:19" ht="13" x14ac:dyDescent="0.3">
      <c r="N319" s="47" t="e">
        <f t="shared" si="25"/>
        <v>#NUM!</v>
      </c>
      <c r="O319" s="47" t="e">
        <f t="shared" si="26"/>
        <v>#NUM!</v>
      </c>
      <c r="P319" s="48">
        <f t="shared" si="27"/>
        <v>0</v>
      </c>
      <c r="R319" s="49">
        <f t="shared" si="28"/>
        <v>0</v>
      </c>
      <c r="S319" s="49">
        <f t="shared" si="29"/>
        <v>0</v>
      </c>
    </row>
    <row r="320" spans="14:19" ht="13" x14ac:dyDescent="0.3">
      <c r="N320" s="47" t="e">
        <f t="shared" si="25"/>
        <v>#NUM!</v>
      </c>
      <c r="O320" s="47" t="e">
        <f t="shared" si="26"/>
        <v>#NUM!</v>
      </c>
      <c r="P320" s="48">
        <f t="shared" si="27"/>
        <v>0</v>
      </c>
      <c r="R320" s="49">
        <f t="shared" si="28"/>
        <v>0</v>
      </c>
      <c r="S320" s="49">
        <f t="shared" si="29"/>
        <v>0</v>
      </c>
    </row>
    <row r="321" spans="14:19" ht="13" x14ac:dyDescent="0.3">
      <c r="N321" s="47" t="e">
        <f t="shared" si="25"/>
        <v>#NUM!</v>
      </c>
      <c r="O321" s="47" t="e">
        <f t="shared" si="26"/>
        <v>#NUM!</v>
      </c>
      <c r="P321" s="48">
        <f t="shared" si="27"/>
        <v>0</v>
      </c>
      <c r="R321" s="49">
        <f t="shared" si="28"/>
        <v>0</v>
      </c>
      <c r="S321" s="49">
        <f t="shared" si="29"/>
        <v>0</v>
      </c>
    </row>
    <row r="322" spans="14:19" ht="13" x14ac:dyDescent="0.3">
      <c r="N322" s="47" t="e">
        <f t="shared" si="25"/>
        <v>#NUM!</v>
      </c>
      <c r="O322" s="47" t="e">
        <f t="shared" si="26"/>
        <v>#NUM!</v>
      </c>
      <c r="P322" s="48">
        <f t="shared" si="27"/>
        <v>0</v>
      </c>
      <c r="R322" s="49">
        <f t="shared" si="28"/>
        <v>0</v>
      </c>
      <c r="S322" s="49">
        <f t="shared" si="29"/>
        <v>0</v>
      </c>
    </row>
    <row r="323" spans="14:19" ht="13" x14ac:dyDescent="0.3">
      <c r="N323" s="47" t="e">
        <f t="shared" si="25"/>
        <v>#NUM!</v>
      </c>
      <c r="O323" s="47" t="e">
        <f t="shared" si="26"/>
        <v>#NUM!</v>
      </c>
      <c r="P323" s="48">
        <f t="shared" si="27"/>
        <v>0</v>
      </c>
      <c r="R323" s="49">
        <f t="shared" si="28"/>
        <v>0</v>
      </c>
      <c r="S323" s="49">
        <f t="shared" si="29"/>
        <v>0</v>
      </c>
    </row>
    <row r="324" spans="14:19" ht="13" x14ac:dyDescent="0.3">
      <c r="N324" s="47" t="e">
        <f t="shared" si="25"/>
        <v>#NUM!</v>
      </c>
      <c r="O324" s="47" t="e">
        <f t="shared" si="26"/>
        <v>#NUM!</v>
      </c>
      <c r="P324" s="48">
        <f t="shared" si="27"/>
        <v>0</v>
      </c>
      <c r="R324" s="49">
        <f t="shared" si="28"/>
        <v>0</v>
      </c>
      <c r="S324" s="49">
        <f t="shared" si="29"/>
        <v>0</v>
      </c>
    </row>
    <row r="325" spans="14:19" ht="13" x14ac:dyDescent="0.3">
      <c r="N325" s="47" t="e">
        <f t="shared" si="25"/>
        <v>#NUM!</v>
      </c>
      <c r="O325" s="47" t="e">
        <f t="shared" si="26"/>
        <v>#NUM!</v>
      </c>
      <c r="P325" s="48">
        <f t="shared" si="27"/>
        <v>0</v>
      </c>
      <c r="R325" s="49">
        <f t="shared" si="28"/>
        <v>0</v>
      </c>
      <c r="S325" s="49">
        <f t="shared" si="29"/>
        <v>0</v>
      </c>
    </row>
    <row r="326" spans="14:19" ht="13" x14ac:dyDescent="0.3">
      <c r="N326" s="47" t="e">
        <f t="shared" si="25"/>
        <v>#NUM!</v>
      </c>
      <c r="O326" s="47" t="e">
        <f t="shared" si="26"/>
        <v>#NUM!</v>
      </c>
      <c r="P326" s="48">
        <f t="shared" si="27"/>
        <v>0</v>
      </c>
      <c r="R326" s="49">
        <f t="shared" si="28"/>
        <v>0</v>
      </c>
      <c r="S326" s="49">
        <f t="shared" si="29"/>
        <v>0</v>
      </c>
    </row>
    <row r="327" spans="14:19" ht="13" x14ac:dyDescent="0.3">
      <c r="N327" s="47" t="e">
        <f t="shared" si="25"/>
        <v>#NUM!</v>
      </c>
      <c r="O327" s="47" t="e">
        <f t="shared" si="26"/>
        <v>#NUM!</v>
      </c>
      <c r="P327" s="48">
        <f t="shared" si="27"/>
        <v>0</v>
      </c>
      <c r="R327" s="49">
        <f t="shared" si="28"/>
        <v>0</v>
      </c>
      <c r="S327" s="49">
        <f t="shared" si="29"/>
        <v>0</v>
      </c>
    </row>
    <row r="328" spans="14:19" ht="13" x14ac:dyDescent="0.3">
      <c r="N328" s="47" t="e">
        <f t="shared" si="25"/>
        <v>#NUM!</v>
      </c>
      <c r="O328" s="47" t="e">
        <f t="shared" si="26"/>
        <v>#NUM!</v>
      </c>
      <c r="P328" s="48">
        <f t="shared" si="27"/>
        <v>0</v>
      </c>
      <c r="R328" s="49">
        <f t="shared" si="28"/>
        <v>0</v>
      </c>
      <c r="S328" s="49">
        <f t="shared" si="29"/>
        <v>0</v>
      </c>
    </row>
    <row r="329" spans="14:19" ht="13" x14ac:dyDescent="0.3">
      <c r="N329" s="47" t="e">
        <f t="shared" si="25"/>
        <v>#NUM!</v>
      </c>
      <c r="O329" s="47" t="e">
        <f t="shared" si="26"/>
        <v>#NUM!</v>
      </c>
      <c r="P329" s="48">
        <f t="shared" si="27"/>
        <v>0</v>
      </c>
      <c r="R329" s="49">
        <f t="shared" si="28"/>
        <v>0</v>
      </c>
      <c r="S329" s="49">
        <f t="shared" si="29"/>
        <v>0</v>
      </c>
    </row>
    <row r="330" spans="14:19" ht="13" x14ac:dyDescent="0.3">
      <c r="N330" s="47" t="e">
        <f t="shared" si="25"/>
        <v>#NUM!</v>
      </c>
      <c r="O330" s="47" t="e">
        <f t="shared" si="26"/>
        <v>#NUM!</v>
      </c>
      <c r="P330" s="48">
        <f t="shared" si="27"/>
        <v>0</v>
      </c>
      <c r="R330" s="49">
        <f t="shared" si="28"/>
        <v>0</v>
      </c>
      <c r="S330" s="49">
        <f t="shared" si="29"/>
        <v>0</v>
      </c>
    </row>
    <row r="331" spans="14:19" ht="13" x14ac:dyDescent="0.3">
      <c r="N331" s="47" t="e">
        <f t="shared" si="25"/>
        <v>#NUM!</v>
      </c>
      <c r="O331" s="47" t="e">
        <f t="shared" si="26"/>
        <v>#NUM!</v>
      </c>
      <c r="P331" s="48">
        <f t="shared" si="27"/>
        <v>0</v>
      </c>
      <c r="R331" s="49">
        <f t="shared" si="28"/>
        <v>0</v>
      </c>
      <c r="S331" s="49">
        <f t="shared" si="29"/>
        <v>0</v>
      </c>
    </row>
    <row r="332" spans="14:19" ht="13" x14ac:dyDescent="0.3">
      <c r="N332" s="47" t="e">
        <f t="shared" si="25"/>
        <v>#NUM!</v>
      </c>
      <c r="O332" s="47" t="e">
        <f t="shared" si="26"/>
        <v>#NUM!</v>
      </c>
      <c r="P332" s="48">
        <f t="shared" si="27"/>
        <v>0</v>
      </c>
      <c r="R332" s="49">
        <f t="shared" si="28"/>
        <v>0</v>
      </c>
      <c r="S332" s="49">
        <f t="shared" si="29"/>
        <v>0</v>
      </c>
    </row>
    <row r="333" spans="14:19" ht="13" x14ac:dyDescent="0.3">
      <c r="N333" s="47" t="e">
        <f t="shared" ref="N333:N345" si="30">($D$4-DATE(H333,F333,G333))/365.25</f>
        <v>#NUM!</v>
      </c>
      <c r="O333" s="47" t="e">
        <f t="shared" ref="O333:O345" si="31">($D$4-DATE(K333,I333,J333))/365.25</f>
        <v>#NUM!</v>
      </c>
      <c r="P333" s="48">
        <f t="shared" ref="P333:P345" si="32">M333/($I$4*30.4)</f>
        <v>0</v>
      </c>
      <c r="R333" s="49">
        <f t="shared" ref="R333:R345" si="33">+IF(L333&lt;=1997,M333,0)</f>
        <v>0</v>
      </c>
      <c r="S333" s="49">
        <f t="shared" ref="S333:S345" si="34">+IF(L333&gt;1997,M333,0)</f>
        <v>0</v>
      </c>
    </row>
    <row r="334" spans="14:19" ht="13" x14ac:dyDescent="0.3">
      <c r="N334" s="47" t="e">
        <f t="shared" si="30"/>
        <v>#NUM!</v>
      </c>
      <c r="O334" s="47" t="e">
        <f t="shared" si="31"/>
        <v>#NUM!</v>
      </c>
      <c r="P334" s="48">
        <f t="shared" si="32"/>
        <v>0</v>
      </c>
      <c r="R334" s="49">
        <f t="shared" si="33"/>
        <v>0</v>
      </c>
      <c r="S334" s="49">
        <f t="shared" si="34"/>
        <v>0</v>
      </c>
    </row>
    <row r="335" spans="14:19" ht="13" x14ac:dyDescent="0.3">
      <c r="N335" s="47" t="e">
        <f t="shared" si="30"/>
        <v>#NUM!</v>
      </c>
      <c r="O335" s="47" t="e">
        <f t="shared" si="31"/>
        <v>#NUM!</v>
      </c>
      <c r="P335" s="48">
        <f t="shared" si="32"/>
        <v>0</v>
      </c>
      <c r="R335" s="49">
        <f t="shared" si="33"/>
        <v>0</v>
      </c>
      <c r="S335" s="49">
        <f t="shared" si="34"/>
        <v>0</v>
      </c>
    </row>
    <row r="336" spans="14:19" ht="13" x14ac:dyDescent="0.3">
      <c r="N336" s="47" t="e">
        <f t="shared" si="30"/>
        <v>#NUM!</v>
      </c>
      <c r="O336" s="47" t="e">
        <f t="shared" si="31"/>
        <v>#NUM!</v>
      </c>
      <c r="P336" s="48">
        <f t="shared" si="32"/>
        <v>0</v>
      </c>
      <c r="R336" s="49">
        <f t="shared" si="33"/>
        <v>0</v>
      </c>
      <c r="S336" s="49">
        <f t="shared" si="34"/>
        <v>0</v>
      </c>
    </row>
    <row r="337" spans="14:19" ht="13" x14ac:dyDescent="0.3">
      <c r="N337" s="47" t="e">
        <f t="shared" si="30"/>
        <v>#NUM!</v>
      </c>
      <c r="O337" s="47" t="e">
        <f t="shared" si="31"/>
        <v>#NUM!</v>
      </c>
      <c r="P337" s="48">
        <f t="shared" si="32"/>
        <v>0</v>
      </c>
      <c r="R337" s="49">
        <f t="shared" si="33"/>
        <v>0</v>
      </c>
      <c r="S337" s="49">
        <f t="shared" si="34"/>
        <v>0</v>
      </c>
    </row>
    <row r="338" spans="14:19" ht="13" x14ac:dyDescent="0.3">
      <c r="N338" s="47" t="e">
        <f t="shared" si="30"/>
        <v>#NUM!</v>
      </c>
      <c r="O338" s="47" t="e">
        <f t="shared" si="31"/>
        <v>#NUM!</v>
      </c>
      <c r="P338" s="48">
        <f t="shared" si="32"/>
        <v>0</v>
      </c>
      <c r="R338" s="49">
        <f t="shared" si="33"/>
        <v>0</v>
      </c>
      <c r="S338" s="49">
        <f t="shared" si="34"/>
        <v>0</v>
      </c>
    </row>
    <row r="339" spans="14:19" ht="13" x14ac:dyDescent="0.3">
      <c r="N339" s="47" t="e">
        <f t="shared" si="30"/>
        <v>#NUM!</v>
      </c>
      <c r="O339" s="47" t="e">
        <f t="shared" si="31"/>
        <v>#NUM!</v>
      </c>
      <c r="P339" s="48">
        <f t="shared" si="32"/>
        <v>0</v>
      </c>
      <c r="R339" s="49">
        <f t="shared" si="33"/>
        <v>0</v>
      </c>
      <c r="S339" s="49">
        <f t="shared" si="34"/>
        <v>0</v>
      </c>
    </row>
    <row r="340" spans="14:19" ht="13" x14ac:dyDescent="0.3">
      <c r="N340" s="47" t="e">
        <f t="shared" si="30"/>
        <v>#NUM!</v>
      </c>
      <c r="O340" s="47" t="e">
        <f t="shared" si="31"/>
        <v>#NUM!</v>
      </c>
      <c r="P340" s="48">
        <f t="shared" si="32"/>
        <v>0</v>
      </c>
      <c r="R340" s="49">
        <f t="shared" si="33"/>
        <v>0</v>
      </c>
      <c r="S340" s="49">
        <f t="shared" si="34"/>
        <v>0</v>
      </c>
    </row>
    <row r="341" spans="14:19" ht="13" x14ac:dyDescent="0.3">
      <c r="N341" s="47" t="e">
        <f t="shared" si="30"/>
        <v>#NUM!</v>
      </c>
      <c r="O341" s="47" t="e">
        <f t="shared" si="31"/>
        <v>#NUM!</v>
      </c>
      <c r="P341" s="48">
        <f t="shared" si="32"/>
        <v>0</v>
      </c>
      <c r="R341" s="49">
        <f t="shared" si="33"/>
        <v>0</v>
      </c>
      <c r="S341" s="49">
        <f t="shared" si="34"/>
        <v>0</v>
      </c>
    </row>
    <row r="342" spans="14:19" ht="13" x14ac:dyDescent="0.3">
      <c r="N342" s="47" t="e">
        <f t="shared" si="30"/>
        <v>#NUM!</v>
      </c>
      <c r="O342" s="47" t="e">
        <f t="shared" si="31"/>
        <v>#NUM!</v>
      </c>
      <c r="P342" s="48">
        <f t="shared" si="32"/>
        <v>0</v>
      </c>
      <c r="R342" s="49">
        <f t="shared" si="33"/>
        <v>0</v>
      </c>
      <c r="S342" s="49">
        <f t="shared" si="34"/>
        <v>0</v>
      </c>
    </row>
    <row r="343" spans="14:19" ht="13" x14ac:dyDescent="0.3">
      <c r="N343" s="47" t="e">
        <f t="shared" si="30"/>
        <v>#NUM!</v>
      </c>
      <c r="O343" s="47" t="e">
        <f t="shared" si="31"/>
        <v>#NUM!</v>
      </c>
      <c r="P343" s="48">
        <f t="shared" si="32"/>
        <v>0</v>
      </c>
      <c r="R343" s="49">
        <f t="shared" si="33"/>
        <v>0</v>
      </c>
      <c r="S343" s="49">
        <f t="shared" si="34"/>
        <v>0</v>
      </c>
    </row>
    <row r="344" spans="14:19" ht="13" x14ac:dyDescent="0.3">
      <c r="N344" s="47" t="e">
        <f t="shared" si="30"/>
        <v>#NUM!</v>
      </c>
      <c r="O344" s="47" t="e">
        <f t="shared" si="31"/>
        <v>#NUM!</v>
      </c>
      <c r="P344" s="48">
        <f t="shared" si="32"/>
        <v>0</v>
      </c>
      <c r="R344" s="49">
        <f t="shared" si="33"/>
        <v>0</v>
      </c>
      <c r="S344" s="49">
        <f t="shared" si="34"/>
        <v>0</v>
      </c>
    </row>
    <row r="345" spans="14:19" ht="13" x14ac:dyDescent="0.3">
      <c r="N345" s="47" t="e">
        <f t="shared" si="30"/>
        <v>#NUM!</v>
      </c>
      <c r="O345" s="47" t="e">
        <f t="shared" si="31"/>
        <v>#NUM!</v>
      </c>
      <c r="P345" s="48">
        <f t="shared" si="32"/>
        <v>0</v>
      </c>
      <c r="R345" s="49">
        <f t="shared" si="33"/>
        <v>0</v>
      </c>
      <c r="S345" s="49">
        <f t="shared" si="34"/>
        <v>0</v>
      </c>
    </row>
    <row r="346" spans="14:19" ht="13" x14ac:dyDescent="0.3">
      <c r="N346" s="47"/>
      <c r="O346" s="47"/>
      <c r="P346" s="48"/>
      <c r="R346" s="49"/>
      <c r="S346" s="49"/>
    </row>
    <row r="347" spans="14:19" ht="13" x14ac:dyDescent="0.3">
      <c r="N347" s="47"/>
      <c r="O347" s="47"/>
      <c r="P347" s="48"/>
      <c r="R347" s="49"/>
      <c r="S347" s="49"/>
    </row>
    <row r="348" spans="14:19" ht="13" x14ac:dyDescent="0.3">
      <c r="N348" s="47"/>
      <c r="O348" s="47"/>
      <c r="P348" s="48"/>
      <c r="R348" s="49"/>
      <c r="S348" s="49"/>
    </row>
    <row r="349" spans="14:19" ht="13" x14ac:dyDescent="0.3">
      <c r="N349" s="47"/>
      <c r="O349" s="47"/>
      <c r="P349" s="48"/>
      <c r="R349" s="49"/>
      <c r="S349" s="49"/>
    </row>
    <row r="350" spans="14:19" ht="13" x14ac:dyDescent="0.3">
      <c r="N350" s="47"/>
      <c r="O350" s="47"/>
      <c r="P350" s="48"/>
      <c r="R350" s="49"/>
      <c r="S350" s="49"/>
    </row>
    <row r="351" spans="14:19" ht="13" x14ac:dyDescent="0.3">
      <c r="N351" s="47"/>
      <c r="O351" s="47"/>
      <c r="P351" s="48"/>
      <c r="R351" s="49"/>
      <c r="S351" s="49"/>
    </row>
    <row r="352" spans="14:19" ht="13" x14ac:dyDescent="0.3">
      <c r="N352" s="47"/>
      <c r="O352" s="47"/>
      <c r="P352" s="48"/>
      <c r="R352" s="49"/>
      <c r="S352" s="49"/>
    </row>
    <row r="353" spans="14:19" ht="13" x14ac:dyDescent="0.3">
      <c r="N353" s="47"/>
      <c r="O353" s="47"/>
      <c r="P353" s="48"/>
      <c r="R353" s="49"/>
      <c r="S353" s="49"/>
    </row>
    <row r="354" spans="14:19" ht="13" x14ac:dyDescent="0.3">
      <c r="N354" s="47"/>
      <c r="O354" s="47"/>
      <c r="P354" s="48"/>
      <c r="R354" s="49"/>
      <c r="S354" s="49"/>
    </row>
    <row r="355" spans="14:19" ht="13" x14ac:dyDescent="0.3">
      <c r="N355" s="47"/>
      <c r="O355" s="47"/>
      <c r="P355" s="48"/>
      <c r="R355" s="49"/>
      <c r="S355" s="49"/>
    </row>
    <row r="356" spans="14:19" ht="13" x14ac:dyDescent="0.3">
      <c r="N356" s="47"/>
      <c r="O356" s="47"/>
      <c r="P356" s="48"/>
      <c r="R356" s="49"/>
      <c r="S356" s="49"/>
    </row>
    <row r="357" spans="14:19" ht="13" x14ac:dyDescent="0.3">
      <c r="N357" s="47"/>
      <c r="O357" s="47"/>
      <c r="P357" s="48"/>
      <c r="R357" s="49"/>
      <c r="S357" s="49"/>
    </row>
    <row r="358" spans="14:19" ht="13" x14ac:dyDescent="0.3">
      <c r="N358" s="47"/>
      <c r="O358" s="47"/>
      <c r="P358" s="48"/>
      <c r="R358" s="49"/>
      <c r="S358" s="49"/>
    </row>
    <row r="359" spans="14:19" ht="13" x14ac:dyDescent="0.3">
      <c r="N359" s="47"/>
      <c r="O359" s="47"/>
      <c r="P359" s="48"/>
      <c r="R359" s="49"/>
      <c r="S359" s="49"/>
    </row>
    <row r="360" spans="14:19" ht="13" x14ac:dyDescent="0.3">
      <c r="N360" s="47"/>
      <c r="O360" s="47"/>
      <c r="P360" s="48"/>
      <c r="R360" s="49"/>
      <c r="S360" s="49"/>
    </row>
    <row r="361" spans="14:19" ht="13" x14ac:dyDescent="0.3">
      <c r="N361" s="47"/>
      <c r="O361" s="47"/>
      <c r="P361" s="48"/>
      <c r="R361" s="49"/>
      <c r="S361" s="49"/>
    </row>
    <row r="362" spans="14:19" ht="13" x14ac:dyDescent="0.3">
      <c r="N362" s="47"/>
      <c r="O362" s="47"/>
      <c r="P362" s="48"/>
      <c r="R362" s="49"/>
      <c r="S362" s="49"/>
    </row>
    <row r="363" spans="14:19" ht="13" x14ac:dyDescent="0.3">
      <c r="N363" s="47"/>
      <c r="O363" s="47"/>
      <c r="P363" s="48"/>
      <c r="R363" s="49"/>
      <c r="S363" s="49"/>
    </row>
    <row r="364" spans="14:19" ht="13" x14ac:dyDescent="0.3">
      <c r="N364" s="47"/>
      <c r="O364" s="47"/>
      <c r="P364" s="48"/>
      <c r="R364" s="49"/>
      <c r="S364" s="49"/>
    </row>
    <row r="365" spans="14:19" ht="13" x14ac:dyDescent="0.3">
      <c r="N365" s="47"/>
      <c r="O365" s="47"/>
      <c r="P365" s="48"/>
      <c r="R365" s="49"/>
      <c r="S365" s="49"/>
    </row>
    <row r="366" spans="14:19" ht="13" x14ac:dyDescent="0.3">
      <c r="N366" s="47"/>
      <c r="O366" s="47"/>
      <c r="P366" s="48"/>
      <c r="R366" s="49"/>
      <c r="S366" s="49"/>
    </row>
    <row r="367" spans="14:19" ht="13" x14ac:dyDescent="0.3">
      <c r="N367" s="47"/>
      <c r="O367" s="47"/>
      <c r="P367" s="48"/>
      <c r="R367" s="49"/>
      <c r="S367" s="49"/>
    </row>
    <row r="368" spans="14:19" ht="13" x14ac:dyDescent="0.3">
      <c r="N368" s="47"/>
      <c r="O368" s="47"/>
      <c r="P368" s="48"/>
      <c r="R368" s="49"/>
      <c r="S368" s="49"/>
    </row>
    <row r="369" spans="14:19" ht="13" x14ac:dyDescent="0.3">
      <c r="N369" s="47"/>
      <c r="O369" s="47"/>
      <c r="P369" s="48"/>
      <c r="R369" s="49"/>
      <c r="S369" s="49"/>
    </row>
    <row r="370" spans="14:19" ht="13" x14ac:dyDescent="0.3">
      <c r="N370" s="47"/>
      <c r="O370" s="47"/>
      <c r="P370" s="48"/>
      <c r="R370" s="49"/>
      <c r="S370" s="49"/>
    </row>
    <row r="371" spans="14:19" ht="13" x14ac:dyDescent="0.3">
      <c r="N371" s="47"/>
      <c r="O371" s="47"/>
      <c r="P371" s="48"/>
      <c r="R371" s="49"/>
      <c r="S371" s="49"/>
    </row>
    <row r="372" spans="14:19" ht="13" x14ac:dyDescent="0.3">
      <c r="N372" s="47"/>
      <c r="O372" s="47"/>
      <c r="P372" s="48"/>
      <c r="R372" s="49"/>
      <c r="S372" s="49"/>
    </row>
    <row r="373" spans="14:19" ht="13" x14ac:dyDescent="0.3">
      <c r="N373" s="47"/>
      <c r="O373" s="47"/>
      <c r="P373" s="48"/>
      <c r="R373" s="49"/>
      <c r="S373" s="49"/>
    </row>
    <row r="374" spans="14:19" ht="13" x14ac:dyDescent="0.3">
      <c r="N374" s="47"/>
      <c r="O374" s="47"/>
      <c r="P374" s="48"/>
      <c r="R374" s="49"/>
      <c r="S374" s="49"/>
    </row>
    <row r="375" spans="14:19" ht="13" x14ac:dyDescent="0.3">
      <c r="N375" s="47"/>
      <c r="O375" s="47"/>
      <c r="P375" s="48"/>
      <c r="R375" s="49"/>
      <c r="S375" s="49"/>
    </row>
    <row r="376" spans="14:19" ht="13" x14ac:dyDescent="0.3">
      <c r="N376" s="47"/>
      <c r="O376" s="47"/>
      <c r="P376" s="48"/>
      <c r="R376" s="49"/>
      <c r="S376" s="49"/>
    </row>
    <row r="377" spans="14:19" ht="13" x14ac:dyDescent="0.3">
      <c r="N377" s="47"/>
      <c r="O377" s="47"/>
      <c r="P377" s="48"/>
      <c r="R377" s="49"/>
      <c r="S377" s="49"/>
    </row>
    <row r="378" spans="14:19" ht="13" x14ac:dyDescent="0.3">
      <c r="N378" s="47"/>
      <c r="O378" s="47"/>
      <c r="P378" s="48"/>
      <c r="R378" s="49"/>
      <c r="S378" s="49"/>
    </row>
    <row r="379" spans="14:19" ht="13" x14ac:dyDescent="0.3">
      <c r="N379" s="47"/>
      <c r="O379" s="47"/>
      <c r="P379" s="48"/>
      <c r="R379" s="49"/>
      <c r="S379" s="49"/>
    </row>
    <row r="380" spans="14:19" ht="13" x14ac:dyDescent="0.3">
      <c r="N380" s="47"/>
      <c r="O380" s="47"/>
      <c r="P380" s="48"/>
      <c r="R380" s="49"/>
      <c r="S380" s="49"/>
    </row>
    <row r="381" spans="14:19" ht="13" x14ac:dyDescent="0.3">
      <c r="N381" s="47"/>
      <c r="O381" s="47"/>
      <c r="P381" s="48"/>
      <c r="R381" s="49"/>
      <c r="S381" s="49"/>
    </row>
    <row r="382" spans="14:19" ht="13" x14ac:dyDescent="0.3">
      <c r="N382" s="47"/>
      <c r="O382" s="47"/>
      <c r="P382" s="48"/>
      <c r="R382" s="49"/>
      <c r="S382" s="49"/>
    </row>
    <row r="383" spans="14:19" ht="13" x14ac:dyDescent="0.3">
      <c r="N383" s="47"/>
      <c r="O383" s="47"/>
      <c r="P383" s="48"/>
      <c r="R383" s="49"/>
      <c r="S383" s="49"/>
    </row>
    <row r="384" spans="14:19" ht="13" x14ac:dyDescent="0.3">
      <c r="N384" s="47"/>
      <c r="O384" s="47"/>
      <c r="P384" s="48"/>
      <c r="R384" s="49"/>
      <c r="S384" s="49"/>
    </row>
    <row r="385" spans="14:19" ht="13" x14ac:dyDescent="0.3">
      <c r="N385" s="47"/>
      <c r="O385" s="47"/>
      <c r="P385" s="48"/>
      <c r="R385" s="49"/>
      <c r="S385" s="49"/>
    </row>
    <row r="386" spans="14:19" ht="13" x14ac:dyDescent="0.3">
      <c r="N386" s="47"/>
      <c r="O386" s="47"/>
      <c r="P386" s="48"/>
      <c r="R386" s="49"/>
      <c r="S386" s="49"/>
    </row>
    <row r="387" spans="14:19" ht="13" x14ac:dyDescent="0.3">
      <c r="N387" s="47"/>
      <c r="O387" s="47"/>
      <c r="P387" s="48"/>
      <c r="R387" s="49"/>
      <c r="S387" s="49"/>
    </row>
    <row r="388" spans="14:19" ht="13" x14ac:dyDescent="0.3">
      <c r="N388" s="47"/>
      <c r="O388" s="47"/>
      <c r="P388" s="48"/>
      <c r="R388" s="49"/>
      <c r="S388" s="49"/>
    </row>
    <row r="389" spans="14:19" ht="13" x14ac:dyDescent="0.3">
      <c r="N389" s="47"/>
      <c r="O389" s="47"/>
      <c r="P389" s="48"/>
      <c r="R389" s="49"/>
      <c r="S389" s="49"/>
    </row>
    <row r="390" spans="14:19" ht="13" x14ac:dyDescent="0.3">
      <c r="N390" s="47"/>
      <c r="O390" s="47"/>
      <c r="P390" s="48"/>
      <c r="R390" s="49"/>
      <c r="S390" s="49"/>
    </row>
    <row r="391" spans="14:19" ht="13" x14ac:dyDescent="0.3">
      <c r="N391" s="47"/>
      <c r="O391" s="47"/>
      <c r="P391" s="48"/>
      <c r="R391" s="49"/>
      <c r="S391" s="49"/>
    </row>
    <row r="392" spans="14:19" ht="13" x14ac:dyDescent="0.3">
      <c r="N392" s="47"/>
      <c r="O392" s="47"/>
      <c r="P392" s="48"/>
      <c r="R392" s="49"/>
      <c r="S392" s="49"/>
    </row>
    <row r="393" spans="14:19" ht="13" x14ac:dyDescent="0.3">
      <c r="N393" s="47"/>
      <c r="O393" s="47"/>
      <c r="P393" s="48"/>
      <c r="R393" s="49"/>
      <c r="S393" s="49"/>
    </row>
    <row r="394" spans="14:19" ht="13" x14ac:dyDescent="0.3">
      <c r="N394" s="47"/>
      <c r="O394" s="47"/>
      <c r="P394" s="48"/>
      <c r="R394" s="49"/>
      <c r="S394" s="49"/>
    </row>
    <row r="395" spans="14:19" ht="13" x14ac:dyDescent="0.3">
      <c r="N395" s="47"/>
      <c r="O395" s="47"/>
      <c r="P395" s="48"/>
      <c r="R395" s="49"/>
      <c r="S395" s="49"/>
    </row>
    <row r="396" spans="14:19" ht="13" x14ac:dyDescent="0.3">
      <c r="N396" s="47"/>
      <c r="O396" s="47"/>
      <c r="P396" s="48"/>
      <c r="R396" s="49"/>
      <c r="S396" s="49"/>
    </row>
    <row r="397" spans="14:19" ht="13" x14ac:dyDescent="0.3">
      <c r="N397" s="47"/>
      <c r="O397" s="47"/>
      <c r="P397" s="48"/>
      <c r="R397" s="49"/>
      <c r="S397" s="49"/>
    </row>
    <row r="398" spans="14:19" ht="13" x14ac:dyDescent="0.3">
      <c r="N398" s="47"/>
      <c r="O398" s="47"/>
      <c r="P398" s="48"/>
      <c r="R398" s="49"/>
      <c r="S398" s="49"/>
    </row>
    <row r="399" spans="14:19" ht="13" x14ac:dyDescent="0.3">
      <c r="N399" s="47"/>
      <c r="O399" s="47"/>
      <c r="P399" s="48"/>
      <c r="R399" s="49"/>
      <c r="S399" s="49"/>
    </row>
    <row r="400" spans="14:19" ht="13" x14ac:dyDescent="0.3">
      <c r="N400" s="47"/>
      <c r="O400" s="47"/>
      <c r="P400" s="48"/>
      <c r="R400" s="49"/>
      <c r="S400" s="49"/>
    </row>
    <row r="401" spans="14:19" ht="13" x14ac:dyDescent="0.3">
      <c r="N401" s="47"/>
      <c r="O401" s="47"/>
      <c r="P401" s="48"/>
      <c r="R401" s="49"/>
      <c r="S401" s="49"/>
    </row>
    <row r="402" spans="14:19" ht="13" x14ac:dyDescent="0.3">
      <c r="N402" s="47"/>
      <c r="O402" s="47"/>
      <c r="P402" s="48"/>
      <c r="R402" s="49"/>
      <c r="S402" s="49"/>
    </row>
    <row r="403" spans="14:19" ht="13" x14ac:dyDescent="0.3">
      <c r="N403" s="47"/>
      <c r="O403" s="47"/>
      <c r="P403" s="48"/>
      <c r="R403" s="49"/>
      <c r="S403" s="49"/>
    </row>
    <row r="404" spans="14:19" ht="13" x14ac:dyDescent="0.3">
      <c r="N404" s="47"/>
      <c r="O404" s="47"/>
      <c r="P404" s="48"/>
      <c r="R404" s="49"/>
      <c r="S404" s="49"/>
    </row>
    <row r="405" spans="14:19" ht="13" x14ac:dyDescent="0.3">
      <c r="N405" s="47"/>
      <c r="O405" s="47"/>
      <c r="P405" s="48"/>
      <c r="R405" s="49"/>
      <c r="S405" s="49"/>
    </row>
    <row r="406" spans="14:19" ht="13" x14ac:dyDescent="0.3">
      <c r="N406" s="47"/>
      <c r="O406" s="47"/>
      <c r="P406" s="48"/>
      <c r="R406" s="49"/>
      <c r="S406" s="49"/>
    </row>
    <row r="407" spans="14:19" ht="13" x14ac:dyDescent="0.3">
      <c r="N407" s="47"/>
      <c r="O407" s="47"/>
      <c r="P407" s="48"/>
      <c r="R407" s="49"/>
      <c r="S407" s="49"/>
    </row>
    <row r="408" spans="14:19" ht="13" x14ac:dyDescent="0.3">
      <c r="N408" s="47"/>
      <c r="O408" s="47"/>
      <c r="P408" s="48"/>
      <c r="R408" s="49"/>
      <c r="S408" s="49"/>
    </row>
    <row r="409" spans="14:19" ht="13" x14ac:dyDescent="0.3">
      <c r="N409" s="47"/>
      <c r="O409" s="47"/>
      <c r="P409" s="48"/>
      <c r="R409" s="49"/>
      <c r="S409" s="49"/>
    </row>
    <row r="410" spans="14:19" ht="13" x14ac:dyDescent="0.3">
      <c r="N410" s="47"/>
      <c r="O410" s="47"/>
      <c r="P410" s="48"/>
      <c r="R410" s="49"/>
      <c r="S410" s="49"/>
    </row>
    <row r="411" spans="14:19" ht="13" x14ac:dyDescent="0.3">
      <c r="N411" s="47"/>
      <c r="O411" s="47"/>
      <c r="P411" s="48"/>
      <c r="R411" s="49"/>
      <c r="S411" s="49"/>
    </row>
    <row r="412" spans="14:19" ht="13" x14ac:dyDescent="0.3">
      <c r="N412" s="47"/>
      <c r="O412" s="47"/>
      <c r="P412" s="48"/>
      <c r="R412" s="49"/>
      <c r="S412" s="49"/>
    </row>
    <row r="413" spans="14:19" ht="13" x14ac:dyDescent="0.3">
      <c r="N413" s="47"/>
      <c r="O413" s="47"/>
      <c r="P413" s="48"/>
      <c r="R413" s="49"/>
      <c r="S413" s="49"/>
    </row>
    <row r="414" spans="14:19" ht="13" x14ac:dyDescent="0.3">
      <c r="N414" s="47"/>
      <c r="O414" s="47"/>
      <c r="P414" s="48"/>
      <c r="R414" s="49"/>
      <c r="S414" s="49"/>
    </row>
    <row r="415" spans="14:19" ht="13" x14ac:dyDescent="0.3">
      <c r="N415" s="47"/>
      <c r="O415" s="47"/>
      <c r="P415" s="48"/>
      <c r="R415" s="49"/>
      <c r="S415" s="49"/>
    </row>
    <row r="416" spans="14:19" ht="13" x14ac:dyDescent="0.3">
      <c r="N416" s="47"/>
      <c r="O416" s="47"/>
      <c r="P416" s="48"/>
      <c r="R416" s="49"/>
      <c r="S416" s="49"/>
    </row>
    <row r="417" spans="14:19" ht="13" x14ac:dyDescent="0.3">
      <c r="N417" s="47"/>
      <c r="O417" s="47"/>
      <c r="P417" s="48"/>
      <c r="R417" s="49"/>
      <c r="S417" s="49"/>
    </row>
    <row r="418" spans="14:19" ht="13" x14ac:dyDescent="0.3">
      <c r="N418" s="47"/>
      <c r="O418" s="47"/>
      <c r="P418" s="48"/>
      <c r="R418" s="49"/>
      <c r="S418" s="49"/>
    </row>
    <row r="419" spans="14:19" ht="13" x14ac:dyDescent="0.3">
      <c r="N419" s="47"/>
      <c r="O419" s="47"/>
      <c r="P419" s="48"/>
      <c r="R419" s="49"/>
      <c r="S419" s="49"/>
    </row>
    <row r="420" spans="14:19" ht="13" x14ac:dyDescent="0.3">
      <c r="N420" s="47"/>
      <c r="O420" s="47"/>
      <c r="P420" s="48"/>
      <c r="R420" s="49"/>
      <c r="S420" s="49"/>
    </row>
    <row r="421" spans="14:19" ht="13" x14ac:dyDescent="0.3">
      <c r="N421" s="47"/>
      <c r="O421" s="47"/>
      <c r="P421" s="48"/>
      <c r="R421" s="49"/>
      <c r="S421" s="49"/>
    </row>
    <row r="422" spans="14:19" ht="13" x14ac:dyDescent="0.3">
      <c r="N422" s="47"/>
      <c r="O422" s="47"/>
      <c r="P422" s="48"/>
      <c r="R422" s="49"/>
      <c r="S422" s="49"/>
    </row>
    <row r="423" spans="14:19" ht="13" x14ac:dyDescent="0.3">
      <c r="N423" s="47"/>
      <c r="O423" s="47"/>
      <c r="P423" s="48"/>
      <c r="R423" s="49"/>
      <c r="S423" s="49"/>
    </row>
    <row r="424" spans="14:19" ht="13" x14ac:dyDescent="0.3">
      <c r="N424" s="47"/>
      <c r="O424" s="47"/>
      <c r="P424" s="48"/>
      <c r="R424" s="49"/>
      <c r="S424" s="49"/>
    </row>
    <row r="425" spans="14:19" ht="13" x14ac:dyDescent="0.3">
      <c r="N425" s="47"/>
      <c r="O425" s="47"/>
      <c r="P425" s="48"/>
      <c r="R425" s="49"/>
      <c r="S425" s="49"/>
    </row>
    <row r="426" spans="14:19" ht="13" x14ac:dyDescent="0.3">
      <c r="N426" s="47"/>
      <c r="O426" s="47"/>
      <c r="P426" s="48"/>
      <c r="R426" s="49"/>
      <c r="S426" s="49"/>
    </row>
    <row r="427" spans="14:19" ht="13" x14ac:dyDescent="0.3">
      <c r="N427" s="47"/>
      <c r="O427" s="47"/>
      <c r="P427" s="48"/>
      <c r="R427" s="49"/>
      <c r="S427" s="49"/>
    </row>
    <row r="428" spans="14:19" ht="13" x14ac:dyDescent="0.3">
      <c r="N428" s="47"/>
      <c r="O428" s="47"/>
      <c r="P428" s="48"/>
      <c r="R428" s="49"/>
      <c r="S428" s="49"/>
    </row>
    <row r="429" spans="14:19" ht="13" x14ac:dyDescent="0.3">
      <c r="N429" s="47"/>
      <c r="O429" s="47"/>
      <c r="P429" s="48"/>
      <c r="R429" s="49"/>
      <c r="S429" s="49"/>
    </row>
    <row r="430" spans="14:19" ht="13" x14ac:dyDescent="0.3">
      <c r="N430" s="47"/>
      <c r="O430" s="47"/>
      <c r="P430" s="48"/>
      <c r="R430" s="49"/>
      <c r="S430" s="49"/>
    </row>
    <row r="431" spans="14:19" ht="13" x14ac:dyDescent="0.3">
      <c r="N431" s="47"/>
      <c r="O431" s="47"/>
      <c r="P431" s="48"/>
      <c r="R431" s="49"/>
      <c r="S431" s="49"/>
    </row>
    <row r="432" spans="14:19" ht="13" x14ac:dyDescent="0.3">
      <c r="N432" s="47"/>
      <c r="O432" s="47"/>
      <c r="P432" s="48"/>
      <c r="R432" s="49"/>
      <c r="S432" s="49"/>
    </row>
    <row r="433" spans="14:19" ht="13" x14ac:dyDescent="0.3">
      <c r="N433" s="47"/>
      <c r="O433" s="47"/>
      <c r="P433" s="48"/>
      <c r="R433" s="49"/>
      <c r="S433" s="49"/>
    </row>
    <row r="434" spans="14:19" ht="13" x14ac:dyDescent="0.3">
      <c r="N434" s="47"/>
      <c r="O434" s="47"/>
      <c r="P434" s="48"/>
      <c r="R434" s="49"/>
      <c r="S434" s="49"/>
    </row>
    <row r="435" spans="14:19" ht="13" x14ac:dyDescent="0.3">
      <c r="N435" s="47"/>
      <c r="O435" s="47"/>
      <c r="P435" s="48"/>
      <c r="R435" s="49"/>
      <c r="S435" s="49"/>
    </row>
    <row r="436" spans="14:19" ht="13" x14ac:dyDescent="0.3">
      <c r="N436" s="47"/>
      <c r="O436" s="47"/>
      <c r="P436" s="48"/>
      <c r="R436" s="49"/>
      <c r="S436" s="49"/>
    </row>
    <row r="437" spans="14:19" ht="13" x14ac:dyDescent="0.3">
      <c r="N437" s="47"/>
      <c r="O437" s="47"/>
      <c r="P437" s="48"/>
      <c r="R437" s="49"/>
      <c r="S437" s="49"/>
    </row>
    <row r="438" spans="14:19" ht="13" x14ac:dyDescent="0.3">
      <c r="N438" s="47"/>
      <c r="O438" s="47"/>
      <c r="P438" s="48"/>
      <c r="R438" s="49"/>
      <c r="S438" s="49"/>
    </row>
    <row r="439" spans="14:19" ht="13" x14ac:dyDescent="0.3">
      <c r="N439" s="47"/>
      <c r="O439" s="47"/>
      <c r="P439" s="48"/>
      <c r="R439" s="49"/>
      <c r="S439" s="49"/>
    </row>
    <row r="440" spans="14:19" ht="13" x14ac:dyDescent="0.3">
      <c r="N440" s="47"/>
      <c r="O440" s="47"/>
      <c r="P440" s="48"/>
      <c r="R440" s="49"/>
      <c r="S440" s="49"/>
    </row>
    <row r="441" spans="14:19" ht="13" x14ac:dyDescent="0.3">
      <c r="N441" s="47"/>
      <c r="O441" s="47"/>
      <c r="P441" s="48"/>
      <c r="R441" s="49"/>
      <c r="S441" s="49"/>
    </row>
    <row r="442" spans="14:19" ht="13" x14ac:dyDescent="0.3">
      <c r="N442" s="47"/>
      <c r="O442" s="47"/>
      <c r="P442" s="48"/>
      <c r="R442" s="49"/>
      <c r="S442" s="49"/>
    </row>
    <row r="443" spans="14:19" ht="13" x14ac:dyDescent="0.3">
      <c r="N443" s="47"/>
      <c r="O443" s="47"/>
      <c r="P443" s="48"/>
      <c r="R443" s="49"/>
      <c r="S443" s="49"/>
    </row>
    <row r="444" spans="14:19" ht="13" x14ac:dyDescent="0.3">
      <c r="N444" s="47"/>
      <c r="O444" s="47"/>
      <c r="P444" s="48"/>
      <c r="R444" s="49"/>
      <c r="S444" s="49"/>
    </row>
    <row r="445" spans="14:19" ht="13" x14ac:dyDescent="0.3">
      <c r="N445" s="47"/>
      <c r="O445" s="47"/>
      <c r="P445" s="48"/>
      <c r="R445" s="49"/>
      <c r="S445" s="49"/>
    </row>
    <row r="446" spans="14:19" ht="13" x14ac:dyDescent="0.3">
      <c r="N446" s="47"/>
      <c r="O446" s="47"/>
      <c r="P446" s="48"/>
      <c r="R446" s="49"/>
      <c r="S446" s="49"/>
    </row>
    <row r="447" spans="14:19" ht="13" x14ac:dyDescent="0.3">
      <c r="N447" s="47"/>
      <c r="O447" s="47"/>
      <c r="P447" s="48"/>
      <c r="R447" s="49"/>
      <c r="S447" s="49"/>
    </row>
    <row r="448" spans="14:19" ht="13" x14ac:dyDescent="0.3">
      <c r="N448" s="47"/>
      <c r="O448" s="47"/>
      <c r="P448" s="48"/>
      <c r="R448" s="49"/>
      <c r="S448" s="49"/>
    </row>
    <row r="449" spans="14:19" ht="13" x14ac:dyDescent="0.3">
      <c r="N449" s="47"/>
      <c r="O449" s="47"/>
      <c r="P449" s="48"/>
      <c r="R449" s="49"/>
      <c r="S449" s="49"/>
    </row>
    <row r="450" spans="14:19" ht="13" x14ac:dyDescent="0.3">
      <c r="N450" s="47"/>
      <c r="O450" s="47"/>
      <c r="P450" s="48"/>
      <c r="R450" s="49"/>
      <c r="S450" s="49"/>
    </row>
    <row r="451" spans="14:19" ht="13" x14ac:dyDescent="0.3">
      <c r="N451" s="47"/>
      <c r="O451" s="47"/>
      <c r="P451" s="48"/>
      <c r="R451" s="49"/>
      <c r="S451" s="49"/>
    </row>
    <row r="452" spans="14:19" ht="13" x14ac:dyDescent="0.3">
      <c r="N452" s="47"/>
      <c r="O452" s="47"/>
      <c r="P452" s="48"/>
      <c r="R452" s="49"/>
      <c r="S452" s="49"/>
    </row>
    <row r="453" spans="14:19" ht="13" x14ac:dyDescent="0.3">
      <c r="N453" s="47"/>
      <c r="O453" s="47"/>
      <c r="P453" s="48"/>
      <c r="R453" s="49"/>
      <c r="S453" s="49"/>
    </row>
    <row r="454" spans="14:19" ht="13" x14ac:dyDescent="0.3">
      <c r="N454" s="47"/>
      <c r="O454" s="47"/>
      <c r="P454" s="48"/>
      <c r="R454" s="49"/>
      <c r="S454" s="49"/>
    </row>
    <row r="455" spans="14:19" ht="13" x14ac:dyDescent="0.3">
      <c r="N455" s="47"/>
      <c r="O455" s="47"/>
      <c r="P455" s="48"/>
      <c r="R455" s="49"/>
      <c r="S455" s="49"/>
    </row>
    <row r="456" spans="14:19" ht="13" x14ac:dyDescent="0.3">
      <c r="N456" s="47"/>
      <c r="O456" s="47"/>
      <c r="P456" s="48"/>
      <c r="R456" s="49"/>
      <c r="S456" s="49"/>
    </row>
    <row r="457" spans="14:19" ht="13" x14ac:dyDescent="0.3">
      <c r="N457" s="47"/>
      <c r="O457" s="47"/>
      <c r="P457" s="48"/>
      <c r="R457" s="49"/>
      <c r="S457" s="49"/>
    </row>
    <row r="458" spans="14:19" ht="13" x14ac:dyDescent="0.3">
      <c r="N458" s="47"/>
      <c r="O458" s="47"/>
      <c r="P458" s="48"/>
      <c r="R458" s="49"/>
      <c r="S458" s="49"/>
    </row>
    <row r="459" spans="14:19" ht="13" x14ac:dyDescent="0.3">
      <c r="N459" s="47"/>
      <c r="O459" s="47"/>
      <c r="P459" s="48"/>
      <c r="R459" s="49"/>
      <c r="S459" s="49"/>
    </row>
    <row r="460" spans="14:19" ht="13" x14ac:dyDescent="0.3">
      <c r="N460" s="47"/>
      <c r="O460" s="47"/>
      <c r="P460" s="48"/>
      <c r="R460" s="49"/>
      <c r="S460" s="49"/>
    </row>
    <row r="461" spans="14:19" ht="13" x14ac:dyDescent="0.3">
      <c r="N461" s="47"/>
      <c r="O461" s="47"/>
      <c r="P461" s="48"/>
      <c r="R461" s="49"/>
      <c r="S461" s="49"/>
    </row>
  </sheetData>
  <mergeCells count="3">
    <mergeCell ref="D4:E4"/>
    <mergeCell ref="G4:H4"/>
    <mergeCell ref="B4:C4"/>
  </mergeCell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D10390"/>
  <sheetViews>
    <sheetView showGridLines="0" zoomScaleNormal="100" workbookViewId="0">
      <selection activeCell="H7" sqref="D7:I17"/>
    </sheetView>
  </sheetViews>
  <sheetFormatPr defaultColWidth="9.1796875" defaultRowHeight="13" x14ac:dyDescent="0.3"/>
  <cols>
    <col min="1" max="1" width="5.1796875" style="37" customWidth="1"/>
    <col min="2" max="2" width="10.81640625" style="37" customWidth="1"/>
    <col min="3" max="3" width="11.1796875" style="37" bestFit="1" customWidth="1"/>
    <col min="4" max="4" width="10" style="37" bestFit="1" customWidth="1"/>
    <col min="5" max="6" width="9.1796875" style="37" customWidth="1"/>
    <col min="7" max="7" width="11.453125" style="37" customWidth="1"/>
    <col min="8" max="8" width="9.1796875" style="37" customWidth="1"/>
    <col min="9" max="9" width="9.7265625" style="37" customWidth="1"/>
    <col min="10" max="10" width="13.81640625" style="37" customWidth="1"/>
    <col min="11" max="11" width="11.81640625" style="37" customWidth="1"/>
    <col min="12" max="12" width="9.81640625" style="37" bestFit="1" customWidth="1"/>
    <col min="13" max="13" width="9.1796875" style="37" customWidth="1"/>
    <col min="14" max="14" width="15.54296875" style="37" customWidth="1"/>
    <col min="15" max="20" width="9.1796875" style="37" customWidth="1"/>
    <col min="21" max="235" width="9.1796875" style="37"/>
    <col min="236" max="236" width="10.81640625" style="37" customWidth="1"/>
    <col min="237" max="247" width="9.1796875" style="37" customWidth="1"/>
    <col min="248" max="250" width="10.1796875" style="37" customWidth="1"/>
    <col min="251" max="251" width="12" style="37" customWidth="1"/>
    <col min="252" max="255" width="9.1796875" style="37" customWidth="1"/>
    <col min="256" max="257" width="10.81640625" style="37" customWidth="1"/>
    <col min="258" max="258" width="9.7265625" style="37" bestFit="1" customWidth="1"/>
    <col min="259" max="260" width="9.1796875" style="37" customWidth="1"/>
    <col min="261" max="261" width="11.453125" style="37" customWidth="1"/>
    <col min="262" max="263" width="9.1796875" style="37" customWidth="1"/>
    <col min="264" max="264" width="15.453125" style="37" customWidth="1"/>
    <col min="265" max="267" width="9.1796875" style="37" customWidth="1"/>
    <col min="268" max="268" width="15.54296875" style="37" customWidth="1"/>
    <col min="269" max="276" width="9.1796875" style="37" customWidth="1"/>
    <col min="277" max="491" width="9.1796875" style="37"/>
    <col min="492" max="492" width="10.81640625" style="37" customWidth="1"/>
    <col min="493" max="503" width="9.1796875" style="37" customWidth="1"/>
    <col min="504" max="506" width="10.1796875" style="37" customWidth="1"/>
    <col min="507" max="507" width="12" style="37" customWidth="1"/>
    <col min="508" max="511" width="9.1796875" style="37" customWidth="1"/>
    <col min="512" max="513" width="10.81640625" style="37" customWidth="1"/>
    <col min="514" max="514" width="9.7265625" style="37" bestFit="1" customWidth="1"/>
    <col min="515" max="516" width="9.1796875" style="37" customWidth="1"/>
    <col min="517" max="517" width="11.453125" style="37" customWidth="1"/>
    <col min="518" max="519" width="9.1796875" style="37" customWidth="1"/>
    <col min="520" max="520" width="15.453125" style="37" customWidth="1"/>
    <col min="521" max="523" width="9.1796875" style="37" customWidth="1"/>
    <col min="524" max="524" width="15.54296875" style="37" customWidth="1"/>
    <col min="525" max="532" width="9.1796875" style="37" customWidth="1"/>
    <col min="533" max="747" width="9.1796875" style="37"/>
    <col min="748" max="748" width="10.81640625" style="37" customWidth="1"/>
    <col min="749" max="759" width="9.1796875" style="37" customWidth="1"/>
    <col min="760" max="762" width="10.1796875" style="37" customWidth="1"/>
    <col min="763" max="763" width="12" style="37" customWidth="1"/>
    <col min="764" max="767" width="9.1796875" style="37" customWidth="1"/>
    <col min="768" max="769" width="10.81640625" style="37" customWidth="1"/>
    <col min="770" max="770" width="9.7265625" style="37" bestFit="1" customWidth="1"/>
    <col min="771" max="772" width="9.1796875" style="37" customWidth="1"/>
    <col min="773" max="773" width="11.453125" style="37" customWidth="1"/>
    <col min="774" max="775" width="9.1796875" style="37" customWidth="1"/>
    <col min="776" max="776" width="15.453125" style="37" customWidth="1"/>
    <col min="777" max="779" width="9.1796875" style="37" customWidth="1"/>
    <col min="780" max="780" width="15.54296875" style="37" customWidth="1"/>
    <col min="781" max="788" width="9.1796875" style="37" customWidth="1"/>
    <col min="789" max="1003" width="9.1796875" style="37"/>
    <col min="1004" max="1004" width="10.81640625" style="37" customWidth="1"/>
    <col min="1005" max="1015" width="9.1796875" style="37" customWidth="1"/>
    <col min="1016" max="1018" width="10.1796875" style="37" customWidth="1"/>
    <col min="1019" max="1019" width="12" style="37" customWidth="1"/>
    <col min="1020" max="1023" width="9.1796875" style="37" customWidth="1"/>
    <col min="1024" max="1025" width="10.81640625" style="37" customWidth="1"/>
    <col min="1026" max="1026" width="9.7265625" style="37" bestFit="1" customWidth="1"/>
    <col min="1027" max="1028" width="9.1796875" style="37" customWidth="1"/>
    <col min="1029" max="1029" width="11.453125" style="37" customWidth="1"/>
    <col min="1030" max="1031" width="9.1796875" style="37" customWidth="1"/>
    <col min="1032" max="1032" width="15.453125" style="37" customWidth="1"/>
    <col min="1033" max="1035" width="9.1796875" style="37" customWidth="1"/>
    <col min="1036" max="1036" width="15.54296875" style="37" customWidth="1"/>
    <col min="1037" max="1044" width="9.1796875" style="37" customWidth="1"/>
    <col min="1045" max="1259" width="9.1796875" style="37"/>
    <col min="1260" max="1260" width="10.81640625" style="37" customWidth="1"/>
    <col min="1261" max="1271" width="9.1796875" style="37" customWidth="1"/>
    <col min="1272" max="1274" width="10.1796875" style="37" customWidth="1"/>
    <col min="1275" max="1275" width="12" style="37" customWidth="1"/>
    <col min="1276" max="1279" width="9.1796875" style="37" customWidth="1"/>
    <col min="1280" max="1281" width="10.81640625" style="37" customWidth="1"/>
    <col min="1282" max="1282" width="9.7265625" style="37" bestFit="1" customWidth="1"/>
    <col min="1283" max="1284" width="9.1796875" style="37" customWidth="1"/>
    <col min="1285" max="1285" width="11.453125" style="37" customWidth="1"/>
    <col min="1286" max="1287" width="9.1796875" style="37" customWidth="1"/>
    <col min="1288" max="1288" width="15.453125" style="37" customWidth="1"/>
    <col min="1289" max="1291" width="9.1796875" style="37" customWidth="1"/>
    <col min="1292" max="1292" width="15.54296875" style="37" customWidth="1"/>
    <col min="1293" max="1300" width="9.1796875" style="37" customWidth="1"/>
    <col min="1301" max="1515" width="9.1796875" style="37"/>
    <col min="1516" max="1516" width="10.81640625" style="37" customWidth="1"/>
    <col min="1517" max="1527" width="9.1796875" style="37" customWidth="1"/>
    <col min="1528" max="1530" width="10.1796875" style="37" customWidth="1"/>
    <col min="1531" max="1531" width="12" style="37" customWidth="1"/>
    <col min="1532" max="1535" width="9.1796875" style="37" customWidth="1"/>
    <col min="1536" max="1537" width="10.81640625" style="37" customWidth="1"/>
    <col min="1538" max="1538" width="9.7265625" style="37" bestFit="1" customWidth="1"/>
    <col min="1539" max="1540" width="9.1796875" style="37" customWidth="1"/>
    <col min="1541" max="1541" width="11.453125" style="37" customWidth="1"/>
    <col min="1542" max="1543" width="9.1796875" style="37" customWidth="1"/>
    <col min="1544" max="1544" width="15.453125" style="37" customWidth="1"/>
    <col min="1545" max="1547" width="9.1796875" style="37" customWidth="1"/>
    <col min="1548" max="1548" width="15.54296875" style="37" customWidth="1"/>
    <col min="1549" max="1556" width="9.1796875" style="37" customWidth="1"/>
    <col min="1557" max="1771" width="9.1796875" style="37"/>
    <col min="1772" max="1772" width="10.81640625" style="37" customWidth="1"/>
    <col min="1773" max="1783" width="9.1796875" style="37" customWidth="1"/>
    <col min="1784" max="1786" width="10.1796875" style="37" customWidth="1"/>
    <col min="1787" max="1787" width="12" style="37" customWidth="1"/>
    <col min="1788" max="1791" width="9.1796875" style="37" customWidth="1"/>
    <col min="1792" max="1793" width="10.81640625" style="37" customWidth="1"/>
    <col min="1794" max="1794" width="9.7265625" style="37" bestFit="1" customWidth="1"/>
    <col min="1795" max="1796" width="9.1796875" style="37" customWidth="1"/>
    <col min="1797" max="1797" width="11.453125" style="37" customWidth="1"/>
    <col min="1798" max="1799" width="9.1796875" style="37" customWidth="1"/>
    <col min="1800" max="1800" width="15.453125" style="37" customWidth="1"/>
    <col min="1801" max="1803" width="9.1796875" style="37" customWidth="1"/>
    <col min="1804" max="1804" width="15.54296875" style="37" customWidth="1"/>
    <col min="1805" max="1812" width="9.1796875" style="37" customWidth="1"/>
    <col min="1813" max="2027" width="9.1796875" style="37"/>
    <col min="2028" max="2028" width="10.81640625" style="37" customWidth="1"/>
    <col min="2029" max="2039" width="9.1796875" style="37" customWidth="1"/>
    <col min="2040" max="2042" width="10.1796875" style="37" customWidth="1"/>
    <col min="2043" max="2043" width="12" style="37" customWidth="1"/>
    <col min="2044" max="2047" width="9.1796875" style="37" customWidth="1"/>
    <col min="2048" max="2049" width="10.81640625" style="37" customWidth="1"/>
    <col min="2050" max="2050" width="9.7265625" style="37" bestFit="1" customWidth="1"/>
    <col min="2051" max="2052" width="9.1796875" style="37" customWidth="1"/>
    <col min="2053" max="2053" width="11.453125" style="37" customWidth="1"/>
    <col min="2054" max="2055" width="9.1796875" style="37" customWidth="1"/>
    <col min="2056" max="2056" width="15.453125" style="37" customWidth="1"/>
    <col min="2057" max="2059" width="9.1796875" style="37" customWidth="1"/>
    <col min="2060" max="2060" width="15.54296875" style="37" customWidth="1"/>
    <col min="2061" max="2068" width="9.1796875" style="37" customWidth="1"/>
    <col min="2069" max="2283" width="9.1796875" style="37"/>
    <col min="2284" max="2284" width="10.81640625" style="37" customWidth="1"/>
    <col min="2285" max="2295" width="9.1796875" style="37" customWidth="1"/>
    <col min="2296" max="2298" width="10.1796875" style="37" customWidth="1"/>
    <col min="2299" max="2299" width="12" style="37" customWidth="1"/>
    <col min="2300" max="2303" width="9.1796875" style="37" customWidth="1"/>
    <col min="2304" max="2305" width="10.81640625" style="37" customWidth="1"/>
    <col min="2306" max="2306" width="9.7265625" style="37" bestFit="1" customWidth="1"/>
    <col min="2307" max="2308" width="9.1796875" style="37" customWidth="1"/>
    <col min="2309" max="2309" width="11.453125" style="37" customWidth="1"/>
    <col min="2310" max="2311" width="9.1796875" style="37" customWidth="1"/>
    <col min="2312" max="2312" width="15.453125" style="37" customWidth="1"/>
    <col min="2313" max="2315" width="9.1796875" style="37" customWidth="1"/>
    <col min="2316" max="2316" width="15.54296875" style="37" customWidth="1"/>
    <col min="2317" max="2324" width="9.1796875" style="37" customWidth="1"/>
    <col min="2325" max="2539" width="9.1796875" style="37"/>
    <col min="2540" max="2540" width="10.81640625" style="37" customWidth="1"/>
    <col min="2541" max="2551" width="9.1796875" style="37" customWidth="1"/>
    <col min="2552" max="2554" width="10.1796875" style="37" customWidth="1"/>
    <col min="2555" max="2555" width="12" style="37" customWidth="1"/>
    <col min="2556" max="2559" width="9.1796875" style="37" customWidth="1"/>
    <col min="2560" max="2561" width="10.81640625" style="37" customWidth="1"/>
    <col min="2562" max="2562" width="9.7265625" style="37" bestFit="1" customWidth="1"/>
    <col min="2563" max="2564" width="9.1796875" style="37" customWidth="1"/>
    <col min="2565" max="2565" width="11.453125" style="37" customWidth="1"/>
    <col min="2566" max="2567" width="9.1796875" style="37" customWidth="1"/>
    <col min="2568" max="2568" width="15.453125" style="37" customWidth="1"/>
    <col min="2569" max="2571" width="9.1796875" style="37" customWidth="1"/>
    <col min="2572" max="2572" width="15.54296875" style="37" customWidth="1"/>
    <col min="2573" max="2580" width="9.1796875" style="37" customWidth="1"/>
    <col min="2581" max="2795" width="9.1796875" style="37"/>
    <col min="2796" max="2796" width="10.81640625" style="37" customWidth="1"/>
    <col min="2797" max="2807" width="9.1796875" style="37" customWidth="1"/>
    <col min="2808" max="2810" width="10.1796875" style="37" customWidth="1"/>
    <col min="2811" max="2811" width="12" style="37" customWidth="1"/>
    <col min="2812" max="2815" width="9.1796875" style="37" customWidth="1"/>
    <col min="2816" max="2817" width="10.81640625" style="37" customWidth="1"/>
    <col min="2818" max="2818" width="9.7265625" style="37" bestFit="1" customWidth="1"/>
    <col min="2819" max="2820" width="9.1796875" style="37" customWidth="1"/>
    <col min="2821" max="2821" width="11.453125" style="37" customWidth="1"/>
    <col min="2822" max="2823" width="9.1796875" style="37" customWidth="1"/>
    <col min="2824" max="2824" width="15.453125" style="37" customWidth="1"/>
    <col min="2825" max="2827" width="9.1796875" style="37" customWidth="1"/>
    <col min="2828" max="2828" width="15.54296875" style="37" customWidth="1"/>
    <col min="2829" max="2836" width="9.1796875" style="37" customWidth="1"/>
    <col min="2837" max="3051" width="9.1796875" style="37"/>
    <col min="3052" max="3052" width="10.81640625" style="37" customWidth="1"/>
    <col min="3053" max="3063" width="9.1796875" style="37" customWidth="1"/>
    <col min="3064" max="3066" width="10.1796875" style="37" customWidth="1"/>
    <col min="3067" max="3067" width="12" style="37" customWidth="1"/>
    <col min="3068" max="3071" width="9.1796875" style="37" customWidth="1"/>
    <col min="3072" max="3073" width="10.81640625" style="37" customWidth="1"/>
    <col min="3074" max="3074" width="9.7265625" style="37" bestFit="1" customWidth="1"/>
    <col min="3075" max="3076" width="9.1796875" style="37" customWidth="1"/>
    <col min="3077" max="3077" width="11.453125" style="37" customWidth="1"/>
    <col min="3078" max="3079" width="9.1796875" style="37" customWidth="1"/>
    <col min="3080" max="3080" width="15.453125" style="37" customWidth="1"/>
    <col min="3081" max="3083" width="9.1796875" style="37" customWidth="1"/>
    <col min="3084" max="3084" width="15.54296875" style="37" customWidth="1"/>
    <col min="3085" max="3092" width="9.1796875" style="37" customWidth="1"/>
    <col min="3093" max="3307" width="9.1796875" style="37"/>
    <col min="3308" max="3308" width="10.81640625" style="37" customWidth="1"/>
    <col min="3309" max="3319" width="9.1796875" style="37" customWidth="1"/>
    <col min="3320" max="3322" width="10.1796875" style="37" customWidth="1"/>
    <col min="3323" max="3323" width="12" style="37" customWidth="1"/>
    <col min="3324" max="3327" width="9.1796875" style="37" customWidth="1"/>
    <col min="3328" max="3329" width="10.81640625" style="37" customWidth="1"/>
    <col min="3330" max="3330" width="9.7265625" style="37" bestFit="1" customWidth="1"/>
    <col min="3331" max="3332" width="9.1796875" style="37" customWidth="1"/>
    <col min="3333" max="3333" width="11.453125" style="37" customWidth="1"/>
    <col min="3334" max="3335" width="9.1796875" style="37" customWidth="1"/>
    <col min="3336" max="3336" width="15.453125" style="37" customWidth="1"/>
    <col min="3337" max="3339" width="9.1796875" style="37" customWidth="1"/>
    <col min="3340" max="3340" width="15.54296875" style="37" customWidth="1"/>
    <col min="3341" max="3348" width="9.1796875" style="37" customWidth="1"/>
    <col min="3349" max="3563" width="9.1796875" style="37"/>
    <col min="3564" max="3564" width="10.81640625" style="37" customWidth="1"/>
    <col min="3565" max="3575" width="9.1796875" style="37" customWidth="1"/>
    <col min="3576" max="3578" width="10.1796875" style="37" customWidth="1"/>
    <col min="3579" max="3579" width="12" style="37" customWidth="1"/>
    <col min="3580" max="3583" width="9.1796875" style="37" customWidth="1"/>
    <col min="3584" max="3585" width="10.81640625" style="37" customWidth="1"/>
    <col min="3586" max="3586" width="9.7265625" style="37" bestFit="1" customWidth="1"/>
    <col min="3587" max="3588" width="9.1796875" style="37" customWidth="1"/>
    <col min="3589" max="3589" width="11.453125" style="37" customWidth="1"/>
    <col min="3590" max="3591" width="9.1796875" style="37" customWidth="1"/>
    <col min="3592" max="3592" width="15.453125" style="37" customWidth="1"/>
    <col min="3593" max="3595" width="9.1796875" style="37" customWidth="1"/>
    <col min="3596" max="3596" width="15.54296875" style="37" customWidth="1"/>
    <col min="3597" max="3604" width="9.1796875" style="37" customWidth="1"/>
    <col min="3605" max="3819" width="9.1796875" style="37"/>
    <col min="3820" max="3820" width="10.81640625" style="37" customWidth="1"/>
    <col min="3821" max="3831" width="9.1796875" style="37" customWidth="1"/>
    <col min="3832" max="3834" width="10.1796875" style="37" customWidth="1"/>
    <col min="3835" max="3835" width="12" style="37" customWidth="1"/>
    <col min="3836" max="3839" width="9.1796875" style="37" customWidth="1"/>
    <col min="3840" max="3841" width="10.81640625" style="37" customWidth="1"/>
    <col min="3842" max="3842" width="9.7265625" style="37" bestFit="1" customWidth="1"/>
    <col min="3843" max="3844" width="9.1796875" style="37" customWidth="1"/>
    <col min="3845" max="3845" width="11.453125" style="37" customWidth="1"/>
    <col min="3846" max="3847" width="9.1796875" style="37" customWidth="1"/>
    <col min="3848" max="3848" width="15.453125" style="37" customWidth="1"/>
    <col min="3849" max="3851" width="9.1796875" style="37" customWidth="1"/>
    <col min="3852" max="3852" width="15.54296875" style="37" customWidth="1"/>
    <col min="3853" max="3860" width="9.1796875" style="37" customWidth="1"/>
    <col min="3861" max="4075" width="9.1796875" style="37"/>
    <col min="4076" max="4076" width="10.81640625" style="37" customWidth="1"/>
    <col min="4077" max="4087" width="9.1796875" style="37" customWidth="1"/>
    <col min="4088" max="4090" width="10.1796875" style="37" customWidth="1"/>
    <col min="4091" max="4091" width="12" style="37" customWidth="1"/>
    <col min="4092" max="4095" width="9.1796875" style="37" customWidth="1"/>
    <col min="4096" max="4097" width="10.81640625" style="37" customWidth="1"/>
    <col min="4098" max="4098" width="9.7265625" style="37" bestFit="1" customWidth="1"/>
    <col min="4099" max="4100" width="9.1796875" style="37" customWidth="1"/>
    <col min="4101" max="4101" width="11.453125" style="37" customWidth="1"/>
    <col min="4102" max="4103" width="9.1796875" style="37" customWidth="1"/>
    <col min="4104" max="4104" width="15.453125" style="37" customWidth="1"/>
    <col min="4105" max="4107" width="9.1796875" style="37" customWidth="1"/>
    <col min="4108" max="4108" width="15.54296875" style="37" customWidth="1"/>
    <col min="4109" max="4116" width="9.1796875" style="37" customWidth="1"/>
    <col min="4117" max="4331" width="9.1796875" style="37"/>
    <col min="4332" max="4332" width="10.81640625" style="37" customWidth="1"/>
    <col min="4333" max="4343" width="9.1796875" style="37" customWidth="1"/>
    <col min="4344" max="4346" width="10.1796875" style="37" customWidth="1"/>
    <col min="4347" max="4347" width="12" style="37" customWidth="1"/>
    <col min="4348" max="4351" width="9.1796875" style="37" customWidth="1"/>
    <col min="4352" max="4353" width="10.81640625" style="37" customWidth="1"/>
    <col min="4354" max="4354" width="9.7265625" style="37" bestFit="1" customWidth="1"/>
    <col min="4355" max="4356" width="9.1796875" style="37" customWidth="1"/>
    <col min="4357" max="4357" width="11.453125" style="37" customWidth="1"/>
    <col min="4358" max="4359" width="9.1796875" style="37" customWidth="1"/>
    <col min="4360" max="4360" width="15.453125" style="37" customWidth="1"/>
    <col min="4361" max="4363" width="9.1796875" style="37" customWidth="1"/>
    <col min="4364" max="4364" width="15.54296875" style="37" customWidth="1"/>
    <col min="4365" max="4372" width="9.1796875" style="37" customWidth="1"/>
    <col min="4373" max="4587" width="9.1796875" style="37"/>
    <col min="4588" max="4588" width="10.81640625" style="37" customWidth="1"/>
    <col min="4589" max="4599" width="9.1796875" style="37" customWidth="1"/>
    <col min="4600" max="4602" width="10.1796875" style="37" customWidth="1"/>
    <col min="4603" max="4603" width="12" style="37" customWidth="1"/>
    <col min="4604" max="4607" width="9.1796875" style="37" customWidth="1"/>
    <col min="4608" max="4609" width="10.81640625" style="37" customWidth="1"/>
    <col min="4610" max="4610" width="9.7265625" style="37" bestFit="1" customWidth="1"/>
    <col min="4611" max="4612" width="9.1796875" style="37" customWidth="1"/>
    <col min="4613" max="4613" width="11.453125" style="37" customWidth="1"/>
    <col min="4614" max="4615" width="9.1796875" style="37" customWidth="1"/>
    <col min="4616" max="4616" width="15.453125" style="37" customWidth="1"/>
    <col min="4617" max="4619" width="9.1796875" style="37" customWidth="1"/>
    <col min="4620" max="4620" width="15.54296875" style="37" customWidth="1"/>
    <col min="4621" max="4628" width="9.1796875" style="37" customWidth="1"/>
    <col min="4629" max="4843" width="9.1796875" style="37"/>
    <col min="4844" max="4844" width="10.81640625" style="37" customWidth="1"/>
    <col min="4845" max="4855" width="9.1796875" style="37" customWidth="1"/>
    <col min="4856" max="4858" width="10.1796875" style="37" customWidth="1"/>
    <col min="4859" max="4859" width="12" style="37" customWidth="1"/>
    <col min="4860" max="4863" width="9.1796875" style="37" customWidth="1"/>
    <col min="4864" max="4865" width="10.81640625" style="37" customWidth="1"/>
    <col min="4866" max="4866" width="9.7265625" style="37" bestFit="1" customWidth="1"/>
    <col min="4867" max="4868" width="9.1796875" style="37" customWidth="1"/>
    <col min="4869" max="4869" width="11.453125" style="37" customWidth="1"/>
    <col min="4870" max="4871" width="9.1796875" style="37" customWidth="1"/>
    <col min="4872" max="4872" width="15.453125" style="37" customWidth="1"/>
    <col min="4873" max="4875" width="9.1796875" style="37" customWidth="1"/>
    <col min="4876" max="4876" width="15.54296875" style="37" customWidth="1"/>
    <col min="4877" max="4884" width="9.1796875" style="37" customWidth="1"/>
    <col min="4885" max="5099" width="9.1796875" style="37"/>
    <col min="5100" max="5100" width="10.81640625" style="37" customWidth="1"/>
    <col min="5101" max="5111" width="9.1796875" style="37" customWidth="1"/>
    <col min="5112" max="5114" width="10.1796875" style="37" customWidth="1"/>
    <col min="5115" max="5115" width="12" style="37" customWidth="1"/>
    <col min="5116" max="5119" width="9.1796875" style="37" customWidth="1"/>
    <col min="5120" max="5121" width="10.81640625" style="37" customWidth="1"/>
    <col min="5122" max="5122" width="9.7265625" style="37" bestFit="1" customWidth="1"/>
    <col min="5123" max="5124" width="9.1796875" style="37" customWidth="1"/>
    <col min="5125" max="5125" width="11.453125" style="37" customWidth="1"/>
    <col min="5126" max="5127" width="9.1796875" style="37" customWidth="1"/>
    <col min="5128" max="5128" width="15.453125" style="37" customWidth="1"/>
    <col min="5129" max="5131" width="9.1796875" style="37" customWidth="1"/>
    <col min="5132" max="5132" width="15.54296875" style="37" customWidth="1"/>
    <col min="5133" max="5140" width="9.1796875" style="37" customWidth="1"/>
    <col min="5141" max="5355" width="9.1796875" style="37"/>
    <col min="5356" max="5356" width="10.81640625" style="37" customWidth="1"/>
    <col min="5357" max="5367" width="9.1796875" style="37" customWidth="1"/>
    <col min="5368" max="5370" width="10.1796875" style="37" customWidth="1"/>
    <col min="5371" max="5371" width="12" style="37" customWidth="1"/>
    <col min="5372" max="5375" width="9.1796875" style="37" customWidth="1"/>
    <col min="5376" max="5377" width="10.81640625" style="37" customWidth="1"/>
    <col min="5378" max="5378" width="9.7265625" style="37" bestFit="1" customWidth="1"/>
    <col min="5379" max="5380" width="9.1796875" style="37" customWidth="1"/>
    <col min="5381" max="5381" width="11.453125" style="37" customWidth="1"/>
    <col min="5382" max="5383" width="9.1796875" style="37" customWidth="1"/>
    <col min="5384" max="5384" width="15.453125" style="37" customWidth="1"/>
    <col min="5385" max="5387" width="9.1796875" style="37" customWidth="1"/>
    <col min="5388" max="5388" width="15.54296875" style="37" customWidth="1"/>
    <col min="5389" max="5396" width="9.1796875" style="37" customWidth="1"/>
    <col min="5397" max="5611" width="9.1796875" style="37"/>
    <col min="5612" max="5612" width="10.81640625" style="37" customWidth="1"/>
    <col min="5613" max="5623" width="9.1796875" style="37" customWidth="1"/>
    <col min="5624" max="5626" width="10.1796875" style="37" customWidth="1"/>
    <col min="5627" max="5627" width="12" style="37" customWidth="1"/>
    <col min="5628" max="5631" width="9.1796875" style="37" customWidth="1"/>
    <col min="5632" max="5633" width="10.81640625" style="37" customWidth="1"/>
    <col min="5634" max="5634" width="9.7265625" style="37" bestFit="1" customWidth="1"/>
    <col min="5635" max="5636" width="9.1796875" style="37" customWidth="1"/>
    <col min="5637" max="5637" width="11.453125" style="37" customWidth="1"/>
    <col min="5638" max="5639" width="9.1796875" style="37" customWidth="1"/>
    <col min="5640" max="5640" width="15.453125" style="37" customWidth="1"/>
    <col min="5641" max="5643" width="9.1796875" style="37" customWidth="1"/>
    <col min="5644" max="5644" width="15.54296875" style="37" customWidth="1"/>
    <col min="5645" max="5652" width="9.1796875" style="37" customWidth="1"/>
    <col min="5653" max="5867" width="9.1796875" style="37"/>
    <col min="5868" max="5868" width="10.81640625" style="37" customWidth="1"/>
    <col min="5869" max="5879" width="9.1796875" style="37" customWidth="1"/>
    <col min="5880" max="5882" width="10.1796875" style="37" customWidth="1"/>
    <col min="5883" max="5883" width="12" style="37" customWidth="1"/>
    <col min="5884" max="5887" width="9.1796875" style="37" customWidth="1"/>
    <col min="5888" max="5889" width="10.81640625" style="37" customWidth="1"/>
    <col min="5890" max="5890" width="9.7265625" style="37" bestFit="1" customWidth="1"/>
    <col min="5891" max="5892" width="9.1796875" style="37" customWidth="1"/>
    <col min="5893" max="5893" width="11.453125" style="37" customWidth="1"/>
    <col min="5894" max="5895" width="9.1796875" style="37" customWidth="1"/>
    <col min="5896" max="5896" width="15.453125" style="37" customWidth="1"/>
    <col min="5897" max="5899" width="9.1796875" style="37" customWidth="1"/>
    <col min="5900" max="5900" width="15.54296875" style="37" customWidth="1"/>
    <col min="5901" max="5908" width="9.1796875" style="37" customWidth="1"/>
    <col min="5909" max="6123" width="9.1796875" style="37"/>
    <col min="6124" max="6124" width="10.81640625" style="37" customWidth="1"/>
    <col min="6125" max="6135" width="9.1796875" style="37" customWidth="1"/>
    <col min="6136" max="6138" width="10.1796875" style="37" customWidth="1"/>
    <col min="6139" max="6139" width="12" style="37" customWidth="1"/>
    <col min="6140" max="6143" width="9.1796875" style="37" customWidth="1"/>
    <col min="6144" max="6145" width="10.81640625" style="37" customWidth="1"/>
    <col min="6146" max="6146" width="9.7265625" style="37" bestFit="1" customWidth="1"/>
    <col min="6147" max="6148" width="9.1796875" style="37" customWidth="1"/>
    <col min="6149" max="6149" width="11.453125" style="37" customWidth="1"/>
    <col min="6150" max="6151" width="9.1796875" style="37" customWidth="1"/>
    <col min="6152" max="6152" width="15.453125" style="37" customWidth="1"/>
    <col min="6153" max="6155" width="9.1796875" style="37" customWidth="1"/>
    <col min="6156" max="6156" width="15.54296875" style="37" customWidth="1"/>
    <col min="6157" max="6164" width="9.1796875" style="37" customWidth="1"/>
    <col min="6165" max="6379" width="9.1796875" style="37"/>
    <col min="6380" max="6380" width="10.81640625" style="37" customWidth="1"/>
    <col min="6381" max="6391" width="9.1796875" style="37" customWidth="1"/>
    <col min="6392" max="6394" width="10.1796875" style="37" customWidth="1"/>
    <col min="6395" max="6395" width="12" style="37" customWidth="1"/>
    <col min="6396" max="6399" width="9.1796875" style="37" customWidth="1"/>
    <col min="6400" max="6401" width="10.81640625" style="37" customWidth="1"/>
    <col min="6402" max="6402" width="9.7265625" style="37" bestFit="1" customWidth="1"/>
    <col min="6403" max="6404" width="9.1796875" style="37" customWidth="1"/>
    <col min="6405" max="6405" width="11.453125" style="37" customWidth="1"/>
    <col min="6406" max="6407" width="9.1796875" style="37" customWidth="1"/>
    <col min="6408" max="6408" width="15.453125" style="37" customWidth="1"/>
    <col min="6409" max="6411" width="9.1796875" style="37" customWidth="1"/>
    <col min="6412" max="6412" width="15.54296875" style="37" customWidth="1"/>
    <col min="6413" max="6420" width="9.1796875" style="37" customWidth="1"/>
    <col min="6421" max="6635" width="9.1796875" style="37"/>
    <col min="6636" max="6636" width="10.81640625" style="37" customWidth="1"/>
    <col min="6637" max="6647" width="9.1796875" style="37" customWidth="1"/>
    <col min="6648" max="6650" width="10.1796875" style="37" customWidth="1"/>
    <col min="6651" max="6651" width="12" style="37" customWidth="1"/>
    <col min="6652" max="6655" width="9.1796875" style="37" customWidth="1"/>
    <col min="6656" max="6657" width="10.81640625" style="37" customWidth="1"/>
    <col min="6658" max="6658" width="9.7265625" style="37" bestFit="1" customWidth="1"/>
    <col min="6659" max="6660" width="9.1796875" style="37" customWidth="1"/>
    <col min="6661" max="6661" width="11.453125" style="37" customWidth="1"/>
    <col min="6662" max="6663" width="9.1796875" style="37" customWidth="1"/>
    <col min="6664" max="6664" width="15.453125" style="37" customWidth="1"/>
    <col min="6665" max="6667" width="9.1796875" style="37" customWidth="1"/>
    <col min="6668" max="6668" width="15.54296875" style="37" customWidth="1"/>
    <col min="6669" max="6676" width="9.1796875" style="37" customWidth="1"/>
    <col min="6677" max="6891" width="9.1796875" style="37"/>
    <col min="6892" max="6892" width="10.81640625" style="37" customWidth="1"/>
    <col min="6893" max="6903" width="9.1796875" style="37" customWidth="1"/>
    <col min="6904" max="6906" width="10.1796875" style="37" customWidth="1"/>
    <col min="6907" max="6907" width="12" style="37" customWidth="1"/>
    <col min="6908" max="6911" width="9.1796875" style="37" customWidth="1"/>
    <col min="6912" max="6913" width="10.81640625" style="37" customWidth="1"/>
    <col min="6914" max="6914" width="9.7265625" style="37" bestFit="1" customWidth="1"/>
    <col min="6915" max="6916" width="9.1796875" style="37" customWidth="1"/>
    <col min="6917" max="6917" width="11.453125" style="37" customWidth="1"/>
    <col min="6918" max="6919" width="9.1796875" style="37" customWidth="1"/>
    <col min="6920" max="6920" width="15.453125" style="37" customWidth="1"/>
    <col min="6921" max="6923" width="9.1796875" style="37" customWidth="1"/>
    <col min="6924" max="6924" width="15.54296875" style="37" customWidth="1"/>
    <col min="6925" max="6932" width="9.1796875" style="37" customWidth="1"/>
    <col min="6933" max="7147" width="9.1796875" style="37"/>
    <col min="7148" max="7148" width="10.81640625" style="37" customWidth="1"/>
    <col min="7149" max="7159" width="9.1796875" style="37" customWidth="1"/>
    <col min="7160" max="7162" width="10.1796875" style="37" customWidth="1"/>
    <col min="7163" max="7163" width="12" style="37" customWidth="1"/>
    <col min="7164" max="7167" width="9.1796875" style="37" customWidth="1"/>
    <col min="7168" max="7169" width="10.81640625" style="37" customWidth="1"/>
    <col min="7170" max="7170" width="9.7265625" style="37" bestFit="1" customWidth="1"/>
    <col min="7171" max="7172" width="9.1796875" style="37" customWidth="1"/>
    <col min="7173" max="7173" width="11.453125" style="37" customWidth="1"/>
    <col min="7174" max="7175" width="9.1796875" style="37" customWidth="1"/>
    <col min="7176" max="7176" width="15.453125" style="37" customWidth="1"/>
    <col min="7177" max="7179" width="9.1796875" style="37" customWidth="1"/>
    <col min="7180" max="7180" width="15.54296875" style="37" customWidth="1"/>
    <col min="7181" max="7188" width="9.1796875" style="37" customWidth="1"/>
    <col min="7189" max="7403" width="9.1796875" style="37"/>
    <col min="7404" max="7404" width="10.81640625" style="37" customWidth="1"/>
    <col min="7405" max="7415" width="9.1796875" style="37" customWidth="1"/>
    <col min="7416" max="7418" width="10.1796875" style="37" customWidth="1"/>
    <col min="7419" max="7419" width="12" style="37" customWidth="1"/>
    <col min="7420" max="7423" width="9.1796875" style="37" customWidth="1"/>
    <col min="7424" max="7425" width="10.81640625" style="37" customWidth="1"/>
    <col min="7426" max="7426" width="9.7265625" style="37" bestFit="1" customWidth="1"/>
    <col min="7427" max="7428" width="9.1796875" style="37" customWidth="1"/>
    <col min="7429" max="7429" width="11.453125" style="37" customWidth="1"/>
    <col min="7430" max="7431" width="9.1796875" style="37" customWidth="1"/>
    <col min="7432" max="7432" width="15.453125" style="37" customWidth="1"/>
    <col min="7433" max="7435" width="9.1796875" style="37" customWidth="1"/>
    <col min="7436" max="7436" width="15.54296875" style="37" customWidth="1"/>
    <col min="7437" max="7444" width="9.1796875" style="37" customWidth="1"/>
    <col min="7445" max="7659" width="9.1796875" style="37"/>
    <col min="7660" max="7660" width="10.81640625" style="37" customWidth="1"/>
    <col min="7661" max="7671" width="9.1796875" style="37" customWidth="1"/>
    <col min="7672" max="7674" width="10.1796875" style="37" customWidth="1"/>
    <col min="7675" max="7675" width="12" style="37" customWidth="1"/>
    <col min="7676" max="7679" width="9.1796875" style="37" customWidth="1"/>
    <col min="7680" max="7681" width="10.81640625" style="37" customWidth="1"/>
    <col min="7682" max="7682" width="9.7265625" style="37" bestFit="1" customWidth="1"/>
    <col min="7683" max="7684" width="9.1796875" style="37" customWidth="1"/>
    <col min="7685" max="7685" width="11.453125" style="37" customWidth="1"/>
    <col min="7686" max="7687" width="9.1796875" style="37" customWidth="1"/>
    <col min="7688" max="7688" width="15.453125" style="37" customWidth="1"/>
    <col min="7689" max="7691" width="9.1796875" style="37" customWidth="1"/>
    <col min="7692" max="7692" width="15.54296875" style="37" customWidth="1"/>
    <col min="7693" max="7700" width="9.1796875" style="37" customWidth="1"/>
    <col min="7701" max="7915" width="9.1796875" style="37"/>
    <col min="7916" max="7916" width="10.81640625" style="37" customWidth="1"/>
    <col min="7917" max="7927" width="9.1796875" style="37" customWidth="1"/>
    <col min="7928" max="7930" width="10.1796875" style="37" customWidth="1"/>
    <col min="7931" max="7931" width="12" style="37" customWidth="1"/>
    <col min="7932" max="7935" width="9.1796875" style="37" customWidth="1"/>
    <col min="7936" max="7937" width="10.81640625" style="37" customWidth="1"/>
    <col min="7938" max="7938" width="9.7265625" style="37" bestFit="1" customWidth="1"/>
    <col min="7939" max="7940" width="9.1796875" style="37" customWidth="1"/>
    <col min="7941" max="7941" width="11.453125" style="37" customWidth="1"/>
    <col min="7942" max="7943" width="9.1796875" style="37" customWidth="1"/>
    <col min="7944" max="7944" width="15.453125" style="37" customWidth="1"/>
    <col min="7945" max="7947" width="9.1796875" style="37" customWidth="1"/>
    <col min="7948" max="7948" width="15.54296875" style="37" customWidth="1"/>
    <col min="7949" max="7956" width="9.1796875" style="37" customWidth="1"/>
    <col min="7957" max="8171" width="9.1796875" style="37"/>
    <col min="8172" max="8172" width="10.81640625" style="37" customWidth="1"/>
    <col min="8173" max="8183" width="9.1796875" style="37" customWidth="1"/>
    <col min="8184" max="8186" width="10.1796875" style="37" customWidth="1"/>
    <col min="8187" max="8187" width="12" style="37" customWidth="1"/>
    <col min="8188" max="8191" width="9.1796875" style="37" customWidth="1"/>
    <col min="8192" max="8193" width="10.81640625" style="37" customWidth="1"/>
    <col min="8194" max="8194" width="9.7265625" style="37" bestFit="1" customWidth="1"/>
    <col min="8195" max="8196" width="9.1796875" style="37" customWidth="1"/>
    <col min="8197" max="8197" width="11.453125" style="37" customWidth="1"/>
    <col min="8198" max="8199" width="9.1796875" style="37" customWidth="1"/>
    <col min="8200" max="8200" width="15.453125" style="37" customWidth="1"/>
    <col min="8201" max="8203" width="9.1796875" style="37" customWidth="1"/>
    <col min="8204" max="8204" width="15.54296875" style="37" customWidth="1"/>
    <col min="8205" max="8212" width="9.1796875" style="37" customWidth="1"/>
    <col min="8213" max="8427" width="9.1796875" style="37"/>
    <col min="8428" max="8428" width="10.81640625" style="37" customWidth="1"/>
    <col min="8429" max="8439" width="9.1796875" style="37" customWidth="1"/>
    <col min="8440" max="8442" width="10.1796875" style="37" customWidth="1"/>
    <col min="8443" max="8443" width="12" style="37" customWidth="1"/>
    <col min="8444" max="8447" width="9.1796875" style="37" customWidth="1"/>
    <col min="8448" max="8449" width="10.81640625" style="37" customWidth="1"/>
    <col min="8450" max="8450" width="9.7265625" style="37" bestFit="1" customWidth="1"/>
    <col min="8451" max="8452" width="9.1796875" style="37" customWidth="1"/>
    <col min="8453" max="8453" width="11.453125" style="37" customWidth="1"/>
    <col min="8454" max="8455" width="9.1796875" style="37" customWidth="1"/>
    <col min="8456" max="8456" width="15.453125" style="37" customWidth="1"/>
    <col min="8457" max="8459" width="9.1796875" style="37" customWidth="1"/>
    <col min="8460" max="8460" width="15.54296875" style="37" customWidth="1"/>
    <col min="8461" max="8468" width="9.1796875" style="37" customWidth="1"/>
    <col min="8469" max="8683" width="9.1796875" style="37"/>
    <col min="8684" max="8684" width="10.81640625" style="37" customWidth="1"/>
    <col min="8685" max="8695" width="9.1796875" style="37" customWidth="1"/>
    <col min="8696" max="8698" width="10.1796875" style="37" customWidth="1"/>
    <col min="8699" max="8699" width="12" style="37" customWidth="1"/>
    <col min="8700" max="8703" width="9.1796875" style="37" customWidth="1"/>
    <col min="8704" max="8705" width="10.81640625" style="37" customWidth="1"/>
    <col min="8706" max="8706" width="9.7265625" style="37" bestFit="1" customWidth="1"/>
    <col min="8707" max="8708" width="9.1796875" style="37" customWidth="1"/>
    <col min="8709" max="8709" width="11.453125" style="37" customWidth="1"/>
    <col min="8710" max="8711" width="9.1796875" style="37" customWidth="1"/>
    <col min="8712" max="8712" width="15.453125" style="37" customWidth="1"/>
    <col min="8713" max="8715" width="9.1796875" style="37" customWidth="1"/>
    <col min="8716" max="8716" width="15.54296875" style="37" customWidth="1"/>
    <col min="8717" max="8724" width="9.1796875" style="37" customWidth="1"/>
    <col min="8725" max="8939" width="9.1796875" style="37"/>
    <col min="8940" max="8940" width="10.81640625" style="37" customWidth="1"/>
    <col min="8941" max="8951" width="9.1796875" style="37" customWidth="1"/>
    <col min="8952" max="8954" width="10.1796875" style="37" customWidth="1"/>
    <col min="8955" max="8955" width="12" style="37" customWidth="1"/>
    <col min="8956" max="8959" width="9.1796875" style="37" customWidth="1"/>
    <col min="8960" max="8961" width="10.81640625" style="37" customWidth="1"/>
    <col min="8962" max="8962" width="9.7265625" style="37" bestFit="1" customWidth="1"/>
    <col min="8963" max="8964" width="9.1796875" style="37" customWidth="1"/>
    <col min="8965" max="8965" width="11.453125" style="37" customWidth="1"/>
    <col min="8966" max="8967" width="9.1796875" style="37" customWidth="1"/>
    <col min="8968" max="8968" width="15.453125" style="37" customWidth="1"/>
    <col min="8969" max="8971" width="9.1796875" style="37" customWidth="1"/>
    <col min="8972" max="8972" width="15.54296875" style="37" customWidth="1"/>
    <col min="8973" max="8980" width="9.1796875" style="37" customWidth="1"/>
    <col min="8981" max="9195" width="9.1796875" style="37"/>
    <col min="9196" max="9196" width="10.81640625" style="37" customWidth="1"/>
    <col min="9197" max="9207" width="9.1796875" style="37" customWidth="1"/>
    <col min="9208" max="9210" width="10.1796875" style="37" customWidth="1"/>
    <col min="9211" max="9211" width="12" style="37" customWidth="1"/>
    <col min="9212" max="9215" width="9.1796875" style="37" customWidth="1"/>
    <col min="9216" max="9217" width="10.81640625" style="37" customWidth="1"/>
    <col min="9218" max="9218" width="9.7265625" style="37" bestFit="1" customWidth="1"/>
    <col min="9219" max="9220" width="9.1796875" style="37" customWidth="1"/>
    <col min="9221" max="9221" width="11.453125" style="37" customWidth="1"/>
    <col min="9222" max="9223" width="9.1796875" style="37" customWidth="1"/>
    <col min="9224" max="9224" width="15.453125" style="37" customWidth="1"/>
    <col min="9225" max="9227" width="9.1796875" style="37" customWidth="1"/>
    <col min="9228" max="9228" width="15.54296875" style="37" customWidth="1"/>
    <col min="9229" max="9236" width="9.1796875" style="37" customWidth="1"/>
    <col min="9237" max="9451" width="9.1796875" style="37"/>
    <col min="9452" max="9452" width="10.81640625" style="37" customWidth="1"/>
    <col min="9453" max="9463" width="9.1796875" style="37" customWidth="1"/>
    <col min="9464" max="9466" width="10.1796875" style="37" customWidth="1"/>
    <col min="9467" max="9467" width="12" style="37" customWidth="1"/>
    <col min="9468" max="9471" width="9.1796875" style="37" customWidth="1"/>
    <col min="9472" max="9473" width="10.81640625" style="37" customWidth="1"/>
    <col min="9474" max="9474" width="9.7265625" style="37" bestFit="1" customWidth="1"/>
    <col min="9475" max="9476" width="9.1796875" style="37" customWidth="1"/>
    <col min="9477" max="9477" width="11.453125" style="37" customWidth="1"/>
    <col min="9478" max="9479" width="9.1796875" style="37" customWidth="1"/>
    <col min="9480" max="9480" width="15.453125" style="37" customWidth="1"/>
    <col min="9481" max="9483" width="9.1796875" style="37" customWidth="1"/>
    <col min="9484" max="9484" width="15.54296875" style="37" customWidth="1"/>
    <col min="9485" max="9492" width="9.1796875" style="37" customWidth="1"/>
    <col min="9493" max="9707" width="9.1796875" style="37"/>
    <col min="9708" max="9708" width="10.81640625" style="37" customWidth="1"/>
    <col min="9709" max="9719" width="9.1796875" style="37" customWidth="1"/>
    <col min="9720" max="9722" width="10.1796875" style="37" customWidth="1"/>
    <col min="9723" max="9723" width="12" style="37" customWidth="1"/>
    <col min="9724" max="9727" width="9.1796875" style="37" customWidth="1"/>
    <col min="9728" max="9729" width="10.81640625" style="37" customWidth="1"/>
    <col min="9730" max="9730" width="9.7265625" style="37" bestFit="1" customWidth="1"/>
    <col min="9731" max="9732" width="9.1796875" style="37" customWidth="1"/>
    <col min="9733" max="9733" width="11.453125" style="37" customWidth="1"/>
    <col min="9734" max="9735" width="9.1796875" style="37" customWidth="1"/>
    <col min="9736" max="9736" width="15.453125" style="37" customWidth="1"/>
    <col min="9737" max="9739" width="9.1796875" style="37" customWidth="1"/>
    <col min="9740" max="9740" width="15.54296875" style="37" customWidth="1"/>
    <col min="9741" max="9748" width="9.1796875" style="37" customWidth="1"/>
    <col min="9749" max="9963" width="9.1796875" style="37"/>
    <col min="9964" max="9964" width="10.81640625" style="37" customWidth="1"/>
    <col min="9965" max="9975" width="9.1796875" style="37" customWidth="1"/>
    <col min="9976" max="9978" width="10.1796875" style="37" customWidth="1"/>
    <col min="9979" max="9979" width="12" style="37" customWidth="1"/>
    <col min="9980" max="9983" width="9.1796875" style="37" customWidth="1"/>
    <col min="9984" max="9985" width="10.81640625" style="37" customWidth="1"/>
    <col min="9986" max="9986" width="9.7265625" style="37" bestFit="1" customWidth="1"/>
    <col min="9987" max="9988" width="9.1796875" style="37" customWidth="1"/>
    <col min="9989" max="9989" width="11.453125" style="37" customWidth="1"/>
    <col min="9990" max="9991" width="9.1796875" style="37" customWidth="1"/>
    <col min="9992" max="9992" width="15.453125" style="37" customWidth="1"/>
    <col min="9993" max="9995" width="9.1796875" style="37" customWidth="1"/>
    <col min="9996" max="9996" width="15.54296875" style="37" customWidth="1"/>
    <col min="9997" max="10004" width="9.1796875" style="37" customWidth="1"/>
    <col min="10005" max="10219" width="9.1796875" style="37"/>
    <col min="10220" max="10220" width="10.81640625" style="37" customWidth="1"/>
    <col min="10221" max="10231" width="9.1796875" style="37" customWidth="1"/>
    <col min="10232" max="10234" width="10.1796875" style="37" customWidth="1"/>
    <col min="10235" max="10235" width="12" style="37" customWidth="1"/>
    <col min="10236" max="10239" width="9.1796875" style="37" customWidth="1"/>
    <col min="10240" max="10241" width="10.81640625" style="37" customWidth="1"/>
    <col min="10242" max="10242" width="9.7265625" style="37" bestFit="1" customWidth="1"/>
    <col min="10243" max="10244" width="9.1796875" style="37" customWidth="1"/>
    <col min="10245" max="10245" width="11.453125" style="37" customWidth="1"/>
    <col min="10246" max="10247" width="9.1796875" style="37" customWidth="1"/>
    <col min="10248" max="10248" width="15.453125" style="37" customWidth="1"/>
    <col min="10249" max="10251" width="9.1796875" style="37" customWidth="1"/>
    <col min="10252" max="10252" width="15.54296875" style="37" customWidth="1"/>
    <col min="10253" max="10260" width="9.1796875" style="37" customWidth="1"/>
    <col min="10261" max="10475" width="9.1796875" style="37"/>
    <col min="10476" max="10476" width="10.81640625" style="37" customWidth="1"/>
    <col min="10477" max="10487" width="9.1796875" style="37" customWidth="1"/>
    <col min="10488" max="10490" width="10.1796875" style="37" customWidth="1"/>
    <col min="10491" max="10491" width="12" style="37" customWidth="1"/>
    <col min="10492" max="10495" width="9.1796875" style="37" customWidth="1"/>
    <col min="10496" max="10497" width="10.81640625" style="37" customWidth="1"/>
    <col min="10498" max="10498" width="9.7265625" style="37" bestFit="1" customWidth="1"/>
    <col min="10499" max="10500" width="9.1796875" style="37" customWidth="1"/>
    <col min="10501" max="10501" width="11.453125" style="37" customWidth="1"/>
    <col min="10502" max="10503" width="9.1796875" style="37" customWidth="1"/>
    <col min="10504" max="10504" width="15.453125" style="37" customWidth="1"/>
    <col min="10505" max="10507" width="9.1796875" style="37" customWidth="1"/>
    <col min="10508" max="10508" width="15.54296875" style="37" customWidth="1"/>
    <col min="10509" max="10516" width="9.1796875" style="37" customWidth="1"/>
    <col min="10517" max="10731" width="9.1796875" style="37"/>
    <col min="10732" max="10732" width="10.81640625" style="37" customWidth="1"/>
    <col min="10733" max="10743" width="9.1796875" style="37" customWidth="1"/>
    <col min="10744" max="10746" width="10.1796875" style="37" customWidth="1"/>
    <col min="10747" max="10747" width="12" style="37" customWidth="1"/>
    <col min="10748" max="10751" width="9.1796875" style="37" customWidth="1"/>
    <col min="10752" max="10753" width="10.81640625" style="37" customWidth="1"/>
    <col min="10754" max="10754" width="9.7265625" style="37" bestFit="1" customWidth="1"/>
    <col min="10755" max="10756" width="9.1796875" style="37" customWidth="1"/>
    <col min="10757" max="10757" width="11.453125" style="37" customWidth="1"/>
    <col min="10758" max="10759" width="9.1796875" style="37" customWidth="1"/>
    <col min="10760" max="10760" width="15.453125" style="37" customWidth="1"/>
    <col min="10761" max="10763" width="9.1796875" style="37" customWidth="1"/>
    <col min="10764" max="10764" width="15.54296875" style="37" customWidth="1"/>
    <col min="10765" max="10772" width="9.1796875" style="37" customWidth="1"/>
    <col min="10773" max="10987" width="9.1796875" style="37"/>
    <col min="10988" max="10988" width="10.81640625" style="37" customWidth="1"/>
    <col min="10989" max="10999" width="9.1796875" style="37" customWidth="1"/>
    <col min="11000" max="11002" width="10.1796875" style="37" customWidth="1"/>
    <col min="11003" max="11003" width="12" style="37" customWidth="1"/>
    <col min="11004" max="11007" width="9.1796875" style="37" customWidth="1"/>
    <col min="11008" max="11009" width="10.81640625" style="37" customWidth="1"/>
    <col min="11010" max="11010" width="9.7265625" style="37" bestFit="1" customWidth="1"/>
    <col min="11011" max="11012" width="9.1796875" style="37" customWidth="1"/>
    <col min="11013" max="11013" width="11.453125" style="37" customWidth="1"/>
    <col min="11014" max="11015" width="9.1796875" style="37" customWidth="1"/>
    <col min="11016" max="11016" width="15.453125" style="37" customWidth="1"/>
    <col min="11017" max="11019" width="9.1796875" style="37" customWidth="1"/>
    <col min="11020" max="11020" width="15.54296875" style="37" customWidth="1"/>
    <col min="11021" max="11028" width="9.1796875" style="37" customWidth="1"/>
    <col min="11029" max="11243" width="9.1796875" style="37"/>
    <col min="11244" max="11244" width="10.81640625" style="37" customWidth="1"/>
    <col min="11245" max="11255" width="9.1796875" style="37" customWidth="1"/>
    <col min="11256" max="11258" width="10.1796875" style="37" customWidth="1"/>
    <col min="11259" max="11259" width="12" style="37" customWidth="1"/>
    <col min="11260" max="11263" width="9.1796875" style="37" customWidth="1"/>
    <col min="11264" max="11265" width="10.81640625" style="37" customWidth="1"/>
    <col min="11266" max="11266" width="9.7265625" style="37" bestFit="1" customWidth="1"/>
    <col min="11267" max="11268" width="9.1796875" style="37" customWidth="1"/>
    <col min="11269" max="11269" width="11.453125" style="37" customWidth="1"/>
    <col min="11270" max="11271" width="9.1796875" style="37" customWidth="1"/>
    <col min="11272" max="11272" width="15.453125" style="37" customWidth="1"/>
    <col min="11273" max="11275" width="9.1796875" style="37" customWidth="1"/>
    <col min="11276" max="11276" width="15.54296875" style="37" customWidth="1"/>
    <col min="11277" max="11284" width="9.1796875" style="37" customWidth="1"/>
    <col min="11285" max="11499" width="9.1796875" style="37"/>
    <col min="11500" max="11500" width="10.81640625" style="37" customWidth="1"/>
    <col min="11501" max="11511" width="9.1796875" style="37" customWidth="1"/>
    <col min="11512" max="11514" width="10.1796875" style="37" customWidth="1"/>
    <col min="11515" max="11515" width="12" style="37" customWidth="1"/>
    <col min="11516" max="11519" width="9.1796875" style="37" customWidth="1"/>
    <col min="11520" max="11521" width="10.81640625" style="37" customWidth="1"/>
    <col min="11522" max="11522" width="9.7265625" style="37" bestFit="1" customWidth="1"/>
    <col min="11523" max="11524" width="9.1796875" style="37" customWidth="1"/>
    <col min="11525" max="11525" width="11.453125" style="37" customWidth="1"/>
    <col min="11526" max="11527" width="9.1796875" style="37" customWidth="1"/>
    <col min="11528" max="11528" width="15.453125" style="37" customWidth="1"/>
    <col min="11529" max="11531" width="9.1796875" style="37" customWidth="1"/>
    <col min="11532" max="11532" width="15.54296875" style="37" customWidth="1"/>
    <col min="11533" max="11540" width="9.1796875" style="37" customWidth="1"/>
    <col min="11541" max="11755" width="9.1796875" style="37"/>
    <col min="11756" max="11756" width="10.81640625" style="37" customWidth="1"/>
    <col min="11757" max="11767" width="9.1796875" style="37" customWidth="1"/>
    <col min="11768" max="11770" width="10.1796875" style="37" customWidth="1"/>
    <col min="11771" max="11771" width="12" style="37" customWidth="1"/>
    <col min="11772" max="11775" width="9.1796875" style="37" customWidth="1"/>
    <col min="11776" max="11777" width="10.81640625" style="37" customWidth="1"/>
    <col min="11778" max="11778" width="9.7265625" style="37" bestFit="1" customWidth="1"/>
    <col min="11779" max="11780" width="9.1796875" style="37" customWidth="1"/>
    <col min="11781" max="11781" width="11.453125" style="37" customWidth="1"/>
    <col min="11782" max="11783" width="9.1796875" style="37" customWidth="1"/>
    <col min="11784" max="11784" width="15.453125" style="37" customWidth="1"/>
    <col min="11785" max="11787" width="9.1796875" style="37" customWidth="1"/>
    <col min="11788" max="11788" width="15.54296875" style="37" customWidth="1"/>
    <col min="11789" max="11796" width="9.1796875" style="37" customWidth="1"/>
    <col min="11797" max="12011" width="9.1796875" style="37"/>
    <col min="12012" max="12012" width="10.81640625" style="37" customWidth="1"/>
    <col min="12013" max="12023" width="9.1796875" style="37" customWidth="1"/>
    <col min="12024" max="12026" width="10.1796875" style="37" customWidth="1"/>
    <col min="12027" max="12027" width="12" style="37" customWidth="1"/>
    <col min="12028" max="12031" width="9.1796875" style="37" customWidth="1"/>
    <col min="12032" max="12033" width="10.81640625" style="37" customWidth="1"/>
    <col min="12034" max="12034" width="9.7265625" style="37" bestFit="1" customWidth="1"/>
    <col min="12035" max="12036" width="9.1796875" style="37" customWidth="1"/>
    <col min="12037" max="12037" width="11.453125" style="37" customWidth="1"/>
    <col min="12038" max="12039" width="9.1796875" style="37" customWidth="1"/>
    <col min="12040" max="12040" width="15.453125" style="37" customWidth="1"/>
    <col min="12041" max="12043" width="9.1796875" style="37" customWidth="1"/>
    <col min="12044" max="12044" width="15.54296875" style="37" customWidth="1"/>
    <col min="12045" max="12052" width="9.1796875" style="37" customWidth="1"/>
    <col min="12053" max="12267" width="9.1796875" style="37"/>
    <col min="12268" max="12268" width="10.81640625" style="37" customWidth="1"/>
    <col min="12269" max="12279" width="9.1796875" style="37" customWidth="1"/>
    <col min="12280" max="12282" width="10.1796875" style="37" customWidth="1"/>
    <col min="12283" max="12283" width="12" style="37" customWidth="1"/>
    <col min="12284" max="12287" width="9.1796875" style="37" customWidth="1"/>
    <col min="12288" max="12289" width="10.81640625" style="37" customWidth="1"/>
    <col min="12290" max="12290" width="9.7265625" style="37" bestFit="1" customWidth="1"/>
    <col min="12291" max="12292" width="9.1796875" style="37" customWidth="1"/>
    <col min="12293" max="12293" width="11.453125" style="37" customWidth="1"/>
    <col min="12294" max="12295" width="9.1796875" style="37" customWidth="1"/>
    <col min="12296" max="12296" width="15.453125" style="37" customWidth="1"/>
    <col min="12297" max="12299" width="9.1796875" style="37" customWidth="1"/>
    <col min="12300" max="12300" width="15.54296875" style="37" customWidth="1"/>
    <col min="12301" max="12308" width="9.1796875" style="37" customWidth="1"/>
    <col min="12309" max="12523" width="9.1796875" style="37"/>
    <col min="12524" max="12524" width="10.81640625" style="37" customWidth="1"/>
    <col min="12525" max="12535" width="9.1796875" style="37" customWidth="1"/>
    <col min="12536" max="12538" width="10.1796875" style="37" customWidth="1"/>
    <col min="12539" max="12539" width="12" style="37" customWidth="1"/>
    <col min="12540" max="12543" width="9.1796875" style="37" customWidth="1"/>
    <col min="12544" max="12545" width="10.81640625" style="37" customWidth="1"/>
    <col min="12546" max="12546" width="9.7265625" style="37" bestFit="1" customWidth="1"/>
    <col min="12547" max="12548" width="9.1796875" style="37" customWidth="1"/>
    <col min="12549" max="12549" width="11.453125" style="37" customWidth="1"/>
    <col min="12550" max="12551" width="9.1796875" style="37" customWidth="1"/>
    <col min="12552" max="12552" width="15.453125" style="37" customWidth="1"/>
    <col min="12553" max="12555" width="9.1796875" style="37" customWidth="1"/>
    <col min="12556" max="12556" width="15.54296875" style="37" customWidth="1"/>
    <col min="12557" max="12564" width="9.1796875" style="37" customWidth="1"/>
    <col min="12565" max="12779" width="9.1796875" style="37"/>
    <col min="12780" max="12780" width="10.81640625" style="37" customWidth="1"/>
    <col min="12781" max="12791" width="9.1796875" style="37" customWidth="1"/>
    <col min="12792" max="12794" width="10.1796875" style="37" customWidth="1"/>
    <col min="12795" max="12795" width="12" style="37" customWidth="1"/>
    <col min="12796" max="12799" width="9.1796875" style="37" customWidth="1"/>
    <col min="12800" max="12801" width="10.81640625" style="37" customWidth="1"/>
    <col min="12802" max="12802" width="9.7265625" style="37" bestFit="1" customWidth="1"/>
    <col min="12803" max="12804" width="9.1796875" style="37" customWidth="1"/>
    <col min="12805" max="12805" width="11.453125" style="37" customWidth="1"/>
    <col min="12806" max="12807" width="9.1796875" style="37" customWidth="1"/>
    <col min="12808" max="12808" width="15.453125" style="37" customWidth="1"/>
    <col min="12809" max="12811" width="9.1796875" style="37" customWidth="1"/>
    <col min="12812" max="12812" width="15.54296875" style="37" customWidth="1"/>
    <col min="12813" max="12820" width="9.1796875" style="37" customWidth="1"/>
    <col min="12821" max="13035" width="9.1796875" style="37"/>
    <col min="13036" max="13036" width="10.81640625" style="37" customWidth="1"/>
    <col min="13037" max="13047" width="9.1796875" style="37" customWidth="1"/>
    <col min="13048" max="13050" width="10.1796875" style="37" customWidth="1"/>
    <col min="13051" max="13051" width="12" style="37" customWidth="1"/>
    <col min="13052" max="13055" width="9.1796875" style="37" customWidth="1"/>
    <col min="13056" max="13057" width="10.81640625" style="37" customWidth="1"/>
    <col min="13058" max="13058" width="9.7265625" style="37" bestFit="1" customWidth="1"/>
    <col min="13059" max="13060" width="9.1796875" style="37" customWidth="1"/>
    <col min="13061" max="13061" width="11.453125" style="37" customWidth="1"/>
    <col min="13062" max="13063" width="9.1796875" style="37" customWidth="1"/>
    <col min="13064" max="13064" width="15.453125" style="37" customWidth="1"/>
    <col min="13065" max="13067" width="9.1796875" style="37" customWidth="1"/>
    <col min="13068" max="13068" width="15.54296875" style="37" customWidth="1"/>
    <col min="13069" max="13076" width="9.1796875" style="37" customWidth="1"/>
    <col min="13077" max="13291" width="9.1796875" style="37"/>
    <col min="13292" max="13292" width="10.81640625" style="37" customWidth="1"/>
    <col min="13293" max="13303" width="9.1796875" style="37" customWidth="1"/>
    <col min="13304" max="13306" width="10.1796875" style="37" customWidth="1"/>
    <col min="13307" max="13307" width="12" style="37" customWidth="1"/>
    <col min="13308" max="13311" width="9.1796875" style="37" customWidth="1"/>
    <col min="13312" max="13313" width="10.81640625" style="37" customWidth="1"/>
    <col min="13314" max="13314" width="9.7265625" style="37" bestFit="1" customWidth="1"/>
    <col min="13315" max="13316" width="9.1796875" style="37" customWidth="1"/>
    <col min="13317" max="13317" width="11.453125" style="37" customWidth="1"/>
    <col min="13318" max="13319" width="9.1796875" style="37" customWidth="1"/>
    <col min="13320" max="13320" width="15.453125" style="37" customWidth="1"/>
    <col min="13321" max="13323" width="9.1796875" style="37" customWidth="1"/>
    <col min="13324" max="13324" width="15.54296875" style="37" customWidth="1"/>
    <col min="13325" max="13332" width="9.1796875" style="37" customWidth="1"/>
    <col min="13333" max="13547" width="9.1796875" style="37"/>
    <col min="13548" max="13548" width="10.81640625" style="37" customWidth="1"/>
    <col min="13549" max="13559" width="9.1796875" style="37" customWidth="1"/>
    <col min="13560" max="13562" width="10.1796875" style="37" customWidth="1"/>
    <col min="13563" max="13563" width="12" style="37" customWidth="1"/>
    <col min="13564" max="13567" width="9.1796875" style="37" customWidth="1"/>
    <col min="13568" max="13569" width="10.81640625" style="37" customWidth="1"/>
    <col min="13570" max="13570" width="9.7265625" style="37" bestFit="1" customWidth="1"/>
    <col min="13571" max="13572" width="9.1796875" style="37" customWidth="1"/>
    <col min="13573" max="13573" width="11.453125" style="37" customWidth="1"/>
    <col min="13574" max="13575" width="9.1796875" style="37" customWidth="1"/>
    <col min="13576" max="13576" width="15.453125" style="37" customWidth="1"/>
    <col min="13577" max="13579" width="9.1796875" style="37" customWidth="1"/>
    <col min="13580" max="13580" width="15.54296875" style="37" customWidth="1"/>
    <col min="13581" max="13588" width="9.1796875" style="37" customWidth="1"/>
    <col min="13589" max="13803" width="9.1796875" style="37"/>
    <col min="13804" max="13804" width="10.81640625" style="37" customWidth="1"/>
    <col min="13805" max="13815" width="9.1796875" style="37" customWidth="1"/>
    <col min="13816" max="13818" width="10.1796875" style="37" customWidth="1"/>
    <col min="13819" max="13819" width="12" style="37" customWidth="1"/>
    <col min="13820" max="13823" width="9.1796875" style="37" customWidth="1"/>
    <col min="13824" max="13825" width="10.81640625" style="37" customWidth="1"/>
    <col min="13826" max="13826" width="9.7265625" style="37" bestFit="1" customWidth="1"/>
    <col min="13827" max="13828" width="9.1796875" style="37" customWidth="1"/>
    <col min="13829" max="13829" width="11.453125" style="37" customWidth="1"/>
    <col min="13830" max="13831" width="9.1796875" style="37" customWidth="1"/>
    <col min="13832" max="13832" width="15.453125" style="37" customWidth="1"/>
    <col min="13833" max="13835" width="9.1796875" style="37" customWidth="1"/>
    <col min="13836" max="13836" width="15.54296875" style="37" customWidth="1"/>
    <col min="13837" max="13844" width="9.1796875" style="37" customWidth="1"/>
    <col min="13845" max="14059" width="9.1796875" style="37"/>
    <col min="14060" max="14060" width="10.81640625" style="37" customWidth="1"/>
    <col min="14061" max="14071" width="9.1796875" style="37" customWidth="1"/>
    <col min="14072" max="14074" width="10.1796875" style="37" customWidth="1"/>
    <col min="14075" max="14075" width="12" style="37" customWidth="1"/>
    <col min="14076" max="14079" width="9.1796875" style="37" customWidth="1"/>
    <col min="14080" max="14081" width="10.81640625" style="37" customWidth="1"/>
    <col min="14082" max="14082" width="9.7265625" style="37" bestFit="1" customWidth="1"/>
    <col min="14083" max="14084" width="9.1796875" style="37" customWidth="1"/>
    <col min="14085" max="14085" width="11.453125" style="37" customWidth="1"/>
    <col min="14086" max="14087" width="9.1796875" style="37" customWidth="1"/>
    <col min="14088" max="14088" width="15.453125" style="37" customWidth="1"/>
    <col min="14089" max="14091" width="9.1796875" style="37" customWidth="1"/>
    <col min="14092" max="14092" width="15.54296875" style="37" customWidth="1"/>
    <col min="14093" max="14100" width="9.1796875" style="37" customWidth="1"/>
    <col min="14101" max="14315" width="9.1796875" style="37"/>
    <col min="14316" max="14316" width="10.81640625" style="37" customWidth="1"/>
    <col min="14317" max="14327" width="9.1796875" style="37" customWidth="1"/>
    <col min="14328" max="14330" width="10.1796875" style="37" customWidth="1"/>
    <col min="14331" max="14331" width="12" style="37" customWidth="1"/>
    <col min="14332" max="14335" width="9.1796875" style="37" customWidth="1"/>
    <col min="14336" max="14337" width="10.81640625" style="37" customWidth="1"/>
    <col min="14338" max="14338" width="9.7265625" style="37" bestFit="1" customWidth="1"/>
    <col min="14339" max="14340" width="9.1796875" style="37" customWidth="1"/>
    <col min="14341" max="14341" width="11.453125" style="37" customWidth="1"/>
    <col min="14342" max="14343" width="9.1796875" style="37" customWidth="1"/>
    <col min="14344" max="14344" width="15.453125" style="37" customWidth="1"/>
    <col min="14345" max="14347" width="9.1796875" style="37" customWidth="1"/>
    <col min="14348" max="14348" width="15.54296875" style="37" customWidth="1"/>
    <col min="14349" max="14356" width="9.1796875" style="37" customWidth="1"/>
    <col min="14357" max="14571" width="9.1796875" style="37"/>
    <col min="14572" max="14572" width="10.81640625" style="37" customWidth="1"/>
    <col min="14573" max="14583" width="9.1796875" style="37" customWidth="1"/>
    <col min="14584" max="14586" width="10.1796875" style="37" customWidth="1"/>
    <col min="14587" max="14587" width="12" style="37" customWidth="1"/>
    <col min="14588" max="14591" width="9.1796875" style="37" customWidth="1"/>
    <col min="14592" max="14593" width="10.81640625" style="37" customWidth="1"/>
    <col min="14594" max="14594" width="9.7265625" style="37" bestFit="1" customWidth="1"/>
    <col min="14595" max="14596" width="9.1796875" style="37" customWidth="1"/>
    <col min="14597" max="14597" width="11.453125" style="37" customWidth="1"/>
    <col min="14598" max="14599" width="9.1796875" style="37" customWidth="1"/>
    <col min="14600" max="14600" width="15.453125" style="37" customWidth="1"/>
    <col min="14601" max="14603" width="9.1796875" style="37" customWidth="1"/>
    <col min="14604" max="14604" width="15.54296875" style="37" customWidth="1"/>
    <col min="14605" max="14612" width="9.1796875" style="37" customWidth="1"/>
    <col min="14613" max="14827" width="9.1796875" style="37"/>
    <col min="14828" max="14828" width="10.81640625" style="37" customWidth="1"/>
    <col min="14829" max="14839" width="9.1796875" style="37" customWidth="1"/>
    <col min="14840" max="14842" width="10.1796875" style="37" customWidth="1"/>
    <col min="14843" max="14843" width="12" style="37" customWidth="1"/>
    <col min="14844" max="14847" width="9.1796875" style="37" customWidth="1"/>
    <col min="14848" max="14849" width="10.81640625" style="37" customWidth="1"/>
    <col min="14850" max="14850" width="9.7265625" style="37" bestFit="1" customWidth="1"/>
    <col min="14851" max="14852" width="9.1796875" style="37" customWidth="1"/>
    <col min="14853" max="14853" width="11.453125" style="37" customWidth="1"/>
    <col min="14854" max="14855" width="9.1796875" style="37" customWidth="1"/>
    <col min="14856" max="14856" width="15.453125" style="37" customWidth="1"/>
    <col min="14857" max="14859" width="9.1796875" style="37" customWidth="1"/>
    <col min="14860" max="14860" width="15.54296875" style="37" customWidth="1"/>
    <col min="14861" max="14868" width="9.1796875" style="37" customWidth="1"/>
    <col min="14869" max="15083" width="9.1796875" style="37"/>
    <col min="15084" max="15084" width="10.81640625" style="37" customWidth="1"/>
    <col min="15085" max="15095" width="9.1796875" style="37" customWidth="1"/>
    <col min="15096" max="15098" width="10.1796875" style="37" customWidth="1"/>
    <col min="15099" max="15099" width="12" style="37" customWidth="1"/>
    <col min="15100" max="15103" width="9.1796875" style="37" customWidth="1"/>
    <col min="15104" max="15105" width="10.81640625" style="37" customWidth="1"/>
    <col min="15106" max="15106" width="9.7265625" style="37" bestFit="1" customWidth="1"/>
    <col min="15107" max="15108" width="9.1796875" style="37" customWidth="1"/>
    <col min="15109" max="15109" width="11.453125" style="37" customWidth="1"/>
    <col min="15110" max="15111" width="9.1796875" style="37" customWidth="1"/>
    <col min="15112" max="15112" width="15.453125" style="37" customWidth="1"/>
    <col min="15113" max="15115" width="9.1796875" style="37" customWidth="1"/>
    <col min="15116" max="15116" width="15.54296875" style="37" customWidth="1"/>
    <col min="15117" max="15124" width="9.1796875" style="37" customWidth="1"/>
    <col min="15125" max="15339" width="9.1796875" style="37"/>
    <col min="15340" max="15340" width="10.81640625" style="37" customWidth="1"/>
    <col min="15341" max="15351" width="9.1796875" style="37" customWidth="1"/>
    <col min="15352" max="15354" width="10.1796875" style="37" customWidth="1"/>
    <col min="15355" max="15355" width="12" style="37" customWidth="1"/>
    <col min="15356" max="15359" width="9.1796875" style="37" customWidth="1"/>
    <col min="15360" max="15361" width="10.81640625" style="37" customWidth="1"/>
    <col min="15362" max="15362" width="9.7265625" style="37" bestFit="1" customWidth="1"/>
    <col min="15363" max="15364" width="9.1796875" style="37" customWidth="1"/>
    <col min="15365" max="15365" width="11.453125" style="37" customWidth="1"/>
    <col min="15366" max="15367" width="9.1796875" style="37" customWidth="1"/>
    <col min="15368" max="15368" width="15.453125" style="37" customWidth="1"/>
    <col min="15369" max="15371" width="9.1796875" style="37" customWidth="1"/>
    <col min="15372" max="15372" width="15.54296875" style="37" customWidth="1"/>
    <col min="15373" max="15380" width="9.1796875" style="37" customWidth="1"/>
    <col min="15381" max="15595" width="9.1796875" style="37"/>
    <col min="15596" max="15596" width="10.81640625" style="37" customWidth="1"/>
    <col min="15597" max="15607" width="9.1796875" style="37" customWidth="1"/>
    <col min="15608" max="15610" width="10.1796875" style="37" customWidth="1"/>
    <col min="15611" max="15611" width="12" style="37" customWidth="1"/>
    <col min="15612" max="15615" width="9.1796875" style="37" customWidth="1"/>
    <col min="15616" max="15617" width="10.81640625" style="37" customWidth="1"/>
    <col min="15618" max="15618" width="9.7265625" style="37" bestFit="1" customWidth="1"/>
    <col min="15619" max="15620" width="9.1796875" style="37" customWidth="1"/>
    <col min="15621" max="15621" width="11.453125" style="37" customWidth="1"/>
    <col min="15622" max="15623" width="9.1796875" style="37" customWidth="1"/>
    <col min="15624" max="15624" width="15.453125" style="37" customWidth="1"/>
    <col min="15625" max="15627" width="9.1796875" style="37" customWidth="1"/>
    <col min="15628" max="15628" width="15.54296875" style="37" customWidth="1"/>
    <col min="15629" max="15636" width="9.1796875" style="37" customWidth="1"/>
    <col min="15637" max="15851" width="9.1796875" style="37"/>
    <col min="15852" max="15852" width="10.81640625" style="37" customWidth="1"/>
    <col min="15853" max="15863" width="9.1796875" style="37" customWidth="1"/>
    <col min="15864" max="15866" width="10.1796875" style="37" customWidth="1"/>
    <col min="15867" max="15867" width="12" style="37" customWidth="1"/>
    <col min="15868" max="15871" width="9.1796875" style="37" customWidth="1"/>
    <col min="15872" max="15873" width="10.81640625" style="37" customWidth="1"/>
    <col min="15874" max="15874" width="9.7265625" style="37" bestFit="1" customWidth="1"/>
    <col min="15875" max="15876" width="9.1796875" style="37" customWidth="1"/>
    <col min="15877" max="15877" width="11.453125" style="37" customWidth="1"/>
    <col min="15878" max="15879" width="9.1796875" style="37" customWidth="1"/>
    <col min="15880" max="15880" width="15.453125" style="37" customWidth="1"/>
    <col min="15881" max="15883" width="9.1796875" style="37" customWidth="1"/>
    <col min="15884" max="15884" width="15.54296875" style="37" customWidth="1"/>
    <col min="15885" max="15892" width="9.1796875" style="37" customWidth="1"/>
    <col min="15893" max="16107" width="9.1796875" style="37"/>
    <col min="16108" max="16108" width="10.81640625" style="37" customWidth="1"/>
    <col min="16109" max="16119" width="9.1796875" style="37" customWidth="1"/>
    <col min="16120" max="16122" width="10.1796875" style="37" customWidth="1"/>
    <col min="16123" max="16123" width="12" style="37" customWidth="1"/>
    <col min="16124" max="16127" width="9.1796875" style="37" customWidth="1"/>
    <col min="16128" max="16129" width="10.81640625" style="37" customWidth="1"/>
    <col min="16130" max="16130" width="9.7265625" style="37" bestFit="1" customWidth="1"/>
    <col min="16131" max="16132" width="9.1796875" style="37" customWidth="1"/>
    <col min="16133" max="16133" width="11.453125" style="37" customWidth="1"/>
    <col min="16134" max="16135" width="9.1796875" style="37" customWidth="1"/>
    <col min="16136" max="16136" width="15.453125" style="37" customWidth="1"/>
    <col min="16137" max="16139" width="9.1796875" style="37" customWidth="1"/>
    <col min="16140" max="16140" width="15.54296875" style="37" customWidth="1"/>
    <col min="16141" max="16148" width="9.1796875" style="37" customWidth="1"/>
    <col min="16149" max="16384" width="9.1796875" style="37"/>
  </cols>
  <sheetData>
    <row r="1" spans="1:30" ht="23.5" x14ac:dyDescent="0.55000000000000004">
      <c r="A1" s="36" t="s">
        <v>120</v>
      </c>
    </row>
    <row r="2" spans="1:30" ht="13.5" thickBot="1" x14ac:dyDescent="0.35">
      <c r="L2" s="38"/>
      <c r="AD2" s="37" t="e">
        <f>MAX(#REF!)</f>
        <v>#REF!</v>
      </c>
    </row>
    <row r="3" spans="1:30" ht="12.75" customHeight="1" thickBot="1" x14ac:dyDescent="0.4">
      <c r="B3" s="58" t="s">
        <v>1</v>
      </c>
      <c r="C3" s="85">
        <v>1</v>
      </c>
      <c r="D3" s="86"/>
      <c r="H3" s="58" t="s">
        <v>121</v>
      </c>
      <c r="J3" s="65">
        <f ca="1">DATE(YEAR(TODAY()),1,1)</f>
        <v>45292</v>
      </c>
      <c r="AD3" s="37">
        <v>1</v>
      </c>
    </row>
    <row r="4" spans="1:30" ht="13.5" thickBot="1" x14ac:dyDescent="0.35">
      <c r="H4" s="58" t="s">
        <v>103</v>
      </c>
      <c r="J4" s="57">
        <v>70.099999999999994</v>
      </c>
      <c r="L4" s="38"/>
      <c r="AD4" s="37" t="e">
        <f>IF(AD3+1&gt;$AD$2,"",AD3+1)</f>
        <v>#REF!</v>
      </c>
    </row>
    <row r="5" spans="1:30" x14ac:dyDescent="0.3">
      <c r="B5" s="58" t="s">
        <v>122</v>
      </c>
      <c r="C5" s="38" t="str">
        <f>Sheet1!C5</f>
        <v>Bayer</v>
      </c>
      <c r="AD5" s="37" t="e">
        <f t="shared" ref="AD5:AD32" si="0">IF(AD4+1&gt;$AD$2,"",AD4+1)</f>
        <v>#REF!</v>
      </c>
    </row>
    <row r="6" spans="1:30" x14ac:dyDescent="0.3">
      <c r="AD6" s="37" t="e">
        <f t="shared" si="0"/>
        <v>#REF!</v>
      </c>
    </row>
    <row r="7" spans="1:30" x14ac:dyDescent="0.3">
      <c r="B7" s="58" t="s">
        <v>123</v>
      </c>
      <c r="D7" s="38">
        <f>COUNTIFS(BaseSbgrpv,1,Basegrupov,C3)</f>
        <v>0</v>
      </c>
      <c r="H7" s="60" t="s">
        <v>124</v>
      </c>
      <c r="L7" s="63">
        <f>SUMIFS(Sheet4!$M$8:$M$461,Sheet4!$D$8:$D$461,1)</f>
        <v>0</v>
      </c>
      <c r="M7" s="39"/>
      <c r="N7" s="40"/>
      <c r="AD7" s="37" t="e">
        <f t="shared" si="0"/>
        <v>#REF!</v>
      </c>
    </row>
    <row r="8" spans="1:30" x14ac:dyDescent="0.3">
      <c r="B8" s="58" t="s">
        <v>125</v>
      </c>
      <c r="D8" s="59" t="e">
        <f>D7/(D7+F11)</f>
        <v>#DIV/0!</v>
      </c>
      <c r="H8" s="60" t="str">
        <f ca="1">"Monto de Pagos Totales Durante " &amp; YEAR(TODAY())-1</f>
        <v>Monto de Pagos Totales Durante 2023</v>
      </c>
      <c r="L8" s="64"/>
      <c r="M8" s="39"/>
      <c r="N8" s="40"/>
      <c r="AD8" s="37" t="e">
        <f t="shared" si="0"/>
        <v>#REF!</v>
      </c>
    </row>
    <row r="9" spans="1:30" x14ac:dyDescent="0.3">
      <c r="B9" s="58" t="s">
        <v>126</v>
      </c>
      <c r="D9" s="41" t="e">
        <f>AVERAGEIFS(ANTv,BaseSbgrpv,1,Basegrupov,C3)</f>
        <v>#DIV/0!</v>
      </c>
      <c r="H9" s="60" t="s">
        <v>127</v>
      </c>
      <c r="L9" s="63" t="e">
        <f>L8/L7</f>
        <v>#DIV/0!</v>
      </c>
      <c r="M9" s="39"/>
      <c r="N9" s="40"/>
      <c r="AD9" s="37" t="e">
        <f t="shared" si="0"/>
        <v>#REF!</v>
      </c>
    </row>
    <row r="10" spans="1:30" x14ac:dyDescent="0.3">
      <c r="G10" s="38"/>
      <c r="M10" s="39"/>
      <c r="N10" s="40"/>
      <c r="AD10" s="37" t="e">
        <f t="shared" si="0"/>
        <v>#REF!</v>
      </c>
    </row>
    <row r="11" spans="1:30" x14ac:dyDescent="0.3">
      <c r="B11" s="58" t="s">
        <v>128</v>
      </c>
      <c r="F11" s="38">
        <f>COUNTIFS(Sheet4!$D$8:$D$461,1)</f>
        <v>0</v>
      </c>
      <c r="G11" s="42"/>
      <c r="M11" s="39"/>
      <c r="N11" s="40"/>
      <c r="AD11" s="37" t="e">
        <f t="shared" si="0"/>
        <v>#REF!</v>
      </c>
    </row>
    <row r="12" spans="1:30" x14ac:dyDescent="0.3">
      <c r="B12" s="58"/>
      <c r="F12" s="59"/>
      <c r="G12" s="42"/>
      <c r="M12" s="39"/>
      <c r="N12" s="40"/>
    </row>
    <row r="13" spans="1:30" x14ac:dyDescent="0.3">
      <c r="M13" s="39"/>
      <c r="N13" s="40"/>
      <c r="AD13" s="37" t="e">
        <f>IF(AD11+1&gt;$AD$2,"",AD11+1)</f>
        <v>#REF!</v>
      </c>
    </row>
    <row r="14" spans="1:30" x14ac:dyDescent="0.3">
      <c r="M14" s="39"/>
      <c r="N14" s="40"/>
      <c r="AD14" s="37" t="e">
        <f t="shared" si="0"/>
        <v>#REF!</v>
      </c>
    </row>
    <row r="15" spans="1:30" x14ac:dyDescent="0.3">
      <c r="B15" s="83" t="s">
        <v>129</v>
      </c>
      <c r="C15" s="84"/>
      <c r="D15" s="61" t="s">
        <v>130</v>
      </c>
      <c r="E15" s="62" t="s">
        <v>131</v>
      </c>
      <c r="H15" s="83" t="s">
        <v>132</v>
      </c>
      <c r="I15" s="84"/>
      <c r="J15" s="61" t="s">
        <v>133</v>
      </c>
      <c r="M15" s="39"/>
      <c r="N15" s="40"/>
      <c r="AD15" s="37" t="e">
        <f t="shared" si="0"/>
        <v>#REF!</v>
      </c>
    </row>
    <row r="16" spans="1:30" x14ac:dyDescent="0.3">
      <c r="B16" s="43">
        <v>0</v>
      </c>
      <c r="C16" s="43">
        <v>2</v>
      </c>
      <c r="D16" s="37">
        <f>SUMPRODUCT((Basegrupov=$C$3)*(BaseIMSSv&lt;1997)*(salminv&gt;=$B16)*(salminv&lt;$C16)*(BaseSbgrpv=1))</f>
        <v>0</v>
      </c>
      <c r="E16" s="37">
        <f>SUMPRODUCT((Basegrupov=C3)*(BaseIMSSv&gt;=1997)*(salminv&gt;=$B16)*(salminv&lt;$C16)*(BaseSbgrpv=1))</f>
        <v>0</v>
      </c>
      <c r="H16" s="37">
        <v>0</v>
      </c>
      <c r="I16" s="37">
        <v>20</v>
      </c>
      <c r="J16" s="37" t="e" cm="1">
        <f t="array" ref="J16">SUMPRODUCT((Basegrupov=C3)*(BaseSbgrpv=1)*(Edadv&gt;$H16)*(Edadv&lt;=$I16))</f>
        <v>#NUM!</v>
      </c>
      <c r="M16" s="39"/>
      <c r="N16" s="40"/>
      <c r="AD16" s="37" t="e">
        <f t="shared" si="0"/>
        <v>#REF!</v>
      </c>
    </row>
    <row r="17" spans="2:30" x14ac:dyDescent="0.3">
      <c r="B17" s="43">
        <v>2</v>
      </c>
      <c r="C17" s="43">
        <v>4</v>
      </c>
      <c r="D17" s="37">
        <f t="shared" ref="D17:D26" si="1">SUMPRODUCT((Basegrupov=$C$3)*(BaseIMSSv&lt;1997)*(salminv&gt;=$B17)*(salminv&lt;$C17)*(BaseSbgrpv=1))</f>
        <v>0</v>
      </c>
      <c r="E17" s="37">
        <f t="shared" ref="E17:E26" si="2">SUMPRODUCT((Basegrupov=$C$3)*(BaseIMSSv&gt;=1997)*(salminv&gt;=$B17)*(salminv&lt;$C17)*(BaseSbgrpv=1))</f>
        <v>0</v>
      </c>
      <c r="H17" s="37">
        <f>I16</f>
        <v>20</v>
      </c>
      <c r="I17" s="37">
        <f>H17+10</f>
        <v>30</v>
      </c>
      <c r="J17" s="37" t="e">
        <f>SUMPRODUCT((Basegrupov=C3)*(BaseSbgrpv=1)*(Edadv&gt;$H17)*(Edadv&lt;=$I17))</f>
        <v>#NUM!</v>
      </c>
      <c r="M17" s="39"/>
      <c r="N17" s="40"/>
      <c r="AD17" s="37" t="e">
        <f t="shared" si="0"/>
        <v>#REF!</v>
      </c>
    </row>
    <row r="18" spans="2:30" x14ac:dyDescent="0.3">
      <c r="B18" s="43">
        <f>C17</f>
        <v>4</v>
      </c>
      <c r="C18" s="43">
        <f>B18+2</f>
        <v>6</v>
      </c>
      <c r="D18" s="37">
        <f t="shared" si="1"/>
        <v>0</v>
      </c>
      <c r="E18" s="37">
        <f t="shared" si="2"/>
        <v>0</v>
      </c>
      <c r="H18" s="37">
        <f>I17</f>
        <v>30</v>
      </c>
      <c r="I18" s="37">
        <f>H18+10</f>
        <v>40</v>
      </c>
      <c r="J18" s="37" t="e">
        <f>SUMPRODUCT((Basegrupov=C3)*(BaseSbgrpv=1)*(Edadv&gt;$H18)*(Edadv&lt;=$I18))</f>
        <v>#NUM!</v>
      </c>
      <c r="M18" s="39"/>
      <c r="N18" s="40"/>
      <c r="AD18" s="37" t="e">
        <f t="shared" si="0"/>
        <v>#REF!</v>
      </c>
    </row>
    <row r="19" spans="2:30" x14ac:dyDescent="0.3">
      <c r="B19" s="43">
        <f t="shared" ref="B19:B26" si="3">C18</f>
        <v>6</v>
      </c>
      <c r="C19" s="43">
        <f>B19+2</f>
        <v>8</v>
      </c>
      <c r="D19" s="37">
        <f t="shared" si="1"/>
        <v>0</v>
      </c>
      <c r="E19" s="37">
        <f t="shared" si="2"/>
        <v>0</v>
      </c>
      <c r="H19" s="37">
        <f>I18</f>
        <v>40</v>
      </c>
      <c r="I19" s="37">
        <f>H19+10</f>
        <v>50</v>
      </c>
      <c r="J19" s="37" t="e">
        <f>SUMPRODUCT((Basegrupov=C3)*(BaseSbgrpv=1)*(Edadv&gt;$H19)*(Edadv&lt;=$I19))</f>
        <v>#NUM!</v>
      </c>
      <c r="M19" s="39"/>
      <c r="N19" s="40"/>
      <c r="AD19" s="37" t="e">
        <f t="shared" si="0"/>
        <v>#REF!</v>
      </c>
    </row>
    <row r="20" spans="2:30" x14ac:dyDescent="0.3">
      <c r="B20" s="43">
        <f t="shared" si="3"/>
        <v>8</v>
      </c>
      <c r="C20" s="43">
        <f>B20+2</f>
        <v>10</v>
      </c>
      <c r="D20" s="37">
        <f t="shared" si="1"/>
        <v>0</v>
      </c>
      <c r="E20" s="37">
        <f t="shared" si="2"/>
        <v>0</v>
      </c>
      <c r="H20" s="37">
        <f>I19</f>
        <v>50</v>
      </c>
      <c r="I20" s="37">
        <f>H20+10</f>
        <v>60</v>
      </c>
      <c r="J20" s="37" t="e">
        <f>SUMPRODUCT((Basegrupov=C3)*(BaseSbgrpv=1)*(BaseSbgrpv=1)*(Edadv&gt;$H20)*(Edadv&lt;=$I20))</f>
        <v>#NUM!</v>
      </c>
      <c r="M20" s="39"/>
      <c r="N20" s="40"/>
      <c r="AD20" s="37" t="e">
        <f t="shared" si="0"/>
        <v>#REF!</v>
      </c>
    </row>
    <row r="21" spans="2:30" x14ac:dyDescent="0.3">
      <c r="B21" s="43">
        <f t="shared" si="3"/>
        <v>10</v>
      </c>
      <c r="C21" s="43">
        <f>B21+5</f>
        <v>15</v>
      </c>
      <c r="D21" s="37">
        <f t="shared" si="1"/>
        <v>0</v>
      </c>
      <c r="E21" s="37">
        <f t="shared" si="2"/>
        <v>0</v>
      </c>
      <c r="H21" s="37">
        <f>I20</f>
        <v>60</v>
      </c>
      <c r="I21" s="37">
        <f>H21+5</f>
        <v>65</v>
      </c>
      <c r="J21" s="37" t="e">
        <f>SUMPRODUCT((Basegrupov=C3)*(BaseSbgrpv=1)*(Edadv&gt;$H21)*(Edadv&lt;=$I21))</f>
        <v>#NUM!</v>
      </c>
      <c r="M21" s="39"/>
      <c r="N21" s="40"/>
      <c r="AD21" s="37" t="e">
        <f t="shared" si="0"/>
        <v>#REF!</v>
      </c>
    </row>
    <row r="22" spans="2:30" x14ac:dyDescent="0.3">
      <c r="B22" s="43">
        <f t="shared" si="3"/>
        <v>15</v>
      </c>
      <c r="C22" s="43">
        <f>B22+5</f>
        <v>20</v>
      </c>
      <c r="D22" s="37">
        <f t="shared" si="1"/>
        <v>0</v>
      </c>
      <c r="E22" s="37">
        <f t="shared" si="2"/>
        <v>0</v>
      </c>
      <c r="H22" s="44">
        <v>65</v>
      </c>
      <c r="I22" s="44">
        <v>100</v>
      </c>
      <c r="J22" s="44" t="e">
        <f>SUMPRODUCT((Basegrupov=C3)*(BaseSbgrpv=1)*(Edadv&gt;$H22)*(Edadv&lt;=$I22))</f>
        <v>#NUM!</v>
      </c>
      <c r="M22" s="39"/>
      <c r="N22" s="40"/>
      <c r="AD22" s="37" t="e">
        <f t="shared" si="0"/>
        <v>#REF!</v>
      </c>
    </row>
    <row r="23" spans="2:30" x14ac:dyDescent="0.3">
      <c r="B23" s="43">
        <f t="shared" si="3"/>
        <v>20</v>
      </c>
      <c r="C23" s="43">
        <f>B23+5</f>
        <v>25</v>
      </c>
      <c r="D23" s="37">
        <f t="shared" si="1"/>
        <v>0</v>
      </c>
      <c r="E23" s="37">
        <f t="shared" si="2"/>
        <v>0</v>
      </c>
      <c r="J23" s="37" t="e">
        <f>SUM(J16:J22)</f>
        <v>#NUM!</v>
      </c>
      <c r="M23" s="39"/>
      <c r="N23" s="40"/>
      <c r="AD23" s="37" t="e">
        <f t="shared" si="0"/>
        <v>#REF!</v>
      </c>
    </row>
    <row r="24" spans="2:30" x14ac:dyDescent="0.3">
      <c r="B24" s="43">
        <f t="shared" si="3"/>
        <v>25</v>
      </c>
      <c r="C24" s="43">
        <f>B24+5</f>
        <v>30</v>
      </c>
      <c r="D24" s="37">
        <f t="shared" si="1"/>
        <v>0</v>
      </c>
      <c r="E24" s="37">
        <f t="shared" si="2"/>
        <v>0</v>
      </c>
      <c r="M24" s="39"/>
      <c r="N24" s="40"/>
      <c r="AD24" s="37" t="e">
        <f t="shared" si="0"/>
        <v>#REF!</v>
      </c>
    </row>
    <row r="25" spans="2:30" x14ac:dyDescent="0.3">
      <c r="B25" s="43">
        <f t="shared" si="3"/>
        <v>30</v>
      </c>
      <c r="C25" s="43">
        <f>B25+10</f>
        <v>40</v>
      </c>
      <c r="D25" s="37">
        <f t="shared" si="1"/>
        <v>0</v>
      </c>
      <c r="E25" s="37">
        <f t="shared" si="2"/>
        <v>0</v>
      </c>
      <c r="H25" s="38" t="s">
        <v>134</v>
      </c>
      <c r="J25" s="41" t="e">
        <f>AVERAGEIFS(Edadv,BaseSbgrpv,1,Basegrupov,C3)</f>
        <v>#DIV/0!</v>
      </c>
      <c r="M25" s="39"/>
      <c r="N25" s="40"/>
      <c r="AD25" s="37" t="e">
        <f t="shared" si="0"/>
        <v>#REF!</v>
      </c>
    </row>
    <row r="26" spans="2:30" x14ac:dyDescent="0.3">
      <c r="B26" s="43">
        <f t="shared" si="3"/>
        <v>40</v>
      </c>
      <c r="C26" s="43">
        <v>3000</v>
      </c>
      <c r="D26" s="37">
        <f t="shared" si="1"/>
        <v>0</v>
      </c>
      <c r="E26" s="37">
        <f t="shared" si="2"/>
        <v>0</v>
      </c>
      <c r="M26" s="39"/>
      <c r="N26" s="40"/>
      <c r="AD26" s="37" t="e">
        <f t="shared" si="0"/>
        <v>#REF!</v>
      </c>
    </row>
    <row r="27" spans="2:30" x14ac:dyDescent="0.3">
      <c r="B27" s="45"/>
      <c r="C27" s="45"/>
      <c r="D27" s="44"/>
      <c r="E27" s="44"/>
      <c r="M27" s="39"/>
      <c r="N27" s="40"/>
      <c r="AD27" s="37" t="e">
        <f t="shared" si="0"/>
        <v>#REF!</v>
      </c>
    </row>
    <row r="28" spans="2:30" x14ac:dyDescent="0.3">
      <c r="D28" s="38">
        <f>SUM(D16:D27)</f>
        <v>0</v>
      </c>
      <c r="E28" s="38">
        <f>SUM(E16:E27)</f>
        <v>0</v>
      </c>
      <c r="F28" s="38">
        <f>SUM(D28:E28)</f>
        <v>0</v>
      </c>
      <c r="M28" s="39"/>
      <c r="N28" s="40"/>
      <c r="AD28" s="37" t="e">
        <f t="shared" si="0"/>
        <v>#REF!</v>
      </c>
    </row>
    <row r="29" spans="2:30" x14ac:dyDescent="0.3">
      <c r="M29" s="39"/>
      <c r="N29" s="40"/>
      <c r="AD29" s="37" t="e">
        <f t="shared" si="0"/>
        <v>#REF!</v>
      </c>
    </row>
    <row r="30" spans="2:30" x14ac:dyDescent="0.3">
      <c r="B30" s="38" t="s">
        <v>135</v>
      </c>
      <c r="D30" s="67" t="e">
        <f>MIN(SUMPRODUCT((Basegrupov=C3)*(BaseIMSSv&lt;=1997)*(salminv)*(BaseSbgrpv=1))/D28,99.99)</f>
        <v>#DIV/0!</v>
      </c>
      <c r="E30" s="67" t="e">
        <f>MIN(SUMPRODUCT((Basegrupov=C3)*(BaseIMSSv&gt;1997)*(salminv)*(BaseSbgrpv=1))/D28,99.99)</f>
        <v>#DIV/0!</v>
      </c>
      <c r="M30" s="39"/>
      <c r="N30" s="40"/>
      <c r="AD30" s="37" t="e">
        <f t="shared" si="0"/>
        <v>#REF!</v>
      </c>
    </row>
    <row r="31" spans="2:30" x14ac:dyDescent="0.3">
      <c r="M31" s="39"/>
      <c r="N31" s="40"/>
      <c r="AD31" s="37" t="e">
        <f t="shared" si="0"/>
        <v>#REF!</v>
      </c>
    </row>
    <row r="32" spans="2:30" x14ac:dyDescent="0.3">
      <c r="M32" s="39"/>
      <c r="N32" s="40"/>
      <c r="AD32" s="37" t="e">
        <f t="shared" si="0"/>
        <v>#REF!</v>
      </c>
    </row>
    <row r="33" spans="2:30" x14ac:dyDescent="0.3">
      <c r="B33" s="38"/>
      <c r="AD33" s="37" t="e">
        <f>IF(#REF!+1&gt;$AD$2,"",#REF!+1)</f>
        <v>#REF!</v>
      </c>
    </row>
    <row r="34" spans="2:30" x14ac:dyDescent="0.3">
      <c r="B34" s="38" t="s">
        <v>136</v>
      </c>
    </row>
    <row r="36" spans="2:30" x14ac:dyDescent="0.3">
      <c r="B36" s="46" t="s">
        <v>137</v>
      </c>
    </row>
    <row r="37" spans="2:30" x14ac:dyDescent="0.3">
      <c r="C37" s="38" t="s">
        <v>138</v>
      </c>
    </row>
    <row r="38" spans="2:30" x14ac:dyDescent="0.3">
      <c r="C38" s="38" t="s">
        <v>139</v>
      </c>
    </row>
    <row r="9846" ht="12.75" customHeight="1" x14ac:dyDescent="0.3"/>
    <row r="9847" ht="12.75" customHeight="1" x14ac:dyDescent="0.3"/>
    <row r="9848" ht="12.75" customHeight="1" x14ac:dyDescent="0.3"/>
    <row r="9849" ht="12.75" customHeight="1" x14ac:dyDescent="0.3"/>
    <row r="9850" ht="12.75" customHeight="1" x14ac:dyDescent="0.3"/>
    <row r="9851" ht="12.75" customHeight="1" x14ac:dyDescent="0.3"/>
    <row r="9852" ht="12.75" customHeight="1" x14ac:dyDescent="0.3"/>
    <row r="9853" ht="12.75" customHeight="1" x14ac:dyDescent="0.3"/>
    <row r="9854" ht="12.75" customHeight="1" x14ac:dyDescent="0.3"/>
    <row r="9855" ht="12.75" customHeight="1" x14ac:dyDescent="0.3"/>
    <row r="9856" ht="12.75" customHeight="1" x14ac:dyDescent="0.3"/>
    <row r="9857" ht="12.75" customHeight="1" x14ac:dyDescent="0.3"/>
    <row r="9858" ht="12.75" customHeight="1" x14ac:dyDescent="0.3"/>
    <row r="9859" ht="12.75" customHeight="1" x14ac:dyDescent="0.3"/>
    <row r="9860" ht="12.75" customHeight="1" x14ac:dyDescent="0.3"/>
    <row r="9861" ht="12.75" customHeight="1" x14ac:dyDescent="0.3"/>
    <row r="9862" ht="12.75" customHeight="1" x14ac:dyDescent="0.3"/>
    <row r="9863" ht="12.75" customHeight="1" x14ac:dyDescent="0.3"/>
    <row r="9864" ht="12.75" customHeight="1" x14ac:dyDescent="0.3"/>
    <row r="9865" ht="12.75" customHeight="1" x14ac:dyDescent="0.3"/>
    <row r="9866" ht="12.75" customHeight="1" x14ac:dyDescent="0.3"/>
    <row r="9867" ht="12.75" customHeight="1" x14ac:dyDescent="0.3"/>
    <row r="9868" ht="12.75" customHeight="1" x14ac:dyDescent="0.3"/>
    <row r="9869" ht="12.75" customHeight="1" x14ac:dyDescent="0.3"/>
    <row r="9870" ht="12.75" customHeight="1" x14ac:dyDescent="0.3"/>
    <row r="9871" ht="12.75" customHeight="1" x14ac:dyDescent="0.3"/>
    <row r="9872" ht="12.75" customHeight="1" x14ac:dyDescent="0.3"/>
    <row r="9873" ht="12.75" customHeight="1" x14ac:dyDescent="0.3"/>
    <row r="9874" ht="12.75" customHeight="1" x14ac:dyDescent="0.3"/>
    <row r="9875" ht="12.75" customHeight="1" x14ac:dyDescent="0.3"/>
    <row r="9876" ht="12.75" customHeight="1" x14ac:dyDescent="0.3"/>
    <row r="9877" ht="12.75" customHeight="1" x14ac:dyDescent="0.3"/>
    <row r="9878" ht="12.75" customHeight="1" x14ac:dyDescent="0.3"/>
    <row r="9879" ht="12.75" customHeight="1" x14ac:dyDescent="0.3"/>
    <row r="9880" ht="12.75" customHeight="1" x14ac:dyDescent="0.3"/>
    <row r="9881" ht="12.75" customHeight="1" x14ac:dyDescent="0.3"/>
    <row r="9882" ht="12.75" customHeight="1" x14ac:dyDescent="0.3"/>
    <row r="9883" ht="12.75" customHeight="1" x14ac:dyDescent="0.3"/>
    <row r="9884" ht="12.75" customHeight="1" x14ac:dyDescent="0.3"/>
    <row r="9885" ht="12.75" customHeight="1" x14ac:dyDescent="0.3"/>
    <row r="9886" ht="12.75" customHeight="1" x14ac:dyDescent="0.3"/>
    <row r="9887" ht="12.75" customHeight="1" x14ac:dyDescent="0.3"/>
    <row r="9888" ht="12.75" customHeight="1" x14ac:dyDescent="0.3"/>
    <row r="9889" ht="12.75" customHeight="1" x14ac:dyDescent="0.3"/>
    <row r="9890" ht="12.75" customHeight="1" x14ac:dyDescent="0.3"/>
    <row r="9891" ht="12.75" customHeight="1" x14ac:dyDescent="0.3"/>
    <row r="9892" ht="12.75" customHeight="1" x14ac:dyDescent="0.3"/>
    <row r="9893" ht="12.75" customHeight="1" x14ac:dyDescent="0.3"/>
    <row r="9894" ht="12.75" customHeight="1" x14ac:dyDescent="0.3"/>
    <row r="9895" ht="12.75" customHeight="1" x14ac:dyDescent="0.3"/>
    <row r="9896" ht="12.75" customHeight="1" x14ac:dyDescent="0.3"/>
    <row r="9897" ht="12.75" customHeight="1" x14ac:dyDescent="0.3"/>
    <row r="9898" ht="12.75" customHeight="1" x14ac:dyDescent="0.3"/>
    <row r="9899" ht="12.75" customHeight="1" x14ac:dyDescent="0.3"/>
    <row r="9900" ht="12.75" customHeight="1" x14ac:dyDescent="0.3"/>
    <row r="9901" ht="12.75" customHeight="1" x14ac:dyDescent="0.3"/>
    <row r="9902" ht="12.75" customHeight="1" x14ac:dyDescent="0.3"/>
    <row r="9903" ht="12.75" customHeight="1" x14ac:dyDescent="0.3"/>
    <row r="9904" ht="12.75" customHeight="1" x14ac:dyDescent="0.3"/>
    <row r="9905" ht="12.75" customHeight="1" x14ac:dyDescent="0.3"/>
    <row r="9906" ht="12.75" customHeight="1" x14ac:dyDescent="0.3"/>
    <row r="9907" ht="12.75" customHeight="1" x14ac:dyDescent="0.3"/>
    <row r="9908" ht="12.75" customHeight="1" x14ac:dyDescent="0.3"/>
    <row r="9909" ht="12.75" customHeight="1" x14ac:dyDescent="0.3"/>
    <row r="9910" ht="12.75" customHeight="1" x14ac:dyDescent="0.3"/>
    <row r="9911" ht="12.75" customHeight="1" x14ac:dyDescent="0.3"/>
    <row r="9912" ht="12.75" customHeight="1" x14ac:dyDescent="0.3"/>
    <row r="9913" ht="12.75" customHeight="1" x14ac:dyDescent="0.3"/>
    <row r="9914" ht="12.75" customHeight="1" x14ac:dyDescent="0.3"/>
    <row r="9915" ht="12.75" customHeight="1" x14ac:dyDescent="0.3"/>
    <row r="9916" ht="12.75" customHeight="1" x14ac:dyDescent="0.3"/>
    <row r="9917" ht="12.75" customHeight="1" x14ac:dyDescent="0.3"/>
    <row r="9918" ht="12.75" customHeight="1" x14ac:dyDescent="0.3"/>
    <row r="9919" ht="12.75" customHeight="1" x14ac:dyDescent="0.3"/>
    <row r="9920" ht="12.75" customHeight="1" x14ac:dyDescent="0.3"/>
    <row r="9921" ht="12.75" customHeight="1" x14ac:dyDescent="0.3"/>
    <row r="9922" ht="12.75" customHeight="1" x14ac:dyDescent="0.3"/>
    <row r="9923" ht="12.75" customHeight="1" x14ac:dyDescent="0.3"/>
    <row r="9924" ht="12.75" customHeight="1" x14ac:dyDescent="0.3"/>
    <row r="9925" ht="12.75" customHeight="1" x14ac:dyDescent="0.3"/>
    <row r="9926" ht="12.75" customHeight="1" x14ac:dyDescent="0.3"/>
    <row r="9927" ht="12.75" customHeight="1" x14ac:dyDescent="0.3"/>
    <row r="9928" ht="12.75" customHeight="1" x14ac:dyDescent="0.3"/>
    <row r="9929" ht="12.75" customHeight="1" x14ac:dyDescent="0.3"/>
    <row r="9930" ht="12.75" customHeight="1" x14ac:dyDescent="0.3"/>
    <row r="9931" ht="12.75" customHeight="1" x14ac:dyDescent="0.3"/>
    <row r="9932" ht="12.75" customHeight="1" x14ac:dyDescent="0.3"/>
    <row r="9933" ht="12.75" customHeight="1" x14ac:dyDescent="0.3"/>
    <row r="9934" ht="12.75" customHeight="1" x14ac:dyDescent="0.3"/>
    <row r="9935" ht="12.75" customHeight="1" x14ac:dyDescent="0.3"/>
    <row r="9936" ht="12.75" customHeight="1" x14ac:dyDescent="0.3"/>
    <row r="9937" ht="12.75" customHeight="1" x14ac:dyDescent="0.3"/>
    <row r="9938" ht="12.75" customHeight="1" x14ac:dyDescent="0.3"/>
    <row r="9939" ht="12.75" customHeight="1" x14ac:dyDescent="0.3"/>
    <row r="9940" ht="12.75" customHeight="1" x14ac:dyDescent="0.3"/>
    <row r="9941" ht="12.75" customHeight="1" x14ac:dyDescent="0.3"/>
    <row r="9942" ht="12.75" customHeight="1" x14ac:dyDescent="0.3"/>
    <row r="9943" ht="12.75" customHeight="1" x14ac:dyDescent="0.3"/>
    <row r="9944" ht="12.75" customHeight="1" x14ac:dyDescent="0.3"/>
    <row r="9945" ht="12.75" customHeight="1" x14ac:dyDescent="0.3"/>
    <row r="9946" ht="12.75" customHeight="1" x14ac:dyDescent="0.3"/>
    <row r="9947" ht="12.75" customHeight="1" x14ac:dyDescent="0.3"/>
    <row r="9948" ht="12.75" customHeight="1" x14ac:dyDescent="0.3"/>
    <row r="9949" ht="12.75" customHeight="1" x14ac:dyDescent="0.3"/>
    <row r="9950" ht="12.75" customHeight="1" x14ac:dyDescent="0.3"/>
    <row r="9951" ht="12.75" customHeight="1" x14ac:dyDescent="0.3"/>
    <row r="9952" ht="12.75" customHeight="1" x14ac:dyDescent="0.3"/>
    <row r="9953" ht="12.75" customHeight="1" x14ac:dyDescent="0.3"/>
    <row r="9954" ht="12.75" customHeight="1" x14ac:dyDescent="0.3"/>
    <row r="9955" ht="12.75" customHeight="1" x14ac:dyDescent="0.3"/>
    <row r="9956" ht="12.75" customHeight="1" x14ac:dyDescent="0.3"/>
    <row r="9957" ht="12.75" customHeight="1" x14ac:dyDescent="0.3"/>
    <row r="9958" ht="12.75" customHeight="1" x14ac:dyDescent="0.3"/>
    <row r="9959" ht="12.75" customHeight="1" x14ac:dyDescent="0.3"/>
    <row r="9960" ht="12.75" customHeight="1" x14ac:dyDescent="0.3"/>
    <row r="9961" ht="12.75" customHeight="1" x14ac:dyDescent="0.3"/>
    <row r="9962" ht="12.75" customHeight="1" x14ac:dyDescent="0.3"/>
    <row r="9963" ht="12.75" customHeight="1" x14ac:dyDescent="0.3"/>
    <row r="9964" ht="12.75" customHeight="1" x14ac:dyDescent="0.3"/>
    <row r="9965" ht="12.75" customHeight="1" x14ac:dyDescent="0.3"/>
    <row r="9966" ht="12.75" customHeight="1" x14ac:dyDescent="0.3"/>
    <row r="9967" ht="12.75" customHeight="1" x14ac:dyDescent="0.3"/>
    <row r="9968" ht="12.75" customHeight="1" x14ac:dyDescent="0.3"/>
    <row r="9969" ht="12.75" customHeight="1" x14ac:dyDescent="0.3"/>
    <row r="9970" ht="12.75" customHeight="1" x14ac:dyDescent="0.3"/>
    <row r="9971" ht="12.75" customHeight="1" x14ac:dyDescent="0.3"/>
    <row r="9972" ht="12.75" customHeight="1" x14ac:dyDescent="0.3"/>
    <row r="9973" ht="12.75" customHeight="1" x14ac:dyDescent="0.3"/>
    <row r="9974" ht="12.75" customHeight="1" x14ac:dyDescent="0.3"/>
    <row r="9975" ht="12.75" customHeight="1" x14ac:dyDescent="0.3"/>
    <row r="9976" ht="12.75" customHeight="1" x14ac:dyDescent="0.3"/>
    <row r="9977" ht="12.75" customHeight="1" x14ac:dyDescent="0.3"/>
    <row r="9978" ht="12.75" customHeight="1" x14ac:dyDescent="0.3"/>
    <row r="9979" ht="12.75" customHeight="1" x14ac:dyDescent="0.3"/>
    <row r="9980" ht="12.75" customHeight="1" x14ac:dyDescent="0.3"/>
    <row r="9981" ht="12.75" customHeight="1" x14ac:dyDescent="0.3"/>
    <row r="9982" ht="12.75" customHeight="1" x14ac:dyDescent="0.3"/>
    <row r="9983" ht="12.75" customHeight="1" x14ac:dyDescent="0.3"/>
    <row r="9984" ht="12.75" customHeight="1" x14ac:dyDescent="0.3"/>
    <row r="9985" ht="12.75" customHeight="1" x14ac:dyDescent="0.3"/>
    <row r="9986" ht="12.75" customHeight="1" x14ac:dyDescent="0.3"/>
    <row r="9987" ht="12.75" customHeight="1" x14ac:dyDescent="0.3"/>
    <row r="9988" ht="12.75" customHeight="1" x14ac:dyDescent="0.3"/>
    <row r="9989" ht="12.75" customHeight="1" x14ac:dyDescent="0.3"/>
    <row r="9990" ht="12.75" customHeight="1" x14ac:dyDescent="0.3"/>
    <row r="9991" ht="12.75" customHeight="1" x14ac:dyDescent="0.3"/>
    <row r="9992" ht="12.75" customHeight="1" x14ac:dyDescent="0.3"/>
    <row r="9993" ht="12.75" customHeight="1" x14ac:dyDescent="0.3"/>
    <row r="9994" ht="12.75" customHeight="1" x14ac:dyDescent="0.3"/>
    <row r="9995" ht="12.75" customHeight="1" x14ac:dyDescent="0.3"/>
    <row r="9996" ht="12.75" customHeight="1" x14ac:dyDescent="0.3"/>
    <row r="9997" ht="12.75" customHeight="1" x14ac:dyDescent="0.3"/>
    <row r="9998" ht="12.75" customHeight="1" x14ac:dyDescent="0.3"/>
    <row r="9999" ht="12.75" customHeight="1" x14ac:dyDescent="0.3"/>
    <row r="10000" ht="12.75" customHeight="1" x14ac:dyDescent="0.3"/>
    <row r="10001" ht="12.75" customHeight="1" x14ac:dyDescent="0.3"/>
    <row r="10002" ht="12.75" customHeight="1" x14ac:dyDescent="0.3"/>
    <row r="10003" ht="12.75" customHeight="1" x14ac:dyDescent="0.3"/>
    <row r="10004" ht="12.75" customHeight="1" x14ac:dyDescent="0.3"/>
    <row r="10005" ht="12.75" customHeight="1" x14ac:dyDescent="0.3"/>
    <row r="10006" ht="12.75" customHeight="1" x14ac:dyDescent="0.3"/>
    <row r="10007" ht="12.75" customHeight="1" x14ac:dyDescent="0.3"/>
    <row r="10008" ht="12.75" customHeight="1" x14ac:dyDescent="0.3"/>
    <row r="10009" ht="12.75" customHeight="1" x14ac:dyDescent="0.3"/>
    <row r="10010" ht="12.75" customHeight="1" x14ac:dyDescent="0.3"/>
    <row r="10011" ht="12.75" customHeight="1" x14ac:dyDescent="0.3"/>
    <row r="10012" ht="12.75" customHeight="1" x14ac:dyDescent="0.3"/>
    <row r="10013" ht="12.75" customHeight="1" x14ac:dyDescent="0.3"/>
    <row r="10014" ht="12.75" customHeight="1" x14ac:dyDescent="0.3"/>
    <row r="10015" ht="12.75" customHeight="1" x14ac:dyDescent="0.3"/>
    <row r="10016" ht="12.75" customHeight="1" x14ac:dyDescent="0.3"/>
    <row r="10017" ht="12.75" customHeight="1" x14ac:dyDescent="0.3"/>
    <row r="10018" ht="12.75" customHeight="1" x14ac:dyDescent="0.3"/>
    <row r="10019" ht="12.75" customHeight="1" x14ac:dyDescent="0.3"/>
    <row r="10020" ht="12.75" customHeight="1" x14ac:dyDescent="0.3"/>
    <row r="10021" ht="12.75" customHeight="1" x14ac:dyDescent="0.3"/>
    <row r="10022" ht="12.75" customHeight="1" x14ac:dyDescent="0.3"/>
    <row r="10023" ht="12.75" customHeight="1" x14ac:dyDescent="0.3"/>
    <row r="10024" ht="12.75" customHeight="1" x14ac:dyDescent="0.3"/>
    <row r="10025" ht="12.75" customHeight="1" x14ac:dyDescent="0.3"/>
    <row r="10026" ht="12.75" customHeight="1" x14ac:dyDescent="0.3"/>
    <row r="10027" ht="12.75" customHeight="1" x14ac:dyDescent="0.3"/>
    <row r="10028" ht="12.75" customHeight="1" x14ac:dyDescent="0.3"/>
    <row r="10029" ht="12.75" customHeight="1" x14ac:dyDescent="0.3"/>
    <row r="10030" ht="12.75" customHeight="1" x14ac:dyDescent="0.3"/>
    <row r="10031" ht="12.75" customHeight="1" x14ac:dyDescent="0.3"/>
    <row r="10032" ht="12.75" customHeight="1" x14ac:dyDescent="0.3"/>
    <row r="10033" ht="12.75" customHeight="1" x14ac:dyDescent="0.3"/>
    <row r="10034" ht="12.75" customHeight="1" x14ac:dyDescent="0.3"/>
    <row r="10035" ht="12.75" customHeight="1" x14ac:dyDescent="0.3"/>
    <row r="10036" ht="12.75" customHeight="1" x14ac:dyDescent="0.3"/>
    <row r="10037" ht="12.75" customHeight="1" x14ac:dyDescent="0.3"/>
    <row r="10038" ht="12.75" customHeight="1" x14ac:dyDescent="0.3"/>
    <row r="10039" ht="12.75" customHeight="1" x14ac:dyDescent="0.3"/>
    <row r="10040" ht="12.75" customHeight="1" x14ac:dyDescent="0.3"/>
    <row r="10041" ht="12.75" customHeight="1" x14ac:dyDescent="0.3"/>
    <row r="10042" ht="12.75" customHeight="1" x14ac:dyDescent="0.3"/>
    <row r="10043" ht="12.75" customHeight="1" x14ac:dyDescent="0.3"/>
    <row r="10044" ht="12.75" customHeight="1" x14ac:dyDescent="0.3"/>
    <row r="10045" ht="12.75" customHeight="1" x14ac:dyDescent="0.3"/>
    <row r="10046" ht="12.75" customHeight="1" x14ac:dyDescent="0.3"/>
    <row r="10047" ht="12.75" customHeight="1" x14ac:dyDescent="0.3"/>
    <row r="10048" ht="12.75" customHeight="1" x14ac:dyDescent="0.3"/>
    <row r="10049" ht="12.75" customHeight="1" x14ac:dyDescent="0.3"/>
    <row r="10050" ht="12.75" customHeight="1" x14ac:dyDescent="0.3"/>
    <row r="10051" ht="12.75" customHeight="1" x14ac:dyDescent="0.3"/>
    <row r="10052" ht="12.75" customHeight="1" x14ac:dyDescent="0.3"/>
    <row r="10053" ht="12.75" customHeight="1" x14ac:dyDescent="0.3"/>
    <row r="10054" ht="12.75" customHeight="1" x14ac:dyDescent="0.3"/>
    <row r="10055" ht="12.75" customHeight="1" x14ac:dyDescent="0.3"/>
    <row r="10056" ht="12.75" customHeight="1" x14ac:dyDescent="0.3"/>
    <row r="10057" ht="12.75" customHeight="1" x14ac:dyDescent="0.3"/>
    <row r="10058" ht="12.75" customHeight="1" x14ac:dyDescent="0.3"/>
    <row r="10059" ht="12.75" customHeight="1" x14ac:dyDescent="0.3"/>
    <row r="10060" ht="12.75" customHeight="1" x14ac:dyDescent="0.3"/>
    <row r="10061" ht="12.75" customHeight="1" x14ac:dyDescent="0.3"/>
    <row r="10062" ht="12.75" customHeight="1" x14ac:dyDescent="0.3"/>
    <row r="10063" ht="12.75" customHeight="1" x14ac:dyDescent="0.3"/>
    <row r="10064" ht="12.75" customHeight="1" x14ac:dyDescent="0.3"/>
    <row r="10065" ht="12.75" customHeight="1" x14ac:dyDescent="0.3"/>
    <row r="10066" ht="12.75" customHeight="1" x14ac:dyDescent="0.3"/>
    <row r="10067" ht="12.75" customHeight="1" x14ac:dyDescent="0.3"/>
    <row r="10068" ht="12.75" customHeight="1" x14ac:dyDescent="0.3"/>
    <row r="10069" ht="12.75" customHeight="1" x14ac:dyDescent="0.3"/>
    <row r="10070" ht="12.75" customHeight="1" x14ac:dyDescent="0.3"/>
    <row r="10071" ht="12.75" customHeight="1" x14ac:dyDescent="0.3"/>
    <row r="10072" ht="12.75" customHeight="1" x14ac:dyDescent="0.3"/>
    <row r="10073" ht="12.75" customHeight="1" x14ac:dyDescent="0.3"/>
    <row r="10074" ht="12.75" customHeight="1" x14ac:dyDescent="0.3"/>
    <row r="10075" ht="12.75" customHeight="1" x14ac:dyDescent="0.3"/>
    <row r="10076" ht="12.75" customHeight="1" x14ac:dyDescent="0.3"/>
    <row r="10077" ht="12.75" customHeight="1" x14ac:dyDescent="0.3"/>
    <row r="10078" ht="12.75" customHeight="1" x14ac:dyDescent="0.3"/>
    <row r="10079" ht="12.75" customHeight="1" x14ac:dyDescent="0.3"/>
    <row r="10080" ht="12.75" customHeight="1" x14ac:dyDescent="0.3"/>
    <row r="10081" ht="12.75" customHeight="1" x14ac:dyDescent="0.3"/>
    <row r="10082" ht="12.75" customHeight="1" x14ac:dyDescent="0.3"/>
    <row r="10083" ht="12.75" customHeight="1" x14ac:dyDescent="0.3"/>
    <row r="10084" ht="12.75" customHeight="1" x14ac:dyDescent="0.3"/>
    <row r="10085" ht="12.75" customHeight="1" x14ac:dyDescent="0.3"/>
    <row r="10086" ht="12.75" customHeight="1" x14ac:dyDescent="0.3"/>
    <row r="10087" ht="12.75" customHeight="1" x14ac:dyDescent="0.3"/>
    <row r="10088" ht="12.75" customHeight="1" x14ac:dyDescent="0.3"/>
    <row r="10089" ht="12.75" customHeight="1" x14ac:dyDescent="0.3"/>
    <row r="10090" ht="12.75" customHeight="1" x14ac:dyDescent="0.3"/>
    <row r="10091" ht="12.75" customHeight="1" x14ac:dyDescent="0.3"/>
    <row r="10092" ht="12.75" customHeight="1" x14ac:dyDescent="0.3"/>
    <row r="10093" ht="12.75" customHeight="1" x14ac:dyDescent="0.3"/>
    <row r="10094" ht="12.75" customHeight="1" x14ac:dyDescent="0.3"/>
    <row r="10095" ht="12.75" customHeight="1" x14ac:dyDescent="0.3"/>
    <row r="10096" ht="12.75" customHeight="1" x14ac:dyDescent="0.3"/>
    <row r="10097" ht="12.75" customHeight="1" x14ac:dyDescent="0.3"/>
    <row r="10098" ht="12.75" customHeight="1" x14ac:dyDescent="0.3"/>
    <row r="10099" ht="12.75" customHeight="1" x14ac:dyDescent="0.3"/>
    <row r="10100" ht="12.75" customHeight="1" x14ac:dyDescent="0.3"/>
    <row r="10101" ht="12.75" customHeight="1" x14ac:dyDescent="0.3"/>
    <row r="10102" ht="12.75" customHeight="1" x14ac:dyDescent="0.3"/>
    <row r="10103" ht="12.75" customHeight="1" x14ac:dyDescent="0.3"/>
    <row r="10104" ht="12.75" customHeight="1" x14ac:dyDescent="0.3"/>
    <row r="10105" ht="12.75" customHeight="1" x14ac:dyDescent="0.3"/>
    <row r="10106" ht="12.75" customHeight="1" x14ac:dyDescent="0.3"/>
    <row r="10107" ht="12.75" customHeight="1" x14ac:dyDescent="0.3"/>
    <row r="10108" ht="12.75" customHeight="1" x14ac:dyDescent="0.3"/>
    <row r="10109" ht="12.75" customHeight="1" x14ac:dyDescent="0.3"/>
    <row r="10110" ht="12.75" customHeight="1" x14ac:dyDescent="0.3"/>
    <row r="10111" ht="12.75" customHeight="1" x14ac:dyDescent="0.3"/>
    <row r="10112" ht="12.75" customHeight="1" x14ac:dyDescent="0.3"/>
    <row r="10113" ht="12.75" customHeight="1" x14ac:dyDescent="0.3"/>
    <row r="10114" ht="12.75" customHeight="1" x14ac:dyDescent="0.3"/>
    <row r="10115" ht="12.75" customHeight="1" x14ac:dyDescent="0.3"/>
    <row r="10116" ht="12.75" customHeight="1" x14ac:dyDescent="0.3"/>
    <row r="10117" ht="12.75" customHeight="1" x14ac:dyDescent="0.3"/>
    <row r="10118" ht="12.75" customHeight="1" x14ac:dyDescent="0.3"/>
    <row r="10119" ht="12.75" customHeight="1" x14ac:dyDescent="0.3"/>
    <row r="10120" ht="12.75" customHeight="1" x14ac:dyDescent="0.3"/>
    <row r="10121" ht="12.75" customHeight="1" x14ac:dyDescent="0.3"/>
    <row r="10122" ht="12.75" customHeight="1" x14ac:dyDescent="0.3"/>
    <row r="10123" ht="12.75" customHeight="1" x14ac:dyDescent="0.3"/>
    <row r="10124" ht="12.75" customHeight="1" x14ac:dyDescent="0.3"/>
    <row r="10125" ht="12.75" customHeight="1" x14ac:dyDescent="0.3"/>
    <row r="10126" ht="12.75" customHeight="1" x14ac:dyDescent="0.3"/>
    <row r="10127" ht="12.75" customHeight="1" x14ac:dyDescent="0.3"/>
    <row r="10128" ht="12.75" customHeight="1" x14ac:dyDescent="0.3"/>
    <row r="10129" ht="12.75" customHeight="1" x14ac:dyDescent="0.3"/>
    <row r="10130" ht="12.75" customHeight="1" x14ac:dyDescent="0.3"/>
    <row r="10131" ht="12.75" customHeight="1" x14ac:dyDescent="0.3"/>
    <row r="10132" ht="12.75" customHeight="1" x14ac:dyDescent="0.3"/>
    <row r="10133" ht="12.75" customHeight="1" x14ac:dyDescent="0.3"/>
    <row r="10134" ht="12.75" customHeight="1" x14ac:dyDescent="0.3"/>
    <row r="10135" ht="12.75" customHeight="1" x14ac:dyDescent="0.3"/>
    <row r="10136" ht="12.75" customHeight="1" x14ac:dyDescent="0.3"/>
    <row r="10137" ht="12.75" customHeight="1" x14ac:dyDescent="0.3"/>
    <row r="10138" ht="12.75" customHeight="1" x14ac:dyDescent="0.3"/>
    <row r="10139" ht="12.75" customHeight="1" x14ac:dyDescent="0.3"/>
    <row r="10140" ht="12.75" customHeight="1" x14ac:dyDescent="0.3"/>
    <row r="10141" ht="12.75" customHeight="1" x14ac:dyDescent="0.3"/>
    <row r="10142" ht="12.75" customHeight="1" x14ac:dyDescent="0.3"/>
    <row r="10143" ht="12.75" customHeight="1" x14ac:dyDescent="0.3"/>
    <row r="10144" ht="12.75" customHeight="1" x14ac:dyDescent="0.3"/>
    <row r="10145" ht="12.75" customHeight="1" x14ac:dyDescent="0.3"/>
    <row r="10146" ht="12.75" customHeight="1" x14ac:dyDescent="0.3"/>
    <row r="10147" ht="12.75" customHeight="1" x14ac:dyDescent="0.3"/>
    <row r="10148" ht="12.75" customHeight="1" x14ac:dyDescent="0.3"/>
    <row r="10149" ht="12.75" customHeight="1" x14ac:dyDescent="0.3"/>
    <row r="10150" ht="12.75" customHeight="1" x14ac:dyDescent="0.3"/>
    <row r="10151" ht="12.75" customHeight="1" x14ac:dyDescent="0.3"/>
    <row r="10152" ht="12.75" customHeight="1" x14ac:dyDescent="0.3"/>
    <row r="10153" ht="12.75" customHeight="1" x14ac:dyDescent="0.3"/>
    <row r="10154" ht="12.75" customHeight="1" x14ac:dyDescent="0.3"/>
    <row r="10155" ht="12.75" customHeight="1" x14ac:dyDescent="0.3"/>
    <row r="10156" ht="12.75" customHeight="1" x14ac:dyDescent="0.3"/>
    <row r="10157" ht="12.75" customHeight="1" x14ac:dyDescent="0.3"/>
    <row r="10158" ht="12.75" customHeight="1" x14ac:dyDescent="0.3"/>
    <row r="10159" ht="12.75" customHeight="1" x14ac:dyDescent="0.3"/>
    <row r="10160" ht="12.75" customHeight="1" x14ac:dyDescent="0.3"/>
    <row r="10161" ht="12.75" customHeight="1" x14ac:dyDescent="0.3"/>
    <row r="10162" ht="12.75" customHeight="1" x14ac:dyDescent="0.3"/>
    <row r="10163" ht="12.75" customHeight="1" x14ac:dyDescent="0.3"/>
    <row r="10164" ht="12.75" customHeight="1" x14ac:dyDescent="0.3"/>
    <row r="10165" ht="12.75" customHeight="1" x14ac:dyDescent="0.3"/>
    <row r="10166" ht="12.75" customHeight="1" x14ac:dyDescent="0.3"/>
    <row r="10167" ht="12.75" customHeight="1" x14ac:dyDescent="0.3"/>
    <row r="10168" ht="12.75" customHeight="1" x14ac:dyDescent="0.3"/>
    <row r="10169" ht="12.75" customHeight="1" x14ac:dyDescent="0.3"/>
    <row r="10170" ht="12.75" customHeight="1" x14ac:dyDescent="0.3"/>
    <row r="10171" ht="12.75" customHeight="1" x14ac:dyDescent="0.3"/>
    <row r="10172" ht="12.75" customHeight="1" x14ac:dyDescent="0.3"/>
    <row r="10173" ht="12.75" customHeight="1" x14ac:dyDescent="0.3"/>
    <row r="10174" ht="12.75" customHeight="1" x14ac:dyDescent="0.3"/>
    <row r="10175" ht="12.75" customHeight="1" x14ac:dyDescent="0.3"/>
    <row r="10176" ht="12.75" customHeight="1" x14ac:dyDescent="0.3"/>
    <row r="10177" ht="12.75" customHeight="1" x14ac:dyDescent="0.3"/>
    <row r="10178" ht="12.75" customHeight="1" x14ac:dyDescent="0.3"/>
    <row r="10179" ht="12.75" customHeight="1" x14ac:dyDescent="0.3"/>
    <row r="10180" ht="12.75" customHeight="1" x14ac:dyDescent="0.3"/>
    <row r="10181" ht="12.75" customHeight="1" x14ac:dyDescent="0.3"/>
    <row r="10182" ht="12.75" customHeight="1" x14ac:dyDescent="0.3"/>
    <row r="10183" ht="12.75" customHeight="1" x14ac:dyDescent="0.3"/>
    <row r="10184" ht="12.75" customHeight="1" x14ac:dyDescent="0.3"/>
    <row r="10185" ht="12.75" customHeight="1" x14ac:dyDescent="0.3"/>
    <row r="10186" ht="12.75" customHeight="1" x14ac:dyDescent="0.3"/>
    <row r="10187" ht="12.75" customHeight="1" x14ac:dyDescent="0.3"/>
    <row r="10188" ht="12.75" customHeight="1" x14ac:dyDescent="0.3"/>
    <row r="10189" ht="12.75" customHeight="1" x14ac:dyDescent="0.3"/>
    <row r="10190" ht="12.75" customHeight="1" x14ac:dyDescent="0.3"/>
    <row r="10191" ht="12.75" customHeight="1" x14ac:dyDescent="0.3"/>
    <row r="10192" ht="12.75" customHeight="1" x14ac:dyDescent="0.3"/>
    <row r="10193" ht="12.75" customHeight="1" x14ac:dyDescent="0.3"/>
    <row r="10194" ht="12.75" customHeight="1" x14ac:dyDescent="0.3"/>
    <row r="10195" ht="12.75" customHeight="1" x14ac:dyDescent="0.3"/>
    <row r="10196" ht="12.75" customHeight="1" x14ac:dyDescent="0.3"/>
    <row r="10197" ht="12.75" customHeight="1" x14ac:dyDescent="0.3"/>
    <row r="10198" ht="12.75" customHeight="1" x14ac:dyDescent="0.3"/>
    <row r="10199" ht="12.75" customHeight="1" x14ac:dyDescent="0.3"/>
    <row r="10200" ht="12.75" customHeight="1" x14ac:dyDescent="0.3"/>
    <row r="10201" ht="12.75" customHeight="1" x14ac:dyDescent="0.3"/>
    <row r="10202" ht="12.75" customHeight="1" x14ac:dyDescent="0.3"/>
    <row r="10203" ht="12.75" customHeight="1" x14ac:dyDescent="0.3"/>
    <row r="10204" ht="12.75" customHeight="1" x14ac:dyDescent="0.3"/>
    <row r="10205" ht="12.75" customHeight="1" x14ac:dyDescent="0.3"/>
    <row r="10206" ht="12.75" customHeight="1" x14ac:dyDescent="0.3"/>
    <row r="10207" ht="12.75" customHeight="1" x14ac:dyDescent="0.3"/>
    <row r="10208" ht="12.75" customHeight="1" x14ac:dyDescent="0.3"/>
    <row r="10209" ht="12.75" customHeight="1" x14ac:dyDescent="0.3"/>
    <row r="10210" ht="12.75" customHeight="1" x14ac:dyDescent="0.3"/>
    <row r="10211" ht="12.75" customHeight="1" x14ac:dyDescent="0.3"/>
    <row r="10212" ht="12.75" customHeight="1" x14ac:dyDescent="0.3"/>
    <row r="10213" ht="12.75" customHeight="1" x14ac:dyDescent="0.3"/>
    <row r="10214" ht="12.75" customHeight="1" x14ac:dyDescent="0.3"/>
    <row r="10215" ht="12.75" customHeight="1" x14ac:dyDescent="0.3"/>
    <row r="10216" ht="12.75" customHeight="1" x14ac:dyDescent="0.3"/>
    <row r="10217" ht="12.75" customHeight="1" x14ac:dyDescent="0.3"/>
    <row r="10218" ht="12.75" customHeight="1" x14ac:dyDescent="0.3"/>
    <row r="10219" ht="12.75" customHeight="1" x14ac:dyDescent="0.3"/>
    <row r="10220" ht="12.75" customHeight="1" x14ac:dyDescent="0.3"/>
    <row r="10221" ht="12.75" customHeight="1" x14ac:dyDescent="0.3"/>
    <row r="10222" ht="12.75" customHeight="1" x14ac:dyDescent="0.3"/>
    <row r="10223" ht="12.75" customHeight="1" x14ac:dyDescent="0.3"/>
    <row r="10224" ht="12.75" customHeight="1" x14ac:dyDescent="0.3"/>
    <row r="10225" ht="12.75" customHeight="1" x14ac:dyDescent="0.3"/>
    <row r="10226" ht="12.75" customHeight="1" x14ac:dyDescent="0.3"/>
    <row r="10227" ht="12.75" customHeight="1" x14ac:dyDescent="0.3"/>
    <row r="10228" ht="12.75" customHeight="1" x14ac:dyDescent="0.3"/>
    <row r="10229" ht="12.75" customHeight="1" x14ac:dyDescent="0.3"/>
    <row r="10230" ht="12.75" customHeight="1" x14ac:dyDescent="0.3"/>
    <row r="10231" ht="12.75" customHeight="1" x14ac:dyDescent="0.3"/>
    <row r="10232" ht="12.75" customHeight="1" x14ac:dyDescent="0.3"/>
    <row r="10233" ht="12.75" customHeight="1" x14ac:dyDescent="0.3"/>
    <row r="10234" ht="12.75" customHeight="1" x14ac:dyDescent="0.3"/>
    <row r="10235" ht="12.75" customHeight="1" x14ac:dyDescent="0.3"/>
    <row r="10236" ht="12.75" customHeight="1" x14ac:dyDescent="0.3"/>
    <row r="10237" ht="12.75" customHeight="1" x14ac:dyDescent="0.3"/>
    <row r="10238" ht="12.75" customHeight="1" x14ac:dyDescent="0.3"/>
    <row r="10239" ht="12.75" customHeight="1" x14ac:dyDescent="0.3"/>
    <row r="10240" ht="12.75" customHeight="1" x14ac:dyDescent="0.3"/>
    <row r="10241" ht="12.75" customHeight="1" x14ac:dyDescent="0.3"/>
    <row r="10242" ht="12.75" customHeight="1" x14ac:dyDescent="0.3"/>
    <row r="10243" ht="12.75" customHeight="1" x14ac:dyDescent="0.3"/>
    <row r="10244" ht="12.75" customHeight="1" x14ac:dyDescent="0.3"/>
    <row r="10245" ht="12.75" customHeight="1" x14ac:dyDescent="0.3"/>
    <row r="10246" ht="12.75" customHeight="1" x14ac:dyDescent="0.3"/>
    <row r="10247" ht="12.75" customHeight="1" x14ac:dyDescent="0.3"/>
    <row r="10248" ht="12.75" customHeight="1" x14ac:dyDescent="0.3"/>
    <row r="10249" ht="12.75" customHeight="1" x14ac:dyDescent="0.3"/>
    <row r="10250" ht="12.75" customHeight="1" x14ac:dyDescent="0.3"/>
    <row r="10251" ht="12.75" customHeight="1" x14ac:dyDescent="0.3"/>
    <row r="10252" ht="12.75" customHeight="1" x14ac:dyDescent="0.3"/>
    <row r="10253" ht="12.75" customHeight="1" x14ac:dyDescent="0.3"/>
    <row r="10254" ht="12.75" customHeight="1" x14ac:dyDescent="0.3"/>
    <row r="10255" ht="12.75" customHeight="1" x14ac:dyDescent="0.3"/>
    <row r="10256" ht="12.75" customHeight="1" x14ac:dyDescent="0.3"/>
    <row r="10257" ht="12.75" customHeight="1" x14ac:dyDescent="0.3"/>
    <row r="10258" ht="12.75" customHeight="1" x14ac:dyDescent="0.3"/>
    <row r="10259" ht="12.75" customHeight="1" x14ac:dyDescent="0.3"/>
    <row r="10260" ht="12.75" customHeight="1" x14ac:dyDescent="0.3"/>
    <row r="10261" ht="12.75" customHeight="1" x14ac:dyDescent="0.3"/>
    <row r="10262" ht="12.75" customHeight="1" x14ac:dyDescent="0.3"/>
    <row r="10263" ht="12.75" customHeight="1" x14ac:dyDescent="0.3"/>
    <row r="10264" ht="12.75" customHeight="1" x14ac:dyDescent="0.3"/>
    <row r="10265" ht="12.75" customHeight="1" x14ac:dyDescent="0.3"/>
    <row r="10266" ht="12.75" customHeight="1" x14ac:dyDescent="0.3"/>
    <row r="10267" ht="12.75" customHeight="1" x14ac:dyDescent="0.3"/>
    <row r="10268" ht="12.75" customHeight="1" x14ac:dyDescent="0.3"/>
    <row r="10269" ht="12.75" customHeight="1" x14ac:dyDescent="0.3"/>
    <row r="10270" ht="12.75" customHeight="1" x14ac:dyDescent="0.3"/>
    <row r="10271" ht="12.75" customHeight="1" x14ac:dyDescent="0.3"/>
    <row r="10272" ht="12.75" customHeight="1" x14ac:dyDescent="0.3"/>
    <row r="10273" ht="12.75" customHeight="1" x14ac:dyDescent="0.3"/>
    <row r="10274" ht="12.75" customHeight="1" x14ac:dyDescent="0.3"/>
    <row r="10275" ht="12.75" customHeight="1" x14ac:dyDescent="0.3"/>
    <row r="10276" ht="12.75" customHeight="1" x14ac:dyDescent="0.3"/>
    <row r="10277" ht="12.75" customHeight="1" x14ac:dyDescent="0.3"/>
    <row r="10278" ht="12.75" customHeight="1" x14ac:dyDescent="0.3"/>
    <row r="10279" ht="12.75" customHeight="1" x14ac:dyDescent="0.3"/>
    <row r="10280" ht="12.75" customHeight="1" x14ac:dyDescent="0.3"/>
    <row r="10281" ht="12.75" customHeight="1" x14ac:dyDescent="0.3"/>
    <row r="10282" ht="12.75" customHeight="1" x14ac:dyDescent="0.3"/>
    <row r="10283" ht="12.75" customHeight="1" x14ac:dyDescent="0.3"/>
    <row r="10284" ht="12.75" customHeight="1" x14ac:dyDescent="0.3"/>
    <row r="10285" ht="12.75" customHeight="1" x14ac:dyDescent="0.3"/>
    <row r="10286" ht="12.75" customHeight="1" x14ac:dyDescent="0.3"/>
    <row r="10287" ht="12.75" customHeight="1" x14ac:dyDescent="0.3"/>
    <row r="10288" ht="12.75" customHeight="1" x14ac:dyDescent="0.3"/>
    <row r="10289" ht="12.75" customHeight="1" x14ac:dyDescent="0.3"/>
    <row r="10290" ht="12.75" customHeight="1" x14ac:dyDescent="0.3"/>
    <row r="10291" ht="12.75" customHeight="1" x14ac:dyDescent="0.3"/>
    <row r="10292" ht="12.75" customHeight="1" x14ac:dyDescent="0.3"/>
    <row r="10293" ht="12.75" customHeight="1" x14ac:dyDescent="0.3"/>
    <row r="10294" ht="12.75" customHeight="1" x14ac:dyDescent="0.3"/>
    <row r="10295" ht="12.75" customHeight="1" x14ac:dyDescent="0.3"/>
    <row r="10296" ht="12.75" customHeight="1" x14ac:dyDescent="0.3"/>
    <row r="10297" ht="12.75" customHeight="1" x14ac:dyDescent="0.3"/>
    <row r="10298" ht="12.75" customHeight="1" x14ac:dyDescent="0.3"/>
    <row r="10299" ht="12.75" customHeight="1" x14ac:dyDescent="0.3"/>
    <row r="10300" ht="12.75" customHeight="1" x14ac:dyDescent="0.3"/>
    <row r="10301" ht="12.75" customHeight="1" x14ac:dyDescent="0.3"/>
    <row r="10302" ht="12.75" customHeight="1" x14ac:dyDescent="0.3"/>
    <row r="10303" ht="12.75" customHeight="1" x14ac:dyDescent="0.3"/>
    <row r="10304" ht="12.75" customHeight="1" x14ac:dyDescent="0.3"/>
    <row r="10305" ht="12.75" customHeight="1" x14ac:dyDescent="0.3"/>
    <row r="10306" ht="12.75" customHeight="1" x14ac:dyDescent="0.3"/>
    <row r="10307" ht="12.75" customHeight="1" x14ac:dyDescent="0.3"/>
    <row r="10308" ht="12.75" customHeight="1" x14ac:dyDescent="0.3"/>
    <row r="10309" ht="12.75" customHeight="1" x14ac:dyDescent="0.3"/>
    <row r="10310" ht="12.75" customHeight="1" x14ac:dyDescent="0.3"/>
    <row r="10311" ht="12.75" customHeight="1" x14ac:dyDescent="0.3"/>
    <row r="10312" ht="12.75" customHeight="1" x14ac:dyDescent="0.3"/>
    <row r="10313" ht="12.75" customHeight="1" x14ac:dyDescent="0.3"/>
    <row r="10314" ht="12.75" customHeight="1" x14ac:dyDescent="0.3"/>
    <row r="10315" ht="12.75" customHeight="1" x14ac:dyDescent="0.3"/>
    <row r="10316" ht="12.75" customHeight="1" x14ac:dyDescent="0.3"/>
    <row r="10317" ht="12.75" customHeight="1" x14ac:dyDescent="0.3"/>
    <row r="10318" ht="12.75" customHeight="1" x14ac:dyDescent="0.3"/>
    <row r="10319" ht="12.75" customHeight="1" x14ac:dyDescent="0.3"/>
    <row r="10320" ht="12.75" customHeight="1" x14ac:dyDescent="0.3"/>
    <row r="10321" ht="12.75" customHeight="1" x14ac:dyDescent="0.3"/>
    <row r="10322" ht="12.75" customHeight="1" x14ac:dyDescent="0.3"/>
    <row r="10323" ht="12.75" customHeight="1" x14ac:dyDescent="0.3"/>
    <row r="10324" ht="12.75" customHeight="1" x14ac:dyDescent="0.3"/>
    <row r="10325" ht="12.75" customHeight="1" x14ac:dyDescent="0.3"/>
    <row r="10326" ht="12.75" customHeight="1" x14ac:dyDescent="0.3"/>
    <row r="10327" ht="12.75" customHeight="1" x14ac:dyDescent="0.3"/>
    <row r="10328" ht="12.75" customHeight="1" x14ac:dyDescent="0.3"/>
    <row r="10329" ht="12.75" customHeight="1" x14ac:dyDescent="0.3"/>
    <row r="10330" ht="12.75" customHeight="1" x14ac:dyDescent="0.3"/>
    <row r="10331" ht="12.75" customHeight="1" x14ac:dyDescent="0.3"/>
    <row r="10332" ht="12.75" customHeight="1" x14ac:dyDescent="0.3"/>
    <row r="10333" ht="12.75" customHeight="1" x14ac:dyDescent="0.3"/>
    <row r="10334" ht="12.75" customHeight="1" x14ac:dyDescent="0.3"/>
    <row r="10335" ht="12.75" customHeight="1" x14ac:dyDescent="0.3"/>
    <row r="10336" ht="12.75" customHeight="1" x14ac:dyDescent="0.3"/>
    <row r="10337" ht="12.75" customHeight="1" x14ac:dyDescent="0.3"/>
    <row r="10338" ht="12.75" customHeight="1" x14ac:dyDescent="0.3"/>
    <row r="10339" ht="12.75" customHeight="1" x14ac:dyDescent="0.3"/>
    <row r="10340" ht="12.75" customHeight="1" x14ac:dyDescent="0.3"/>
    <row r="10341" ht="12.75" customHeight="1" x14ac:dyDescent="0.3"/>
    <row r="10342" ht="12.75" customHeight="1" x14ac:dyDescent="0.3"/>
    <row r="10343" ht="12.75" customHeight="1" x14ac:dyDescent="0.3"/>
    <row r="10344" ht="12.75" customHeight="1" x14ac:dyDescent="0.3"/>
    <row r="10345" ht="12.75" customHeight="1" x14ac:dyDescent="0.3"/>
    <row r="10346" ht="12.75" customHeight="1" x14ac:dyDescent="0.3"/>
    <row r="10347" ht="12.75" customHeight="1" x14ac:dyDescent="0.3"/>
    <row r="10348" ht="12.75" customHeight="1" x14ac:dyDescent="0.3"/>
    <row r="10349" ht="12.75" customHeight="1" x14ac:dyDescent="0.3"/>
    <row r="10350" ht="12.75" customHeight="1" x14ac:dyDescent="0.3"/>
    <row r="10351" ht="12.75" customHeight="1" x14ac:dyDescent="0.3"/>
    <row r="10352" ht="12.75" customHeight="1" x14ac:dyDescent="0.3"/>
    <row r="10353" ht="12.75" customHeight="1" x14ac:dyDescent="0.3"/>
    <row r="10354" ht="12.75" customHeight="1" x14ac:dyDescent="0.3"/>
    <row r="10355" ht="12.75" customHeight="1" x14ac:dyDescent="0.3"/>
    <row r="10356" ht="12.75" customHeight="1" x14ac:dyDescent="0.3"/>
    <row r="10357" ht="12.75" customHeight="1" x14ac:dyDescent="0.3"/>
    <row r="10358" ht="12.75" customHeight="1" x14ac:dyDescent="0.3"/>
    <row r="10359" ht="12.75" customHeight="1" x14ac:dyDescent="0.3"/>
    <row r="10360" ht="12.75" customHeight="1" x14ac:dyDescent="0.3"/>
    <row r="10361" ht="12.75" customHeight="1" x14ac:dyDescent="0.3"/>
    <row r="10362" ht="12.75" customHeight="1" x14ac:dyDescent="0.3"/>
    <row r="10363" ht="12.75" customHeight="1" x14ac:dyDescent="0.3"/>
    <row r="10364" ht="12.75" customHeight="1" x14ac:dyDescent="0.3"/>
    <row r="10365" ht="12.75" customHeight="1" x14ac:dyDescent="0.3"/>
    <row r="10366" ht="12.75" customHeight="1" x14ac:dyDescent="0.3"/>
    <row r="10367" ht="12.75" customHeight="1" x14ac:dyDescent="0.3"/>
    <row r="10368" ht="12.75" customHeight="1" x14ac:dyDescent="0.3"/>
    <row r="10369" ht="12.75" customHeight="1" x14ac:dyDescent="0.3"/>
    <row r="10370" ht="12.75" customHeight="1" x14ac:dyDescent="0.3"/>
    <row r="10371" ht="12.75" customHeight="1" x14ac:dyDescent="0.3"/>
    <row r="10372" ht="12.75" customHeight="1" x14ac:dyDescent="0.3"/>
    <row r="10373" ht="12.75" customHeight="1" x14ac:dyDescent="0.3"/>
    <row r="10374" ht="12.75" customHeight="1" x14ac:dyDescent="0.3"/>
    <row r="10375" ht="12.75" customHeight="1" x14ac:dyDescent="0.3"/>
    <row r="10376" ht="12.75" customHeight="1" x14ac:dyDescent="0.3"/>
    <row r="10377" ht="12.75" customHeight="1" x14ac:dyDescent="0.3"/>
    <row r="10378" ht="12.75" customHeight="1" x14ac:dyDescent="0.3"/>
    <row r="10379" ht="12.75" customHeight="1" x14ac:dyDescent="0.3"/>
    <row r="10380" ht="12.75" customHeight="1" x14ac:dyDescent="0.3"/>
    <row r="10381" ht="12.75" customHeight="1" x14ac:dyDescent="0.3"/>
    <row r="10382" ht="12.75" customHeight="1" x14ac:dyDescent="0.3"/>
    <row r="10383" ht="12.75" customHeight="1" x14ac:dyDescent="0.3"/>
    <row r="10384" ht="12.75" customHeight="1" x14ac:dyDescent="0.3"/>
    <row r="10385" ht="12.75" customHeight="1" x14ac:dyDescent="0.3"/>
    <row r="10386" ht="12.75" customHeight="1" x14ac:dyDescent="0.3"/>
    <row r="10387" ht="12.75" customHeight="1" x14ac:dyDescent="0.3"/>
    <row r="10388" ht="12.75" customHeight="1" x14ac:dyDescent="0.3"/>
    <row r="10389" ht="12.75" customHeight="1" x14ac:dyDescent="0.3"/>
    <row r="10390" ht="12.75" customHeight="1" x14ac:dyDescent="0.3"/>
  </sheetData>
  <mergeCells count="3">
    <mergeCell ref="B15:C15"/>
    <mergeCell ref="H15:I15"/>
    <mergeCell ref="C3:D3"/>
  </mergeCells>
  <pageMargins left="0.75" right="0.75" top="1" bottom="1" header="0.5" footer="0.5"/>
  <pageSetup scale="87" orientation="portrait" r:id="rId1"/>
  <headerFooter alignWithMargins="0">
    <oddHeader>&amp;A</oddHeader>
    <oddFooter>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3:J35"/>
  <sheetViews>
    <sheetView workbookViewId="0">
      <selection activeCell="D9" sqref="D9"/>
    </sheetView>
  </sheetViews>
  <sheetFormatPr defaultColWidth="9.1796875" defaultRowHeight="12.5" x14ac:dyDescent="0.25"/>
  <cols>
    <col min="7" max="7" width="30.1796875" customWidth="1"/>
  </cols>
  <sheetData>
    <row r="3" spans="2:10" ht="13" x14ac:dyDescent="0.3">
      <c r="B3" s="1" t="s">
        <v>140</v>
      </c>
      <c r="D3" s="1" t="s">
        <v>141</v>
      </c>
      <c r="G3" s="1" t="s">
        <v>142</v>
      </c>
    </row>
    <row r="4" spans="2:10" x14ac:dyDescent="0.25">
      <c r="B4" t="s">
        <v>143</v>
      </c>
      <c r="D4" t="s">
        <v>144</v>
      </c>
      <c r="G4" t="s">
        <v>145</v>
      </c>
      <c r="J4" t="s">
        <v>146</v>
      </c>
    </row>
    <row r="5" spans="2:10" x14ac:dyDescent="0.25">
      <c r="B5" t="s">
        <v>147</v>
      </c>
      <c r="D5" t="s">
        <v>7</v>
      </c>
      <c r="G5" t="s">
        <v>148</v>
      </c>
      <c r="J5" t="s">
        <v>149</v>
      </c>
    </row>
    <row r="6" spans="2:10" x14ac:dyDescent="0.25">
      <c r="G6" t="s">
        <v>150</v>
      </c>
      <c r="J6" t="s">
        <v>22</v>
      </c>
    </row>
    <row r="7" spans="2:10" x14ac:dyDescent="0.25">
      <c r="G7" t="s">
        <v>151</v>
      </c>
      <c r="J7" t="s">
        <v>23</v>
      </c>
    </row>
    <row r="8" spans="2:10" x14ac:dyDescent="0.25">
      <c r="G8" t="s">
        <v>152</v>
      </c>
      <c r="J8" t="s">
        <v>153</v>
      </c>
    </row>
    <row r="9" spans="2:10" x14ac:dyDescent="0.25">
      <c r="G9" t="s">
        <v>154</v>
      </c>
      <c r="J9" t="s">
        <v>155</v>
      </c>
    </row>
    <row r="10" spans="2:10" x14ac:dyDescent="0.25">
      <c r="G10" t="s">
        <v>156</v>
      </c>
      <c r="J10" t="s">
        <v>157</v>
      </c>
    </row>
    <row r="11" spans="2:10" x14ac:dyDescent="0.25">
      <c r="G11" t="s">
        <v>158</v>
      </c>
      <c r="J11" t="s">
        <v>21</v>
      </c>
    </row>
    <row r="12" spans="2:10" x14ac:dyDescent="0.25">
      <c r="G12" t="s">
        <v>4</v>
      </c>
      <c r="J12" t="s">
        <v>159</v>
      </c>
    </row>
    <row r="13" spans="2:10" x14ac:dyDescent="0.25">
      <c r="G13" t="s">
        <v>160</v>
      </c>
      <c r="J13" t="s">
        <v>161</v>
      </c>
    </row>
    <row r="14" spans="2:10" x14ac:dyDescent="0.25">
      <c r="G14" t="s">
        <v>162</v>
      </c>
      <c r="J14" t="s">
        <v>163</v>
      </c>
    </row>
    <row r="15" spans="2:10" x14ac:dyDescent="0.25">
      <c r="G15" t="s">
        <v>164</v>
      </c>
      <c r="J15" t="s">
        <v>24</v>
      </c>
    </row>
    <row r="16" spans="2:10" x14ac:dyDescent="0.25">
      <c r="G16" t="s">
        <v>80</v>
      </c>
      <c r="J16" t="s">
        <v>165</v>
      </c>
    </row>
    <row r="17" spans="7:10" x14ac:dyDescent="0.25">
      <c r="G17" t="s">
        <v>93</v>
      </c>
      <c r="J17" t="s">
        <v>166</v>
      </c>
    </row>
    <row r="18" spans="7:10" x14ac:dyDescent="0.25">
      <c r="G18" t="s">
        <v>167</v>
      </c>
      <c r="J18" t="s">
        <v>168</v>
      </c>
    </row>
    <row r="19" spans="7:10" x14ac:dyDescent="0.25">
      <c r="G19" t="s">
        <v>169</v>
      </c>
      <c r="J19" t="s">
        <v>170</v>
      </c>
    </row>
    <row r="20" spans="7:10" x14ac:dyDescent="0.25">
      <c r="G20" t="s">
        <v>171</v>
      </c>
      <c r="J20" t="s">
        <v>172</v>
      </c>
    </row>
    <row r="21" spans="7:10" x14ac:dyDescent="0.25">
      <c r="G21" t="s">
        <v>173</v>
      </c>
      <c r="J21" t="s">
        <v>174</v>
      </c>
    </row>
    <row r="22" spans="7:10" x14ac:dyDescent="0.25">
      <c r="G22" t="s">
        <v>175</v>
      </c>
      <c r="J22" t="s">
        <v>25</v>
      </c>
    </row>
    <row r="23" spans="7:10" x14ac:dyDescent="0.25">
      <c r="G23" t="s">
        <v>176</v>
      </c>
      <c r="J23" t="s">
        <v>177</v>
      </c>
    </row>
    <row r="24" spans="7:10" x14ac:dyDescent="0.25">
      <c r="G24" t="s">
        <v>178</v>
      </c>
      <c r="J24" t="s">
        <v>16</v>
      </c>
    </row>
    <row r="25" spans="7:10" x14ac:dyDescent="0.25">
      <c r="G25" t="s">
        <v>179</v>
      </c>
      <c r="J25" t="s">
        <v>180</v>
      </c>
    </row>
    <row r="26" spans="7:10" x14ac:dyDescent="0.25">
      <c r="G26" t="s">
        <v>181</v>
      </c>
      <c r="J26" t="s">
        <v>182</v>
      </c>
    </row>
    <row r="27" spans="7:10" x14ac:dyDescent="0.25">
      <c r="G27" t="s">
        <v>183</v>
      </c>
      <c r="J27" t="s">
        <v>15</v>
      </c>
    </row>
    <row r="28" spans="7:10" x14ac:dyDescent="0.25">
      <c r="G28" t="s">
        <v>184</v>
      </c>
      <c r="J28" t="s">
        <v>94</v>
      </c>
    </row>
    <row r="29" spans="7:10" x14ac:dyDescent="0.25">
      <c r="G29" t="s">
        <v>185</v>
      </c>
      <c r="J29" t="s">
        <v>186</v>
      </c>
    </row>
    <row r="30" spans="7:10" x14ac:dyDescent="0.25">
      <c r="G30" t="s">
        <v>187</v>
      </c>
      <c r="J30" t="s">
        <v>26</v>
      </c>
    </row>
    <row r="31" spans="7:10" x14ac:dyDescent="0.25">
      <c r="G31" t="s">
        <v>188</v>
      </c>
    </row>
    <row r="32" spans="7:10" x14ac:dyDescent="0.25">
      <c r="G32" t="s">
        <v>189</v>
      </c>
    </row>
    <row r="33" spans="7:7" x14ac:dyDescent="0.25">
      <c r="G33" t="s">
        <v>190</v>
      </c>
    </row>
    <row r="34" spans="7:7" x14ac:dyDescent="0.25">
      <c r="G34" t="s">
        <v>191</v>
      </c>
    </row>
    <row r="35" spans="7:7" x14ac:dyDescent="0.25">
      <c r="G35" t="s">
        <v>192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CF854DEF507164CB0E1522A3047769A" ma:contentTypeVersion="10" ma:contentTypeDescription="Crear nuevo documento." ma:contentTypeScope="" ma:versionID="f4f240d060cb7b4d273616cef4068df9">
  <xsd:schema xmlns:xsd="http://www.w3.org/2001/XMLSchema" xmlns:xs="http://www.w3.org/2001/XMLSchema" xmlns:p="http://schemas.microsoft.com/office/2006/metadata/properties" xmlns:ns2="95009fa3-a123-40eb-bbee-82e3e400f029" xmlns:ns3="efe03782-08b2-4274-83c4-6f9cbda21ec4" targetNamespace="http://schemas.microsoft.com/office/2006/metadata/properties" ma:root="true" ma:fieldsID="c514e4f36495968a53717a372a471fb7" ns2:_="" ns3:_="">
    <xsd:import namespace="95009fa3-a123-40eb-bbee-82e3e400f029"/>
    <xsd:import namespace="efe03782-08b2-4274-83c4-6f9cbda21ec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009fa3-a123-40eb-bbee-82e3e400f02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e03782-08b2-4274-83c4-6f9cbda21ec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47AC30C-CB46-4B6B-9986-2EAD1B6A0CCF}"/>
</file>

<file path=customXml/itemProps2.xml><?xml version="1.0" encoding="utf-8"?>
<ds:datastoreItem xmlns:ds="http://schemas.openxmlformats.org/officeDocument/2006/customXml" ds:itemID="{E490E22B-CBB0-49CD-AE1D-2F472EA8A887}">
  <ds:schemaRefs>
    <ds:schemaRef ds:uri="http://schemas.microsoft.com/office/infopath/2007/PartnerControls"/>
    <ds:schemaRef ds:uri="efe03782-08b2-4274-83c4-6f9cbda21ec4"/>
    <ds:schemaRef ds:uri="http://purl.org/dc/terms/"/>
    <ds:schemaRef ds:uri="http://schemas.microsoft.com/office/2006/documentManagement/types"/>
    <ds:schemaRef ds:uri="http://purl.org/dc/elements/1.1/"/>
    <ds:schemaRef ds:uri="http://schemas.microsoft.com/office/2006/metadata/properties"/>
    <ds:schemaRef ds:uri="95009fa3-a123-40eb-bbee-82e3e400f029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A6B0BB6E-FB7B-4C44-BED2-32955778CA1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Sheet1</vt:lpstr>
      <vt:lpstr>Sheet2</vt:lpstr>
      <vt:lpstr>Sheet4</vt:lpstr>
      <vt:lpstr>Info Demográfica</vt:lpstr>
      <vt:lpstr>Listas</vt:lpstr>
      <vt:lpstr>ANTv</vt:lpstr>
      <vt:lpstr>Basegrupov</vt:lpstr>
      <vt:lpstr>BaseIMSSv</vt:lpstr>
      <vt:lpstr>BaseSalMin</vt:lpstr>
      <vt:lpstr>BaseSbgrpv</vt:lpstr>
      <vt:lpstr>Edadv</vt:lpstr>
      <vt:lpstr>'Info Demográfica'!Print_Area</vt:lpstr>
      <vt:lpstr>salminv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Josue.Mejia@wtwco.com</dc:creator>
  <cp:keywords/>
  <dc:description/>
  <cp:lastModifiedBy>Mejia, Josue (Mexico City)</cp:lastModifiedBy>
  <cp:revision/>
  <dcterms:created xsi:type="dcterms:W3CDTF">2016-04-04T15:55:11Z</dcterms:created>
  <dcterms:modified xsi:type="dcterms:W3CDTF">2024-02-20T20:01:18Z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347b247-e90e-43a3-9d7b-004f14ae6873_Enabled">
    <vt:lpwstr>true</vt:lpwstr>
  </property>
  <property fmtid="{D5CDD505-2E9C-101B-9397-08002B2CF9AE}" pid="3" name="MSIP_Label_d347b247-e90e-43a3-9d7b-004f14ae6873_SiteId">
    <vt:lpwstr>76e3921f-489b-4b7e-9547-9ea297add9b5</vt:lpwstr>
  </property>
  <property fmtid="{D5CDD505-2E9C-101B-9397-08002B2CF9AE}" pid="4" name="MSIP_Label_d347b247-e90e-43a3-9d7b-004f14ae6873_Owner">
    <vt:lpwstr>natalia.sanchezmagallansanchez@towerswatson.com</vt:lpwstr>
  </property>
  <property fmtid="{D5CDD505-2E9C-101B-9397-08002B2CF9AE}" pid="5" name="MSIP_Label_d347b247-e90e-43a3-9d7b-004f14ae6873_SetDate">
    <vt:lpwstr>2023-04-12T23:37:58Z</vt:lpwstr>
  </property>
  <property fmtid="{D5CDD505-2E9C-101B-9397-08002B2CF9AE}" pid="6" name="MSIP_Label_d347b247-e90e-43a3-9d7b-004f14ae6873_Name">
    <vt:lpwstr>d347b247-e90e-43a3-9d7b-004f14ae6873</vt:lpwstr>
  </property>
  <property fmtid="{D5CDD505-2E9C-101B-9397-08002B2CF9AE}" pid="7" name="MSIP_Label_d347b247-e90e-43a3-9d7b-004f14ae6873_Application">
    <vt:lpwstr>Microsoft Azure Information Protection</vt:lpwstr>
  </property>
  <property fmtid="{D5CDD505-2E9C-101B-9397-08002B2CF9AE}" pid="8" name="MSIP_Label_d347b247-e90e-43a3-9d7b-004f14ae6873_Parent">
    <vt:lpwstr>9c700311-1b20-487f-9129-30717d50ca8e</vt:lpwstr>
  </property>
  <property fmtid="{D5CDD505-2E9C-101B-9397-08002B2CF9AE}" pid="9" name="MSIP_Label_d347b247-e90e-43a3-9d7b-004f14ae6873_Extended_MSFT_Method">
    <vt:lpwstr>Automatic</vt:lpwstr>
  </property>
  <property fmtid="{D5CDD505-2E9C-101B-9397-08002B2CF9AE}" pid="10" name="ContentTypeId">
    <vt:lpwstr>0x010100DCF854DEF507164CB0E1522A3047769A</vt:lpwstr>
  </property>
  <property fmtid="{D5CDD505-2E9C-101B-9397-08002B2CF9AE}" pid="11" name="_dlc_policyId">
    <vt:lpwstr>0x010100725E60EF2E824CBB9F9F6219DD094B09A3B1|1698352568</vt:lpwstr>
  </property>
  <property fmtid="{D5CDD505-2E9C-101B-9397-08002B2CF9AE}" pid="12" name="_dlc_ExpireDate">
    <vt:filetime>2022-03-05T23:59:03Z</vt:filetime>
  </property>
  <property fmtid="{D5CDD505-2E9C-101B-9397-08002B2CF9AE}" pid="13" name="ItemRetentionFormula">
    <vt:lpwstr>&lt;formula id="Microsoft.Office.RecordsManagement.PolicyFeatures.Expiration.Formula.BuiltIn"&gt;&lt;number&gt;2&lt;/number&gt;&lt;property&gt;Modified&lt;/property&gt;&lt;propertyId&gt;28cf69c5-fa48-462a-b5cd-27b6f9d2bd5f&lt;/propertyId&gt;&lt;period&gt;years&lt;/period&gt;&lt;/formula&gt;</vt:lpwstr>
  </property>
  <property fmtid="{D5CDD505-2E9C-101B-9397-08002B2CF9AE}" pid="14" name="MSIP_Label_d347b247-e90e-43a3-9d7b-004f14ae6873_Method">
    <vt:lpwstr>Standard</vt:lpwstr>
  </property>
  <property fmtid="{D5CDD505-2E9C-101B-9397-08002B2CF9AE}" pid="15" name="MSIP_Label_d347b247-e90e-43a3-9d7b-004f14ae6873_ContentBits">
    <vt:lpwstr>0</vt:lpwstr>
  </property>
</Properties>
</file>