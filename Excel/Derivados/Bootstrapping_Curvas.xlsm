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JOSUE\Downloads\"/>
    </mc:Choice>
  </mc:AlternateContent>
  <xr:revisionPtr revIDLastSave="0" documentId="13_ncr:1_{59B51156-8472-46EF-9FFC-A171A500CD98}" xr6:coauthVersionLast="47" xr6:coauthVersionMax="47" xr10:uidLastSave="{00000000-0000-0000-0000-000000000000}"/>
  <bookViews>
    <workbookView xWindow="-108" yWindow="-108" windowWidth="23256" windowHeight="12720" xr2:uid="{00000000-000D-0000-FFFF-FFFF00000000}"/>
  </bookViews>
  <sheets>
    <sheet name="Manual" sheetId="5" r:id="rId1"/>
    <sheet name="Tasas" sheetId="1" r:id="rId2"/>
    <sheet name="Holiday" sheetId="2" r:id="rId3"/>
    <sheet name="Aux" sheetId="4" r:id="rId4"/>
  </sheets>
  <functionGroups builtInGroupCount="19"/>
  <definedNames>
    <definedName name="choose">Tasas!$B$19</definedName>
    <definedName name="cup">Tasas!$H$3</definedName>
    <definedName name="cupon">Tasas!$H$5:$H$134</definedName>
    <definedName name="Int">Tasas!$N$3</definedName>
    <definedName name="ParSwap">Tasas!$Q$2</definedName>
    <definedName name="solver_adj" localSheetId="1" hidden="1">Tasas!$Q$134</definedName>
    <definedName name="solver_eng" localSheetId="1" hidden="1">1</definedName>
    <definedName name="solver_neg" localSheetId="1" hidden="1">1</definedName>
    <definedName name="solver_num" localSheetId="1" hidden="1">0</definedName>
    <definedName name="solver_opt" localSheetId="1" hidden="1">Tasas!$S$134</definedName>
    <definedName name="solver_typ" localSheetId="1" hidden="1">3</definedName>
    <definedName name="solver_val" localSheetId="1" hidden="1">0</definedName>
    <definedName name="solver_ver" localSheetId="1" hidden="1">3</definedName>
    <definedName name="tabla">Tasas!$G$3:$L$134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 i="1" l="1"/>
  <c r="B5" i="1"/>
  <c r="B4" i="1"/>
  <c r="B3" i="1"/>
  <c r="E4" i="4"/>
  <c r="E3" i="4"/>
  <c r="E14" i="4"/>
  <c r="E13" i="4"/>
  <c r="E12" i="4"/>
  <c r="E11" i="4"/>
  <c r="E10" i="4"/>
  <c r="E9" i="4"/>
  <c r="E8" i="4"/>
  <c r="E7" i="4"/>
  <c r="E6" i="4"/>
  <c r="E5" i="4"/>
  <c r="F2" i="4"/>
  <c r="B13" i="1" l="1"/>
  <c r="B10" i="1"/>
  <c r="B6" i="1"/>
  <c r="J4" i="1"/>
  <c r="L4" i="1" s="1"/>
  <c r="B39" i="1"/>
  <c r="B38" i="1"/>
  <c r="B37" i="1"/>
  <c r="B36" i="1"/>
  <c r="B35" i="1"/>
  <c r="B34" i="1"/>
  <c r="B33" i="1"/>
  <c r="B32" i="1"/>
  <c r="B31" i="1"/>
  <c r="B30" i="1"/>
  <c r="I4" i="1" l="1"/>
  <c r="M4" i="1"/>
  <c r="J5" i="1"/>
  <c r="K5" i="1" s="1"/>
  <c r="R5" i="1"/>
  <c r="O4" i="1"/>
  <c r="P4" i="1" s="1"/>
  <c r="B14" i="1"/>
  <c r="B12" i="1"/>
  <c r="B11" i="1"/>
  <c r="B9" i="1"/>
  <c r="B8" i="1"/>
  <c r="B7" i="1"/>
  <c r="K133" i="1" l="1"/>
  <c r="K129" i="1"/>
  <c r="K125" i="1"/>
  <c r="K121" i="1"/>
  <c r="K117" i="1"/>
  <c r="K113" i="1"/>
  <c r="K109" i="1"/>
  <c r="K105" i="1"/>
  <c r="K101" i="1"/>
  <c r="K97" i="1"/>
  <c r="K93" i="1"/>
  <c r="K89" i="1"/>
  <c r="K85" i="1"/>
  <c r="K81" i="1"/>
  <c r="K77" i="1"/>
  <c r="K73" i="1"/>
  <c r="K69" i="1"/>
  <c r="K65" i="1"/>
  <c r="K61" i="1"/>
  <c r="K57" i="1"/>
  <c r="K53" i="1"/>
  <c r="K49" i="1"/>
  <c r="K45" i="1"/>
  <c r="K41" i="1"/>
  <c r="K37" i="1"/>
  <c r="K33" i="1"/>
  <c r="K29" i="1"/>
  <c r="K25" i="1"/>
  <c r="K21" i="1"/>
  <c r="K17" i="1"/>
  <c r="K13" i="1"/>
  <c r="K9" i="1"/>
  <c r="K7" i="1"/>
  <c r="K123" i="1"/>
  <c r="K132" i="1"/>
  <c r="K128" i="1"/>
  <c r="K124" i="1"/>
  <c r="K120" i="1"/>
  <c r="K116" i="1"/>
  <c r="K112" i="1"/>
  <c r="K108" i="1"/>
  <c r="K104" i="1"/>
  <c r="K100" i="1"/>
  <c r="K96" i="1"/>
  <c r="K92" i="1"/>
  <c r="K88" i="1"/>
  <c r="K84" i="1"/>
  <c r="K80" i="1"/>
  <c r="K76" i="1"/>
  <c r="K72" i="1"/>
  <c r="K68" i="1"/>
  <c r="K64" i="1"/>
  <c r="K60" i="1"/>
  <c r="K56" i="1"/>
  <c r="K52" i="1"/>
  <c r="K48" i="1"/>
  <c r="K44" i="1"/>
  <c r="K40" i="1"/>
  <c r="K36" i="1"/>
  <c r="K32" i="1"/>
  <c r="K28" i="1"/>
  <c r="K24" i="1"/>
  <c r="K20" i="1"/>
  <c r="K16" i="1"/>
  <c r="K12" i="1"/>
  <c r="K8" i="1"/>
  <c r="K131" i="1"/>
  <c r="K127" i="1"/>
  <c r="K119" i="1"/>
  <c r="K122" i="1"/>
  <c r="K111" i="1"/>
  <c r="K103" i="1"/>
  <c r="K95" i="1"/>
  <c r="K87" i="1"/>
  <c r="K79" i="1"/>
  <c r="K71" i="1"/>
  <c r="K63" i="1"/>
  <c r="K55" i="1"/>
  <c r="K47" i="1"/>
  <c r="K39" i="1"/>
  <c r="K31" i="1"/>
  <c r="K23" i="1"/>
  <c r="K15" i="1"/>
  <c r="K6" i="1"/>
  <c r="K130" i="1"/>
  <c r="K107" i="1"/>
  <c r="K99" i="1"/>
  <c r="K91" i="1"/>
  <c r="K75" i="1"/>
  <c r="K51" i="1"/>
  <c r="K35" i="1"/>
  <c r="K19" i="1"/>
  <c r="K114" i="1"/>
  <c r="K98" i="1"/>
  <c r="K74" i="1"/>
  <c r="K58" i="1"/>
  <c r="K42" i="1"/>
  <c r="K26" i="1"/>
  <c r="K10" i="1"/>
  <c r="K134" i="1"/>
  <c r="K118" i="1"/>
  <c r="K110" i="1"/>
  <c r="K102" i="1"/>
  <c r="K94" i="1"/>
  <c r="K86" i="1"/>
  <c r="K78" i="1"/>
  <c r="K70" i="1"/>
  <c r="K62" i="1"/>
  <c r="K54" i="1"/>
  <c r="K46" i="1"/>
  <c r="K38" i="1"/>
  <c r="K30" i="1"/>
  <c r="K22" i="1"/>
  <c r="K14" i="1"/>
  <c r="L5" i="1"/>
  <c r="P5" i="1" s="1"/>
  <c r="K115" i="1"/>
  <c r="K83" i="1"/>
  <c r="K67" i="1"/>
  <c r="K59" i="1"/>
  <c r="K43" i="1"/>
  <c r="K27" i="1"/>
  <c r="K11" i="1"/>
  <c r="K126" i="1"/>
  <c r="K106" i="1"/>
  <c r="K90" i="1"/>
  <c r="K82" i="1"/>
  <c r="K66" i="1"/>
  <c r="K50" i="1"/>
  <c r="K34" i="1"/>
  <c r="K18" i="1"/>
  <c r="Q4" i="1"/>
  <c r="I5" i="1"/>
  <c r="N4" i="1"/>
  <c r="M5" i="1" l="1"/>
  <c r="G125" i="1"/>
  <c r="N5" i="1"/>
  <c r="Q5" i="1"/>
  <c r="A19" i="1"/>
  <c r="A20" i="1"/>
  <c r="A21" i="1"/>
  <c r="A22" i="1"/>
  <c r="A23" i="1"/>
  <c r="A24" i="1"/>
  <c r="A25" i="1"/>
  <c r="A26" i="1"/>
  <c r="A27" i="1"/>
  <c r="A18" i="1"/>
  <c r="G13" i="1" l="1"/>
  <c r="A32" i="1" s="1"/>
  <c r="G26" i="1"/>
  <c r="G87" i="1"/>
  <c r="G133" i="1"/>
  <c r="G99" i="1"/>
  <c r="G97" i="1"/>
  <c r="G33" i="1"/>
  <c r="G94" i="1"/>
  <c r="G60" i="1"/>
  <c r="G10" i="1"/>
  <c r="A31" i="1" s="1"/>
  <c r="G71" i="1"/>
  <c r="G117" i="1"/>
  <c r="G83" i="1"/>
  <c r="G81" i="1"/>
  <c r="G127" i="1"/>
  <c r="G78" i="1"/>
  <c r="G123" i="1"/>
  <c r="G89" i="1"/>
  <c r="G55" i="1"/>
  <c r="G101" i="1"/>
  <c r="G67" i="1"/>
  <c r="G49" i="1"/>
  <c r="G111" i="1"/>
  <c r="G62" i="1"/>
  <c r="G59" i="1"/>
  <c r="G57" i="1"/>
  <c r="G39" i="1"/>
  <c r="G85" i="1"/>
  <c r="G51" i="1"/>
  <c r="G128" i="1"/>
  <c r="G95" i="1"/>
  <c r="A38" i="1" s="1"/>
  <c r="G46" i="1"/>
  <c r="G88" i="1"/>
  <c r="G41" i="1"/>
  <c r="G23" i="1"/>
  <c r="G69" i="1"/>
  <c r="A37" i="1" s="1"/>
  <c r="G35" i="1"/>
  <c r="G112" i="1"/>
  <c r="G79" i="1"/>
  <c r="G30" i="1"/>
  <c r="A34" i="1" s="1"/>
  <c r="G92" i="1"/>
  <c r="G9" i="1"/>
  <c r="G7" i="1"/>
  <c r="A30" i="1" s="1"/>
  <c r="G21" i="1"/>
  <c r="G19" i="1"/>
  <c r="G96" i="1"/>
  <c r="G63" i="1"/>
  <c r="G14" i="1"/>
  <c r="G29" i="1"/>
  <c r="G132" i="1"/>
  <c r="G76" i="1"/>
  <c r="G8" i="1"/>
  <c r="G104" i="1"/>
  <c r="G118" i="1"/>
  <c r="G116" i="1"/>
  <c r="G130" i="1"/>
  <c r="G64" i="1"/>
  <c r="G31" i="1"/>
  <c r="G75" i="1"/>
  <c r="G103" i="1"/>
  <c r="G50" i="1"/>
  <c r="G24" i="1"/>
  <c r="G102" i="1"/>
  <c r="G100" i="1"/>
  <c r="G114" i="1"/>
  <c r="G48" i="1"/>
  <c r="G15" i="1"/>
  <c r="G56" i="1"/>
  <c r="A36" i="1" s="1"/>
  <c r="G121" i="1"/>
  <c r="G86" i="1"/>
  <c r="G84" i="1"/>
  <c r="G98" i="1"/>
  <c r="G32" i="1"/>
  <c r="G108" i="1"/>
  <c r="G17" i="1"/>
  <c r="A33" i="1" s="1"/>
  <c r="G12" i="1"/>
  <c r="G47" i="1"/>
  <c r="G122" i="1"/>
  <c r="G105" i="1"/>
  <c r="G70" i="1"/>
  <c r="G68" i="1"/>
  <c r="G82" i="1"/>
  <c r="G16" i="1"/>
  <c r="G28" i="1"/>
  <c r="G93" i="1"/>
  <c r="G106" i="1"/>
  <c r="G73" i="1"/>
  <c r="G54" i="1"/>
  <c r="G52" i="1"/>
  <c r="G66" i="1"/>
  <c r="G124" i="1"/>
  <c r="G107" i="1"/>
  <c r="G109" i="1"/>
  <c r="G25" i="1"/>
  <c r="G36" i="1"/>
  <c r="G34" i="1"/>
  <c r="G44" i="1"/>
  <c r="G11" i="1"/>
  <c r="G42" i="1"/>
  <c r="G120" i="1"/>
  <c r="G43" i="1"/>
  <c r="A35" i="1" s="1"/>
  <c r="G77" i="1"/>
  <c r="G90" i="1"/>
  <c r="G38" i="1"/>
  <c r="G61" i="1"/>
  <c r="G74" i="1"/>
  <c r="G72" i="1"/>
  <c r="G22" i="1"/>
  <c r="G20" i="1"/>
  <c r="G18" i="1"/>
  <c r="G91" i="1"/>
  <c r="G37" i="1"/>
  <c r="G80" i="1"/>
  <c r="G53" i="1"/>
  <c r="G45" i="1"/>
  <c r="G58" i="1"/>
  <c r="G119" i="1"/>
  <c r="G6" i="1"/>
  <c r="G131" i="1"/>
  <c r="G129" i="1"/>
  <c r="G27" i="1"/>
  <c r="G126" i="1"/>
  <c r="G65" i="1"/>
  <c r="G115" i="1"/>
  <c r="G113" i="1"/>
  <c r="G40" i="1"/>
  <c r="G110" i="1"/>
  <c r="G5" i="1"/>
  <c r="A29" i="1" s="1"/>
  <c r="J6" i="1"/>
  <c r="L6" i="1" s="1"/>
  <c r="G134" i="1"/>
  <c r="A39" i="1" s="1"/>
  <c r="B29" i="1"/>
  <c r="J8" i="1"/>
  <c r="L8" i="1" s="1"/>
  <c r="J72" i="1"/>
  <c r="L72" i="1" s="1"/>
  <c r="J9" i="1"/>
  <c r="L9" i="1" s="1"/>
  <c r="J11" i="1"/>
  <c r="L11" i="1" s="1"/>
  <c r="J75" i="1"/>
  <c r="L75" i="1" s="1"/>
  <c r="J76" i="1"/>
  <c r="L76" i="1" s="1"/>
  <c r="J24" i="1"/>
  <c r="L24" i="1" s="1"/>
  <c r="J88" i="1"/>
  <c r="L88" i="1" s="1"/>
  <c r="J25" i="1"/>
  <c r="L25" i="1" s="1"/>
  <c r="J89" i="1"/>
  <c r="L89" i="1" s="1"/>
  <c r="J27" i="1"/>
  <c r="L27" i="1" s="1"/>
  <c r="J91" i="1"/>
  <c r="L91" i="1" s="1"/>
  <c r="J28" i="1"/>
  <c r="L28" i="1" s="1"/>
  <c r="J40" i="1"/>
  <c r="L40" i="1" s="1"/>
  <c r="J104" i="1"/>
  <c r="L104" i="1" s="1"/>
  <c r="J43" i="1"/>
  <c r="L43" i="1" s="1"/>
  <c r="J107" i="1"/>
  <c r="L107" i="1" s="1"/>
  <c r="J44" i="1"/>
  <c r="L44" i="1" s="1"/>
  <c r="J108" i="1"/>
  <c r="L108" i="1" s="1"/>
  <c r="J56" i="1"/>
  <c r="L56" i="1" s="1"/>
  <c r="J121" i="1"/>
  <c r="L121" i="1" s="1"/>
  <c r="J59" i="1"/>
  <c r="L59" i="1" s="1"/>
  <c r="J60" i="1"/>
  <c r="L60" i="1" s="1"/>
  <c r="J124" i="1"/>
  <c r="L124" i="1" s="1"/>
  <c r="J26" i="1"/>
  <c r="L26" i="1" s="1"/>
  <c r="J58" i="1"/>
  <c r="L58" i="1" s="1"/>
  <c r="J122" i="1"/>
  <c r="L122" i="1" s="1"/>
  <c r="J13" i="1"/>
  <c r="L13" i="1" s="1"/>
  <c r="J45" i="1"/>
  <c r="L45" i="1" s="1"/>
  <c r="J77" i="1"/>
  <c r="L77" i="1" s="1"/>
  <c r="J93" i="1"/>
  <c r="L93" i="1" s="1"/>
  <c r="J109" i="1"/>
  <c r="L109" i="1" s="1"/>
  <c r="J62" i="1"/>
  <c r="L62" i="1" s="1"/>
  <c r="J78" i="1"/>
  <c r="L78" i="1" s="1"/>
  <c r="J15" i="1"/>
  <c r="L15" i="1" s="1"/>
  <c r="J31" i="1"/>
  <c r="L31" i="1" s="1"/>
  <c r="J95" i="1"/>
  <c r="L95" i="1" s="1"/>
  <c r="J33" i="1"/>
  <c r="L33" i="1" s="1"/>
  <c r="J81" i="1"/>
  <c r="L81" i="1" s="1"/>
  <c r="J97" i="1"/>
  <c r="L97" i="1" s="1"/>
  <c r="J129" i="1"/>
  <c r="L129" i="1" s="1"/>
  <c r="J19" i="1"/>
  <c r="L19" i="1" s="1"/>
  <c r="J51" i="1"/>
  <c r="L51" i="1" s="1"/>
  <c r="J115" i="1"/>
  <c r="L115" i="1" s="1"/>
  <c r="J20" i="1"/>
  <c r="L20" i="1" s="1"/>
  <c r="J36" i="1"/>
  <c r="L36" i="1" s="1"/>
  <c r="J68" i="1"/>
  <c r="L68" i="1" s="1"/>
  <c r="J100" i="1"/>
  <c r="L100" i="1" s="1"/>
  <c r="J116" i="1"/>
  <c r="L116" i="1" s="1"/>
  <c r="J132" i="1"/>
  <c r="L132" i="1" s="1"/>
  <c r="J21" i="1"/>
  <c r="L21" i="1" s="1"/>
  <c r="J37" i="1"/>
  <c r="L37" i="1" s="1"/>
  <c r="J53" i="1"/>
  <c r="L53" i="1" s="1"/>
  <c r="J69" i="1"/>
  <c r="L69" i="1" s="1"/>
  <c r="J85" i="1"/>
  <c r="L85" i="1" s="1"/>
  <c r="J101" i="1"/>
  <c r="L101" i="1" s="1"/>
  <c r="J117" i="1"/>
  <c r="L117" i="1" s="1"/>
  <c r="J133" i="1"/>
  <c r="L133" i="1" s="1"/>
  <c r="J22" i="1"/>
  <c r="L22" i="1" s="1"/>
  <c r="J38" i="1"/>
  <c r="L38" i="1" s="1"/>
  <c r="J70" i="1"/>
  <c r="L70" i="1" s="1"/>
  <c r="J7" i="1"/>
  <c r="L7" i="1" s="1"/>
  <c r="J23" i="1"/>
  <c r="L23" i="1" s="1"/>
  <c r="J39" i="1"/>
  <c r="L39" i="1" s="1"/>
  <c r="J55" i="1"/>
  <c r="L55" i="1" s="1"/>
  <c r="J87" i="1"/>
  <c r="L87" i="1" s="1"/>
  <c r="J103" i="1"/>
  <c r="L103" i="1" s="1"/>
  <c r="J41" i="1"/>
  <c r="L41" i="1" s="1"/>
  <c r="J64" i="1"/>
  <c r="L64" i="1" s="1"/>
  <c r="J96" i="1"/>
  <c r="L96" i="1" s="1"/>
  <c r="J126" i="1"/>
  <c r="L126" i="1" s="1"/>
  <c r="J12" i="1"/>
  <c r="L12" i="1" s="1"/>
  <c r="J120" i="1"/>
  <c r="L120" i="1" s="1"/>
  <c r="J66" i="1"/>
  <c r="L66" i="1" s="1"/>
  <c r="J110" i="1"/>
  <c r="L110" i="1" s="1"/>
  <c r="J118" i="1"/>
  <c r="L118" i="1" s="1"/>
  <c r="J130" i="1"/>
  <c r="L130" i="1" s="1"/>
  <c r="J52" i="1"/>
  <c r="L52" i="1" s="1"/>
  <c r="J84" i="1"/>
  <c r="L84" i="1" s="1"/>
  <c r="J17" i="1"/>
  <c r="L17" i="1" s="1"/>
  <c r="J49" i="1"/>
  <c r="L49" i="1" s="1"/>
  <c r="J46" i="1"/>
  <c r="L46" i="1" s="1"/>
  <c r="J94" i="1"/>
  <c r="L94" i="1" s="1"/>
  <c r="Q98" i="1" a="1"/>
  <c r="Q107" i="1" a="1"/>
  <c r="Q54" i="1" a="1"/>
  <c r="Q12" i="1" a="1"/>
  <c r="Q32" i="1" a="1"/>
  <c r="Q108" i="1" a="1"/>
  <c r="Q104" i="1" a="1"/>
  <c r="Q31" i="1" a="1"/>
  <c r="Q41" i="1" a="1"/>
  <c r="Q65" i="1" a="1"/>
  <c r="Q121" i="1" a="1"/>
  <c r="Q128" i="1" a="1"/>
  <c r="Q90" i="1" a="1"/>
  <c r="Q28" i="1" a="1"/>
  <c r="Q130" i="1" a="1"/>
  <c r="Q64" i="1" a="1"/>
  <c r="Q71" i="1" a="1"/>
  <c r="Q81" i="1" a="1"/>
  <c r="Q11" i="1" a="1"/>
  <c r="Q97" i="1" a="1"/>
  <c r="Q86" i="1" a="1"/>
  <c r="Q49" i="1" a="1"/>
  <c r="Q102" i="1" a="1"/>
  <c r="Q62" i="1" a="1"/>
  <c r="Q19" i="1" a="1"/>
  <c r="Q105" i="1" a="1"/>
  <c r="Q70" i="1" a="1"/>
  <c r="Q122" i="1" a="1"/>
  <c r="Q21" i="1" a="1"/>
  <c r="Q15" i="1" a="1"/>
  <c r="Q131" i="1" a="1"/>
  <c r="Q33" i="1" a="1"/>
  <c r="Q94" i="1" a="1"/>
  <c r="Q29" i="1" a="1"/>
  <c r="Q79" i="1" a="1"/>
  <c r="Q9" i="1" a="1"/>
  <c r="Q57" i="1" a="1"/>
  <c r="Q118" i="1" a="1"/>
  <c r="Q101" i="1" a="1"/>
  <c r="Q93" i="1" a="1"/>
  <c r="Q50" i="1" a="1"/>
  <c r="Q20" i="1" a="1"/>
  <c r="Q100" i="1" a="1"/>
  <c r="Q120" i="1" a="1"/>
  <c r="Q73" i="1" a="1"/>
  <c r="Q103" i="1" a="1"/>
  <c r="Q83" i="1" a="1"/>
  <c r="Q124" i="1" a="1"/>
  <c r="Q125" i="1" a="1"/>
  <c r="Q116" i="1" a="1"/>
  <c r="Q99" i="1" a="1"/>
  <c r="Q23" i="1" a="1"/>
  <c r="Q111" i="1" a="1"/>
  <c r="Q113" i="1" a="1"/>
  <c r="Q48" i="1" a="1"/>
  <c r="Q109" i="1" a="1"/>
  <c r="Q106" i="1" a="1"/>
  <c r="Q22" i="1" a="1"/>
  <c r="Q76" i="1" a="1"/>
  <c r="Q35" i="1" a="1"/>
  <c r="Q87" i="1" a="1"/>
  <c r="Q59" i="1" a="1"/>
  <c r="Q74" i="1" a="1"/>
  <c r="Q82" i="1" a="1"/>
  <c r="Q127" i="1" a="1"/>
  <c r="Q25" i="1" a="1"/>
  <c r="Q37" i="1" a="1"/>
  <c r="Q77" i="1" a="1"/>
  <c r="Q75" i="1" a="1"/>
  <c r="Q34" i="1" a="1"/>
  <c r="Q45" i="1" a="1"/>
  <c r="Q42" i="1" a="1"/>
  <c r="Q92" i="1" a="1"/>
  <c r="Q6" i="1"/>
  <c r="Q115" i="1" a="1"/>
  <c r="Q66" i="1" a="1"/>
  <c r="Q123" i="1" a="1"/>
  <c r="Q58" i="1" a="1"/>
  <c r="Q85" i="1" a="1"/>
  <c r="Q51" i="1" a="1"/>
  <c r="Q89" i="1" a="1"/>
  <c r="Q126" i="1" a="1"/>
  <c r="Q46" i="1" a="1"/>
  <c r="Q14" i="1" a="1"/>
  <c r="Q68" i="1" a="1"/>
  <c r="Q44" i="1" a="1"/>
  <c r="Q8" i="1"/>
  <c r="Q119" i="1" a="1"/>
  <c r="Q47" i="1" a="1"/>
  <c r="Q53" i="1" a="1"/>
  <c r="Q36" i="1" a="1"/>
  <c r="Q55" i="1" a="1"/>
  <c r="Q110" i="1" a="1"/>
  <c r="Q60" i="1" a="1"/>
  <c r="Q38" i="1" a="1"/>
  <c r="Q78" i="1" a="1"/>
  <c r="Q61" i="1" a="1"/>
  <c r="Q88" i="1" a="1"/>
  <c r="Q24" i="1" a="1"/>
  <c r="Q96" i="1" a="1"/>
  <c r="Q114" i="1" a="1"/>
  <c r="Q16" i="1" a="1"/>
  <c r="Q40" i="1" a="1"/>
  <c r="Q117" i="1" a="1"/>
  <c r="Q72" i="1" a="1"/>
  <c r="Q39" i="1" a="1"/>
  <c r="Q26" i="1" a="1"/>
  <c r="Q80" i="1" a="1"/>
  <c r="Q84" i="1" a="1"/>
  <c r="Q91" i="1" a="1"/>
  <c r="Q129" i="1" a="1"/>
  <c r="Q52" i="1" a="1"/>
  <c r="Q67" i="1" a="1"/>
  <c r="Q132" i="1" a="1"/>
  <c r="Q112" i="1" a="1"/>
  <c r="Q63" i="1" a="1"/>
  <c r="Q18" i="1" a="1"/>
  <c r="Q133" i="1" a="1"/>
  <c r="Q27" i="1" a="1"/>
  <c r="I130" i="1" l="1"/>
  <c r="I64" i="1"/>
  <c r="I117" i="1"/>
  <c r="I116" i="1"/>
  <c r="I95" i="1"/>
  <c r="I26" i="1"/>
  <c r="I28" i="1"/>
  <c r="I17" i="1"/>
  <c r="I118" i="1"/>
  <c r="I41" i="1"/>
  <c r="I39" i="1"/>
  <c r="I38" i="1"/>
  <c r="I101" i="1"/>
  <c r="I37" i="1"/>
  <c r="I100" i="1"/>
  <c r="I115" i="1"/>
  <c r="I97" i="1"/>
  <c r="I31" i="1"/>
  <c r="I109" i="1"/>
  <c r="I13" i="1"/>
  <c r="I124" i="1"/>
  <c r="I56" i="1"/>
  <c r="I43" i="1"/>
  <c r="I91" i="1"/>
  <c r="I88" i="1"/>
  <c r="I11" i="1"/>
  <c r="I55" i="1"/>
  <c r="I20" i="1"/>
  <c r="I62" i="1"/>
  <c r="I121" i="1"/>
  <c r="I25" i="1"/>
  <c r="I8" i="1"/>
  <c r="I84" i="1"/>
  <c r="I23" i="1"/>
  <c r="I21" i="1"/>
  <c r="I51" i="1"/>
  <c r="I81" i="1"/>
  <c r="I15" i="1"/>
  <c r="I93" i="1"/>
  <c r="I122" i="1"/>
  <c r="I60" i="1"/>
  <c r="I108" i="1"/>
  <c r="I104" i="1"/>
  <c r="I27" i="1"/>
  <c r="I24" i="1"/>
  <c r="I9" i="1"/>
  <c r="I49" i="1"/>
  <c r="I120" i="1"/>
  <c r="I70" i="1"/>
  <c r="I53" i="1"/>
  <c r="I129" i="1"/>
  <c r="I45" i="1"/>
  <c r="I107" i="1"/>
  <c r="I75" i="1"/>
  <c r="I94" i="1"/>
  <c r="I110" i="1"/>
  <c r="I126" i="1"/>
  <c r="I103" i="1"/>
  <c r="I22" i="1"/>
  <c r="I85" i="1"/>
  <c r="I68" i="1"/>
  <c r="I46" i="1"/>
  <c r="I52" i="1"/>
  <c r="I66" i="1"/>
  <c r="I96" i="1"/>
  <c r="I87" i="1"/>
  <c r="I7" i="1"/>
  <c r="I133" i="1"/>
  <c r="I69" i="1"/>
  <c r="I132" i="1"/>
  <c r="I36" i="1"/>
  <c r="I19" i="1"/>
  <c r="I33" i="1"/>
  <c r="I78" i="1"/>
  <c r="I77" i="1"/>
  <c r="I58" i="1"/>
  <c r="I59" i="1"/>
  <c r="I44" i="1"/>
  <c r="I89" i="1"/>
  <c r="I76" i="1"/>
  <c r="I72" i="1"/>
  <c r="I6" i="1"/>
  <c r="M6" i="1"/>
  <c r="P6" i="1" s="1"/>
  <c r="Q125" i="1"/>
  <c r="Q77" i="1"/>
  <c r="Q84" i="1"/>
  <c r="Q118" i="1"/>
  <c r="Q131" i="1"/>
  <c r="Q94" i="1"/>
  <c r="Q128" i="1"/>
  <c r="Q104" i="1"/>
  <c r="Q120" i="1"/>
  <c r="Q98" i="1"/>
  <c r="Q31" i="1"/>
  <c r="Q86" i="1"/>
  <c r="Q132" i="1"/>
  <c r="Q25" i="1"/>
  <c r="Q85" i="1"/>
  <c r="Q20" i="1"/>
  <c r="Q49" i="1"/>
  <c r="Q72" i="1"/>
  <c r="Q74" i="1"/>
  <c r="Q50" i="1"/>
  <c r="Q21" i="1"/>
  <c r="Q91" i="1"/>
  <c r="Q130" i="1"/>
  <c r="Q27" i="1"/>
  <c r="Q48" i="1"/>
  <c r="Q82" i="1"/>
  <c r="Q52" i="1"/>
  <c r="Q107" i="1"/>
  <c r="Q37" i="1"/>
  <c r="Q129" i="1"/>
  <c r="Q96" i="1"/>
  <c r="Q59" i="1"/>
  <c r="Q75" i="1"/>
  <c r="Q133" i="1"/>
  <c r="Q34" i="1"/>
  <c r="Q66" i="1"/>
  <c r="Q99" i="1"/>
  <c r="Q40" i="1"/>
  <c r="Q81" i="1"/>
  <c r="Q100" i="1"/>
  <c r="Q32" i="1"/>
  <c r="Q121" i="1"/>
  <c r="Q47" i="1"/>
  <c r="Q71" i="1"/>
  <c r="Q70" i="1"/>
  <c r="Q57" i="1"/>
  <c r="Q78" i="1"/>
  <c r="Q46" i="1"/>
  <c r="Q63" i="1"/>
  <c r="Q35" i="1"/>
  <c r="Q90" i="1"/>
  <c r="Q123" i="1"/>
  <c r="Q89" i="1"/>
  <c r="Q80" i="1"/>
  <c r="Q39" i="1"/>
  <c r="Q53" i="1"/>
  <c r="Q44" i="1"/>
  <c r="Q18" i="1"/>
  <c r="Q114" i="1"/>
  <c r="Q61" i="1"/>
  <c r="Q93" i="1"/>
  <c r="Q106" i="1"/>
  <c r="Q68" i="1"/>
  <c r="Q83" i="1"/>
  <c r="Q126" i="1"/>
  <c r="Q103" i="1"/>
  <c r="Q119" i="1"/>
  <c r="Q116" i="1"/>
  <c r="Q112" i="1"/>
  <c r="Q115" i="1"/>
  <c r="Q108" i="1"/>
  <c r="Q28" i="1"/>
  <c r="Q19" i="1"/>
  <c r="Q23" i="1"/>
  <c r="Q58" i="1"/>
  <c r="Q62" i="1"/>
  <c r="Q11" i="1"/>
  <c r="Q26" i="1"/>
  <c r="Q97" i="1"/>
  <c r="Q79" i="1"/>
  <c r="Q22" i="1"/>
  <c r="Q102" i="1"/>
  <c r="Q38" i="1"/>
  <c r="Q117" i="1"/>
  <c r="Q42" i="1"/>
  <c r="Q45" i="1"/>
  <c r="Q111" i="1"/>
  <c r="Q113" i="1"/>
  <c r="Q124" i="1"/>
  <c r="Q41" i="1"/>
  <c r="Q55" i="1"/>
  <c r="Q64" i="1"/>
  <c r="Q65" i="1"/>
  <c r="Q122" i="1"/>
  <c r="Q33" i="1"/>
  <c r="Q92" i="1"/>
  <c r="Q54" i="1"/>
  <c r="Q87" i="1"/>
  <c r="Q16" i="1"/>
  <c r="Q29" i="1"/>
  <c r="Q127" i="1"/>
  <c r="Q73" i="1"/>
  <c r="Q14" i="1"/>
  <c r="Q67" i="1"/>
  <c r="Q109" i="1"/>
  <c r="Q110" i="1"/>
  <c r="Q15" i="1"/>
  <c r="Q51" i="1"/>
  <c r="Q60" i="1"/>
  <c r="Q76" i="1"/>
  <c r="Q101" i="1"/>
  <c r="Q88" i="1"/>
  <c r="Q24" i="1"/>
  <c r="Q105" i="1"/>
  <c r="Q9" i="1"/>
  <c r="Q36" i="1"/>
  <c r="Q12" i="1"/>
  <c r="I40" i="1"/>
  <c r="I12" i="1"/>
  <c r="J14" i="1"/>
  <c r="L14" i="1" s="1"/>
  <c r="J35" i="1"/>
  <c r="L35" i="1" s="1"/>
  <c r="J92" i="1"/>
  <c r="L92" i="1" s="1"/>
  <c r="J63" i="1"/>
  <c r="L63" i="1" s="1"/>
  <c r="J123" i="1"/>
  <c r="L123" i="1" s="1"/>
  <c r="J67" i="1"/>
  <c r="L67" i="1" s="1"/>
  <c r="J65" i="1"/>
  <c r="L65" i="1" s="1"/>
  <c r="J74" i="1"/>
  <c r="L74" i="1" s="1"/>
  <c r="J80" i="1"/>
  <c r="L80" i="1" s="1"/>
  <c r="J30" i="1"/>
  <c r="L30" i="1" s="1"/>
  <c r="J32" i="1"/>
  <c r="L32" i="1" s="1"/>
  <c r="J18" i="1"/>
  <c r="L18" i="1" s="1"/>
  <c r="J79" i="1"/>
  <c r="L79" i="1" s="1"/>
  <c r="J47" i="1"/>
  <c r="L47" i="1" s="1"/>
  <c r="J29" i="1"/>
  <c r="L29" i="1" s="1"/>
  <c r="J99" i="1"/>
  <c r="L99" i="1" s="1"/>
  <c r="J98" i="1"/>
  <c r="L98" i="1" s="1"/>
  <c r="J113" i="1"/>
  <c r="L113" i="1" s="1"/>
  <c r="J48" i="1"/>
  <c r="L48" i="1" s="1"/>
  <c r="J112" i="1"/>
  <c r="L112" i="1" s="1"/>
  <c r="J16" i="1"/>
  <c r="L16" i="1" s="1"/>
  <c r="J10" i="1"/>
  <c r="L10" i="1" s="1"/>
  <c r="J73" i="1"/>
  <c r="L73" i="1" s="1"/>
  <c r="J71" i="1"/>
  <c r="L71" i="1" s="1"/>
  <c r="J131" i="1"/>
  <c r="L131" i="1" s="1"/>
  <c r="J86" i="1"/>
  <c r="L86" i="1" s="1"/>
  <c r="J54" i="1"/>
  <c r="L54" i="1" s="1"/>
  <c r="J42" i="1"/>
  <c r="L42" i="1" s="1"/>
  <c r="J50" i="1"/>
  <c r="L50" i="1" s="1"/>
  <c r="J34" i="1"/>
  <c r="L34" i="1" s="1"/>
  <c r="J111" i="1"/>
  <c r="L111" i="1" s="1"/>
  <c r="J114" i="1"/>
  <c r="L114" i="1" s="1"/>
  <c r="J90" i="1"/>
  <c r="L90" i="1" s="1"/>
  <c r="J57" i="1"/>
  <c r="L57" i="1" s="1"/>
  <c r="J134" i="1"/>
  <c r="L134" i="1" s="1"/>
  <c r="J127" i="1"/>
  <c r="L127" i="1" s="1"/>
  <c r="J82" i="1"/>
  <c r="L82" i="1" s="1"/>
  <c r="J106" i="1"/>
  <c r="L106" i="1" s="1"/>
  <c r="J125" i="1"/>
  <c r="L125" i="1" s="1"/>
  <c r="J119" i="1"/>
  <c r="L119" i="1" s="1"/>
  <c r="J61" i="1"/>
  <c r="L61" i="1" s="1"/>
  <c r="J128" i="1"/>
  <c r="L128" i="1" s="1"/>
  <c r="J105" i="1"/>
  <c r="L105" i="1" s="1"/>
  <c r="J102" i="1"/>
  <c r="L102" i="1" s="1"/>
  <c r="J83" i="1"/>
  <c r="L83" i="1" s="1"/>
  <c r="N6" i="1" l="1"/>
  <c r="I29" i="1"/>
  <c r="I34" i="1"/>
  <c r="I54" i="1"/>
  <c r="I32" i="1"/>
  <c r="I42" i="1"/>
  <c r="I86" i="1"/>
  <c r="I30" i="1"/>
  <c r="I50" i="1"/>
  <c r="I128" i="1"/>
  <c r="I131" i="1"/>
  <c r="I83" i="1"/>
  <c r="I105" i="1"/>
  <c r="I61" i="1"/>
  <c r="I80" i="1"/>
  <c r="I119" i="1"/>
  <c r="I71" i="1"/>
  <c r="I74" i="1"/>
  <c r="I114" i="1"/>
  <c r="I67" i="1"/>
  <c r="I123" i="1"/>
  <c r="I111" i="1"/>
  <c r="I73" i="1"/>
  <c r="I10" i="1"/>
  <c r="I112" i="1"/>
  <c r="I79" i="1"/>
  <c r="I102" i="1"/>
  <c r="I82" i="1"/>
  <c r="I134" i="1"/>
  <c r="I47" i="1"/>
  <c r="I125" i="1"/>
  <c r="I16" i="1"/>
  <c r="I57" i="1"/>
  <c r="I99" i="1"/>
  <c r="I18" i="1"/>
  <c r="I106" i="1"/>
  <c r="I127" i="1"/>
  <c r="I63" i="1"/>
  <c r="I48" i="1"/>
  <c r="I92" i="1"/>
  <c r="I35" i="1"/>
  <c r="I90" i="1"/>
  <c r="I98" i="1"/>
  <c r="I14" i="1"/>
  <c r="I113" i="1"/>
  <c r="I65" i="1"/>
  <c r="N7" i="1" l="1"/>
  <c r="N8" i="1" s="1"/>
  <c r="M7" i="1"/>
  <c r="M8" i="1" l="1"/>
  <c r="P7" i="1"/>
  <c r="R7" i="1" s="1"/>
  <c r="S7" i="1" s="1"/>
  <c r="M9" i="1" l="1"/>
  <c r="P8" i="1"/>
  <c r="M10" i="1" l="1"/>
  <c r="P9" i="1"/>
  <c r="M11" i="1" l="1"/>
  <c r="P10" i="1"/>
  <c r="R10" i="1" s="1"/>
  <c r="S10" i="1" s="1"/>
  <c r="M12" i="1" l="1"/>
  <c r="P11" i="1"/>
  <c r="M13" i="1" l="1"/>
  <c r="P13" i="1" s="1"/>
  <c r="P12" i="1"/>
  <c r="R13" i="1" l="1"/>
  <c r="M14" i="1"/>
  <c r="S13" i="1" l="1"/>
  <c r="M15" i="1"/>
  <c r="P14" i="1"/>
  <c r="M16" i="1" l="1"/>
  <c r="P15" i="1"/>
  <c r="M17" i="1" l="1"/>
  <c r="P16" i="1"/>
  <c r="M18" i="1" l="1"/>
  <c r="P17" i="1"/>
  <c r="R17" i="1" l="1"/>
  <c r="S17" i="1" s="1"/>
  <c r="P18" i="1"/>
  <c r="M19" i="1"/>
  <c r="M20" i="1" l="1"/>
  <c r="P19" i="1"/>
  <c r="M21" i="1" l="1"/>
  <c r="P20" i="1"/>
  <c r="M22" i="1" l="1"/>
  <c r="P21" i="1"/>
  <c r="M23" i="1" l="1"/>
  <c r="P22" i="1"/>
  <c r="P23" i="1" l="1"/>
  <c r="M24" i="1"/>
  <c r="M25" i="1" l="1"/>
  <c r="P24" i="1"/>
  <c r="M26" i="1" l="1"/>
  <c r="P25" i="1"/>
  <c r="M27" i="1" l="1"/>
  <c r="P26" i="1"/>
  <c r="M28" i="1" l="1"/>
  <c r="P27" i="1"/>
  <c r="P28" i="1" l="1"/>
  <c r="M29" i="1"/>
  <c r="M30" i="1" l="1"/>
  <c r="P29" i="1"/>
  <c r="M31" i="1" l="1"/>
  <c r="P30" i="1"/>
  <c r="R30" i="1" s="1"/>
  <c r="S30" i="1" s="1"/>
  <c r="M32" i="1" l="1"/>
  <c r="P31" i="1"/>
  <c r="M33" i="1" l="1"/>
  <c r="P32" i="1"/>
  <c r="P33" i="1" l="1"/>
  <c r="M34" i="1"/>
  <c r="M35" i="1" l="1"/>
  <c r="P34" i="1"/>
  <c r="M36" i="1" l="1"/>
  <c r="P35" i="1"/>
  <c r="M37" i="1" l="1"/>
  <c r="P36" i="1"/>
  <c r="M38" i="1" l="1"/>
  <c r="P37" i="1"/>
  <c r="P38" i="1" l="1"/>
  <c r="M39" i="1"/>
  <c r="M40" i="1" l="1"/>
  <c r="P39" i="1"/>
  <c r="M41" i="1" l="1"/>
  <c r="P40" i="1"/>
  <c r="M42" i="1" l="1"/>
  <c r="P41" i="1"/>
  <c r="P42" i="1" l="1"/>
  <c r="M43" i="1"/>
  <c r="M44" i="1" l="1"/>
  <c r="P43" i="1"/>
  <c r="R43" i="1" s="1"/>
  <c r="S43" i="1" s="1"/>
  <c r="M45" i="1" l="1"/>
  <c r="P44" i="1"/>
  <c r="P45" i="1" l="1"/>
  <c r="M46" i="1"/>
  <c r="M47" i="1" l="1"/>
  <c r="P46" i="1"/>
  <c r="P47" i="1" l="1"/>
  <c r="M48" i="1"/>
  <c r="M49" i="1" l="1"/>
  <c r="P48" i="1"/>
  <c r="P49" i="1" l="1"/>
  <c r="M50" i="1"/>
  <c r="P50" i="1" l="1"/>
  <c r="M51" i="1"/>
  <c r="M52" i="1" l="1"/>
  <c r="P51" i="1"/>
  <c r="P52" i="1" l="1"/>
  <c r="M53" i="1"/>
  <c r="M54" i="1" l="1"/>
  <c r="P53" i="1"/>
  <c r="P54" i="1" l="1"/>
  <c r="M55" i="1"/>
  <c r="P55" i="1" l="1"/>
  <c r="M56" i="1"/>
  <c r="M57" i="1" l="1"/>
  <c r="P56" i="1"/>
  <c r="R56" i="1" s="1"/>
  <c r="S56" i="1" s="1"/>
  <c r="P57" i="1" l="1"/>
  <c r="M58" i="1"/>
  <c r="P58" i="1" l="1"/>
  <c r="M59" i="1"/>
  <c r="P59" i="1" l="1"/>
  <c r="M60" i="1"/>
  <c r="P60" i="1" l="1"/>
  <c r="M61" i="1"/>
  <c r="M62" i="1" l="1"/>
  <c r="P61" i="1"/>
  <c r="P62" i="1" l="1"/>
  <c r="M63" i="1"/>
  <c r="P63" i="1" l="1"/>
  <c r="M64" i="1"/>
  <c r="P64" i="1" l="1"/>
  <c r="M65" i="1"/>
  <c r="P65" i="1" l="1"/>
  <c r="M66" i="1"/>
  <c r="M67" i="1" l="1"/>
  <c r="P66" i="1"/>
  <c r="P67" i="1" l="1"/>
  <c r="M68" i="1"/>
  <c r="P68" i="1" l="1"/>
  <c r="M69" i="1"/>
  <c r="P69" i="1" l="1"/>
  <c r="R69" i="1" s="1"/>
  <c r="S69" i="1" s="1"/>
  <c r="M70" i="1"/>
  <c r="P70" i="1" l="1"/>
  <c r="M71" i="1"/>
  <c r="M72" i="1" l="1"/>
  <c r="P71" i="1"/>
  <c r="M73" i="1" l="1"/>
  <c r="P72" i="1"/>
  <c r="M74" i="1" l="1"/>
  <c r="P73" i="1"/>
  <c r="P74" i="1" l="1"/>
  <c r="M75" i="1"/>
  <c r="P75" i="1" l="1"/>
  <c r="M76" i="1"/>
  <c r="M77" i="1" l="1"/>
  <c r="P76" i="1"/>
  <c r="M78" i="1" l="1"/>
  <c r="P77" i="1"/>
  <c r="M79" i="1" l="1"/>
  <c r="P78" i="1"/>
  <c r="P79" i="1" l="1"/>
  <c r="M80" i="1"/>
  <c r="P80" i="1" l="1"/>
  <c r="M81" i="1"/>
  <c r="M82" i="1" l="1"/>
  <c r="P81" i="1"/>
  <c r="M83" i="1" l="1"/>
  <c r="P82" i="1"/>
  <c r="M84" i="1" l="1"/>
  <c r="P83" i="1"/>
  <c r="P84" i="1" l="1"/>
  <c r="M85" i="1"/>
  <c r="P85" i="1" l="1"/>
  <c r="M86" i="1"/>
  <c r="M87" i="1" l="1"/>
  <c r="P86" i="1"/>
  <c r="M88" i="1" l="1"/>
  <c r="P87" i="1"/>
  <c r="M89" i="1" l="1"/>
  <c r="P88" i="1"/>
  <c r="P89" i="1" l="1"/>
  <c r="M90" i="1"/>
  <c r="P90" i="1" l="1"/>
  <c r="M91" i="1"/>
  <c r="M92" i="1" l="1"/>
  <c r="P91" i="1"/>
  <c r="M93" i="1" l="1"/>
  <c r="P92" i="1"/>
  <c r="M94" i="1" l="1"/>
  <c r="P93" i="1"/>
  <c r="P94" i="1" l="1"/>
  <c r="M95" i="1"/>
  <c r="P95" i="1" l="1"/>
  <c r="R95" i="1" s="1"/>
  <c r="S95" i="1" s="1"/>
  <c r="M96" i="1"/>
  <c r="M97" i="1" l="1"/>
  <c r="P96" i="1"/>
  <c r="M98" i="1" l="1"/>
  <c r="P97" i="1"/>
  <c r="M99" i="1" l="1"/>
  <c r="P98" i="1"/>
  <c r="M100" i="1" l="1"/>
  <c r="P99" i="1"/>
  <c r="M101" i="1" l="1"/>
  <c r="P100" i="1"/>
  <c r="P101" i="1" l="1"/>
  <c r="M102" i="1"/>
  <c r="M103" i="1" l="1"/>
  <c r="P102" i="1"/>
  <c r="M104" i="1" l="1"/>
  <c r="P103" i="1"/>
  <c r="M105" i="1" l="1"/>
  <c r="P104" i="1"/>
  <c r="M106" i="1" l="1"/>
  <c r="P105" i="1"/>
  <c r="P106" i="1" l="1"/>
  <c r="M107" i="1"/>
  <c r="M108" i="1" l="1"/>
  <c r="P107" i="1"/>
  <c r="M109" i="1" l="1"/>
  <c r="P108" i="1"/>
  <c r="M110" i="1" l="1"/>
  <c r="P109" i="1"/>
  <c r="M111" i="1" l="1"/>
  <c r="P110" i="1"/>
  <c r="M112" i="1" l="1"/>
  <c r="P111" i="1"/>
  <c r="P112" i="1" l="1"/>
  <c r="M113" i="1"/>
  <c r="M114" i="1" l="1"/>
  <c r="P113" i="1"/>
  <c r="M115" i="1" l="1"/>
  <c r="P114" i="1"/>
  <c r="P115" i="1" l="1"/>
  <c r="M116" i="1"/>
  <c r="M117" i="1" l="1"/>
  <c r="P116" i="1"/>
  <c r="M118" i="1" l="1"/>
  <c r="P117" i="1"/>
  <c r="M119" i="1" l="1"/>
  <c r="P118" i="1"/>
  <c r="M120" i="1" l="1"/>
  <c r="P119" i="1"/>
  <c r="M121" i="1" l="1"/>
  <c r="P120" i="1"/>
  <c r="M122" i="1" l="1"/>
  <c r="P121" i="1"/>
  <c r="M123" i="1" l="1"/>
  <c r="P122" i="1"/>
  <c r="M124" i="1" l="1"/>
  <c r="P123" i="1"/>
  <c r="M125" i="1" l="1"/>
  <c r="P124" i="1"/>
  <c r="M126" i="1" l="1"/>
  <c r="P125" i="1"/>
  <c r="M127" i="1" l="1"/>
  <c r="P126" i="1"/>
  <c r="M128" i="1" l="1"/>
  <c r="P127" i="1"/>
  <c r="M129" i="1" l="1"/>
  <c r="P128" i="1"/>
  <c r="M130" i="1" l="1"/>
  <c r="P129" i="1"/>
  <c r="M131" i="1" l="1"/>
  <c r="P130" i="1"/>
  <c r="M132" i="1" l="1"/>
  <c r="P131" i="1"/>
  <c r="M133" i="1" l="1"/>
  <c r="P132" i="1"/>
  <c r="M134" i="1" l="1"/>
  <c r="P134" i="1" s="1"/>
  <c r="P133" i="1"/>
  <c r="R134" i="1" l="1"/>
  <c r="S134" i="1" s="1"/>
  <c r="N9" i="1" l="1"/>
  <c r="N10" i="1" l="1"/>
  <c r="N11" i="1" s="1"/>
  <c r="N12" i="1" l="1"/>
  <c r="N13" i="1" l="1"/>
  <c r="N14" i="1" l="1"/>
  <c r="N15" i="1" s="1"/>
  <c r="N16" i="1" l="1"/>
  <c r="N17" i="1" s="1"/>
  <c r="N18" i="1" l="1"/>
  <c r="N19" i="1" s="1"/>
  <c r="N20" i="1" s="1"/>
  <c r="N21" i="1" l="1"/>
  <c r="N22" i="1" s="1"/>
  <c r="N23" i="1" l="1"/>
  <c r="N24" i="1" s="1"/>
  <c r="N25" i="1" s="1"/>
  <c r="N26" i="1" s="1"/>
  <c r="N27" i="1" s="1"/>
  <c r="N28" i="1" s="1"/>
  <c r="N29" i="1" s="1"/>
  <c r="N30" i="1" s="1"/>
  <c r="N31" i="1" s="1"/>
  <c r="N32" i="1" s="1"/>
  <c r="N33" i="1" s="1"/>
  <c r="N34" i="1" s="1"/>
  <c r="N35" i="1" s="1"/>
  <c r="N36" i="1" s="1"/>
  <c r="N37" i="1" s="1"/>
  <c r="N38" i="1" s="1"/>
  <c r="N39" i="1" s="1"/>
  <c r="N40" i="1" s="1"/>
  <c r="N41" i="1" s="1"/>
  <c r="N42" i="1" s="1"/>
  <c r="N43" i="1" l="1"/>
  <c r="N44" i="1" s="1"/>
  <c r="N45" i="1" s="1"/>
  <c r="N46" i="1" s="1"/>
  <c r="N47" i="1" s="1"/>
  <c r="N48" i="1" s="1"/>
  <c r="N49" i="1" s="1"/>
  <c r="N50" i="1" s="1"/>
  <c r="N51" i="1" s="1"/>
  <c r="N52" i="1" s="1"/>
  <c r="N53" i="1" s="1"/>
  <c r="N54" i="1" s="1"/>
  <c r="N55" i="1" s="1"/>
  <c r="N56" i="1" l="1"/>
  <c r="N57" i="1" s="1"/>
  <c r="N58" i="1" s="1"/>
  <c r="N59" i="1" s="1"/>
  <c r="N60" i="1" s="1"/>
  <c r="N61" i="1" s="1"/>
  <c r="N62" i="1" s="1"/>
  <c r="N63" i="1" s="1"/>
  <c r="N64" i="1" s="1"/>
  <c r="N65" i="1" s="1"/>
  <c r="N66" i="1" s="1"/>
  <c r="N67" i="1" s="1"/>
  <c r="N68" i="1" s="1"/>
  <c r="N69" i="1" s="1"/>
  <c r="N70" i="1" s="1"/>
  <c r="N71" i="1" s="1"/>
  <c r="N72" i="1" s="1"/>
  <c r="N73" i="1" s="1"/>
  <c r="N74" i="1" s="1"/>
  <c r="N75" i="1" s="1"/>
  <c r="N76" i="1" s="1"/>
  <c r="N77" i="1" s="1"/>
  <c r="N78" i="1" s="1"/>
  <c r="N79" i="1" s="1"/>
  <c r="N80" i="1" s="1"/>
  <c r="N81" i="1" s="1"/>
  <c r="N82" i="1" s="1"/>
  <c r="N83" i="1" s="1"/>
  <c r="N84" i="1" s="1"/>
  <c r="N85" i="1" s="1"/>
  <c r="N86" i="1" s="1"/>
  <c r="N87" i="1" s="1"/>
  <c r="N88" i="1" s="1"/>
  <c r="N89" i="1" s="1"/>
  <c r="N90" i="1" s="1"/>
  <c r="N91" i="1" s="1"/>
  <c r="N92" i="1" s="1"/>
  <c r="N93" i="1" s="1"/>
  <c r="N94" i="1" s="1"/>
  <c r="N95" i="1" s="1"/>
  <c r="N96" i="1" s="1"/>
  <c r="N97" i="1" s="1"/>
  <c r="N98" i="1" s="1"/>
  <c r="N99" i="1" s="1"/>
  <c r="N100" i="1" s="1"/>
  <c r="N101" i="1" s="1"/>
  <c r="N102" i="1" s="1"/>
  <c r="N103" i="1" s="1"/>
  <c r="N104" i="1" s="1"/>
  <c r="N105" i="1" s="1"/>
  <c r="N106" i="1" s="1"/>
  <c r="N107" i="1" s="1"/>
  <c r="N108" i="1" s="1"/>
  <c r="N109" i="1" s="1"/>
  <c r="N110" i="1" s="1"/>
  <c r="N111" i="1" s="1"/>
  <c r="N112" i="1" s="1"/>
  <c r="N113" i="1" s="1"/>
  <c r="N114" i="1" s="1"/>
  <c r="N115" i="1" s="1"/>
  <c r="N116" i="1" s="1"/>
  <c r="N117" i="1" s="1"/>
  <c r="N118" i="1" s="1"/>
  <c r="N119" i="1" s="1"/>
  <c r="N120" i="1" s="1"/>
  <c r="N121" i="1" s="1"/>
  <c r="N122" i="1" s="1"/>
  <c r="N123" i="1" s="1"/>
  <c r="N124" i="1" s="1"/>
  <c r="N125" i="1" s="1"/>
  <c r="N126" i="1" s="1"/>
  <c r="N127" i="1" s="1"/>
  <c r="N128" i="1" s="1"/>
  <c r="N129" i="1" s="1"/>
  <c r="N130" i="1" s="1"/>
  <c r="N131" i="1" s="1"/>
  <c r="N132" i="1" s="1"/>
  <c r="N133" i="1" s="1"/>
  <c r="N13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<sst xmlns="http://schemas.openxmlformats.org/spreadsheetml/2006/main" count="58" uniqueCount="50">
  <si>
    <t>3X1</t>
  </si>
  <si>
    <t>6X1</t>
  </si>
  <si>
    <t>9X1</t>
  </si>
  <si>
    <t>13X1</t>
  </si>
  <si>
    <t>26X1</t>
  </si>
  <si>
    <t>39X1</t>
  </si>
  <si>
    <t>52X1</t>
  </si>
  <si>
    <t>65X1</t>
  </si>
  <si>
    <t>91X1</t>
  </si>
  <si>
    <t>130X1</t>
  </si>
  <si>
    <t>TIIE</t>
  </si>
  <si>
    <t>1D</t>
  </si>
  <si>
    <t>Fecha de Valuación</t>
  </si>
  <si>
    <t>Fixing Day</t>
  </si>
  <si>
    <t>Start Day</t>
  </si>
  <si>
    <t>End Date</t>
  </si>
  <si>
    <t>Cupón</t>
  </si>
  <si>
    <t>N° Días</t>
  </si>
  <si>
    <t>índices</t>
  </si>
  <si>
    <t>Day Count</t>
  </si>
  <si>
    <t>Fraction IRS</t>
  </si>
  <si>
    <t>Fraction Zero</t>
  </si>
  <si>
    <t>Descuento</t>
  </si>
  <si>
    <t>Par-Swap</t>
  </si>
  <si>
    <t>Par-Swap Teórica</t>
  </si>
  <si>
    <t>Interpolación Tasa Par-Swap</t>
  </si>
  <si>
    <t>Interpolación Tasa Par-Swap Contínua</t>
  </si>
  <si>
    <t>Aux</t>
  </si>
  <si>
    <t>Lineal</t>
  </si>
  <si>
    <t>Tipo de interpolación de tasa par-swap</t>
  </si>
  <si>
    <t>Contínua</t>
  </si>
  <si>
    <t>Seleccione el tipo de
interpolación de 
tasa par-swap</t>
  </si>
  <si>
    <t>Diferencias</t>
  </si>
  <si>
    <t>Datos Originales</t>
  </si>
  <si>
    <t>Año calendario</t>
  </si>
  <si>
    <t>Following</t>
  </si>
  <si>
    <t>Día hábil anterior</t>
  </si>
  <si>
    <t>A partir de las tasas reportadas de mercado, este libro calcula los factores de descuento.</t>
  </si>
  <si>
    <t>Integrantes del equipo</t>
  </si>
  <si>
    <t>Aguilar Ayala Julio</t>
  </si>
  <si>
    <t>Bonilla Alarcón Alejandro</t>
  </si>
  <si>
    <t>Mejía Nájera Ángel Josué</t>
  </si>
  <si>
    <t>Ramírez Rubio Eduardo</t>
  </si>
  <si>
    <t>INSTRUCCIONES</t>
  </si>
  <si>
    <t>Para seleccionar tanto la convención de día habil siguiente o anterior como la de años natural o comercial, elija en la celda a la izquierda del icono de la brocha.</t>
  </si>
  <si>
    <t>Luego para seleccionar la interpolación lineal o continua seleccione debajo y
 en la celda correspondiente.</t>
  </si>
  <si>
    <t>Finalmente, para ejecutar el bootstraping accione el boton principal 'Bootstrapping'.</t>
  </si>
  <si>
    <t>WARNING: Por su seguridad, no editar nada fuera 
del área enmarcada en rojo, pues puede afectar en
 el funcionamiento de la interpolación.</t>
  </si>
  <si>
    <t>Si las celdas correpondientes a los cupones no se encuentran marcadas en amarillo,
 accionar el icono de la brocha (en la parte izquierda de la hoja de cálculo) pues las siguientes interpolaciones están asociadas a las celdas de dicho color.</t>
  </si>
  <si>
    <t>Es necesario tener activado las funciones de Solver para 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</si>
</sst>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9">
    <numFmt numFmtId="5" formatCode="&quot;$&quot;#,##0;\-&quot;$&quot;#,##0"/>
    <numFmt numFmtId="6" formatCode="&quot;$&quot;#,##0;[Red]\-&quot;$&quot;#,##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quot;$&quot;#,##0_);\(&quot;$&quot;#,##0\)"/>
    <numFmt numFmtId="165" formatCode="&quot;$&quot;#,##0_);[Red]\(&quot;$&quot;#,##0\)"/>
    <numFmt numFmtId="166" formatCode="_(&quot;$&quot;* #,##0_);_(&quot;$&quot;* \(#,##0\);_(&quot;$&quot;* &quot;-&quot;_);_(@_)"/>
    <numFmt numFmtId="167" formatCode="_(* #,##0_);_(* \(#,##0\);_(* &quot;-&quot;_);_(@_)"/>
    <numFmt numFmtId="168" formatCode="_(&quot;$&quot;* #,##0.00_);_(&quot;$&quot;* \(#,##0.00\);_(&quot;$&quot;* &quot;-&quot;??_);_(@_)"/>
    <numFmt numFmtId="169" formatCode="_(* #,##0.00_);_(* \(#,##0.00\);_(* &quot;-&quot;??_);_(@_)"/>
    <numFmt numFmtId="170" formatCode="0.0000%"/>
    <numFmt numFmtId="171" formatCode="0.000%"/>
    <numFmt numFmtId="172" formatCode="0.0000"/>
    <numFmt numFmtId="173" formatCode="0.00000"/>
    <numFmt numFmtId="174" formatCode="0.000"/>
    <numFmt numFmtId="175" formatCode="&quot;£&quot;#,##0.00;\-&quot;£&quot;#,##0.00"/>
    <numFmt numFmtId="176" formatCode="&quot;£&quot;#,##0.00;[Red]\-&quot;£&quot;#,##0.00"/>
    <numFmt numFmtId="177" formatCode="_-&quot;£&quot;* #,##0_-;\-&quot;£&quot;* #,##0_-;_-&quot;£&quot;* &quot;-&quot;_-;_-@_-"/>
    <numFmt numFmtId="178" formatCode="_-* #,##0\ _€_-;\-* #,##0\ _€_-;_-* &quot;-&quot;\ _€_-;_-@_-"/>
    <numFmt numFmtId="179" formatCode="_-* #,##0.00\ &quot;€&quot;_-;\-* #,##0.00\ &quot;€&quot;_-;_-* &quot;-&quot;??\ &quot;€&quot;_-;_-@_-"/>
    <numFmt numFmtId="180" formatCode="_-* #,##0.00\ _€_-;\-* #,##0.00\ _€_-;_-* &quot;-&quot;??\ _€_-;_-@_-"/>
    <numFmt numFmtId="181" formatCode="0.000000000000000000%"/>
    <numFmt numFmtId="182" formatCode="_-* #,##0.00\ [$€]_-;\-* #,##0.00\ [$€]_-;_-* &quot;-&quot;??\ [$€]_-;_-@_-"/>
    <numFmt numFmtId="183" formatCode="_(* #,##0_);_(* \(#,##0\);_(* &quot;-&quot;??_);_(@_)"/>
    <numFmt numFmtId="184" formatCode="dd\ mmmyy"/>
    <numFmt numFmtId="185" formatCode="dd\ mmmyy\ hh:mm"/>
    <numFmt numFmtId="186" formatCode="0.00_)"/>
    <numFmt numFmtId="187" formatCode="#,##0\ &quot;DM&quot;;\-#,##0\ &quot;DM&quot;"/>
    <numFmt numFmtId="188" formatCode="_-* #,##0\ _F_-;\-* #,##0\ _F_-;_-* &quot;-&quot;\ _F_-;_-@_-"/>
    <numFmt numFmtId="189" formatCode="_ &quot;\&quot;* #,##0_ ;_ &quot;\&quot;* \-#,##0_ ;_ &quot;\&quot;* &quot;-&quot;_ ;_ @_ "/>
    <numFmt numFmtId="190" formatCode="#.##"/>
    <numFmt numFmtId="191" formatCode="_ &quot;\&quot;* #,##0.00_ ;_ &quot;\&quot;* \-#,##0.00_ ;_ &quot;\&quot;* &quot;-&quot;??_ ;_ @_ "/>
    <numFmt numFmtId="192" formatCode="#,##0.000;[Red]&quot;-&quot;#,##0.000"/>
    <numFmt numFmtId="193" formatCode="_ * #,##0_ ;_ * \-#,##0_ ;_ * &quot;-&quot;_ ;_ @_ "/>
    <numFmt numFmtId="194" formatCode="_ * #,##0.00_ ;_ * \-#,##0.00_ ;_ * &quot;-&quot;??_ ;_ @_ "/>
    <numFmt numFmtId="195" formatCode="#,##0\ ;\(#,##0\);\-\ \ \ \ \ "/>
    <numFmt numFmtId="196" formatCode="#,##0\ ;\(#,##0\);\–\ \ \ \ \ "/>
    <numFmt numFmtId="197" formatCode="\$#,##0\ ;\(\$#,##0\)"/>
    <numFmt numFmtId="198" formatCode="#,##0;[Red]#,##0"/>
    <numFmt numFmtId="199" formatCode="_-&quot;VND&quot;* #,##0_-;\-&quot;VND&quot;* #,##0_-;_-&quot;VND&quot;* &quot;-&quot;_-;_-@_-"/>
    <numFmt numFmtId="200" formatCode="_(&quot;Rp&quot;* #,##0.00_);_(&quot;Rp&quot;* \(#,##0.00\);_(&quot;Rp&quot;* &quot;-&quot;??_);_(@_)"/>
    <numFmt numFmtId="201" formatCode="#,##0.00\ &quot;FB&quot;;[Red]\-#,##0.00\ &quot;FB&quot;"/>
    <numFmt numFmtId="202" formatCode="_-* #,##0\ _₫_-;\-* #,##0\ _₫_-;_-* &quot;-&quot;\ _₫_-;_-@_-"/>
    <numFmt numFmtId="203" formatCode="#,##0\ &quot;$&quot;;\-#,##0\ &quot;$&quot;"/>
    <numFmt numFmtId="204" formatCode="_-* #,##0\ _F_B_-;\-* #,##0\ _F_B_-;_-* &quot;-&quot;\ _F_B_-;_-@_-"/>
    <numFmt numFmtId="205" formatCode="_-* #,##0.00\ _₫_-;\-* #,##0.00\ _₫_-;_-* &quot;-&quot;??\ _₫_-;_-@_-"/>
    <numFmt numFmtId="206" formatCode="#,##0,"/>
    <numFmt numFmtId="207" formatCode="#,##0\ &quot;$&quot;_);\(#,##0\ &quot;$&quot;\)"/>
    <numFmt numFmtId="208" formatCode="#,##0\ \ \ ;[Red]\(#,##0\)\ \ ;\—\ \ \ \ "/>
    <numFmt numFmtId="209" formatCode="#,##0.00\ \ "/>
    <numFmt numFmtId="210" formatCode="#,##0.00\ "/>
    <numFmt numFmtId="211" formatCode="_-* #,##0\ &quot;$&quot;_-;\-* #,##0\ &quot;$&quot;_-;_-* &quot;-&quot;\ &quot;$&quot;_-;_-@_-"/>
    <numFmt numFmtId="212" formatCode="_-* #,##0.00\ &quot;$&quot;_-;\-* #,##0.00\ &quot;$&quot;_-;_-* &quot;-&quot;??\ &quot;$&quot;_-;_-@_-"/>
    <numFmt numFmtId="213" formatCode="_-&quot;F&quot;* #,##0_-;\-&quot;F&quot;* #,##0_-;_-&quot;F&quot;* &quot;-&quot;_-;_-@_-"/>
    <numFmt numFmtId="214" formatCode="#,##0\ &quot;F&quot;;[Red]\-#,##0\ &quot;F&quot;"/>
    <numFmt numFmtId="215" formatCode="_-&quot;F&quot;* #,##0.00_-;\-&quot;F&quot;* #,##0.00_-;_-&quot;F&quot;* &quot;-&quot;??_-;_-@_-"/>
    <numFmt numFmtId="216" formatCode="0.000000"/>
    <numFmt numFmtId="217" formatCode="#,##0.0;\-#,##0.0;\-"/>
    <numFmt numFmtId="218" formatCode="#,##0_);\(#,##0\);&quot;-  &quot;;&quot;  &quot;@"/>
    <numFmt numFmtId="219" formatCode="0.0%;\-0.0%;\-"/>
    <numFmt numFmtId="220" formatCode="0.0%"/>
    <numFmt numFmtId="221" formatCode="#,##0_);[Red]\(#,##0\);\-_0_)"/>
    <numFmt numFmtId="222" formatCode="#,##0.0,_);\(#,##0.0,\);\-_0_)"/>
    <numFmt numFmtId="223" formatCode="#,##0;&quot;(&quot;#,##0&quot;)&quot;;&quot;-&quot;"/>
    <numFmt numFmtId="224" formatCode="#,##0_);[Red]\(#,##0\);&quot;-&quot;_);[Blue]&quot;Error-&quot;@"/>
    <numFmt numFmtId="225" formatCode="#,##0.0_);[Red]\(#,##0.0\);&quot;-&quot;_);[Blue]&quot;Error-&quot;@"/>
    <numFmt numFmtId="226" formatCode="#,##0.00_);[Red]\(#,##0.00\);&quot;-&quot;_);[Blue]&quot;Error-&quot;@"/>
    <numFmt numFmtId="227" formatCode="&quot;£&quot;* #,##0_);[Red]&quot;£&quot;* \(#,##0\);&quot;£&quot;* &quot;-&quot;_);[Blue]&quot;Error-&quot;@"/>
    <numFmt numFmtId="228" formatCode="&quot;£&quot;* #,##0.0_);[Red]&quot;£&quot;* \(#,##0.0\);&quot;£&quot;* &quot;-&quot;_);[Blue]&quot;Error-&quot;@"/>
    <numFmt numFmtId="229" formatCode="&quot;£&quot;* #,##0.00_);[Red]&quot;£&quot;* \(#,##0.00\);&quot;£&quot;* &quot;-&quot;_);[Blue]&quot;Error-&quot;@"/>
    <numFmt numFmtId="230" formatCode="dd\ mmm\ yyyy_)"/>
    <numFmt numFmtId="231" formatCode="dd/mm/yy_)"/>
    <numFmt numFmtId="232" formatCode="0%_);[Red]\-0%_);0%_);[Blue]&quot;Error-&quot;@"/>
    <numFmt numFmtId="233" formatCode="0.0%_);[Red]\-0.0%_);0.0%_);[Blue]&quot;Error-&quot;@"/>
    <numFmt numFmtId="234" formatCode="0.00%_);[Red]\-0.00%_);0.00%_);[Blue]&quot;Error-&quot;@"/>
    <numFmt numFmtId="235" formatCode="000"/>
    <numFmt numFmtId="236" formatCode="mmm\ yy"/>
    <numFmt numFmtId="237" formatCode="\ ;\ ;"/>
    <numFmt numFmtId="238" formatCode="#,##0\ &quot;Kč&quot;;\-#,##0\ &quot;Kč&quot;"/>
    <numFmt numFmtId="239" formatCode="#,##0.000"/>
    <numFmt numFmtId="240" formatCode="d\ mmm\ yy"/>
    <numFmt numFmtId="241" formatCode="#,##0.0,;[Red]\(#,##0.0,\);\-_)_0"/>
    <numFmt numFmtId="242" formatCode="0%;\-0%;&quot;-&quot;"/>
    <numFmt numFmtId="243" formatCode="_(* #,##0.00%_);_(* \(#,##0.00%\);_(* #,##0.00%_);_(@_)"/>
    <numFmt numFmtId="244" formatCode="_-&quot;L.&quot;\ * #,##0_-;\-&quot;L.&quot;\ * #,##0_-;_-&quot;L.&quot;\ * &quot;-&quot;_-;_-@_-"/>
    <numFmt numFmtId="245" formatCode="_-* #,##0.00\ \€_-;\-* #,##0.00\ \€_-;_-* &quot;-&quot;??\ \€_-;_-@_-"/>
    <numFmt numFmtId="246" formatCode="_-* #,##0.00\ _D_M_-;\-* #,##0.00\ _D_M_-;_-* &quot;-&quot;??\ _D_M_-;_-@_-"/>
    <numFmt numFmtId="247" formatCode="0.00&quot;%&quot;"/>
    <numFmt numFmtId="248" formatCode="General_)"/>
    <numFmt numFmtId="249" formatCode="[Red]&quot;£&quot;#,##0.00&quot;/mhr&quot;"/>
    <numFmt numFmtId="250" formatCode="#,##0.0"/>
    <numFmt numFmtId="251" formatCode="0.0"/>
    <numFmt numFmtId="252" formatCode="0.000_);[Red]\(0.000\)"/>
    <numFmt numFmtId="253" formatCode="_-* #,##0.00\ _F_-;\-* #,##0.00\ _F_-;_-* &quot;-&quot;??\ _F_-;_-@_-"/>
    <numFmt numFmtId="254" formatCode="_-* #,##0\ &quot;F&quot;_-;\-* #,##0\ &quot;F&quot;_-;_-* &quot;-&quot;\ &quot;F&quot;_-;_-@_-"/>
    <numFmt numFmtId="255" formatCode="_-* #,##0.00\ &quot;F&quot;_-;\-* #,##0.00\ &quot;F&quot;_-;_-* &quot;-&quot;??\ &quot;F&quot;_-;_-@_-"/>
    <numFmt numFmtId="256" formatCode="0.0%;\(0.0%\)"/>
    <numFmt numFmtId="257" formatCode="&quot;£&quot;#,##0;[Red]\-&quot;£&quot;#,##0"/>
    <numFmt numFmtId="258" formatCode="#,##0.00000"/>
    <numFmt numFmtId="259" formatCode="#,##0.00\ &quot;€&quot;;\-#,##0.00\ &quot;€&quot;"/>
    <numFmt numFmtId="260" formatCode="#,##0.00\ &quot;€&quot;;[Red]\-#,##0.00\ &quot;€&quot;"/>
    <numFmt numFmtId="261" formatCode="_-* #,##0\ &quot;€&quot;_-;\-* #,##0\ &quot;€&quot;_-;_-* &quot;-&quot;\ &quot;€&quot;_-;_-@_-"/>
    <numFmt numFmtId="262" formatCode="[$-240A]hh:mm:ss\ AM/PM;@"/>
    <numFmt numFmtId="263" formatCode="#,##0.0000"/>
    <numFmt numFmtId="264" formatCode="0.000000000%"/>
    <numFmt numFmtId="265" formatCode="0.0000000000000000%"/>
    <numFmt numFmtId="266" formatCode="0.000000000000%"/>
  </numFmts>
  <fonts count="21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name val="Arial"/>
      <family val="2"/>
    </font>
    <font>
      <sz val="10"/>
      <color indexed="8"/>
      <name val="Arial"/>
      <family val="2"/>
    </font>
    <font>
      <sz val="10"/>
      <color indexed="9"/>
      <name val="Arial"/>
      <family val="2"/>
    </font>
    <font>
      <b/>
      <sz val="10"/>
      <color indexed="52"/>
      <name val="Arial"/>
      <family val="2"/>
    </font>
    <font>
      <b/>
      <sz val="11"/>
      <color indexed="56"/>
      <name val="Arial"/>
      <family val="2"/>
    </font>
    <font>
      <sz val="10"/>
      <color indexed="20"/>
      <name val="Arial"/>
      <family val="2"/>
    </font>
    <font>
      <sz val="10"/>
      <color indexed="60"/>
      <name val="Arial"/>
      <family val="2"/>
    </font>
    <font>
      <b/>
      <sz val="10"/>
      <color indexed="63"/>
      <name val="Arial"/>
      <family val="2"/>
    </font>
    <font>
      <i/>
      <sz val="10"/>
      <color indexed="23"/>
      <name val="Arial"/>
      <family val="2"/>
    </font>
    <font>
      <b/>
      <sz val="18"/>
      <color indexed="56"/>
      <name val="Cambria"/>
      <family val="2"/>
    </font>
    <font>
      <b/>
      <sz val="15"/>
      <color indexed="56"/>
      <name val="Arial"/>
      <family val="2"/>
    </font>
    <font>
      <b/>
      <sz val="13"/>
      <color indexed="56"/>
      <name val="Arial"/>
      <family val="2"/>
    </font>
    <font>
      <b/>
      <sz val="10"/>
      <color indexed="8"/>
      <name val="Arial"/>
      <family val="2"/>
    </font>
    <font>
      <b/>
      <sz val="10"/>
      <name val="Arial"/>
      <family val="2"/>
    </font>
    <font>
      <b/>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sz val="11"/>
      <color indexed="10"/>
      <name val="Calibri"/>
      <family val="2"/>
    </font>
    <font>
      <u/>
      <sz val="9.1"/>
      <color indexed="12"/>
      <name val="Arial"/>
      <family val="2"/>
    </font>
    <font>
      <sz val="10"/>
      <name val="Courier"/>
      <family val="3"/>
    </font>
    <font>
      <b/>
      <sz val="12"/>
      <name val="Arial"/>
      <family val="2"/>
    </font>
    <font>
      <b/>
      <sz val="10"/>
      <color indexed="9"/>
      <name val="Arial"/>
      <family val="2"/>
    </font>
    <font>
      <sz val="9"/>
      <name val="Tahoma"/>
      <family val="2"/>
    </font>
    <font>
      <b/>
      <sz val="12"/>
      <color indexed="61"/>
      <name val="Tahoma"/>
      <family val="2"/>
    </font>
    <font>
      <b/>
      <sz val="9"/>
      <color indexed="12"/>
      <name val="Tahoma"/>
      <family val="2"/>
    </font>
    <font>
      <b/>
      <sz val="9"/>
      <name val="Tahoma"/>
      <family val="2"/>
    </font>
    <font>
      <b/>
      <sz val="9"/>
      <color indexed="42"/>
      <name val="Tahoma"/>
      <family val="2"/>
    </font>
    <font>
      <u/>
      <sz val="10"/>
      <color indexed="12"/>
      <name val="Arial"/>
      <family val="2"/>
    </font>
    <font>
      <b/>
      <sz val="9"/>
      <color indexed="20"/>
      <name val="Tahoma"/>
      <family val="2"/>
    </font>
    <font>
      <b/>
      <sz val="9"/>
      <color indexed="63"/>
      <name val="Tahoma"/>
      <family val="2"/>
    </font>
    <font>
      <b/>
      <sz val="12"/>
      <color indexed="20"/>
      <name val="Tahoma"/>
      <family val="2"/>
    </font>
    <font>
      <sz val="11"/>
      <color indexed="60"/>
      <name val="Calibri"/>
      <family val="2"/>
    </font>
    <font>
      <b/>
      <sz val="8"/>
      <color indexed="9"/>
      <name val="Arial"/>
      <family val="2"/>
    </font>
    <font>
      <b/>
      <sz val="11"/>
      <color indexed="8"/>
      <name val="Calibri"/>
      <family val="2"/>
    </font>
    <font>
      <b/>
      <sz val="10"/>
      <color indexed="10"/>
      <name val="Arial"/>
      <family val="2"/>
    </font>
    <font>
      <sz val="10"/>
      <color indexed="10"/>
      <name val="Arial"/>
      <family val="2"/>
    </font>
    <font>
      <sz val="18"/>
      <name val="Arial"/>
      <family val="2"/>
    </font>
    <font>
      <sz val="9"/>
      <name val="Times New Roman"/>
      <family val="1"/>
    </font>
    <font>
      <sz val="10"/>
      <name val="MS Sans Serif"/>
      <family val="2"/>
    </font>
    <font>
      <sz val="10"/>
      <color indexed="62"/>
      <name val="Arial"/>
      <family val="2"/>
    </font>
    <font>
      <sz val="10"/>
      <color indexed="12"/>
      <name val="MS Sans Serif"/>
      <family val="2"/>
    </font>
    <font>
      <b/>
      <i/>
      <sz val="16"/>
      <name val="Helv"/>
    </font>
    <font>
      <b/>
      <sz val="12"/>
      <color indexed="12"/>
      <name val="Arial"/>
      <family val="2"/>
    </font>
    <font>
      <sz val="11"/>
      <name val="??"/>
      <family val="3"/>
    </font>
    <font>
      <sz val="10"/>
      <name val="?? ??"/>
      <family val="1"/>
      <charset val="136"/>
    </font>
    <font>
      <sz val="12"/>
      <name val="바탕체"/>
      <family val="1"/>
      <charset val="129"/>
    </font>
    <font>
      <sz val="14"/>
      <name val="??"/>
      <family val="3"/>
    </font>
    <font>
      <sz val="12"/>
      <name val="????"/>
      <family val="1"/>
      <charset val="136"/>
    </font>
    <font>
      <sz val="12"/>
      <name val="Courier"/>
      <family val="3"/>
    </font>
    <font>
      <sz val="12"/>
      <name val="Times New Roman"/>
      <family val="1"/>
    </font>
    <font>
      <sz val="12"/>
      <name val="|??¢¥¢¬¨Ï"/>
      <family val="1"/>
      <charset val="129"/>
    </font>
    <font>
      <sz val="12"/>
      <name val=".VnTime"/>
      <family val="2"/>
    </font>
    <font>
      <b/>
      <sz val="12"/>
      <name val="바탕체"/>
      <family val="1"/>
      <charset val="129"/>
    </font>
    <font>
      <sz val="12"/>
      <name val="???"/>
      <family val="1"/>
    </font>
    <font>
      <sz val="11"/>
      <name val="돋움"/>
      <family val="3"/>
      <charset val="129"/>
    </font>
    <font>
      <i/>
      <sz val="12"/>
      <color indexed="8"/>
      <name val=".VnBook-AntiquaH"/>
      <family val="2"/>
    </font>
    <font>
      <sz val="11"/>
      <color indexed="8"/>
      <name val="맑은 고딕"/>
      <family val="3"/>
      <charset val="129"/>
    </font>
    <font>
      <b/>
      <sz val="12"/>
      <color indexed="8"/>
      <name val=".VnBook-Antiqua"/>
      <family val="2"/>
    </font>
    <font>
      <i/>
      <sz val="12"/>
      <color indexed="8"/>
      <name val=".VnBook-Antiqua"/>
      <family val="2"/>
    </font>
    <font>
      <sz val="11"/>
      <color indexed="9"/>
      <name val="맑은 고딕"/>
      <family val="3"/>
      <charset val="129"/>
    </font>
    <font>
      <sz val="11"/>
      <name val="±¼¸²Ã¼"/>
      <family val="3"/>
      <charset val="129"/>
    </font>
    <font>
      <sz val="12"/>
      <name val="¹UAAA¼"/>
      <family val="1"/>
      <charset val="129"/>
    </font>
    <font>
      <sz val="12"/>
      <name val="¹ÙÅÁÃ¼"/>
      <family val="3"/>
      <charset val="129"/>
    </font>
    <font>
      <sz val="12"/>
      <name val="굴림"/>
      <family val="3"/>
      <charset val="129"/>
    </font>
    <font>
      <sz val="11"/>
      <name val="Times New Roman"/>
      <family val="1"/>
    </font>
    <font>
      <b/>
      <sz val="10"/>
      <name val="Helv"/>
      <family val="2"/>
    </font>
    <font>
      <sz val="10"/>
      <name val=".VnArial"/>
      <family val="2"/>
    </font>
    <font>
      <b/>
      <sz val="12"/>
      <name val="VNTime"/>
      <family val="2"/>
    </font>
    <font>
      <b/>
      <sz val="14"/>
      <color indexed="13"/>
      <name val="Arial"/>
      <family val="2"/>
    </font>
    <font>
      <b/>
      <sz val="12"/>
      <name val="VNTimeH"/>
      <family val="2"/>
    </font>
    <font>
      <sz val="10"/>
      <name val="Arial CE"/>
      <family val="2"/>
      <charset val="238"/>
    </font>
    <font>
      <i/>
      <sz val="12"/>
      <name val="Arial"/>
      <family val="2"/>
    </font>
    <font>
      <sz val="18"/>
      <name val="Times New Roman"/>
      <family val="1"/>
    </font>
    <font>
      <sz val="8"/>
      <name val="Times New Roman"/>
      <family val="1"/>
    </font>
    <font>
      <i/>
      <sz val="12"/>
      <name val="Times New Roman"/>
      <family val="1"/>
    </font>
    <font>
      <sz val="12"/>
      <name val="VNTime"/>
      <family val="2"/>
    </font>
    <font>
      <b/>
      <sz val="18"/>
      <name val="Arial"/>
      <family val="2"/>
    </font>
    <font>
      <b/>
      <sz val="10"/>
      <name val=".VnTime"/>
      <family val="2"/>
    </font>
    <font>
      <sz val="12"/>
      <name val="±¼¸²Ã¼"/>
      <family val="3"/>
      <charset val="129"/>
    </font>
    <font>
      <sz val="10"/>
      <name val=".VnArial Narrow"/>
      <family val="2"/>
    </font>
    <font>
      <b/>
      <sz val="11"/>
      <name val="Helv"/>
      <family val="2"/>
    </font>
    <font>
      <sz val="12"/>
      <name val="Arial"/>
      <family val="2"/>
    </font>
    <font>
      <sz val="10"/>
      <name val="Times New Roman"/>
      <family val="1"/>
    </font>
    <font>
      <sz val="7"/>
      <name val="Small Fonts"/>
      <family val="2"/>
    </font>
    <font>
      <b/>
      <sz val="12"/>
      <color indexed="8"/>
      <name val="Arial"/>
      <family val="2"/>
    </font>
    <font>
      <b/>
      <i/>
      <sz val="12"/>
      <color indexed="8"/>
      <name val="Arial"/>
      <family val="2"/>
    </font>
    <font>
      <sz val="12"/>
      <color indexed="8"/>
      <name val="Arial"/>
      <family val="2"/>
    </font>
    <font>
      <i/>
      <sz val="12"/>
      <color indexed="8"/>
      <name val="Arial"/>
      <family val="2"/>
    </font>
    <font>
      <sz val="19"/>
      <color indexed="48"/>
      <name val="Arial"/>
      <family val="2"/>
    </font>
    <font>
      <sz val="12"/>
      <color indexed="14"/>
      <name val="Arial"/>
      <family val="2"/>
    </font>
    <font>
      <sz val="10"/>
      <name val=".VnTime"/>
      <family val="2"/>
    </font>
    <font>
      <sz val="13"/>
      <name val=".VnArial"/>
      <family val="2"/>
    </font>
    <font>
      <sz val="10"/>
      <name val="VNI-Times"/>
      <family val="2"/>
    </font>
    <font>
      <sz val="10"/>
      <name val="VNI-Univer"/>
      <family val="2"/>
    </font>
    <font>
      <b/>
      <sz val="17"/>
      <name val="Helvetica"/>
      <family val="2"/>
    </font>
    <font>
      <b/>
      <sz val="11"/>
      <color indexed="23"/>
      <name val="Helvetica"/>
      <family val="2"/>
    </font>
    <font>
      <b/>
      <sz val="8"/>
      <name val="VN Helvetica"/>
      <family val="2"/>
    </font>
    <font>
      <b/>
      <sz val="12"/>
      <name val=".VnTime"/>
      <family val="2"/>
    </font>
    <font>
      <b/>
      <sz val="10"/>
      <name val="VN AvantGBook"/>
      <family val="2"/>
    </font>
    <font>
      <b/>
      <sz val="10"/>
      <name val="VN Helvetica"/>
      <family val="2"/>
    </font>
    <font>
      <b/>
      <sz val="16"/>
      <name val=".VnTime"/>
      <family val="2"/>
    </font>
    <font>
      <sz val="10"/>
      <name val="VN Helvetica"/>
      <family val="2"/>
    </font>
    <font>
      <sz val="8"/>
      <name val="VN Helvetica"/>
      <family val="2"/>
    </font>
    <font>
      <sz val="14"/>
      <name val=".VnArial"/>
      <family val="2"/>
    </font>
    <font>
      <sz val="11"/>
      <color indexed="10"/>
      <name val="맑은 고딕"/>
      <family val="3"/>
      <charset val="129"/>
    </font>
    <font>
      <b/>
      <sz val="11"/>
      <color indexed="52"/>
      <name val="맑은 고딕"/>
      <family val="3"/>
      <charset val="129"/>
    </font>
    <font>
      <sz val="11"/>
      <color indexed="20"/>
      <name val="맑은 고딕"/>
      <family val="3"/>
      <charset val="129"/>
    </font>
    <font>
      <u/>
      <sz val="7.5"/>
      <color indexed="36"/>
      <name val="Arial"/>
      <family val="2"/>
    </font>
    <font>
      <sz val="14"/>
      <name val="뼻뮝"/>
      <family val="3"/>
      <charset val="129"/>
    </font>
    <font>
      <sz val="9"/>
      <color indexed="8"/>
      <name val="굴림"/>
      <family val="3"/>
      <charset val="129"/>
    </font>
    <font>
      <sz val="11"/>
      <color indexed="60"/>
      <name val="맑은 고딕"/>
      <family val="3"/>
      <charset val="129"/>
    </font>
    <font>
      <sz val="12"/>
      <name val="뼻뮝"/>
      <family val="3"/>
      <charset val="129"/>
    </font>
    <font>
      <i/>
      <sz val="11"/>
      <color indexed="23"/>
      <name val="맑은 고딕"/>
      <family val="3"/>
      <charset val="129"/>
    </font>
    <font>
      <b/>
      <sz val="11"/>
      <color indexed="9"/>
      <name val="맑은 고딕"/>
      <family val="3"/>
      <charset val="129"/>
    </font>
    <font>
      <sz val="10"/>
      <name val="명조"/>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9"/>
      <name val="Arial"/>
      <family val="2"/>
    </font>
    <font>
      <sz val="12"/>
      <name val="돋움체"/>
      <family val="3"/>
      <charset val="129"/>
    </font>
    <font>
      <sz val="12"/>
      <name val="굴림체"/>
      <family val="3"/>
      <charset val="129"/>
    </font>
    <font>
      <sz val="10"/>
      <name val="돋움체"/>
      <family val="3"/>
      <charset val="129"/>
    </font>
    <font>
      <sz val="10"/>
      <name val=" "/>
      <family val="1"/>
      <charset val="136"/>
    </font>
    <font>
      <sz val="10"/>
      <name val="Geneva"/>
      <family val="2"/>
    </font>
    <font>
      <sz val="8"/>
      <color indexed="12"/>
      <name val="Arial"/>
      <family val="2"/>
    </font>
    <font>
      <sz val="10"/>
      <name val="Antique Olive"/>
      <family val="2"/>
    </font>
    <font>
      <sz val="10"/>
      <name val="Arial CE"/>
      <charset val="238"/>
    </font>
    <font>
      <sz val="10"/>
      <color indexed="17"/>
      <name val="Arial"/>
      <family val="2"/>
    </font>
    <font>
      <b/>
      <sz val="13"/>
      <name val="Times New Roman"/>
      <family val="1"/>
    </font>
    <font>
      <b/>
      <i/>
      <sz val="12"/>
      <name val="Times New Roman"/>
      <family val="1"/>
    </font>
    <font>
      <i/>
      <sz val="8"/>
      <color indexed="62"/>
      <name val="Arial"/>
      <family val="2"/>
    </font>
    <font>
      <sz val="8"/>
      <color indexed="20"/>
      <name val="Arial"/>
      <family val="2"/>
    </font>
    <font>
      <sz val="7"/>
      <name val="Arial"/>
      <family val="2"/>
    </font>
    <font>
      <sz val="10"/>
      <color indexed="14"/>
      <name val="Arial"/>
      <family val="2"/>
    </font>
    <font>
      <sz val="10"/>
      <name val="Stone Sans"/>
      <family val="2"/>
    </font>
    <font>
      <sz val="9"/>
      <color indexed="8"/>
      <name val="Arial"/>
      <family val="2"/>
    </font>
    <font>
      <b/>
      <sz val="18"/>
      <color indexed="62"/>
      <name val="Cambria"/>
      <family val="2"/>
    </font>
    <font>
      <b/>
      <sz val="15"/>
      <color indexed="62"/>
      <name val="Arial"/>
      <family val="2"/>
    </font>
    <font>
      <b/>
      <sz val="13"/>
      <color indexed="62"/>
      <name val="Arial"/>
      <family val="2"/>
    </font>
    <font>
      <b/>
      <sz val="11"/>
      <color indexed="62"/>
      <name val="Arial"/>
      <family val="2"/>
    </font>
    <font>
      <b/>
      <sz val="18"/>
      <name val="Arial CE"/>
      <charset val="238"/>
    </font>
    <font>
      <b/>
      <sz val="12"/>
      <name val="Arial CE"/>
      <charset val="238"/>
    </font>
    <font>
      <b/>
      <sz val="10"/>
      <name val="MS Sans Serif"/>
      <family val="2"/>
    </font>
    <font>
      <sz val="10"/>
      <name val="Helv"/>
    </font>
    <font>
      <sz val="12"/>
      <name val="Helv"/>
    </font>
    <font>
      <sz val="11"/>
      <name val="ＭＳ 明朝"/>
      <family val="1"/>
      <charset val="128"/>
    </font>
    <font>
      <sz val="9"/>
      <name val="NewsGoth Lt BT"/>
      <family val="2"/>
    </font>
    <font>
      <b/>
      <sz val="12"/>
      <name val="Times New Roman"/>
      <family val="1"/>
    </font>
    <font>
      <sz val="11"/>
      <name val="Tms Rmn"/>
    </font>
    <font>
      <sz val="8"/>
      <color indexed="8"/>
      <name val="Arial"/>
      <family val="2"/>
    </font>
    <font>
      <u/>
      <sz val="10"/>
      <color indexed="36"/>
      <name val="Arial"/>
      <family val="2"/>
    </font>
    <font>
      <sz val="10"/>
      <name val="NewsGoth Lt BT"/>
      <family val="2"/>
    </font>
    <font>
      <b/>
      <sz val="9"/>
      <name val="NewsGoth Lt BT"/>
    </font>
    <font>
      <sz val="11"/>
      <name val="Verdana"/>
      <family val="2"/>
    </font>
    <font>
      <sz val="9"/>
      <name val="NewsGoth Dm BT"/>
      <family val="2"/>
    </font>
    <font>
      <sz val="10"/>
      <name val="NewsGoth Dm BT"/>
      <family val="2"/>
    </font>
    <font>
      <b/>
      <sz val="12"/>
      <name val="NewsGoth BT"/>
      <family val="2"/>
    </font>
    <font>
      <sz val="9"/>
      <name val="NewsGoth BT"/>
      <family val="2"/>
    </font>
    <font>
      <sz val="7.5"/>
      <name val="NewsGoth Lt BT"/>
      <family val="2"/>
    </font>
    <font>
      <b/>
      <sz val="9"/>
      <name val="Arial"/>
      <family val="2"/>
    </font>
    <font>
      <b/>
      <sz val="9"/>
      <color indexed="57"/>
      <name val="Arial"/>
      <family val="2"/>
    </font>
    <font>
      <sz val="10"/>
      <color indexed="8"/>
      <name val="MS Sans Serif"/>
      <family val="2"/>
    </font>
    <font>
      <sz val="10"/>
      <name val="Geneva"/>
    </font>
    <font>
      <sz val="10"/>
      <name val="Verdana"/>
      <family val="2"/>
    </font>
    <font>
      <sz val="12"/>
      <color indexed="8"/>
      <name val="Courier"/>
      <family val="3"/>
    </font>
    <font>
      <sz val="18"/>
      <color indexed="8"/>
      <name val="Courier"/>
      <family val="3"/>
    </font>
    <font>
      <sz val="8"/>
      <color indexed="8"/>
      <name val="Courier"/>
      <family val="3"/>
    </font>
    <font>
      <b/>
      <sz val="16"/>
      <color indexed="9"/>
      <name val="Arial"/>
      <family val="2"/>
    </font>
    <font>
      <u/>
      <sz val="8.4"/>
      <color indexed="12"/>
      <name val="Arial"/>
      <family val="2"/>
    </font>
    <font>
      <u/>
      <sz val="7.5"/>
      <color indexed="12"/>
      <name val="Arial"/>
      <family val="2"/>
    </font>
    <font>
      <sz val="9.75"/>
      <name val="Arial"/>
      <family val="2"/>
    </font>
    <font>
      <b/>
      <sz val="11"/>
      <color rgb="FFFF0000"/>
      <name val="Calibri"/>
      <family val="2"/>
      <scheme val="minor"/>
    </font>
    <font>
      <sz val="16"/>
      <color rgb="FF0000FF"/>
      <name val="Calibri"/>
      <family val="2"/>
    </font>
    <font>
      <b/>
      <sz val="9"/>
      <color theme="1"/>
      <name val="Arial"/>
      <family val="2"/>
    </font>
    <font>
      <b/>
      <sz val="9"/>
      <color theme="0"/>
      <name val="Arial"/>
      <family val="2"/>
    </font>
    <font>
      <b/>
      <sz val="12"/>
      <color theme="1"/>
      <name val="Calibri"/>
      <family val="2"/>
      <scheme val="minor"/>
    </font>
  </fonts>
  <fills count="10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64"/>
      </patternFill>
    </fill>
    <fill>
      <patternFill patternType="solid">
        <fgColor indexed="2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56"/>
      </patternFill>
    </fill>
    <fill>
      <patternFill patternType="solid">
        <fgColor indexed="54"/>
      </patternFill>
    </fill>
    <fill>
      <patternFill patternType="solid">
        <fgColor indexed="9"/>
      </patternFill>
    </fill>
    <fill>
      <patternFill patternType="solid">
        <fgColor indexed="62"/>
        <bgColor indexed="64"/>
      </patternFill>
    </fill>
    <fill>
      <patternFill patternType="solid">
        <fgColor indexed="46"/>
        <bgColor indexed="64"/>
      </patternFill>
    </fill>
    <fill>
      <patternFill patternType="solid">
        <fgColor indexed="22"/>
      </patternFill>
    </fill>
    <fill>
      <patternFill patternType="solid">
        <fgColor indexed="55"/>
      </patternFill>
    </fill>
    <fill>
      <patternFill patternType="solid">
        <fgColor indexed="44"/>
        <bgColor indexed="64"/>
      </patternFill>
    </fill>
    <fill>
      <patternFill patternType="lightGray">
        <fgColor indexed="13"/>
      </patternFill>
    </fill>
    <fill>
      <patternFill patternType="solid">
        <fgColor indexed="43"/>
        <bgColor indexed="64"/>
      </patternFill>
    </fill>
    <fill>
      <patternFill patternType="solid">
        <fgColor indexed="31"/>
        <bgColor indexed="64"/>
      </patternFill>
    </fill>
    <fill>
      <patternFill patternType="solid">
        <fgColor indexed="42"/>
        <bgColor indexed="64"/>
      </patternFill>
    </fill>
    <fill>
      <patternFill patternType="solid">
        <fgColor indexed="41"/>
        <bgColor indexed="64"/>
      </patternFill>
    </fill>
    <fill>
      <patternFill patternType="solid">
        <fgColor indexed="38"/>
        <bgColor indexed="64"/>
      </patternFill>
    </fill>
    <fill>
      <patternFill patternType="darkGray">
        <fgColor indexed="22"/>
      </patternFill>
    </fill>
    <fill>
      <patternFill patternType="solid">
        <fgColor indexed="12"/>
      </patternFill>
    </fill>
    <fill>
      <patternFill patternType="solid">
        <fgColor indexed="34"/>
        <bgColor indexed="64"/>
      </patternFill>
    </fill>
    <fill>
      <patternFill patternType="solid">
        <fgColor indexed="13"/>
        <bgColor indexed="64"/>
      </patternFill>
    </fill>
    <fill>
      <patternFill patternType="solid">
        <fgColor indexed="18"/>
      </patternFill>
    </fill>
    <fill>
      <patternFill patternType="solid">
        <fgColor indexed="23"/>
        <bgColor indexed="64"/>
      </patternFill>
    </fill>
    <fill>
      <patternFill patternType="solid">
        <fgColor indexed="27"/>
        <bgColor indexed="64"/>
      </patternFill>
    </fill>
    <fill>
      <patternFill patternType="solid">
        <fgColor indexed="40"/>
        <bgColor indexed="64"/>
      </patternFill>
    </fill>
    <fill>
      <patternFill patternType="solid">
        <fgColor indexed="26"/>
        <bgColor indexed="64"/>
      </patternFill>
    </fill>
    <fill>
      <patternFill patternType="solid">
        <fgColor indexed="14"/>
        <bgColor indexed="64"/>
      </patternFill>
    </fill>
    <fill>
      <patternFill patternType="solid">
        <fgColor indexed="47"/>
        <bgColor indexed="64"/>
      </patternFill>
    </fill>
    <fill>
      <patternFill patternType="lightGray">
        <fgColor indexed="11"/>
        <bgColor indexed="9"/>
      </patternFill>
    </fill>
    <fill>
      <patternFill patternType="solid">
        <fgColor indexed="54"/>
        <bgColor indexed="64"/>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51"/>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15"/>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indexed="22"/>
        <bgColor indexed="24"/>
      </patternFill>
    </fill>
    <fill>
      <patternFill patternType="solid">
        <fgColor rgb="FFFFFF00"/>
        <bgColor indexed="64"/>
      </patternFill>
    </fill>
    <fill>
      <patternFill patternType="solid">
        <fgColor rgb="FFFF00FF"/>
        <bgColor indexed="64"/>
      </patternFill>
    </fill>
    <fill>
      <patternFill patternType="solid">
        <fgColor rgb="FF00FFFF"/>
        <bgColor indexed="64"/>
      </patternFill>
    </fill>
    <fill>
      <patternFill patternType="solid">
        <fgColor theme="9"/>
        <bgColor indexed="64"/>
      </patternFill>
    </fill>
  </fills>
  <borders count="9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right/>
      <top/>
      <bottom style="thin">
        <color indexed="64"/>
      </bottom>
      <diagonal/>
    </border>
    <border>
      <left/>
      <right/>
      <top/>
      <bottom style="medium">
        <color indexed="64"/>
      </bottom>
      <diagonal/>
    </border>
    <border>
      <left/>
      <right/>
      <top style="thin">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double">
        <color indexed="8"/>
      </top>
      <bottom/>
      <diagonal/>
    </border>
    <border>
      <left style="thin">
        <color indexed="64"/>
      </left>
      <right style="thin">
        <color indexed="64"/>
      </right>
      <top style="thin">
        <color indexed="64"/>
      </top>
      <bottom style="thin">
        <color indexed="64"/>
      </bottom>
      <diagonal/>
    </border>
    <border>
      <left style="double">
        <color indexed="10"/>
      </left>
      <right style="double">
        <color indexed="10"/>
      </right>
      <top/>
      <bottom style="double">
        <color indexed="10"/>
      </bottom>
      <diagonal/>
    </border>
    <border>
      <left/>
      <right style="thin">
        <color indexed="63"/>
      </right>
      <top style="thin">
        <color indexed="63"/>
      </top>
      <bottom/>
      <diagonal/>
    </border>
    <border>
      <left style="hair">
        <color indexed="64"/>
      </left>
      <right style="hair">
        <color indexed="64"/>
      </right>
      <top style="hair">
        <color indexed="64"/>
      </top>
      <bottom style="hair">
        <color indexed="64"/>
      </bottom>
      <diagonal/>
    </border>
    <border>
      <left style="thin">
        <color indexed="10"/>
      </left>
      <right style="thin">
        <color indexed="10"/>
      </right>
      <top style="thin">
        <color indexed="10"/>
      </top>
      <bottom style="thin">
        <color indexed="10"/>
      </bottom>
      <diagonal/>
    </border>
    <border>
      <left/>
      <right/>
      <top style="thin">
        <color indexed="56"/>
      </top>
      <bottom style="double">
        <color indexed="56"/>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right/>
      <top style="hair">
        <color indexed="22"/>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style="thin">
        <color indexed="64"/>
      </bottom>
      <diagonal/>
    </border>
    <border>
      <left/>
      <right/>
      <top style="thin">
        <color indexed="62"/>
      </top>
      <bottom style="double">
        <color indexed="62"/>
      </bottom>
      <diagonal/>
    </border>
    <border>
      <left style="hair">
        <color indexed="64"/>
      </left>
      <right/>
      <top/>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hair">
        <color indexed="64"/>
      </bottom>
      <diagonal/>
    </border>
    <border>
      <left style="thin">
        <color indexed="64"/>
      </left>
      <right/>
      <top/>
      <bottom style="thin">
        <color indexed="64"/>
      </bottom>
      <diagonal/>
    </border>
    <border>
      <left/>
      <right/>
      <top/>
      <bottom style="dashed">
        <color indexed="64"/>
      </bottom>
      <diagonal/>
    </border>
    <border>
      <left/>
      <right/>
      <top style="dashed">
        <color indexed="64"/>
      </top>
      <bottom style="dashed">
        <color indexed="64"/>
      </bottom>
      <diagonal/>
    </border>
    <border>
      <left/>
      <right/>
      <top style="double">
        <color indexed="64"/>
      </top>
      <bottom/>
      <diagonal/>
    </border>
    <border>
      <left style="thin">
        <color indexed="23"/>
      </left>
      <right style="thin">
        <color indexed="9"/>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diagonal/>
    </border>
    <border>
      <left/>
      <right/>
      <top style="medium">
        <color rgb="FF00FFFF"/>
      </top>
      <bottom/>
      <diagonal/>
    </border>
    <border>
      <left style="medium">
        <color rgb="FF00FFFF"/>
      </left>
      <right style="medium">
        <color rgb="FF00FFFF"/>
      </right>
      <top/>
      <bottom/>
      <diagonal/>
    </border>
    <border>
      <left style="medium">
        <color rgb="FF00FFFF"/>
      </left>
      <right style="medium">
        <color rgb="FF00FFFF"/>
      </right>
      <top/>
      <bottom style="medium">
        <color rgb="FF00FFFF"/>
      </bottom>
      <diagonal/>
    </border>
    <border>
      <left style="medium">
        <color rgb="FFFF00FF"/>
      </left>
      <right style="medium">
        <color rgb="FFFF00FF"/>
      </right>
      <top/>
      <bottom/>
      <diagonal/>
    </border>
    <border>
      <left style="medium">
        <color rgb="FFFF00FF"/>
      </left>
      <right style="medium">
        <color rgb="FFFF00FF"/>
      </right>
      <top/>
      <bottom style="medium">
        <color rgb="FFFF00FF"/>
      </bottom>
      <diagonal/>
    </border>
    <border>
      <left style="medium">
        <color rgb="FFFF00FF"/>
      </left>
      <right style="medium">
        <color rgb="FFFF00FF"/>
      </right>
      <top style="medium">
        <color theme="1"/>
      </top>
      <bottom/>
      <diagonal/>
    </border>
    <border>
      <left style="medium">
        <color rgb="FF00FFFF"/>
      </left>
      <right style="medium">
        <color rgb="FF00FFFF"/>
      </right>
      <top style="medium">
        <color theme="1"/>
      </top>
      <bottom/>
      <diagonal/>
    </border>
    <border>
      <left style="medium">
        <color indexed="64"/>
      </left>
      <right style="medium">
        <color indexed="64"/>
      </right>
      <top style="medium">
        <color indexed="64"/>
      </top>
      <bottom style="medium">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rgb="FFC00000"/>
      </left>
      <right style="medium">
        <color indexed="64"/>
      </right>
      <top style="medium">
        <color rgb="FFC00000"/>
      </top>
      <bottom style="medium">
        <color indexed="64"/>
      </bottom>
      <diagonal/>
    </border>
    <border>
      <left style="medium">
        <color indexed="64"/>
      </left>
      <right style="medium">
        <color indexed="64"/>
      </right>
      <top style="medium">
        <color rgb="FFC00000"/>
      </top>
      <bottom style="medium">
        <color indexed="64"/>
      </bottom>
      <diagonal/>
    </border>
    <border>
      <left style="medium">
        <color rgb="FFC00000"/>
      </left>
      <right style="medium">
        <color indexed="64"/>
      </right>
      <top style="medium">
        <color indexed="64"/>
      </top>
      <bottom style="medium">
        <color indexed="64"/>
      </bottom>
      <diagonal/>
    </border>
    <border>
      <left style="medium">
        <color rgb="FFC00000"/>
      </left>
      <right/>
      <top style="medium">
        <color indexed="64"/>
      </top>
      <bottom style="medium">
        <color indexed="64"/>
      </bottom>
      <diagonal/>
    </border>
    <border>
      <left style="medium">
        <color rgb="FFC00000"/>
      </left>
      <right/>
      <top style="medium">
        <color indexed="64"/>
      </top>
      <bottom/>
      <diagonal/>
    </border>
    <border>
      <left style="medium">
        <color rgb="FFC00000"/>
      </left>
      <right/>
      <top/>
      <bottom style="medium">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rgb="FFC00000"/>
      </left>
      <right style="medium">
        <color indexed="64"/>
      </right>
      <top/>
      <bottom/>
      <diagonal/>
    </border>
  </borders>
  <cellStyleXfs count="2759">
    <xf numFmtId="0" fontId="0" fillId="0" borderId="0"/>
    <xf numFmtId="0" fontId="18" fillId="0" borderId="0"/>
    <xf numFmtId="0" fontId="18" fillId="0" borderId="0">
      <alignment horizontal="left" wrapText="1"/>
    </xf>
    <xf numFmtId="0" fontId="178" fillId="0" borderId="0" applyNumberFormat="0" applyFill="0" applyBorder="0" applyAlignment="0" applyProtection="0"/>
    <xf numFmtId="0" fontId="18" fillId="0" borderId="0"/>
    <xf numFmtId="247" fontId="68" fillId="0" borderId="0" applyFont="0" applyFill="0" applyBorder="0" applyAlignment="0" applyProtection="0"/>
    <xf numFmtId="217" fontId="18" fillId="33" borderId="0" applyFont="0" applyFill="0" applyBorder="0" applyAlignment="0" applyProtection="0"/>
    <xf numFmtId="0" fontId="18" fillId="0" borderId="0"/>
    <xf numFmtId="0" fontId="18" fillId="0" borderId="0"/>
    <xf numFmtId="0" fontId="15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1" fontId="73" fillId="0" borderId="0" applyFont="0" applyFill="0" applyBorder="0" applyAlignment="0" applyProtection="0"/>
    <xf numFmtId="0" fontId="74" fillId="0" borderId="0" applyFont="0" applyFill="0" applyBorder="0" applyAlignment="0" applyProtection="0"/>
    <xf numFmtId="187" fontId="73" fillId="0" borderId="0" applyFont="0" applyFill="0" applyBorder="0" applyAlignment="0" applyProtection="0"/>
    <xf numFmtId="0" fontId="75" fillId="0" borderId="0"/>
    <xf numFmtId="0" fontId="75" fillId="0" borderId="0"/>
    <xf numFmtId="0" fontId="18" fillId="0" borderId="0" applyNumberFormat="0" applyFill="0" applyBorder="0" applyAlignment="0" applyProtection="0"/>
    <xf numFmtId="40" fontId="76" fillId="0" borderId="0" applyFont="0" applyFill="0" applyBorder="0" applyAlignment="0" applyProtection="0"/>
    <xf numFmtId="38" fontId="76" fillId="0" borderId="0" applyFont="0" applyFill="0" applyBorder="0" applyAlignment="0" applyProtection="0"/>
    <xf numFmtId="41" fontId="77" fillId="0" borderId="0" applyFont="0" applyFill="0" applyBorder="0" applyAlignment="0" applyProtection="0"/>
    <xf numFmtId="43" fontId="77" fillId="0" borderId="0" applyFont="0" applyFill="0" applyBorder="0" applyAlignment="0" applyProtection="0"/>
    <xf numFmtId="165" fontId="78" fillId="0" borderId="0" applyFont="0" applyFill="0" applyBorder="0" applyAlignment="0" applyProtection="0"/>
    <xf numFmtId="0" fontId="79" fillId="0" borderId="0">
      <alignment vertical="center"/>
    </xf>
    <xf numFmtId="0" fontId="18" fillId="0" borderId="0" applyFont="0" applyFill="0" applyBorder="0" applyAlignment="0" applyProtection="0"/>
    <xf numFmtId="0" fontId="18" fillId="0" borderId="0" applyFont="0" applyFill="0" applyBorder="0" applyAlignment="0" applyProtection="0"/>
    <xf numFmtId="0" fontId="80" fillId="0" borderId="0"/>
    <xf numFmtId="0" fontId="18" fillId="0" borderId="0" applyNumberFormat="0" applyFill="0" applyBorder="0" applyAlignment="0" applyProtection="0"/>
    <xf numFmtId="0" fontId="18" fillId="0" borderId="0"/>
    <xf numFmtId="41" fontId="81" fillId="0" borderId="0" applyFont="0" applyFill="0" applyBorder="0" applyAlignment="0" applyProtection="0"/>
    <xf numFmtId="0" fontId="159" fillId="0" borderId="0"/>
    <xf numFmtId="0" fontId="18" fillId="0" borderId="0">
      <alignment horizontal="left" wrapText="1"/>
    </xf>
    <xf numFmtId="0" fontId="18" fillId="0" borderId="0">
      <alignment horizontal="left" wrapText="1"/>
    </xf>
    <xf numFmtId="0" fontId="18" fillId="0" borderId="0">
      <alignment horizontal="left" wrapText="1"/>
    </xf>
    <xf numFmtId="218" fontId="18" fillId="0" borderId="0">
      <alignment vertical="top"/>
    </xf>
    <xf numFmtId="0" fontId="18" fillId="0" borderId="0"/>
    <xf numFmtId="0" fontId="82" fillId="0" borderId="0" applyNumberFormat="0" applyFill="0" applyBorder="0" applyAlignment="0" applyProtection="0"/>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188" fontId="81" fillId="0" borderId="0" applyFont="0" applyFill="0" applyBorder="0" applyAlignment="0" applyProtection="0"/>
    <xf numFmtId="0" fontId="18" fillId="0" borderId="0"/>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59" fillId="0" borderId="0"/>
    <xf numFmtId="0" fontId="15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16" fontId="18" fillId="0" borderId="0">
      <alignment horizontal="left" wrapText="1"/>
    </xf>
    <xf numFmtId="216" fontId="18" fillId="0" borderId="0">
      <alignment horizontal="left" wrapText="1"/>
    </xf>
    <xf numFmtId="216" fontId="18" fillId="0" borderId="0">
      <alignment horizontal="left" wrapText="1"/>
    </xf>
    <xf numFmtId="0" fontId="82" fillId="0" borderId="0" applyNumberFormat="0" applyFill="0" applyBorder="0" applyAlignment="0" applyProtection="0"/>
    <xf numFmtId="216" fontId="18" fillId="0" borderId="0">
      <alignment horizontal="left" wrapText="1"/>
    </xf>
    <xf numFmtId="216" fontId="18" fillId="0" borderId="0">
      <alignment horizontal="left" wrapText="1"/>
    </xf>
    <xf numFmtId="216" fontId="18" fillId="0" borderId="0">
      <alignment horizontal="left" wrapText="1"/>
    </xf>
    <xf numFmtId="0" fontId="179" fillId="0" borderId="0"/>
    <xf numFmtId="216" fontId="18" fillId="0" borderId="0">
      <alignment horizontal="left" wrapText="1"/>
    </xf>
    <xf numFmtId="216" fontId="18" fillId="0" borderId="0">
      <alignment horizontal="left" wrapText="1"/>
    </xf>
    <xf numFmtId="216" fontId="18" fillId="0" borderId="0">
      <alignment horizontal="left" wrapText="1"/>
    </xf>
    <xf numFmtId="218" fontId="18" fillId="0" borderId="0">
      <alignment vertical="top"/>
    </xf>
    <xf numFmtId="0" fontId="18" fillId="0" borderId="0">
      <alignment vertical="top"/>
    </xf>
    <xf numFmtId="0" fontId="18" fillId="0" borderId="0">
      <alignment vertical="top"/>
    </xf>
    <xf numFmtId="218" fontId="18" fillId="0" borderId="0">
      <alignment vertical="top"/>
    </xf>
    <xf numFmtId="248" fontId="180" fillId="0" borderId="0"/>
    <xf numFmtId="248" fontId="180" fillId="0" borderId="0"/>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xf numFmtId="0" fontId="159" fillId="0" borderId="0"/>
    <xf numFmtId="0" fontId="159" fillId="0" borderId="0"/>
    <xf numFmtId="0" fontId="159" fillId="0" borderId="0"/>
    <xf numFmtId="0" fontId="159" fillId="0" borderId="0"/>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218" fontId="18" fillId="0" borderId="0">
      <alignment vertical="top"/>
    </xf>
    <xf numFmtId="218" fontId="18" fillId="0" borderId="0">
      <alignment vertical="top"/>
    </xf>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vertical="top"/>
    </xf>
    <xf numFmtId="0" fontId="18" fillId="0" borderId="0">
      <alignment vertical="top"/>
    </xf>
    <xf numFmtId="0"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1" fillId="0" borderId="0"/>
    <xf numFmtId="0" fontId="18" fillId="0" borderId="0">
      <alignment vertical="top"/>
    </xf>
    <xf numFmtId="0" fontId="18" fillId="0" borderId="0">
      <alignment vertical="top"/>
    </xf>
    <xf numFmtId="218" fontId="18" fillId="0" borderId="0">
      <alignment vertical="top"/>
    </xf>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0" fontId="159" fillId="0" borderId="0"/>
    <xf numFmtId="0" fontId="49" fillId="0" borderId="0">
      <alignment vertical="center"/>
    </xf>
    <xf numFmtId="0" fontId="18" fillId="0" borderId="0"/>
    <xf numFmtId="0" fontId="18" fillId="0" borderId="0"/>
    <xf numFmtId="0" fontId="18" fillId="0" borderId="0"/>
    <xf numFmtId="0" fontId="18" fillId="0" borderId="0"/>
    <xf numFmtId="0" fontId="18" fillId="0" borderId="0"/>
    <xf numFmtId="0" fontId="18" fillId="0" borderId="0"/>
    <xf numFmtId="218" fontId="18" fillId="0" borderId="0">
      <alignment vertical="top"/>
    </xf>
    <xf numFmtId="0" fontId="18" fillId="0" borderId="0">
      <alignment horizontal="left" wrapText="1"/>
    </xf>
    <xf numFmtId="0" fontId="18" fillId="0" borderId="0">
      <alignment horizontal="left" wrapText="1"/>
    </xf>
    <xf numFmtId="0" fontId="18" fillId="0" borderId="0">
      <alignment horizontal="left" wrapText="1"/>
    </xf>
    <xf numFmtId="0" fontId="159" fillId="0" borderId="0"/>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xf numFmtId="216" fontId="18" fillId="0" borderId="0">
      <alignment horizontal="left" wrapText="1"/>
    </xf>
    <xf numFmtId="216" fontId="18" fillId="0" borderId="0">
      <alignment horizontal="left" wrapText="1"/>
    </xf>
    <xf numFmtId="216" fontId="18" fillId="0" borderId="0">
      <alignment horizontal="left" wrapText="1"/>
    </xf>
    <xf numFmtId="189" fontId="83" fillId="0" borderId="0" applyFont="0" applyFill="0" applyBorder="0" applyAlignment="0" applyProtection="0"/>
    <xf numFmtId="0" fontId="18" fillId="0" borderId="0">
      <alignment vertical="top"/>
    </xf>
    <xf numFmtId="0" fontId="18" fillId="0" borderId="0" applyFont="0" applyFill="0" applyBorder="0" applyAlignment="0" applyProtection="0"/>
    <xf numFmtId="0" fontId="18" fillId="0" borderId="0" applyFont="0" applyFill="0" applyBorder="0" applyAlignment="0" applyProtection="0"/>
    <xf numFmtId="172" fontId="18" fillId="0" borderId="0" applyFont="0" applyFill="0" applyBorder="0" applyAlignment="0" applyProtection="0"/>
    <xf numFmtId="172" fontId="18" fillId="0" borderId="0" applyFont="0" applyFill="0" applyBorder="0" applyAlignment="0" applyProtection="0"/>
    <xf numFmtId="172" fontId="18" fillId="0" borderId="0" applyFont="0" applyFill="0" applyBorder="0" applyAlignment="0" applyProtection="0"/>
    <xf numFmtId="249" fontId="6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0" fontId="18" fillId="0" borderId="0"/>
    <xf numFmtId="0" fontId="34" fillId="0" borderId="0"/>
    <xf numFmtId="0" fontId="18" fillId="0" borderId="0"/>
    <xf numFmtId="0" fontId="18" fillId="0" borderId="0"/>
    <xf numFmtId="0" fontId="18" fillId="0" borderId="0"/>
    <xf numFmtId="0" fontId="84" fillId="0" borderId="0"/>
    <xf numFmtId="0" fontId="18" fillId="0" borderId="0"/>
    <xf numFmtId="0" fontId="18" fillId="0" borderId="0"/>
    <xf numFmtId="0" fontId="18" fillId="0" borderId="0"/>
    <xf numFmtId="0" fontId="18" fillId="0" borderId="0"/>
    <xf numFmtId="0" fontId="18" fillId="0" borderId="0"/>
    <xf numFmtId="0" fontId="18" fillId="0" borderId="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189" fontId="83" fillId="0" borderId="0" applyFont="0" applyFill="0" applyBorder="0" applyAlignment="0" applyProtection="0"/>
    <xf numFmtId="0" fontId="85" fillId="34" borderId="0"/>
    <xf numFmtId="0" fontId="34" fillId="35"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40"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3" borderId="0" applyNumberFormat="0" applyBorder="0" applyAlignment="0" applyProtection="0"/>
    <xf numFmtId="0" fontId="20" fillId="40" borderId="0" applyNumberFormat="0" applyBorder="0" applyAlignment="0" applyProtection="0"/>
    <xf numFmtId="0" fontId="20" fillId="39" borderId="0" applyNumberFormat="0" applyBorder="0" applyAlignment="0" applyProtection="0"/>
    <xf numFmtId="0" fontId="20" fillId="43" borderId="0" applyNumberFormat="0" applyBorder="0" applyAlignment="0" applyProtection="0"/>
    <xf numFmtId="0" fontId="20"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20"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20"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20"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20"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20"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86" fillId="35" borderId="0" applyNumberFormat="0" applyBorder="0" applyAlignment="0" applyProtection="0">
      <alignment vertical="center"/>
    </xf>
    <xf numFmtId="0" fontId="86" fillId="36" borderId="0" applyNumberFormat="0" applyBorder="0" applyAlignment="0" applyProtection="0">
      <alignment vertical="center"/>
    </xf>
    <xf numFmtId="0" fontId="86" fillId="37" borderId="0" applyNumberFormat="0" applyBorder="0" applyAlignment="0" applyProtection="0">
      <alignment vertical="center"/>
    </xf>
    <xf numFmtId="0" fontId="86" fillId="38" borderId="0" applyNumberFormat="0" applyBorder="0" applyAlignment="0" applyProtection="0">
      <alignment vertical="center"/>
    </xf>
    <xf numFmtId="0" fontId="86" fillId="39" borderId="0" applyNumberFormat="0" applyBorder="0" applyAlignment="0" applyProtection="0">
      <alignment vertical="center"/>
    </xf>
    <xf numFmtId="0" fontId="86" fillId="40" borderId="0" applyNumberFormat="0" applyBorder="0" applyAlignment="0" applyProtection="0">
      <alignment vertical="center"/>
    </xf>
    <xf numFmtId="0" fontId="87" fillId="34" borderId="0"/>
    <xf numFmtId="0" fontId="88" fillId="0" borderId="0">
      <alignment wrapText="1"/>
    </xf>
    <xf numFmtId="0" fontId="34" fillId="41"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5" borderId="0" applyNumberFormat="0" applyBorder="0" applyAlignment="0" applyProtection="0"/>
    <xf numFmtId="0" fontId="20" fillId="39" borderId="0" applyNumberFormat="0" applyBorder="0" applyAlignment="0" applyProtection="0"/>
    <xf numFmtId="0" fontId="20" fillId="42" borderId="0" applyNumberFormat="0" applyBorder="0" applyAlignment="0" applyProtection="0"/>
    <xf numFmtId="0" fontId="20" fillId="46" borderId="0" applyNumberFormat="0" applyBorder="0" applyAlignment="0" applyProtection="0"/>
    <xf numFmtId="0" fontId="20" fillId="36" borderId="0" applyNumberFormat="0" applyBorder="0" applyAlignment="0" applyProtection="0"/>
    <xf numFmtId="0" fontId="20" fillId="39" borderId="0" applyNumberFormat="0" applyBorder="0" applyAlignment="0" applyProtection="0"/>
    <xf numFmtId="0" fontId="20" fillId="43" borderId="0" applyNumberFormat="0" applyBorder="0" applyAlignment="0" applyProtection="0"/>
    <xf numFmtId="0" fontId="20"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20"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20"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20"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20"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20"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86" fillId="41" borderId="0" applyNumberFormat="0" applyBorder="0" applyAlignment="0" applyProtection="0">
      <alignment vertical="center"/>
    </xf>
    <xf numFmtId="0" fontId="86" fillId="42" borderId="0" applyNumberFormat="0" applyBorder="0" applyAlignment="0" applyProtection="0">
      <alignment vertical="center"/>
    </xf>
    <xf numFmtId="0" fontId="86" fillId="44" borderId="0" applyNumberFormat="0" applyBorder="0" applyAlignment="0" applyProtection="0">
      <alignment vertical="center"/>
    </xf>
    <xf numFmtId="0" fontId="86" fillId="38" borderId="0" applyNumberFormat="0" applyBorder="0" applyAlignment="0" applyProtection="0">
      <alignment vertical="center"/>
    </xf>
    <xf numFmtId="0" fontId="86" fillId="41" borderId="0" applyNumberFormat="0" applyBorder="0" applyAlignment="0" applyProtection="0">
      <alignment vertical="center"/>
    </xf>
    <xf numFmtId="0" fontId="86" fillId="45" borderId="0" applyNumberFormat="0" applyBorder="0" applyAlignment="0" applyProtection="0">
      <alignment vertical="center"/>
    </xf>
    <xf numFmtId="0" fontId="35" fillId="47" borderId="0" applyNumberFormat="0" applyBorder="0" applyAlignment="0" applyProtection="0"/>
    <xf numFmtId="0" fontId="35" fillId="42" borderId="0" applyNumberFormat="0" applyBorder="0" applyAlignment="0" applyProtection="0"/>
    <xf numFmtId="0" fontId="35" fillId="44" borderId="0" applyNumberFormat="0" applyBorder="0" applyAlignment="0" applyProtection="0"/>
    <xf numFmtId="0" fontId="35" fillId="48"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21" fillId="39" borderId="0" applyNumberFormat="0" applyBorder="0" applyAlignment="0" applyProtection="0"/>
    <xf numFmtId="0" fontId="21" fillId="51" borderId="0" applyNumberFormat="0" applyBorder="0" applyAlignment="0" applyProtection="0"/>
    <xf numFmtId="0" fontId="21" fillId="45" borderId="0" applyNumberFormat="0" applyBorder="0" applyAlignment="0" applyProtection="0"/>
    <xf numFmtId="0" fontId="21" fillId="36" borderId="0" applyNumberFormat="0" applyBorder="0" applyAlignment="0" applyProtection="0"/>
    <xf numFmtId="0" fontId="21" fillId="39" borderId="0" applyNumberFormat="0" applyBorder="0" applyAlignment="0" applyProtection="0"/>
    <xf numFmtId="0" fontId="21" fillId="42" borderId="0" applyNumberFormat="0" applyBorder="0" applyAlignment="0" applyProtection="0"/>
    <xf numFmtId="0" fontId="21" fillId="47" borderId="0" applyNumberFormat="0" applyBorder="0" applyAlignment="0" applyProtection="0"/>
    <xf numFmtId="0" fontId="35" fillId="47" borderId="0" applyNumberFormat="0" applyBorder="0" applyAlignment="0" applyProtection="0"/>
    <xf numFmtId="0" fontId="35" fillId="47" borderId="0" applyNumberFormat="0" applyBorder="0" applyAlignment="0" applyProtection="0"/>
    <xf numFmtId="0" fontId="35" fillId="47" borderId="0" applyNumberFormat="0" applyBorder="0" applyAlignment="0" applyProtection="0"/>
    <xf numFmtId="0" fontId="21" fillId="42" borderId="0" applyNumberFormat="0" applyBorder="0" applyAlignment="0" applyProtection="0"/>
    <xf numFmtId="0" fontId="35" fillId="42" borderId="0" applyNumberFormat="0" applyBorder="0" applyAlignment="0" applyProtection="0"/>
    <xf numFmtId="0" fontId="35" fillId="42" borderId="0" applyNumberFormat="0" applyBorder="0" applyAlignment="0" applyProtection="0"/>
    <xf numFmtId="0" fontId="35" fillId="42" borderId="0" applyNumberFormat="0" applyBorder="0" applyAlignment="0" applyProtection="0"/>
    <xf numFmtId="0" fontId="21" fillId="44" borderId="0" applyNumberFormat="0" applyBorder="0" applyAlignment="0" applyProtection="0"/>
    <xf numFmtId="0" fontId="35" fillId="44" borderId="0" applyNumberFormat="0" applyBorder="0" applyAlignment="0" applyProtection="0"/>
    <xf numFmtId="0" fontId="35" fillId="44" borderId="0" applyNumberFormat="0" applyBorder="0" applyAlignment="0" applyProtection="0"/>
    <xf numFmtId="0" fontId="35" fillId="44" borderId="0" applyNumberFormat="0" applyBorder="0" applyAlignment="0" applyProtection="0"/>
    <xf numFmtId="0" fontId="21" fillId="48" borderId="0" applyNumberFormat="0" applyBorder="0" applyAlignment="0" applyProtection="0"/>
    <xf numFmtId="0" fontId="35" fillId="48" borderId="0" applyNumberFormat="0" applyBorder="0" applyAlignment="0" applyProtection="0"/>
    <xf numFmtId="0" fontId="35" fillId="48" borderId="0" applyNumberFormat="0" applyBorder="0" applyAlignment="0" applyProtection="0"/>
    <xf numFmtId="0" fontId="35" fillId="48" borderId="0" applyNumberFormat="0" applyBorder="0" applyAlignment="0" applyProtection="0"/>
    <xf numFmtId="0" fontId="21" fillId="49" borderId="0" applyNumberFormat="0" applyBorder="0" applyAlignment="0" applyProtection="0"/>
    <xf numFmtId="0" fontId="35" fillId="49" borderId="0" applyNumberFormat="0" applyBorder="0" applyAlignment="0" applyProtection="0"/>
    <xf numFmtId="0" fontId="35" fillId="49" borderId="0" applyNumberFormat="0" applyBorder="0" applyAlignment="0" applyProtection="0"/>
    <xf numFmtId="0" fontId="35" fillId="49" borderId="0" applyNumberFormat="0" applyBorder="0" applyAlignment="0" applyProtection="0"/>
    <xf numFmtId="0" fontId="21" fillId="50" borderId="0" applyNumberFormat="0" applyBorder="0" applyAlignment="0" applyProtection="0"/>
    <xf numFmtId="0" fontId="35" fillId="50" borderId="0" applyNumberFormat="0" applyBorder="0" applyAlignment="0" applyProtection="0"/>
    <xf numFmtId="0" fontId="35" fillId="50" borderId="0" applyNumberFormat="0" applyBorder="0" applyAlignment="0" applyProtection="0"/>
    <xf numFmtId="0" fontId="35" fillId="50" borderId="0" applyNumberFormat="0" applyBorder="0" applyAlignment="0" applyProtection="0"/>
    <xf numFmtId="0" fontId="89" fillId="47" borderId="0" applyNumberFormat="0" applyBorder="0" applyAlignment="0" applyProtection="0">
      <alignment vertical="center"/>
    </xf>
    <xf numFmtId="0" fontId="89" fillId="42" borderId="0" applyNumberFormat="0" applyBorder="0" applyAlignment="0" applyProtection="0">
      <alignment vertical="center"/>
    </xf>
    <xf numFmtId="0" fontId="89" fillId="44" borderId="0" applyNumberFormat="0" applyBorder="0" applyAlignment="0" applyProtection="0">
      <alignment vertical="center"/>
    </xf>
    <xf numFmtId="0" fontId="89" fillId="48" borderId="0" applyNumberFormat="0" applyBorder="0" applyAlignment="0" applyProtection="0">
      <alignment vertical="center"/>
    </xf>
    <xf numFmtId="0" fontId="89" fillId="49" borderId="0" applyNumberFormat="0" applyBorder="0" applyAlignment="0" applyProtection="0">
      <alignment vertical="center"/>
    </xf>
    <xf numFmtId="0" fontId="89" fillId="50" borderId="0" applyNumberFormat="0" applyBorder="0" applyAlignment="0" applyProtection="0">
      <alignment vertical="center"/>
    </xf>
    <xf numFmtId="0" fontId="154" fillId="0" borderId="0"/>
    <xf numFmtId="0" fontId="35" fillId="52" borderId="0" applyNumberFormat="0" applyBorder="0" applyAlignment="0" applyProtection="0"/>
    <xf numFmtId="0" fontId="35" fillId="53" borderId="0" applyNumberFormat="0" applyBorder="0" applyAlignment="0" applyProtection="0"/>
    <xf numFmtId="0" fontId="35" fillId="54" borderId="0" applyNumberFormat="0" applyBorder="0" applyAlignment="0" applyProtection="0"/>
    <xf numFmtId="0" fontId="35" fillId="48" borderId="0" applyNumberFormat="0" applyBorder="0" applyAlignment="0" applyProtection="0"/>
    <xf numFmtId="0" fontId="35" fillId="49" borderId="0" applyNumberFormat="0" applyBorder="0" applyAlignment="0" applyProtection="0"/>
    <xf numFmtId="0" fontId="35" fillId="51" borderId="0" applyNumberFormat="0" applyBorder="0" applyAlignment="0" applyProtection="0"/>
    <xf numFmtId="189" fontId="90" fillId="0" borderId="0" applyFont="0" applyFill="0" applyBorder="0" applyAlignment="0" applyProtection="0"/>
    <xf numFmtId="0" fontId="91" fillId="0" borderId="0" applyFont="0" applyFill="0" applyBorder="0" applyAlignment="0" applyProtection="0"/>
    <xf numFmtId="189" fontId="92" fillId="0" borderId="0" applyFont="0" applyFill="0" applyBorder="0" applyAlignment="0" applyProtection="0"/>
    <xf numFmtId="190" fontId="93" fillId="0" borderId="0" applyFont="0" applyFill="0" applyBorder="0" applyAlignment="0" applyProtection="0"/>
    <xf numFmtId="191" fontId="90" fillId="0" borderId="0" applyFont="0" applyFill="0" applyBorder="0" applyAlignment="0" applyProtection="0"/>
    <xf numFmtId="0" fontId="91" fillId="0" borderId="0" applyFont="0" applyFill="0" applyBorder="0" applyAlignment="0" applyProtection="0"/>
    <xf numFmtId="191" fontId="92" fillId="0" borderId="0" applyFont="0" applyFill="0" applyBorder="0" applyAlignment="0" applyProtection="0"/>
    <xf numFmtId="192" fontId="93" fillId="0" borderId="0" applyFont="0" applyFill="0" applyBorder="0" applyAlignment="0" applyProtection="0"/>
    <xf numFmtId="0" fontId="21" fillId="55" borderId="0" applyNumberFormat="0" applyBorder="0" applyAlignment="0" applyProtection="0"/>
    <xf numFmtId="0" fontId="21" fillId="51" borderId="0" applyNumberFormat="0" applyBorder="0" applyAlignment="0" applyProtection="0"/>
    <xf numFmtId="0" fontId="21" fillId="45" borderId="0" applyNumberFormat="0" applyBorder="0" applyAlignment="0" applyProtection="0"/>
    <xf numFmtId="0" fontId="21" fillId="56" borderId="0" applyNumberFormat="0" applyBorder="0" applyAlignment="0" applyProtection="0"/>
    <xf numFmtId="0" fontId="21" fillId="49" borderId="0" applyNumberFormat="0" applyBorder="0" applyAlignment="0" applyProtection="0"/>
    <xf numFmtId="0" fontId="21" fillId="53" borderId="0" applyNumberFormat="0" applyBorder="0" applyAlignment="0" applyProtection="0"/>
    <xf numFmtId="0" fontId="68" fillId="0" borderId="0"/>
    <xf numFmtId="49" fontId="32" fillId="0" borderId="10" applyFill="0" applyProtection="0">
      <alignment horizontal="left" vertical="top"/>
    </xf>
    <xf numFmtId="193" fontId="90" fillId="0" borderId="0" applyFont="0" applyFill="0" applyBorder="0" applyAlignment="0" applyProtection="0"/>
    <xf numFmtId="0" fontId="91" fillId="0" borderId="0" applyFont="0" applyFill="0" applyBorder="0" applyAlignment="0" applyProtection="0"/>
    <xf numFmtId="193" fontId="92" fillId="0" borderId="0" applyFont="0" applyFill="0" applyBorder="0" applyAlignment="0" applyProtection="0"/>
    <xf numFmtId="194" fontId="90" fillId="0" borderId="0" applyFont="0" applyFill="0" applyBorder="0" applyAlignment="0" applyProtection="0"/>
    <xf numFmtId="0" fontId="91" fillId="0" borderId="0" applyFont="0" applyFill="0" applyBorder="0" applyAlignment="0" applyProtection="0"/>
    <xf numFmtId="194" fontId="92" fillId="0" borderId="0" applyFont="0" applyFill="0" applyBorder="0" applyAlignment="0" applyProtection="0"/>
    <xf numFmtId="250" fontId="18" fillId="0" borderId="0"/>
    <xf numFmtId="0" fontId="26" fillId="57" borderId="11" applyNumberFormat="0" applyAlignment="0" applyProtection="0"/>
    <xf numFmtId="166" fontId="18" fillId="0" borderId="0" applyFont="0" applyFill="0" applyBorder="0" applyAlignment="0" applyProtection="0"/>
    <xf numFmtId="0" fontId="67" fillId="0" borderId="0"/>
    <xf numFmtId="0" fontId="52" fillId="34" borderId="0"/>
    <xf numFmtId="0" fontId="52" fillId="34" borderId="0"/>
    <xf numFmtId="0" fontId="52" fillId="34" borderId="0"/>
    <xf numFmtId="0" fontId="36" fillId="36" borderId="0" applyNumberFormat="0" applyBorder="0" applyAlignment="0" applyProtection="0"/>
    <xf numFmtId="0" fontId="53" fillId="58" borderId="0">
      <alignment vertical="center"/>
    </xf>
    <xf numFmtId="0" fontId="64" fillId="57" borderId="12" applyNumberFormat="0" applyAlignment="0" applyProtection="0"/>
    <xf numFmtId="4" fontId="182" fillId="0" borderId="13" applyNumberFormat="0" applyFill="0" applyAlignment="0" applyProtection="0"/>
    <xf numFmtId="4" fontId="182" fillId="0" borderId="0" applyNumberFormat="0" applyAlignment="0" applyProtection="0"/>
    <xf numFmtId="0" fontId="183" fillId="0" borderId="14" applyNumberFormat="0" applyFill="0" applyAlignment="0" applyProtection="0"/>
    <xf numFmtId="195" fontId="94" fillId="0" borderId="15" applyNumberFormat="0" applyFill="0" applyAlignment="0" applyProtection="0">
      <alignment horizontal="center"/>
    </xf>
    <xf numFmtId="196" fontId="94" fillId="0" borderId="14" applyFill="0" applyAlignment="0" applyProtection="0">
      <alignment horizontal="center"/>
    </xf>
    <xf numFmtId="219" fontId="19" fillId="0" borderId="0"/>
    <xf numFmtId="217" fontId="19" fillId="0" borderId="0"/>
    <xf numFmtId="220" fontId="160" fillId="34" borderId="0"/>
    <xf numFmtId="217" fontId="160" fillId="34" borderId="0"/>
    <xf numFmtId="221" fontId="18" fillId="0" borderId="0" applyFont="0" applyFill="0" applyBorder="0" applyAlignment="0" applyProtection="0"/>
    <xf numFmtId="222" fontId="161" fillId="0" borderId="0" applyFont="0" applyFill="0" applyBorder="0" applyAlignment="0" applyProtection="0"/>
    <xf numFmtId="223" fontId="18" fillId="0" borderId="0" applyFont="0" applyFill="0" applyBorder="0" applyAlignment="0" applyProtection="0"/>
    <xf numFmtId="0" fontId="40" fillId="37" borderId="0" applyNumberFormat="0" applyBorder="0" applyAlignment="0" applyProtection="0"/>
    <xf numFmtId="0" fontId="40" fillId="37" borderId="0" applyNumberFormat="0" applyBorder="0" applyAlignment="0" applyProtection="0"/>
    <xf numFmtId="251" fontId="18" fillId="0" borderId="0" applyFont="0" applyFill="0" applyBorder="0" applyAlignment="0" applyProtection="0"/>
    <xf numFmtId="251" fontId="18" fillId="0" borderId="0" applyFont="0" applyFill="0" applyBorder="0" applyAlignment="0" applyProtection="0"/>
    <xf numFmtId="251" fontId="18" fillId="0" borderId="0" applyFont="0" applyFill="0" applyBorder="0" applyAlignment="0" applyProtection="0"/>
    <xf numFmtId="0" fontId="91" fillId="0" borderId="0"/>
    <xf numFmtId="0" fontId="90" fillId="0" borderId="0"/>
    <xf numFmtId="0" fontId="91" fillId="0" borderId="0"/>
    <xf numFmtId="0" fontId="92" fillId="0" borderId="0"/>
    <xf numFmtId="0" fontId="54" fillId="59" borderId="0"/>
    <xf numFmtId="224" fontId="154" fillId="0" borderId="0"/>
    <xf numFmtId="225" fontId="154" fillId="0" borderId="0"/>
    <xf numFmtId="226" fontId="154" fillId="0" borderId="0"/>
    <xf numFmtId="224" fontId="154" fillId="0" borderId="16"/>
    <xf numFmtId="225" fontId="154" fillId="0" borderId="16"/>
    <xf numFmtId="226" fontId="154" fillId="0" borderId="16"/>
    <xf numFmtId="227" fontId="154" fillId="0" borderId="0"/>
    <xf numFmtId="0" fontId="84" fillId="0" borderId="0" applyFill="0" applyBorder="0" applyAlignment="0"/>
    <xf numFmtId="228" fontId="154" fillId="0" borderId="0"/>
    <xf numFmtId="229" fontId="154" fillId="0" borderId="0"/>
    <xf numFmtId="227" fontId="154" fillId="0" borderId="16"/>
    <xf numFmtId="228" fontId="154" fillId="0" borderId="16"/>
    <xf numFmtId="229" fontId="154" fillId="0" borderId="16"/>
    <xf numFmtId="230" fontId="154" fillId="0" borderId="0">
      <alignment horizontal="right"/>
      <protection locked="0"/>
    </xf>
    <xf numFmtId="231" fontId="154" fillId="0" borderId="0">
      <alignment horizontal="right"/>
      <protection locked="0"/>
    </xf>
    <xf numFmtId="232" fontId="154" fillId="0" borderId="0"/>
    <xf numFmtId="233" fontId="154" fillId="0" borderId="0"/>
    <xf numFmtId="234" fontId="154" fillId="0" borderId="0"/>
    <xf numFmtId="232" fontId="154" fillId="0" borderId="16"/>
    <xf numFmtId="233" fontId="154" fillId="0" borderId="16"/>
    <xf numFmtId="234" fontId="154" fillId="0" borderId="16"/>
    <xf numFmtId="0" fontId="54" fillId="59" borderId="0"/>
    <xf numFmtId="0" fontId="37" fillId="60" borderId="12" applyNumberFormat="0" applyAlignment="0" applyProtection="0"/>
    <xf numFmtId="0" fontId="22" fillId="60" borderId="12" applyNumberFormat="0" applyAlignment="0" applyProtection="0"/>
    <xf numFmtId="0" fontId="37" fillId="60" borderId="12" applyNumberFormat="0" applyAlignment="0" applyProtection="0"/>
    <xf numFmtId="0" fontId="37" fillId="60" borderId="12" applyNumberFormat="0" applyAlignment="0" applyProtection="0"/>
    <xf numFmtId="0" fontId="37" fillId="60" borderId="12" applyNumberFormat="0" applyAlignment="0" applyProtection="0"/>
    <xf numFmtId="0" fontId="68" fillId="0" borderId="0"/>
    <xf numFmtId="0" fontId="68" fillId="0" borderId="0"/>
    <xf numFmtId="0" fontId="68" fillId="0" borderId="0"/>
    <xf numFmtId="0" fontId="95" fillId="0" borderId="0"/>
    <xf numFmtId="0" fontId="38" fillId="61" borderId="17" applyNumberFormat="0" applyAlignment="0" applyProtection="0"/>
    <xf numFmtId="0" fontId="38" fillId="61" borderId="17" applyNumberFormat="0" applyAlignment="0" applyProtection="0"/>
    <xf numFmtId="0" fontId="45" fillId="0" borderId="18" applyNumberFormat="0" applyFill="0" applyAlignment="0" applyProtection="0"/>
    <xf numFmtId="0" fontId="45" fillId="0" borderId="18" applyNumberFormat="0" applyFill="0" applyAlignment="0" applyProtection="0"/>
    <xf numFmtId="0" fontId="162" fillId="0" borderId="19" applyNumberFormat="0" applyFont="0" applyFill="0" applyAlignment="0" applyProtection="0"/>
    <xf numFmtId="183" fontId="96" fillId="0" borderId="0" applyFont="0" applyFill="0" applyBorder="0" applyAlignment="0" applyProtection="0"/>
    <xf numFmtId="0" fontId="184" fillId="0" borderId="0"/>
    <xf numFmtId="0" fontId="184" fillId="0" borderId="0"/>
    <xf numFmtId="0" fontId="184" fillId="0" borderId="0"/>
    <xf numFmtId="0" fontId="184" fillId="0" borderId="0"/>
    <xf numFmtId="0" fontId="184" fillId="0" borderId="0"/>
    <xf numFmtId="0" fontId="184" fillId="0" borderId="0"/>
    <xf numFmtId="0" fontId="184" fillId="0" borderId="0"/>
    <xf numFmtId="0" fontId="184" fillId="0" borderId="0"/>
    <xf numFmtId="167" fontId="18" fillId="0" borderId="0" applyFont="0" applyFill="0" applyBorder="0" applyAlignment="0" applyProtection="0"/>
    <xf numFmtId="169" fontId="18" fillId="0" borderId="0" applyFont="0" applyFill="0" applyBorder="0" applyAlignment="0" applyProtection="0"/>
    <xf numFmtId="183" fontId="18" fillId="0" borderId="0" applyFont="0" applyFill="0" applyBorder="0" applyAlignment="0" applyProtection="0"/>
    <xf numFmtId="169" fontId="18" fillId="0" borderId="0" applyFont="0" applyFill="0" applyBorder="0" applyAlignment="0" applyProtection="0"/>
    <xf numFmtId="180" fontId="18" fillId="0" borderId="0" applyFont="0" applyFill="0" applyBorder="0" applyAlignment="0" applyProtection="0"/>
    <xf numFmtId="169" fontId="18" fillId="0" borderId="0" applyFont="0" applyFill="0" applyBorder="0" applyAlignment="0" applyProtection="0"/>
    <xf numFmtId="42" fontId="18" fillId="0" borderId="0"/>
    <xf numFmtId="3" fontId="18" fillId="0" borderId="0" applyFont="0" applyFill="0" applyBorder="0" applyAlignment="0" applyProtection="0"/>
    <xf numFmtId="0" fontId="97" fillId="0" borderId="0">
      <alignment horizontal="center"/>
    </xf>
    <xf numFmtId="10" fontId="69" fillId="62" borderId="20" applyNumberFormat="0" applyAlignment="0">
      <alignment horizontal="right"/>
    </xf>
    <xf numFmtId="0" fontId="19" fillId="63" borderId="21"/>
    <xf numFmtId="197" fontId="18" fillId="0" borderId="0" applyFont="0" applyFill="0" applyBorder="0" applyAlignment="0" applyProtection="0"/>
    <xf numFmtId="170" fontId="18" fillId="0" borderId="0"/>
    <xf numFmtId="252" fontId="18" fillId="0" borderId="0" applyFont="0" applyFill="0" applyBorder="0" applyAlignment="0" applyProtection="0"/>
    <xf numFmtId="252" fontId="18" fillId="0" borderId="0" applyFont="0" applyFill="0" applyBorder="0" applyAlignment="0" applyProtection="0"/>
    <xf numFmtId="252" fontId="18" fillId="0" borderId="0" applyFont="0" applyFill="0" applyBorder="0" applyAlignment="0" applyProtection="0"/>
    <xf numFmtId="0" fontId="55" fillId="59" borderId="22">
      <alignment horizontal="left"/>
    </xf>
    <xf numFmtId="224" fontId="154" fillId="64" borderId="23">
      <protection locked="0"/>
    </xf>
    <xf numFmtId="225" fontId="154" fillId="64" borderId="23">
      <protection locked="0"/>
    </xf>
    <xf numFmtId="226" fontId="154" fillId="64" borderId="23">
      <protection locked="0"/>
    </xf>
    <xf numFmtId="227" fontId="154" fillId="64" borderId="23">
      <protection locked="0"/>
    </xf>
    <xf numFmtId="228" fontId="154" fillId="64" borderId="23">
      <protection locked="0"/>
    </xf>
    <xf numFmtId="229" fontId="154" fillId="64" borderId="23">
      <protection locked="0"/>
    </xf>
    <xf numFmtId="230" fontId="154" fillId="34" borderId="23">
      <alignment horizontal="right"/>
      <protection locked="0"/>
    </xf>
    <xf numFmtId="231" fontId="154" fillId="34" borderId="23">
      <alignment horizontal="right"/>
      <protection locked="0"/>
    </xf>
    <xf numFmtId="0" fontId="154" fillId="65" borderId="23">
      <alignment horizontal="left"/>
      <protection locked="0"/>
    </xf>
    <xf numFmtId="49" fontId="154" fillId="66" borderId="23">
      <alignment horizontal="left" vertical="top" wrapText="1"/>
      <protection locked="0"/>
    </xf>
    <xf numFmtId="232" fontId="154" fillId="64" borderId="23">
      <protection locked="0"/>
    </xf>
    <xf numFmtId="233" fontId="154" fillId="64" borderId="23">
      <protection locked="0"/>
    </xf>
    <xf numFmtId="234" fontId="154" fillId="64" borderId="23">
      <protection locked="0"/>
    </xf>
    <xf numFmtId="49" fontId="154" fillId="66" borderId="23">
      <alignment horizontal="left"/>
      <protection locked="0"/>
    </xf>
    <xf numFmtId="235" fontId="154" fillId="64" borderId="23">
      <alignment horizontal="left"/>
      <protection locked="0"/>
    </xf>
    <xf numFmtId="0" fontId="52" fillId="67" borderId="0">
      <protection locked="0"/>
    </xf>
    <xf numFmtId="15" fontId="72" fillId="68" borderId="0">
      <alignment horizontal="centerContinuous"/>
    </xf>
    <xf numFmtId="0" fontId="33" fillId="69" borderId="0" applyNumberFormat="0" applyBorder="0" applyAlignment="0">
      <alignment horizontal="center"/>
    </xf>
    <xf numFmtId="0" fontId="51" fillId="70" borderId="0" applyNumberFormat="0" applyBorder="0" applyAlignment="0"/>
    <xf numFmtId="0" fontId="98" fillId="70" borderId="0">
      <alignment horizontal="centerContinuous"/>
    </xf>
    <xf numFmtId="0" fontId="64" fillId="71" borderId="24">
      <alignment horizontal="center"/>
      <protection locked="0"/>
    </xf>
    <xf numFmtId="184" fontId="52" fillId="0" borderId="0" applyFont="0" applyFill="0" applyBorder="0" applyAlignment="0" applyProtection="0"/>
    <xf numFmtId="184" fontId="52" fillId="0" borderId="0" applyFont="0" applyFill="0" applyBorder="0" applyAlignment="0" applyProtection="0"/>
    <xf numFmtId="14" fontId="18" fillId="0" borderId="0"/>
    <xf numFmtId="15" fontId="161" fillId="0" borderId="0" applyFont="0" applyFill="0" applyBorder="0" applyAlignment="0" applyProtection="0"/>
    <xf numFmtId="236" fontId="161" fillId="0" borderId="0" applyFont="0" applyFill="0" applyBorder="0" applyAlignment="0" applyProtection="0"/>
    <xf numFmtId="185" fontId="55" fillId="59" borderId="0" applyFont="0" applyFill="0" applyBorder="0" applyAlignment="0" applyProtection="0">
      <alignment vertical="center"/>
    </xf>
    <xf numFmtId="0" fontId="162" fillId="0" borderId="0" applyFont="0" applyFill="0" applyBorder="0" applyAlignment="0" applyProtection="0"/>
    <xf numFmtId="3" fontId="99" fillId="0" borderId="10">
      <alignment horizontal="left" vertical="top" wrapText="1"/>
    </xf>
    <xf numFmtId="49" fontId="18" fillId="0" borderId="10" applyFill="0" applyProtection="0">
      <alignment horizontal="left" vertical="top" wrapText="1"/>
    </xf>
    <xf numFmtId="49" fontId="32" fillId="0" borderId="10" applyFill="0" applyProtection="0">
      <alignment horizontal="left" vertical="top" wrapText="1"/>
    </xf>
    <xf numFmtId="0" fontId="18" fillId="0" borderId="0" applyFont="0" applyFill="0" applyBorder="0" applyAlignment="0" applyProtection="0"/>
    <xf numFmtId="43" fontId="185" fillId="0" borderId="0" applyFont="0" applyFill="0" applyBorder="0" applyAlignment="0" applyProtection="0"/>
    <xf numFmtId="198" fontId="18" fillId="0" borderId="0"/>
    <xf numFmtId="167" fontId="100" fillId="0" borderId="0" applyFont="0" applyFill="0" applyBorder="0" applyAlignment="0" applyProtection="0"/>
    <xf numFmtId="169" fontId="100" fillId="0" borderId="0" applyFont="0" applyFill="0" applyBorder="0" applyAlignment="0" applyProtection="0"/>
    <xf numFmtId="167" fontId="100" fillId="0" borderId="0" applyFont="0" applyFill="0" applyBorder="0" applyAlignment="0" applyProtection="0"/>
    <xf numFmtId="167" fontId="100"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67" fontId="100" fillId="0" borderId="0" applyFont="0" applyFill="0" applyBorder="0" applyAlignment="0" applyProtection="0"/>
    <xf numFmtId="167" fontId="100"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200" fontId="81" fillId="0" borderId="0" applyFont="0" applyFill="0" applyBorder="0" applyAlignment="0" applyProtection="0"/>
    <xf numFmtId="200" fontId="81" fillId="0" borderId="0" applyFont="0" applyFill="0" applyBorder="0" applyAlignment="0" applyProtection="0"/>
    <xf numFmtId="201" fontId="81" fillId="0" borderId="0" applyFont="0" applyFill="0" applyBorder="0" applyAlignment="0" applyProtection="0"/>
    <xf numFmtId="201" fontId="81"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167" fontId="100" fillId="0" borderId="0" applyFont="0" applyFill="0" applyBorder="0" applyAlignment="0" applyProtection="0"/>
    <xf numFmtId="167" fontId="100" fillId="0" borderId="0" applyFont="0" applyFill="0" applyBorder="0" applyAlignment="0" applyProtection="0"/>
    <xf numFmtId="167" fontId="100" fillId="0" borderId="0" applyFont="0" applyFill="0" applyBorder="0" applyAlignment="0" applyProtection="0"/>
    <xf numFmtId="167"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167" fontId="100" fillId="0" borderId="0" applyFont="0" applyFill="0" applyBorder="0" applyAlignment="0" applyProtection="0"/>
    <xf numFmtId="169" fontId="100" fillId="0" borderId="0" applyFont="0" applyFill="0" applyBorder="0" applyAlignment="0" applyProtection="0"/>
    <xf numFmtId="169" fontId="100"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169" fontId="100" fillId="0" borderId="0" applyFont="0" applyFill="0" applyBorder="0" applyAlignment="0" applyProtection="0"/>
    <xf numFmtId="169" fontId="100"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5" fontId="81" fillId="0" borderId="0" applyFont="0" applyFill="0" applyBorder="0" applyAlignment="0" applyProtection="0"/>
    <xf numFmtId="5" fontId="81" fillId="0" borderId="0" applyFont="0" applyFill="0" applyBorder="0" applyAlignment="0" applyProtection="0"/>
    <xf numFmtId="204" fontId="81" fillId="0" borderId="0" applyFont="0" applyFill="0" applyBorder="0" applyAlignment="0" applyProtection="0"/>
    <xf numFmtId="204" fontId="81" fillId="0" borderId="0" applyFont="0" applyFill="0" applyBorder="0" applyAlignment="0" applyProtection="0"/>
    <xf numFmtId="205" fontId="100" fillId="0" borderId="0" applyFont="0" applyFill="0" applyBorder="0" applyAlignment="0" applyProtection="0"/>
    <xf numFmtId="205" fontId="100" fillId="0" borderId="0" applyFont="0" applyFill="0" applyBorder="0" applyAlignment="0" applyProtection="0"/>
    <xf numFmtId="205" fontId="100" fillId="0" borderId="0" applyFont="0" applyFill="0" applyBorder="0" applyAlignment="0" applyProtection="0"/>
    <xf numFmtId="205" fontId="100" fillId="0" borderId="0" applyFont="0" applyFill="0" applyBorder="0" applyAlignment="0" applyProtection="0"/>
    <xf numFmtId="205" fontId="100" fillId="0" borderId="0" applyFont="0" applyFill="0" applyBorder="0" applyAlignment="0" applyProtection="0"/>
    <xf numFmtId="205" fontId="100" fillId="0" borderId="0" applyFont="0" applyFill="0" applyBorder="0" applyAlignment="0" applyProtection="0"/>
    <xf numFmtId="169" fontId="100" fillId="0" borderId="0" applyFont="0" applyFill="0" applyBorder="0" applyAlignment="0" applyProtection="0"/>
    <xf numFmtId="169" fontId="100" fillId="0" borderId="0" applyFont="0" applyFill="0" applyBorder="0" applyAlignment="0" applyProtection="0"/>
    <xf numFmtId="169" fontId="100" fillId="0" borderId="0" applyFont="0" applyFill="0" applyBorder="0" applyAlignment="0" applyProtection="0"/>
    <xf numFmtId="169" fontId="100" fillId="0" borderId="0" applyFont="0" applyFill="0" applyBorder="0" applyAlignment="0" applyProtection="0"/>
    <xf numFmtId="205" fontId="100" fillId="0" borderId="0" applyFont="0" applyFill="0" applyBorder="0" applyAlignment="0" applyProtection="0"/>
    <xf numFmtId="205" fontId="100" fillId="0" borderId="0" applyFont="0" applyFill="0" applyBorder="0" applyAlignment="0" applyProtection="0"/>
    <xf numFmtId="169" fontId="100" fillId="0" borderId="0" applyFont="0" applyFill="0" applyBorder="0" applyAlignment="0" applyProtection="0"/>
    <xf numFmtId="0" fontId="69" fillId="46" borderId="12" applyNumberFormat="0" applyAlignment="0" applyProtection="0"/>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0" fontId="43" fillId="0" borderId="0" applyNumberFormat="0" applyFill="0" applyBorder="0" applyAlignment="0" applyProtection="0"/>
    <xf numFmtId="0" fontId="43" fillId="0" borderId="0" applyNumberFormat="0" applyFill="0" applyBorder="0" applyAlignment="0" applyProtection="0"/>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0" fontId="21" fillId="52" borderId="0" applyNumberFormat="0" applyBorder="0" applyAlignment="0" applyProtection="0"/>
    <xf numFmtId="0" fontId="35" fillId="52" borderId="0" applyNumberFormat="0" applyBorder="0" applyAlignment="0" applyProtection="0"/>
    <xf numFmtId="0" fontId="35" fillId="52" borderId="0" applyNumberFormat="0" applyBorder="0" applyAlignment="0" applyProtection="0"/>
    <xf numFmtId="0" fontId="35" fillId="52" borderId="0" applyNumberFormat="0" applyBorder="0" applyAlignment="0" applyProtection="0"/>
    <xf numFmtId="0" fontId="21" fillId="53" borderId="0" applyNumberFormat="0" applyBorder="0" applyAlignment="0" applyProtection="0"/>
    <xf numFmtId="0" fontId="35" fillId="53" borderId="0" applyNumberFormat="0" applyBorder="0" applyAlignment="0" applyProtection="0"/>
    <xf numFmtId="0" fontId="35" fillId="53" borderId="0" applyNumberFormat="0" applyBorder="0" applyAlignment="0" applyProtection="0"/>
    <xf numFmtId="0" fontId="35" fillId="53" borderId="0" applyNumberFormat="0" applyBorder="0" applyAlignment="0" applyProtection="0"/>
    <xf numFmtId="0" fontId="21" fillId="54" borderId="0" applyNumberFormat="0" applyBorder="0" applyAlignment="0" applyProtection="0"/>
    <xf numFmtId="0" fontId="35" fillId="54" borderId="0" applyNumberFormat="0" applyBorder="0" applyAlignment="0" applyProtection="0"/>
    <xf numFmtId="0" fontId="35" fillId="54" borderId="0" applyNumberFormat="0" applyBorder="0" applyAlignment="0" applyProtection="0"/>
    <xf numFmtId="0" fontId="35" fillId="54" borderId="0" applyNumberFormat="0" applyBorder="0" applyAlignment="0" applyProtection="0"/>
    <xf numFmtId="0" fontId="21" fillId="48" borderId="0" applyNumberFormat="0" applyBorder="0" applyAlignment="0" applyProtection="0"/>
    <xf numFmtId="0" fontId="35" fillId="48" borderId="0" applyNumberFormat="0" applyBorder="0" applyAlignment="0" applyProtection="0"/>
    <xf numFmtId="0" fontId="35" fillId="48" borderId="0" applyNumberFormat="0" applyBorder="0" applyAlignment="0" applyProtection="0"/>
    <xf numFmtId="0" fontId="35" fillId="48" borderId="0" applyNumberFormat="0" applyBorder="0" applyAlignment="0" applyProtection="0"/>
    <xf numFmtId="0" fontId="21" fillId="49" borderId="0" applyNumberFormat="0" applyBorder="0" applyAlignment="0" applyProtection="0"/>
    <xf numFmtId="0" fontId="35" fillId="49" borderId="0" applyNumberFormat="0" applyBorder="0" applyAlignment="0" applyProtection="0"/>
    <xf numFmtId="0" fontId="35" fillId="49" borderId="0" applyNumberFormat="0" applyBorder="0" applyAlignment="0" applyProtection="0"/>
    <xf numFmtId="0" fontId="35" fillId="49" borderId="0" applyNumberFormat="0" applyBorder="0" applyAlignment="0" applyProtection="0"/>
    <xf numFmtId="0" fontId="21" fillId="51" borderId="0" applyNumberFormat="0" applyBorder="0" applyAlignment="0" applyProtection="0"/>
    <xf numFmtId="0" fontId="35" fillId="51" borderId="0" applyNumberFormat="0" applyBorder="0" applyAlignment="0" applyProtection="0"/>
    <xf numFmtId="0" fontId="35" fillId="51" borderId="0" applyNumberFormat="0" applyBorder="0" applyAlignment="0" applyProtection="0"/>
    <xf numFmtId="0" fontId="35" fillId="51" borderId="0" applyNumberFormat="0" applyBorder="0" applyAlignment="0" applyProtection="0"/>
    <xf numFmtId="206" fontId="18" fillId="0" borderId="0" applyFont="0" applyFill="0" applyBorder="0" applyAlignment="0" applyProtection="0"/>
    <xf numFmtId="206" fontId="18" fillId="0" borderId="0" applyFont="0" applyFill="0" applyBorder="0" applyAlignment="0" applyProtection="0"/>
    <xf numFmtId="0" fontId="44" fillId="40" borderId="12" applyNumberFormat="0" applyAlignment="0" applyProtection="0"/>
    <xf numFmtId="0" fontId="44" fillId="40" borderId="12" applyNumberFormat="0" applyAlignment="0" applyProtection="0"/>
    <xf numFmtId="0" fontId="31" fillId="0" borderId="25" applyNumberFormat="0" applyFill="0" applyAlignment="0" applyProtection="0"/>
    <xf numFmtId="0" fontId="27" fillId="0" borderId="0" applyNumberFormat="0" applyFill="0" applyBorder="0" applyAlignment="0" applyProtection="0"/>
    <xf numFmtId="0" fontId="18" fillId="0" borderId="0">
      <alignment horizontal="left" wrapText="1"/>
    </xf>
    <xf numFmtId="216" fontId="18" fillId="0" borderId="0">
      <alignment horizontal="left" wrapText="1"/>
    </xf>
    <xf numFmtId="0" fontId="18" fillId="0" borderId="0">
      <alignment horizontal="left" wrapText="1"/>
    </xf>
    <xf numFmtId="0" fontId="18" fillId="0" borderId="0">
      <alignment horizontal="left" wrapText="1"/>
    </xf>
    <xf numFmtId="216" fontId="18" fillId="0" borderId="0">
      <alignment horizontal="left" wrapText="1"/>
    </xf>
    <xf numFmtId="0" fontId="68" fillId="0" borderId="0"/>
    <xf numFmtId="0" fontId="68" fillId="0" borderId="0"/>
    <xf numFmtId="0" fontId="18" fillId="0" borderId="0">
      <alignment vertical="top"/>
    </xf>
    <xf numFmtId="0" fontId="18" fillId="0" borderId="0">
      <alignment vertical="top"/>
    </xf>
    <xf numFmtId="0" fontId="68" fillId="0" borderId="0"/>
    <xf numFmtId="0" fontId="18" fillId="0" borderId="0">
      <alignment vertical="top"/>
    </xf>
    <xf numFmtId="0" fontId="18" fillId="0" borderId="0">
      <alignment vertical="top"/>
    </xf>
    <xf numFmtId="0" fontId="68" fillId="0" borderId="0"/>
    <xf numFmtId="0" fontId="18" fillId="0" borderId="0"/>
    <xf numFmtId="0" fontId="68" fillId="0" borderId="0"/>
    <xf numFmtId="0" fontId="18" fillId="0" borderId="0"/>
    <xf numFmtId="0" fontId="18" fillId="0" borderId="0"/>
    <xf numFmtId="0" fontId="18" fillId="0" borderId="0"/>
    <xf numFmtId="0" fontId="68" fillId="0" borderId="0"/>
    <xf numFmtId="0" fontId="18" fillId="0" borderId="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79" fontId="18" fillId="0" borderId="0" applyFont="0" applyFill="0" applyBorder="0" applyAlignment="0" applyProtection="0"/>
    <xf numFmtId="0" fontId="39" fillId="0" borderId="0" applyNumberFormat="0" applyFill="0" applyBorder="0" applyAlignment="0" applyProtection="0"/>
    <xf numFmtId="0" fontId="31" fillId="43" borderId="0">
      <alignment horizontal="right" shrinkToFit="1"/>
    </xf>
    <xf numFmtId="0" fontId="51" fillId="73" borderId="0">
      <alignment horizontal="center"/>
    </xf>
    <xf numFmtId="0" fontId="79" fillId="0" borderId="0" applyNumberFormat="0" applyFill="0" applyBorder="0" applyAlignment="0" applyProtection="0"/>
    <xf numFmtId="0" fontId="66" fillId="0" borderId="0" applyProtection="0"/>
    <xf numFmtId="0" fontId="19" fillId="0" borderId="0" applyProtection="0"/>
    <xf numFmtId="0" fontId="101" fillId="0" borderId="0" applyProtection="0"/>
    <xf numFmtId="0" fontId="79" fillId="0" borderId="0" applyProtection="0"/>
    <xf numFmtId="0" fontId="102" fillId="0" borderId="0" applyProtection="0"/>
    <xf numFmtId="0" fontId="103" fillId="0" borderId="0" applyProtection="0"/>
    <xf numFmtId="0" fontId="104" fillId="0" borderId="0" applyProtection="0"/>
    <xf numFmtId="3" fontId="162" fillId="0" borderId="0" applyFont="0" applyFill="0" applyBorder="0" applyAlignment="0" applyProtection="0"/>
    <xf numFmtId="2" fontId="18" fillId="0" borderId="0" applyFont="0" applyFill="0" applyBorder="0" applyAlignment="0" applyProtection="0"/>
    <xf numFmtId="0" fontId="186" fillId="0" borderId="0" applyNumberFormat="0" applyFill="0" applyBorder="0" applyAlignment="0" applyProtection="0">
      <alignment vertical="top"/>
      <protection locked="0"/>
    </xf>
    <xf numFmtId="0" fontId="105" fillId="0" borderId="0">
      <alignment vertical="top" wrapText="1"/>
    </xf>
    <xf numFmtId="38" fontId="19" fillId="33" borderId="0" applyNumberFormat="0" applyBorder="0" applyAlignment="0" applyProtection="0"/>
    <xf numFmtId="38" fontId="19" fillId="34" borderId="0" applyNumberFormat="0" applyBorder="0" applyAlignment="0" applyProtection="0"/>
    <xf numFmtId="38" fontId="19" fillId="34" borderId="0" applyNumberFormat="0" applyBorder="0" applyAlignment="0" applyProtection="0"/>
    <xf numFmtId="0" fontId="163" fillId="39" borderId="0" applyNumberFormat="0" applyBorder="0" applyAlignment="0" applyProtection="0"/>
    <xf numFmtId="0" fontId="56" fillId="74" borderId="0"/>
    <xf numFmtId="0" fontId="187" fillId="75" borderId="14">
      <alignment vertical="top" wrapText="1"/>
    </xf>
    <xf numFmtId="0" fontId="50" fillId="0" borderId="26" applyNumberFormat="0" applyAlignment="0" applyProtection="0">
      <alignment horizontal="left" vertical="center"/>
    </xf>
    <xf numFmtId="0" fontId="50" fillId="0" borderId="27">
      <alignment horizontal="left" vertical="center"/>
    </xf>
    <xf numFmtId="0" fontId="41" fillId="0" borderId="28" applyNumberFormat="0" applyFill="0" applyAlignment="0" applyProtection="0"/>
    <xf numFmtId="0" fontId="42" fillId="0" borderId="29" applyNumberFormat="0" applyFill="0" applyAlignment="0" applyProtection="0"/>
    <xf numFmtId="0" fontId="43" fillId="0" borderId="30" applyNumberFormat="0" applyFill="0" applyAlignment="0" applyProtection="0"/>
    <xf numFmtId="0" fontId="106" fillId="0" borderId="0" applyProtection="0"/>
    <xf numFmtId="0" fontId="50" fillId="0" borderId="0" applyProtection="0"/>
    <xf numFmtId="0" fontId="188" fillId="34" borderId="14" applyNumberFormat="0">
      <alignment horizontal="left" vertical="top" wrapText="1"/>
    </xf>
    <xf numFmtId="164" fontId="107" fillId="76" borderId="20" applyNumberFormat="0" applyAlignment="0">
      <alignment horizontal="left" vertical="top"/>
    </xf>
    <xf numFmtId="237" fontId="21" fillId="0" borderId="0" applyAlignment="0">
      <alignment horizontal="right"/>
      <protection hidden="1"/>
    </xf>
    <xf numFmtId="0" fontId="48" fillId="0" borderId="0" applyNumberFormat="0" applyFill="0" applyBorder="0" applyAlignment="0" applyProtection="0">
      <alignment vertical="top"/>
      <protection locked="0"/>
    </xf>
    <xf numFmtId="10" fontId="18" fillId="0" borderId="0" applyBorder="0"/>
    <xf numFmtId="174" fontId="18" fillId="0" borderId="0"/>
    <xf numFmtId="0" fontId="57" fillId="0" borderId="0" applyNumberFormat="0" applyFill="0" applyBorder="0" applyAlignment="0" applyProtection="0">
      <alignment vertical="top"/>
      <protection locked="0"/>
    </xf>
    <xf numFmtId="41" fontId="81" fillId="0" borderId="0" applyFont="0" applyFill="0" applyBorder="0" applyAlignment="0" applyProtection="0"/>
    <xf numFmtId="38" fontId="68" fillId="0" borderId="0" applyFont="0" applyFill="0" applyBorder="0" applyAlignment="0" applyProtection="0"/>
    <xf numFmtId="207" fontId="108" fillId="0" borderId="0" applyFont="0" applyFill="0" applyBorder="0" applyAlignment="0" applyProtection="0"/>
    <xf numFmtId="39" fontId="32" fillId="0" borderId="10" applyFill="0" applyProtection="0">
      <alignment horizontal="right"/>
    </xf>
    <xf numFmtId="0" fontId="24" fillId="36" borderId="0" applyNumberFormat="0" applyBorder="0" applyAlignment="0" applyProtection="0"/>
    <xf numFmtId="0" fontId="36" fillId="36" borderId="0" applyNumberFormat="0" applyBorder="0" applyAlignment="0" applyProtection="0"/>
    <xf numFmtId="0" fontId="36" fillId="36" borderId="0" applyNumberFormat="0" applyBorder="0" applyAlignment="0" applyProtection="0"/>
    <xf numFmtId="0" fontId="36" fillId="36" borderId="0" applyNumberFormat="0" applyBorder="0" applyAlignment="0" applyProtection="0"/>
    <xf numFmtId="10" fontId="19" fillId="33" borderId="20" applyNumberFormat="0" applyBorder="0" applyAlignment="0" applyProtection="0"/>
    <xf numFmtId="10" fontId="19" fillId="77" borderId="20" applyNumberFormat="0" applyBorder="0" applyAlignment="0" applyProtection="0"/>
    <xf numFmtId="10" fontId="19" fillId="77" borderId="20" applyNumberFormat="0" applyBorder="0" applyAlignment="0" applyProtection="0"/>
    <xf numFmtId="10" fontId="70" fillId="0" borderId="0">
      <protection locked="0"/>
    </xf>
    <xf numFmtId="10" fontId="70" fillId="0" borderId="0">
      <protection locked="0"/>
    </xf>
    <xf numFmtId="10" fontId="70" fillId="0" borderId="0">
      <protection locked="0"/>
    </xf>
    <xf numFmtId="15" fontId="70" fillId="0" borderId="0">
      <protection locked="0"/>
    </xf>
    <xf numFmtId="15" fontId="70" fillId="0" borderId="0">
      <protection locked="0"/>
    </xf>
    <xf numFmtId="15" fontId="70" fillId="0" borderId="0">
      <protection locked="0"/>
    </xf>
    <xf numFmtId="2" fontId="70" fillId="0" borderId="10">
      <protection locked="0"/>
    </xf>
    <xf numFmtId="2" fontId="70" fillId="0" borderId="10">
      <protection locked="0"/>
    </xf>
    <xf numFmtId="2" fontId="70" fillId="0" borderId="10">
      <protection locked="0"/>
    </xf>
    <xf numFmtId="0" fontId="70" fillId="0" borderId="0">
      <protection locked="0"/>
    </xf>
    <xf numFmtId="0" fontId="70" fillId="0" borderId="0">
      <protection locked="0"/>
    </xf>
    <xf numFmtId="0" fontId="70" fillId="0" borderId="0">
      <protection locked="0"/>
    </xf>
    <xf numFmtId="0" fontId="109" fillId="0" borderId="0" applyBorder="0"/>
    <xf numFmtId="41" fontId="81" fillId="0" borderId="0" applyFont="0" applyFill="0" applyBorder="0" applyAlignment="0" applyProtection="0"/>
    <xf numFmtId="0" fontId="81" fillId="0" borderId="0"/>
    <xf numFmtId="38" fontId="102" fillId="0" borderId="0"/>
    <xf numFmtId="38" fontId="164" fillId="0" borderId="0"/>
    <xf numFmtId="38" fontId="165" fillId="0" borderId="0"/>
    <xf numFmtId="38" fontId="104" fillId="0" borderId="0"/>
    <xf numFmtId="0" fontId="94" fillId="0" borderId="0"/>
    <xf numFmtId="0" fontId="94" fillId="0" borderId="0"/>
    <xf numFmtId="0" fontId="59" fillId="34" borderId="0"/>
    <xf numFmtId="0" fontId="154" fillId="0" borderId="0"/>
    <xf numFmtId="0" fontId="166" fillId="0" borderId="0"/>
    <xf numFmtId="0" fontId="167" fillId="0" borderId="0">
      <alignment horizontal="center"/>
    </xf>
    <xf numFmtId="0" fontId="59" fillId="34" borderId="0"/>
    <xf numFmtId="0" fontId="18" fillId="78" borderId="0" applyNumberFormat="0" applyFont="0" applyBorder="0" applyAlignment="0" applyProtection="0"/>
    <xf numFmtId="0" fontId="60" fillId="79" borderId="11">
      <protection locked="0"/>
    </xf>
    <xf numFmtId="238" fontId="162" fillId="0" borderId="0" applyFont="0" applyFill="0" applyBorder="0" applyAlignment="0" applyProtection="0"/>
    <xf numFmtId="41" fontId="18" fillId="0" borderId="0" applyFont="0" applyFill="0" applyBorder="0" applyAlignment="0" applyProtection="0"/>
    <xf numFmtId="178" fontId="18" fillId="0" borderId="0" applyFont="0" applyFill="0" applyBorder="0" applyAlignment="0" applyProtection="0"/>
    <xf numFmtId="178"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8" fontId="18" fillId="0" borderId="0" applyFont="0" applyFill="0" applyBorder="0" applyAlignment="0" applyProtection="0"/>
    <xf numFmtId="253" fontId="18" fillId="0" borderId="0" applyFont="0" applyFill="0" applyBorder="0" applyAlignment="0" applyProtection="0"/>
    <xf numFmtId="239" fontId="18" fillId="0" borderId="10" applyFill="0" applyProtection="0">
      <alignment horizontal="right" vertical="top"/>
    </xf>
    <xf numFmtId="239" fontId="32" fillId="0" borderId="10" applyFill="0" applyProtection="0">
      <alignment horizontal="right"/>
    </xf>
    <xf numFmtId="0" fontId="110" fillId="0" borderId="15"/>
    <xf numFmtId="10" fontId="68" fillId="80" borderId="31" applyBorder="0">
      <alignment horizontal="center"/>
      <protection locked="0"/>
    </xf>
    <xf numFmtId="177" fontId="18" fillId="0" borderId="32"/>
    <xf numFmtId="44" fontId="18" fillId="0" borderId="0" applyFont="0" applyFill="0" applyBorder="0" applyAlignment="0" applyProtection="0"/>
    <xf numFmtId="254" fontId="18" fillId="0" borderId="0" applyFont="0" applyFill="0" applyBorder="0" applyAlignment="0" applyProtection="0"/>
    <xf numFmtId="255" fontId="18" fillId="0" borderId="0" applyFont="0" applyFill="0" applyBorder="0" applyAlignment="0" applyProtection="0"/>
    <xf numFmtId="0" fontId="111" fillId="0" borderId="0" applyNumberFormat="0" applyFont="0" applyFill="0" applyAlignment="0"/>
    <xf numFmtId="0" fontId="168" fillId="0" borderId="0" applyFont="0" applyAlignment="0">
      <alignment horizontal="left"/>
    </xf>
    <xf numFmtId="0" fontId="111" fillId="0" borderId="0" applyNumberFormat="0" applyFont="0" applyFill="0" applyAlignment="0"/>
    <xf numFmtId="0" fontId="25" fillId="46" borderId="0" applyNumberFormat="0" applyBorder="0" applyAlignment="0" applyProtection="0"/>
    <xf numFmtId="0" fontId="61" fillId="46" borderId="0" applyNumberFormat="0" applyBorder="0" applyAlignment="0" applyProtection="0"/>
    <xf numFmtId="0" fontId="112" fillId="0" borderId="0"/>
    <xf numFmtId="0" fontId="59" fillId="34" borderId="0"/>
    <xf numFmtId="0" fontId="94" fillId="0" borderId="0" applyNumberFormat="0" applyFill="0" applyAlignment="0" applyProtection="0"/>
    <xf numFmtId="37" fontId="113" fillId="0" borderId="0"/>
    <xf numFmtId="0" fontId="49" fillId="0" borderId="0"/>
    <xf numFmtId="0" fontId="49" fillId="0" borderId="0"/>
    <xf numFmtId="0" fontId="49" fillId="0" borderId="0"/>
    <xf numFmtId="186" fontId="7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4" fillId="0" borderId="0"/>
    <xf numFmtId="0" fontId="18" fillId="0" borderId="0"/>
    <xf numFmtId="0" fontId="34" fillId="0" borderId="0"/>
    <xf numFmtId="0" fontId="18" fillId="0" borderId="0"/>
    <xf numFmtId="0" fontId="18" fillId="0" borderId="0"/>
    <xf numFmtId="0" fontId="18" fillId="0" borderId="0"/>
    <xf numFmtId="0" fontId="18" fillId="0" borderId="0" applyBorder="0"/>
    <xf numFmtId="0" fontId="18" fillId="0" borderId="0" applyBorder="0"/>
    <xf numFmtId="0" fontId="162" fillId="0" borderId="0"/>
    <xf numFmtId="0" fontId="18" fillId="0" borderId="0"/>
    <xf numFmtId="0" fontId="81" fillId="0" borderId="0"/>
    <xf numFmtId="0" fontId="34" fillId="0" borderId="0"/>
    <xf numFmtId="0" fontId="18" fillId="0" borderId="0"/>
    <xf numFmtId="0" fontId="100" fillId="0" borderId="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208" fontId="94" fillId="0" borderId="0" applyFill="0" applyBorder="0" applyAlignment="0" applyProtection="0"/>
    <xf numFmtId="37" fontId="18" fillId="0" borderId="0"/>
    <xf numFmtId="49" fontId="32" fillId="0" borderId="10" applyNumberFormat="0" applyFill="0" applyProtection="0">
      <alignment horizontal="left" vertical="top"/>
    </xf>
    <xf numFmtId="0" fontId="18" fillId="0" borderId="0" applyFont="0" applyFill="0" applyBorder="0" applyAlignment="0" applyProtection="0"/>
    <xf numFmtId="0" fontId="18" fillId="0" borderId="0" applyFont="0" applyFill="0" applyBorder="0" applyAlignment="0" applyProtection="0"/>
    <xf numFmtId="0" fontId="169" fillId="0" borderId="0">
      <alignment horizontal="left"/>
    </xf>
    <xf numFmtId="240" fontId="170" fillId="0" borderId="16" applyFill="0" applyBorder="0" applyAlignment="0" applyProtection="0"/>
    <xf numFmtId="0" fontId="94" fillId="33" borderId="34" applyBorder="0"/>
    <xf numFmtId="3" fontId="170" fillId="0" borderId="0" applyFill="0" applyBorder="0" applyAlignment="0" applyProtection="0"/>
    <xf numFmtId="241" fontId="170" fillId="0" borderId="0" applyFill="0" applyBorder="0" applyAlignment="0" applyProtection="0"/>
    <xf numFmtId="10" fontId="170" fillId="0" borderId="0" applyFont="0" applyFill="0" applyBorder="0" applyAlignment="0" applyProtection="0"/>
    <xf numFmtId="174" fontId="170" fillId="0" borderId="0" applyFont="0" applyFill="0" applyBorder="0" applyAlignment="0" applyProtection="0"/>
    <xf numFmtId="0" fontId="46" fillId="60" borderId="11" applyNumberFormat="0" applyAlignment="0" applyProtection="0"/>
    <xf numFmtId="10"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256" fontId="189" fillId="0" borderId="0">
      <alignment horizontal="center"/>
    </xf>
    <xf numFmtId="257" fontId="68" fillId="0" borderId="0" applyFont="0" applyFill="0" applyBorder="0" applyAlignment="0" applyProtection="0"/>
    <xf numFmtId="242" fontId="18" fillId="0" borderId="0"/>
    <xf numFmtId="2" fontId="162"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39" fontId="32" fillId="0" borderId="10" applyFill="0" applyProtection="0">
      <alignment horizontal="right"/>
    </xf>
    <xf numFmtId="0" fontId="55" fillId="34" borderId="0"/>
    <xf numFmtId="0" fontId="55" fillId="59" borderId="0"/>
    <xf numFmtId="0" fontId="49" fillId="0" borderId="0">
      <alignment vertical="center"/>
    </xf>
    <xf numFmtId="0" fontId="54" fillId="66" borderId="0"/>
    <xf numFmtId="166" fontId="18" fillId="0" borderId="0" applyFont="0" applyFill="0" applyBorder="0" applyAlignment="0" applyProtection="0"/>
    <xf numFmtId="0" fontId="55" fillId="59" borderId="0"/>
    <xf numFmtId="0" fontId="26" fillId="60" borderId="11" applyNumberFormat="0" applyAlignment="0" applyProtection="0"/>
    <xf numFmtId="0" fontId="46" fillId="60" borderId="11" applyNumberFormat="0" applyAlignment="0" applyProtection="0"/>
    <xf numFmtId="0" fontId="46" fillId="60" borderId="11" applyNumberFormat="0" applyAlignment="0" applyProtection="0"/>
    <xf numFmtId="0" fontId="46" fillId="60" borderId="11" applyNumberFormat="0" applyAlignment="0" applyProtection="0"/>
    <xf numFmtId="4" fontId="114" fillId="64" borderId="35" applyNumberFormat="0" applyProtection="0">
      <alignment vertical="center"/>
    </xf>
    <xf numFmtId="4" fontId="115" fillId="64" borderId="35" applyNumberFormat="0" applyProtection="0">
      <alignment vertical="center"/>
    </xf>
    <xf numFmtId="4" fontId="116" fillId="64" borderId="35" applyNumberFormat="0" applyProtection="0">
      <alignment horizontal="left" vertical="center" indent="1"/>
    </xf>
    <xf numFmtId="4" fontId="116" fillId="81" borderId="0" applyNumberFormat="0" applyProtection="0">
      <alignment horizontal="left" vertical="center" indent="1"/>
    </xf>
    <xf numFmtId="4" fontId="116" fillId="82" borderId="35" applyNumberFormat="0" applyProtection="0">
      <alignment horizontal="right" vertical="center"/>
    </xf>
    <xf numFmtId="4" fontId="116" fillId="83" borderId="35" applyNumberFormat="0" applyProtection="0">
      <alignment horizontal="right" vertical="center"/>
    </xf>
    <xf numFmtId="4" fontId="116" fillId="84" borderId="35" applyNumberFormat="0" applyProtection="0">
      <alignment horizontal="right" vertical="center"/>
    </xf>
    <xf numFmtId="4" fontId="116" fillId="66" borderId="35" applyNumberFormat="0" applyProtection="0">
      <alignment horizontal="right" vertical="center"/>
    </xf>
    <xf numFmtId="4" fontId="116" fillId="85" borderId="35" applyNumberFormat="0" applyProtection="0">
      <alignment horizontal="right" vertical="center"/>
    </xf>
    <xf numFmtId="4" fontId="116" fillId="79" borderId="35" applyNumberFormat="0" applyProtection="0">
      <alignment horizontal="right" vertical="center"/>
    </xf>
    <xf numFmtId="4" fontId="116" fillId="86" borderId="35" applyNumberFormat="0" applyProtection="0">
      <alignment horizontal="right" vertical="center"/>
    </xf>
    <xf numFmtId="4" fontId="116" fillId="87" borderId="35" applyNumberFormat="0" applyProtection="0">
      <alignment horizontal="right" vertical="center"/>
    </xf>
    <xf numFmtId="4" fontId="116" fillId="88" borderId="35" applyNumberFormat="0" applyProtection="0">
      <alignment horizontal="right" vertical="center"/>
    </xf>
    <xf numFmtId="4" fontId="114" fillId="89" borderId="36" applyNumberFormat="0" applyProtection="0">
      <alignment horizontal="left" vertical="center" indent="1"/>
    </xf>
    <xf numFmtId="4" fontId="114" fillId="62" borderId="0" applyNumberFormat="0" applyProtection="0">
      <alignment horizontal="left" vertical="center" indent="1"/>
    </xf>
    <xf numFmtId="4" fontId="114" fillId="81" borderId="0" applyNumberFormat="0" applyProtection="0">
      <alignment horizontal="left" vertical="center" indent="1"/>
    </xf>
    <xf numFmtId="4" fontId="116" fillId="62" borderId="35" applyNumberFormat="0" applyProtection="0">
      <alignment horizontal="right" vertical="center"/>
    </xf>
    <xf numFmtId="4" fontId="20" fillId="62" borderId="0" applyNumberFormat="0" applyProtection="0">
      <alignment horizontal="left" vertical="center" indent="1"/>
    </xf>
    <xf numFmtId="4" fontId="20" fillId="81" borderId="0" applyNumberFormat="0" applyProtection="0">
      <alignment horizontal="left" vertical="center" indent="1"/>
    </xf>
    <xf numFmtId="4" fontId="116" fillId="67" borderId="35" applyNumberFormat="0" applyProtection="0">
      <alignment vertical="center"/>
    </xf>
    <xf numFmtId="4" fontId="117" fillId="67" borderId="35" applyNumberFormat="0" applyProtection="0">
      <alignment vertical="center"/>
    </xf>
    <xf numFmtId="4" fontId="114" fillId="62" borderId="37" applyNumberFormat="0" applyProtection="0">
      <alignment horizontal="left" vertical="center" indent="1"/>
    </xf>
    <xf numFmtId="4" fontId="116" fillId="67" borderId="35" applyNumberFormat="0" applyProtection="0">
      <alignment horizontal="right" vertical="center"/>
    </xf>
    <xf numFmtId="4" fontId="117" fillId="67" borderId="35" applyNumberFormat="0" applyProtection="0">
      <alignment horizontal="right" vertical="center"/>
    </xf>
    <xf numFmtId="4" fontId="114" fillId="62" borderId="35" applyNumberFormat="0" applyProtection="0">
      <alignment horizontal="left" vertical="center" indent="1"/>
    </xf>
    <xf numFmtId="4" fontId="118" fillId="76" borderId="37" applyNumberFormat="0" applyProtection="0">
      <alignment horizontal="left" vertical="center" indent="1"/>
    </xf>
    <xf numFmtId="4" fontId="119" fillId="67" borderId="35" applyNumberFormat="0" applyProtection="0">
      <alignment horizontal="right" vertical="center"/>
    </xf>
    <xf numFmtId="0" fontId="24" fillId="38" borderId="0" applyNumberFormat="0" applyBorder="0" applyAlignment="0" applyProtection="0"/>
    <xf numFmtId="0" fontId="94" fillId="0" borderId="14" applyNumberFormat="0" applyFill="0" applyAlignment="0" applyProtection="0"/>
    <xf numFmtId="0" fontId="18" fillId="0" borderId="0"/>
    <xf numFmtId="0" fontId="52" fillId="59" borderId="0"/>
    <xf numFmtId="0" fontId="52" fillId="59" borderId="0"/>
    <xf numFmtId="0" fontId="52" fillId="59" borderId="0"/>
    <xf numFmtId="243" fontId="20" fillId="0" borderId="0" applyFill="0" applyBorder="0" applyAlignment="0"/>
    <xf numFmtId="0" fontId="120" fillId="0" borderId="0" applyNumberFormat="0" applyFill="0" applyBorder="0" applyAlignment="0" applyProtection="0"/>
    <xf numFmtId="0" fontId="68" fillId="0" borderId="0"/>
    <xf numFmtId="0" fontId="68" fillId="0" borderId="0"/>
    <xf numFmtId="0" fontId="18" fillId="0" borderId="0">
      <alignment vertical="top"/>
    </xf>
    <xf numFmtId="0" fontId="18" fillId="0" borderId="0">
      <alignment vertical="top"/>
    </xf>
    <xf numFmtId="0" fontId="18" fillId="0" borderId="0">
      <alignment vertical="top"/>
    </xf>
    <xf numFmtId="0" fontId="18" fillId="0" borderId="0">
      <alignment vertical="top"/>
    </xf>
    <xf numFmtId="0" fontId="18" fillId="0" borderId="0">
      <alignment vertical="top"/>
    </xf>
    <xf numFmtId="0" fontId="18" fillId="0" borderId="0">
      <alignment vertical="top"/>
    </xf>
    <xf numFmtId="0" fontId="68" fillId="0" borderId="0"/>
    <xf numFmtId="0" fontId="18" fillId="0" borderId="0">
      <alignment vertical="top"/>
    </xf>
    <xf numFmtId="0" fontId="18" fillId="0" borderId="0">
      <alignment vertical="top"/>
    </xf>
    <xf numFmtId="0" fontId="18" fillId="0" borderId="0">
      <alignment vertical="top"/>
    </xf>
    <xf numFmtId="0" fontId="18" fillId="0" borderId="0">
      <alignment vertical="top"/>
    </xf>
    <xf numFmtId="0" fontId="18" fillId="0" borderId="0">
      <alignment vertical="top"/>
    </xf>
    <xf numFmtId="0" fontId="18" fillId="0" borderId="0">
      <alignment vertical="top"/>
    </xf>
    <xf numFmtId="183" fontId="96" fillId="0" borderId="0" applyFont="0" applyFill="0" applyBorder="0" applyAlignment="0" applyProtection="0"/>
    <xf numFmtId="41" fontId="81" fillId="0" borderId="0" applyFont="0" applyFill="0" applyBorder="0" applyAlignment="0" applyProtection="0"/>
    <xf numFmtId="41" fontId="81" fillId="0" borderId="0" applyFont="0" applyFill="0" applyBorder="0" applyAlignment="0" applyProtection="0"/>
    <xf numFmtId="41" fontId="81" fillId="0" borderId="0" applyFont="0" applyFill="0" applyBorder="0" applyAlignment="0" applyProtection="0"/>
    <xf numFmtId="183" fontId="96" fillId="0" borderId="0" applyFont="0" applyFill="0" applyBorder="0" applyAlignment="0" applyProtection="0"/>
    <xf numFmtId="183" fontId="96" fillId="0" borderId="0" applyFont="0" applyFill="0" applyBorder="0" applyAlignment="0" applyProtection="0"/>
    <xf numFmtId="0" fontId="68" fillId="0" borderId="0"/>
    <xf numFmtId="0" fontId="18" fillId="0" borderId="0"/>
    <xf numFmtId="0" fontId="18" fillId="0" borderId="0"/>
    <xf numFmtId="0" fontId="18" fillId="0" borderId="0"/>
    <xf numFmtId="0" fontId="110" fillId="0" borderId="0"/>
    <xf numFmtId="0" fontId="182" fillId="0" borderId="38" applyNumberFormat="0" applyAlignment="0" applyProtection="0"/>
    <xf numFmtId="0" fontId="18" fillId="0" borderId="0" applyNumberFormat="0" applyFont="0" applyAlignment="0" applyProtection="0"/>
    <xf numFmtId="0" fontId="18" fillId="0" borderId="0" applyNumberFormat="0" applyFont="0" applyAlignment="0" applyProtection="0"/>
    <xf numFmtId="0" fontId="18" fillId="0" borderId="0" applyNumberFormat="0" applyFont="0" applyAlignment="0" applyProtection="0"/>
    <xf numFmtId="0" fontId="190" fillId="0" borderId="38" applyNumberFormat="0" applyAlignment="0" applyProtection="0">
      <alignment horizontal="left" vertical="top"/>
    </xf>
    <xf numFmtId="0" fontId="191" fillId="0" borderId="0" applyNumberFormat="0" applyProtection="0">
      <alignment horizontal="left" vertical="top"/>
    </xf>
    <xf numFmtId="0" fontId="18" fillId="0" borderId="0" applyNumberFormat="0" applyFont="0" applyAlignment="0" applyProtection="0"/>
    <xf numFmtId="0" fontId="18" fillId="0" borderId="0" applyNumberFormat="0" applyFont="0" applyAlignment="0" applyProtection="0"/>
    <xf numFmtId="0" fontId="18" fillId="0" borderId="0" applyNumberFormat="0" applyFont="0" applyAlignment="0" applyProtection="0"/>
    <xf numFmtId="0" fontId="182" fillId="0" borderId="38">
      <alignment vertical="top"/>
    </xf>
    <xf numFmtId="0" fontId="191" fillId="0" borderId="0" applyNumberFormat="0" applyFill="0" applyBorder="0" applyProtection="0"/>
    <xf numFmtId="0" fontId="192" fillId="0" borderId="0" applyNumberFormat="0" applyFill="0" applyBorder="0" applyProtection="0">
      <alignment vertical="top"/>
    </xf>
    <xf numFmtId="0" fontId="193" fillId="0" borderId="27" applyNumberFormat="0" applyProtection="0">
      <alignment horizontal="left" vertical="top"/>
    </xf>
    <xf numFmtId="0" fontId="193" fillId="0" borderId="27" applyNumberFormat="0" applyProtection="0">
      <alignment horizontal="right" vertical="top"/>
    </xf>
    <xf numFmtId="0" fontId="190" fillId="0" borderId="0" applyNumberFormat="0" applyProtection="0">
      <alignment horizontal="left" vertical="top"/>
    </xf>
    <xf numFmtId="0" fontId="190" fillId="0" borderId="0" applyNumberFormat="0" applyProtection="0">
      <alignment horizontal="right" vertical="top"/>
    </xf>
    <xf numFmtId="0" fontId="182" fillId="0" borderId="0" applyNumberFormat="0" applyProtection="0">
      <alignment horizontal="left" vertical="top"/>
    </xf>
    <xf numFmtId="0" fontId="182" fillId="0" borderId="0" applyNumberFormat="0" applyProtection="0">
      <alignment horizontal="right" vertical="top"/>
    </xf>
    <xf numFmtId="0" fontId="18" fillId="0" borderId="39" applyNumberFormat="0" applyFont="0" applyAlignment="0" applyProtection="0"/>
    <xf numFmtId="0" fontId="18" fillId="0" borderId="39" applyNumberFormat="0" applyFont="0" applyAlignment="0" applyProtection="0"/>
    <xf numFmtId="0" fontId="18" fillId="0" borderId="39" applyNumberFormat="0" applyFont="0" applyAlignment="0" applyProtection="0"/>
    <xf numFmtId="0" fontId="18" fillId="0" borderId="40" applyNumberFormat="0" applyFont="0" applyAlignment="0" applyProtection="0"/>
    <xf numFmtId="0" fontId="18" fillId="0" borderId="40" applyNumberFormat="0" applyFont="0" applyAlignment="0" applyProtection="0"/>
    <xf numFmtId="0" fontId="18" fillId="0" borderId="40" applyNumberFormat="0" applyFont="0" applyAlignment="0" applyProtection="0"/>
    <xf numFmtId="0" fontId="18" fillId="0" borderId="41" applyNumberFormat="0" applyFont="0" applyAlignment="0" applyProtection="0"/>
    <xf numFmtId="0" fontId="18" fillId="0" borderId="41" applyNumberFormat="0" applyFont="0" applyAlignment="0" applyProtection="0"/>
    <xf numFmtId="0" fontId="18" fillId="0" borderId="41" applyNumberFormat="0" applyFont="0" applyAlignment="0" applyProtection="0"/>
    <xf numFmtId="10" fontId="194" fillId="0" borderId="0" applyNumberFormat="0" applyFill="0" applyBorder="0" applyProtection="0">
      <alignment horizontal="right" vertical="top"/>
    </xf>
    <xf numFmtId="0" fontId="190" fillId="0" borderId="27" applyNumberFormat="0" applyFill="0" applyAlignment="0" applyProtection="0"/>
    <xf numFmtId="0" fontId="182" fillId="0" borderId="16" applyNumberFormat="0" applyFont="0" applyFill="0" applyAlignment="0" applyProtection="0">
      <alignment horizontal="left" vertical="top"/>
    </xf>
    <xf numFmtId="0" fontId="190" fillId="0" borderId="14" applyNumberFormat="0" applyFill="0" applyAlignment="0" applyProtection="0">
      <alignment vertical="top"/>
    </xf>
    <xf numFmtId="0" fontId="171" fillId="34" borderId="20">
      <protection locked="0"/>
    </xf>
    <xf numFmtId="177" fontId="121" fillId="0" borderId="42">
      <alignment horizontal="right" vertical="center"/>
    </xf>
    <xf numFmtId="173" fontId="81" fillId="0" borderId="42">
      <alignment horizontal="right" vertical="center"/>
    </xf>
    <xf numFmtId="209" fontId="122"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173" fontId="81"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209" fontId="122" fillId="0" borderId="42">
      <alignment horizontal="right" vertical="center"/>
    </xf>
    <xf numFmtId="6" fontId="81" fillId="0" borderId="42">
      <alignment horizontal="right" vertical="center"/>
    </xf>
    <xf numFmtId="6" fontId="81" fillId="0" borderId="42">
      <alignment horizontal="right" vertical="center"/>
    </xf>
    <xf numFmtId="6" fontId="81" fillId="0" borderId="42">
      <alignment horizontal="right" vertical="center"/>
    </xf>
    <xf numFmtId="6" fontId="81" fillId="0" borderId="42">
      <alignment horizontal="right" vertical="center"/>
    </xf>
    <xf numFmtId="6" fontId="81" fillId="0" borderId="42">
      <alignment horizontal="right" vertical="center"/>
    </xf>
    <xf numFmtId="177" fontId="121" fillId="0" borderId="42">
      <alignment horizontal="right" vertical="center"/>
    </xf>
    <xf numFmtId="177" fontId="121" fillId="0" borderId="42">
      <alignment horizontal="right" vertical="center"/>
    </xf>
    <xf numFmtId="177" fontId="121" fillId="0" borderId="42">
      <alignment horizontal="right" vertical="center"/>
    </xf>
    <xf numFmtId="177" fontId="121" fillId="0" borderId="42">
      <alignment horizontal="right" vertical="center"/>
    </xf>
    <xf numFmtId="6" fontId="81" fillId="0" borderId="42">
      <alignment horizontal="right" vertical="center"/>
    </xf>
    <xf numFmtId="6" fontId="81" fillId="0" borderId="42">
      <alignment horizontal="right" vertical="center"/>
    </xf>
    <xf numFmtId="6" fontId="81" fillId="0" borderId="42">
      <alignment horizontal="right" vertical="center"/>
    </xf>
    <xf numFmtId="6" fontId="81" fillId="0" borderId="42">
      <alignment horizontal="right" vertical="center"/>
    </xf>
    <xf numFmtId="6" fontId="81" fillId="0" borderId="42">
      <alignment horizontal="right" vertical="center"/>
    </xf>
    <xf numFmtId="0" fontId="51" fillId="74" borderId="0">
      <alignment vertical="center"/>
    </xf>
    <xf numFmtId="0" fontId="55" fillId="59" borderId="0"/>
    <xf numFmtId="0" fontId="47" fillId="0" borderId="0" applyNumberFormat="0" applyFill="0" applyBorder="0" applyAlignment="0" applyProtection="0"/>
    <xf numFmtId="0" fontId="47" fillId="0" borderId="0" applyNumberFormat="0" applyFill="0" applyBorder="0" applyAlignment="0" applyProtection="0"/>
    <xf numFmtId="0" fontId="27"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210" fontId="123" fillId="0" borderId="42">
      <alignment horizontal="center"/>
    </xf>
    <xf numFmtId="0" fontId="168" fillId="0" borderId="0">
      <alignment horizontal="center"/>
    </xf>
    <xf numFmtId="15" fontId="168" fillId="0" borderId="0">
      <alignment horizontal="center"/>
    </xf>
    <xf numFmtId="0" fontId="28" fillId="0" borderId="0" applyNumberFormat="0" applyFill="0" applyBorder="0" applyAlignment="0" applyProtection="0"/>
    <xf numFmtId="0" fontId="124" fillId="90" borderId="0">
      <alignment horizontal="centerContinuous"/>
    </xf>
    <xf numFmtId="0" fontId="125" fillId="60" borderId="0" applyNumberFormat="0" applyBorder="0" applyAlignment="0">
      <alignment horizontal="center"/>
    </xf>
    <xf numFmtId="0" fontId="28" fillId="0" borderId="0" applyNumberFormat="0" applyFill="0" applyBorder="0" applyAlignment="0" applyProtection="0"/>
    <xf numFmtId="0" fontId="29" fillId="0" borderId="28" applyNumberFormat="0" applyFill="0" applyAlignment="0" applyProtection="0"/>
    <xf numFmtId="0" fontId="41" fillId="0" borderId="28" applyNumberFormat="0" applyFill="0" applyAlignment="0" applyProtection="0"/>
    <xf numFmtId="0" fontId="41" fillId="0" borderId="28" applyNumberFormat="0" applyFill="0" applyAlignment="0" applyProtection="0"/>
    <xf numFmtId="0" fontId="41" fillId="0" borderId="28" applyNumberFormat="0" applyFill="0" applyAlignment="0" applyProtection="0"/>
    <xf numFmtId="0" fontId="30"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23" fillId="0" borderId="30" applyNumberFormat="0" applyFill="0" applyAlignment="0" applyProtection="0"/>
    <xf numFmtId="0" fontId="43" fillId="0" borderId="30" applyNumberFormat="0" applyFill="0" applyAlignment="0" applyProtection="0"/>
    <xf numFmtId="0" fontId="43" fillId="0" borderId="30" applyNumberFormat="0" applyFill="0" applyAlignment="0" applyProtection="0"/>
    <xf numFmtId="0" fontId="43" fillId="0" borderId="30" applyNumberFormat="0" applyFill="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62" fillId="74" borderId="0" applyBorder="0"/>
    <xf numFmtId="0" fontId="31" fillId="0" borderId="43" applyNumberFormat="0" applyFill="0" applyAlignment="0" applyProtection="0"/>
    <xf numFmtId="0" fontId="63" fillId="0" borderId="43" applyNumberFormat="0" applyFill="0" applyAlignment="0" applyProtection="0"/>
    <xf numFmtId="0" fontId="109" fillId="0" borderId="44">
      <alignment horizontal="center"/>
    </xf>
    <xf numFmtId="49" fontId="32" fillId="0" borderId="10" applyFill="0" applyProtection="0">
      <alignment horizontal="center"/>
    </xf>
    <xf numFmtId="0" fontId="172" fillId="0" borderId="0" applyNumberFormat="0" applyFill="0" applyBorder="0" applyAlignment="0" applyProtection="0"/>
    <xf numFmtId="0" fontId="173" fillId="0" borderId="45" applyNumberFormat="0" applyFill="0" applyAlignment="0" applyProtection="0"/>
    <xf numFmtId="0" fontId="174" fillId="0" borderId="46" applyNumberFormat="0" applyFill="0" applyAlignment="0" applyProtection="0"/>
    <xf numFmtId="0" fontId="175" fillId="0" borderId="47" applyNumberFormat="0" applyFill="0" applyAlignment="0" applyProtection="0"/>
    <xf numFmtId="0" fontId="175" fillId="0" borderId="0" applyNumberFormat="0" applyFill="0" applyBorder="0" applyAlignment="0" applyProtection="0"/>
    <xf numFmtId="49" fontId="18" fillId="0" borderId="10" applyFill="0" applyProtection="0">
      <alignment horizontal="center" vertical="top"/>
    </xf>
    <xf numFmtId="0" fontId="18" fillId="64" borderId="0" applyNumberFormat="0" applyBorder="0" applyAlignment="0">
      <protection locked="0"/>
    </xf>
    <xf numFmtId="5" fontId="108" fillId="0" borderId="0" applyFont="0" applyFill="0" applyBorder="0" applyAlignment="0" applyProtection="0"/>
    <xf numFmtId="244" fontId="18" fillId="0" borderId="0" applyFont="0" applyFill="0" applyBorder="0" applyAlignment="0" applyProtection="0"/>
    <xf numFmtId="0" fontId="65" fillId="0" borderId="48" applyNumberFormat="0" applyFill="0" applyAlignment="0" applyProtection="0"/>
    <xf numFmtId="175" fontId="121" fillId="0" borderId="0"/>
    <xf numFmtId="176" fontId="121" fillId="0" borderId="20"/>
    <xf numFmtId="164" fontId="126" fillId="91" borderId="34">
      <alignment vertical="top"/>
    </xf>
    <xf numFmtId="0" fontId="127" fillId="92" borderId="20">
      <alignment horizontal="left" vertical="center"/>
    </xf>
    <xf numFmtId="165" fontId="128" fillId="93" borderId="34"/>
    <xf numFmtId="164" fontId="129" fillId="0" borderId="34">
      <alignment horizontal="left" vertical="top"/>
    </xf>
    <xf numFmtId="0" fontId="130" fillId="94" borderId="0">
      <alignment horizontal="left" vertical="center"/>
    </xf>
    <xf numFmtId="164" fontId="131" fillId="0" borderId="10">
      <alignment horizontal="left" vertical="top"/>
    </xf>
    <xf numFmtId="0" fontId="132" fillId="0" borderId="10">
      <alignment horizontal="left" vertical="center"/>
    </xf>
    <xf numFmtId="211" fontId="18" fillId="0" borderId="0" applyFont="0" applyFill="0" applyBorder="0" applyAlignment="0" applyProtection="0"/>
    <xf numFmtId="245" fontId="18" fillId="0" borderId="0" applyFont="0" applyFill="0" applyBorder="0" applyAlignment="0" applyProtection="0"/>
    <xf numFmtId="246" fontId="18" fillId="0" borderId="0" applyFont="0" applyFill="0" applyBorder="0" applyAlignment="0" applyProtection="0"/>
    <xf numFmtId="212" fontId="18" fillId="0" borderId="0" applyFont="0" applyFill="0" applyBorder="0" applyAlignment="0" applyProtection="0"/>
    <xf numFmtId="166" fontId="100" fillId="0" borderId="0" applyFont="0" applyFill="0" applyBorder="0" applyAlignment="0" applyProtection="0"/>
    <xf numFmtId="168" fontId="100" fillId="0" borderId="0" applyFont="0" applyFill="0" applyBorder="0" applyAlignment="0" applyProtection="0"/>
    <xf numFmtId="0" fontId="65" fillId="0" borderId="0" applyNumberFormat="0" applyFill="0" applyBorder="0" applyAlignment="0" applyProtection="0"/>
    <xf numFmtId="0" fontId="133" fillId="0" borderId="0" applyNumberFormat="0" applyFill="0" applyBorder="0" applyAlignment="0" applyProtection="0"/>
    <xf numFmtId="41" fontId="81" fillId="0" borderId="0" applyFont="0" applyFill="0" applyBorder="0" applyAlignment="0" applyProtection="0"/>
    <xf numFmtId="0" fontId="176" fillId="0" borderId="0" applyNumberFormat="0" applyFill="0" applyBorder="0" applyAlignment="0" applyProtection="0"/>
    <xf numFmtId="0" fontId="177" fillId="0" borderId="0" applyNumberFormat="0" applyFill="0" applyBorder="0" applyAlignment="0" applyProtection="0"/>
    <xf numFmtId="0" fontId="51" fillId="61" borderId="17" applyNumberFormat="0" applyAlignment="0" applyProtection="0"/>
    <xf numFmtId="0" fontId="81" fillId="0" borderId="0"/>
    <xf numFmtId="0" fontId="158" fillId="0" borderId="0" applyFont="0" applyFill="0" applyBorder="0" applyAlignment="0" applyProtection="0"/>
    <xf numFmtId="0" fontId="158" fillId="0" borderId="0" applyFont="0" applyFill="0" applyBorder="0" applyAlignment="0" applyProtection="0"/>
    <xf numFmtId="0" fontId="79" fillId="0" borderId="0">
      <alignment vertical="center"/>
    </xf>
    <xf numFmtId="0" fontId="89" fillId="52" borderId="0" applyNumberFormat="0" applyBorder="0" applyAlignment="0" applyProtection="0">
      <alignment vertical="center"/>
    </xf>
    <xf numFmtId="0" fontId="89" fillId="53" borderId="0" applyNumberFormat="0" applyBorder="0" applyAlignment="0" applyProtection="0">
      <alignment vertical="center"/>
    </xf>
    <xf numFmtId="0" fontId="89" fillId="54" borderId="0" applyNumberFormat="0" applyBorder="0" applyAlignment="0" applyProtection="0">
      <alignment vertical="center"/>
    </xf>
    <xf numFmtId="0" fontId="89" fillId="48" borderId="0" applyNumberFormat="0" applyBorder="0" applyAlignment="0" applyProtection="0">
      <alignment vertical="center"/>
    </xf>
    <xf numFmtId="0" fontId="89" fillId="49" borderId="0" applyNumberFormat="0" applyBorder="0" applyAlignment="0" applyProtection="0">
      <alignment vertical="center"/>
    </xf>
    <xf numFmtId="0" fontId="89" fillId="51" borderId="0" applyNumberFormat="0" applyBorder="0" applyAlignment="0" applyProtection="0">
      <alignment vertical="center"/>
    </xf>
    <xf numFmtId="0" fontId="134" fillId="0" borderId="0" applyNumberFormat="0" applyFill="0" applyBorder="0" applyAlignment="0" applyProtection="0">
      <alignment vertical="center"/>
    </xf>
    <xf numFmtId="0" fontId="135" fillId="60" borderId="12" applyNumberFormat="0" applyAlignment="0" applyProtection="0">
      <alignment vertical="center"/>
    </xf>
    <xf numFmtId="0" fontId="136" fillId="36" borderId="0" applyNumberFormat="0" applyBorder="0" applyAlignment="0" applyProtection="0">
      <alignment vertical="center"/>
    </xf>
    <xf numFmtId="0" fontId="137" fillId="0" borderId="0" applyNumberFormat="0" applyFill="0" applyBorder="0" applyAlignment="0" applyProtection="0">
      <alignment vertical="top"/>
      <protection locked="0"/>
    </xf>
    <xf numFmtId="40" fontId="138" fillId="0" borderId="0" applyFont="0" applyFill="0" applyBorder="0" applyAlignment="0" applyProtection="0"/>
    <xf numFmtId="38" fontId="138" fillId="0" borderId="0" applyFont="0" applyFill="0" applyBorder="0" applyAlignment="0" applyProtection="0"/>
    <xf numFmtId="0" fontId="84" fillId="43" borderId="33" applyNumberFormat="0" applyFont="0" applyAlignment="0" applyProtection="0">
      <alignment vertical="center"/>
    </xf>
    <xf numFmtId="0" fontId="138" fillId="0" borderId="0" applyFont="0" applyFill="0" applyBorder="0" applyAlignment="0" applyProtection="0"/>
    <xf numFmtId="0" fontId="138" fillId="0" borderId="0" applyFont="0" applyFill="0" applyBorder="0" applyAlignment="0" applyProtection="0"/>
    <xf numFmtId="9" fontId="84" fillId="0" borderId="0" applyFont="0" applyFill="0" applyBorder="0" applyAlignment="0" applyProtection="0"/>
    <xf numFmtId="0" fontId="139" fillId="95" borderId="0" applyFill="0">
      <alignment vertical="center"/>
    </xf>
    <xf numFmtId="0" fontId="140" fillId="46" borderId="0" applyNumberFormat="0" applyBorder="0" applyAlignment="0" applyProtection="0">
      <alignment vertical="center"/>
    </xf>
    <xf numFmtId="0" fontId="141" fillId="0" borderId="0"/>
    <xf numFmtId="0" fontId="142" fillId="0" borderId="0" applyNumberFormat="0" applyFill="0" applyBorder="0" applyAlignment="0" applyProtection="0">
      <alignment vertical="center"/>
    </xf>
    <xf numFmtId="0" fontId="143" fillId="61" borderId="17" applyNumberFormat="0" applyAlignment="0" applyProtection="0">
      <alignment vertical="center"/>
    </xf>
    <xf numFmtId="41" fontId="84" fillId="0" borderId="0" applyFont="0" applyFill="0" applyBorder="0" applyAlignment="0" applyProtection="0"/>
    <xf numFmtId="0" fontId="82" fillId="0" borderId="0" applyNumberFormat="0" applyFill="0" applyBorder="0" applyAlignment="0" applyProtection="0"/>
    <xf numFmtId="0" fontId="144" fillId="0" borderId="49"/>
    <xf numFmtId="0" fontId="145" fillId="0" borderId="18" applyNumberFormat="0" applyFill="0" applyAlignment="0" applyProtection="0">
      <alignment vertical="center"/>
    </xf>
    <xf numFmtId="0" fontId="146" fillId="0" borderId="43" applyNumberFormat="0" applyFill="0" applyAlignment="0" applyProtection="0">
      <alignment vertical="center"/>
    </xf>
    <xf numFmtId="0" fontId="147" fillId="40" borderId="12" applyNumberFormat="0" applyAlignment="0" applyProtection="0">
      <alignment vertical="center"/>
    </xf>
    <xf numFmtId="0" fontId="148" fillId="0" borderId="0" applyNumberFormat="0" applyFill="0" applyBorder="0" applyAlignment="0" applyProtection="0">
      <alignment vertical="center"/>
    </xf>
    <xf numFmtId="0" fontId="149" fillId="0" borderId="28" applyNumberFormat="0" applyFill="0" applyAlignment="0" applyProtection="0">
      <alignment vertical="center"/>
    </xf>
    <xf numFmtId="0" fontId="150" fillId="0" borderId="29" applyNumberFormat="0" applyFill="0" applyAlignment="0" applyProtection="0">
      <alignment vertical="center"/>
    </xf>
    <xf numFmtId="0" fontId="151" fillId="0" borderId="30" applyNumberFormat="0" applyFill="0" applyAlignment="0" applyProtection="0">
      <alignment vertical="center"/>
    </xf>
    <xf numFmtId="0" fontId="151" fillId="0" borderId="0" applyNumberFormat="0" applyFill="0" applyBorder="0" applyAlignment="0" applyProtection="0">
      <alignment vertical="center"/>
    </xf>
    <xf numFmtId="0" fontId="152" fillId="37" borderId="0" applyNumberFormat="0" applyBorder="0" applyAlignment="0" applyProtection="0">
      <alignment vertical="center"/>
    </xf>
    <xf numFmtId="0" fontId="153" fillId="60" borderId="11" applyNumberFormat="0" applyAlignment="0" applyProtection="0">
      <alignment vertical="center"/>
    </xf>
    <xf numFmtId="193" fontId="155" fillId="0" borderId="0" applyFont="0" applyFill="0" applyBorder="0" applyAlignment="0" applyProtection="0"/>
    <xf numFmtId="194" fontId="156" fillId="77" borderId="50">
      <alignment horizontal="right" vertical="center"/>
    </xf>
    <xf numFmtId="194" fontId="155" fillId="0" borderId="0" applyFont="0" applyFill="0" applyBorder="0" applyAlignment="0" applyProtection="0"/>
    <xf numFmtId="0" fontId="157" fillId="0" borderId="0"/>
    <xf numFmtId="0" fontId="111" fillId="0" borderId="0"/>
    <xf numFmtId="41" fontId="154" fillId="0" borderId="0" applyFont="0" applyFill="0" applyBorder="0" applyAlignment="0" applyProtection="0"/>
    <xf numFmtId="43" fontId="154" fillId="0" borderId="0" applyFont="0" applyFill="0" applyBorder="0" applyAlignment="0" applyProtection="0"/>
    <xf numFmtId="0" fontId="84" fillId="0" borderId="0"/>
    <xf numFmtId="213" fontId="154" fillId="0" borderId="0" applyFont="0" applyFill="0" applyBorder="0" applyAlignment="0" applyProtection="0"/>
    <xf numFmtId="214" fontId="78" fillId="0" borderId="0" applyFont="0" applyFill="0" applyBorder="0" applyAlignment="0" applyProtection="0"/>
    <xf numFmtId="215" fontId="154" fillId="0" borderId="0" applyFont="0" applyFill="0" applyBorder="0" applyAlignment="0" applyProtection="0"/>
    <xf numFmtId="262" fontId="18" fillId="0" borderId="0">
      <alignment horizontal="left" wrapText="1"/>
    </xf>
    <xf numFmtId="262" fontId="18" fillId="0" borderId="0">
      <alignment horizontal="left" wrapText="1"/>
    </xf>
    <xf numFmtId="262" fontId="18" fillId="0" borderId="0">
      <alignment horizontal="left" wrapText="1"/>
    </xf>
    <xf numFmtId="262" fontId="18" fillId="0" borderId="0">
      <alignment horizontal="left" wrapText="1"/>
    </xf>
    <xf numFmtId="262" fontId="18" fillId="0" borderId="0">
      <alignment horizontal="left" wrapText="1"/>
    </xf>
    <xf numFmtId="262" fontId="18" fillId="0" borderId="0">
      <alignment horizontal="left" wrapText="1"/>
    </xf>
    <xf numFmtId="0" fontId="18" fillId="0" borderId="0" applyBorder="0"/>
    <xf numFmtId="180" fontId="18" fillId="0" borderId="0" applyFont="0" applyFill="0" applyBorder="0" applyAlignment="0" applyProtection="0"/>
    <xf numFmtId="0" fontId="197" fillId="0" borderId="0" applyNumberFormat="0" applyFont="0" applyFill="0" applyBorder="0" applyAlignment="0" applyProtection="0"/>
    <xf numFmtId="0" fontId="18" fillId="0" borderId="0"/>
    <xf numFmtId="0" fontId="18" fillId="0" borderId="0"/>
    <xf numFmtId="0" fontId="197" fillId="0" borderId="0" applyNumberFormat="0" applyFont="0" applyFill="0" applyBorder="0" applyAlignment="0" applyProtection="0"/>
    <xf numFmtId="0" fontId="18" fillId="0" borderId="0"/>
    <xf numFmtId="0" fontId="197" fillId="0" borderId="0" applyNumberFormat="0" applyFont="0" applyFill="0" applyBorder="0" applyAlignment="0" applyProtection="0"/>
    <xf numFmtId="0" fontId="18" fillId="0" borderId="0"/>
    <xf numFmtId="0" fontId="197" fillId="0" borderId="0" applyNumberFormat="0" applyFont="0" applyFill="0" applyBorder="0" applyAlignment="0" applyProtection="0"/>
    <xf numFmtId="0" fontId="197" fillId="0" borderId="0" applyNumberFormat="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pplyNumberFormat="0" applyFill="0" applyBorder="0" applyAlignment="0" applyProtection="0"/>
    <xf numFmtId="0" fontId="18" fillId="0" borderId="0" applyNumberFormat="0" applyFill="0" applyBorder="0" applyAlignment="0" applyProtection="0"/>
    <xf numFmtId="0" fontId="18" fillId="0" borderId="0"/>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21" fillId="0" borderId="0">
      <alignment vertical="top"/>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lignment horizontal="left" wrapText="1"/>
    </xf>
    <xf numFmtId="0" fontId="18" fillId="0" borderId="0">
      <alignment horizontal="left" wrapText="1"/>
    </xf>
    <xf numFmtId="0" fontId="19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89" fontId="83"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4" fillId="35" borderId="0" applyNumberFormat="0" applyBorder="0" applyAlignment="0" applyProtection="0"/>
    <xf numFmtId="0" fontId="34" fillId="35" borderId="0" applyNumberFormat="0" applyBorder="0" applyAlignment="0" applyProtection="0"/>
    <xf numFmtId="0" fontId="1" fillId="10" borderId="0" applyNumberFormat="0" applyBorder="0" applyAlignment="0" applyProtection="0"/>
    <xf numFmtId="0" fontId="34" fillId="35"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1" fillId="14"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1" fillId="18" borderId="0" applyNumberFormat="0" applyBorder="0" applyAlignment="0" applyProtection="0"/>
    <xf numFmtId="0" fontId="34" fillId="37"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1" fillId="22"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1" fillId="26" borderId="0" applyNumberFormat="0" applyBorder="0" applyAlignment="0" applyProtection="0"/>
    <xf numFmtId="0" fontId="34" fillId="39"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1" fillId="30"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1" fillId="11"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1" fillId="15"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1" fillId="19" borderId="0" applyNumberFormat="0" applyBorder="0" applyAlignment="0" applyProtection="0"/>
    <xf numFmtId="0" fontId="34" fillId="44"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1" fillId="23"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1" fillId="27" borderId="0" applyNumberFormat="0" applyBorder="0" applyAlignment="0" applyProtection="0"/>
    <xf numFmtId="0" fontId="34" fillId="41"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1" fillId="31" borderId="0" applyNumberFormat="0" applyBorder="0" applyAlignment="0" applyProtection="0"/>
    <xf numFmtId="0" fontId="34" fillId="45" borderId="0" applyNumberFormat="0" applyBorder="0" applyAlignment="0" applyProtection="0"/>
    <xf numFmtId="0" fontId="35" fillId="47" borderId="0" applyNumberFormat="0" applyBorder="0" applyAlignment="0" applyProtection="0"/>
    <xf numFmtId="0" fontId="35" fillId="47" borderId="0" applyNumberFormat="0" applyBorder="0" applyAlignment="0" applyProtection="0"/>
    <xf numFmtId="0" fontId="17" fillId="12" borderId="0" applyNumberFormat="0" applyBorder="0" applyAlignment="0" applyProtection="0"/>
    <xf numFmtId="0" fontId="35" fillId="47" borderId="0" applyNumberFormat="0" applyBorder="0" applyAlignment="0" applyProtection="0"/>
    <xf numFmtId="0" fontId="35" fillId="42" borderId="0" applyNumberFormat="0" applyBorder="0" applyAlignment="0" applyProtection="0"/>
    <xf numFmtId="0" fontId="35" fillId="42" borderId="0" applyNumberFormat="0" applyBorder="0" applyAlignment="0" applyProtection="0"/>
    <xf numFmtId="0" fontId="17" fillId="16" borderId="0" applyNumberFormat="0" applyBorder="0" applyAlignment="0" applyProtection="0"/>
    <xf numFmtId="0" fontId="35" fillId="42" borderId="0" applyNumberFormat="0" applyBorder="0" applyAlignment="0" applyProtection="0"/>
    <xf numFmtId="0" fontId="35" fillId="44" borderId="0" applyNumberFormat="0" applyBorder="0" applyAlignment="0" applyProtection="0"/>
    <xf numFmtId="0" fontId="35" fillId="44" borderId="0" applyNumberFormat="0" applyBorder="0" applyAlignment="0" applyProtection="0"/>
    <xf numFmtId="0" fontId="17" fillId="20" borderId="0" applyNumberFormat="0" applyBorder="0" applyAlignment="0" applyProtection="0"/>
    <xf numFmtId="0" fontId="35" fillId="44" borderId="0" applyNumberFormat="0" applyBorder="0" applyAlignment="0" applyProtection="0"/>
    <xf numFmtId="0" fontId="35" fillId="48" borderId="0" applyNumberFormat="0" applyBorder="0" applyAlignment="0" applyProtection="0"/>
    <xf numFmtId="0" fontId="35" fillId="48" borderId="0" applyNumberFormat="0" applyBorder="0" applyAlignment="0" applyProtection="0"/>
    <xf numFmtId="0" fontId="17" fillId="24" borderId="0" applyNumberFormat="0" applyBorder="0" applyAlignment="0" applyProtection="0"/>
    <xf numFmtId="0" fontId="35" fillId="48" borderId="0" applyNumberFormat="0" applyBorder="0" applyAlignment="0" applyProtection="0"/>
    <xf numFmtId="0" fontId="35" fillId="49" borderId="0" applyNumberFormat="0" applyBorder="0" applyAlignment="0" applyProtection="0"/>
    <xf numFmtId="0" fontId="35" fillId="49" borderId="0" applyNumberFormat="0" applyBorder="0" applyAlignment="0" applyProtection="0"/>
    <xf numFmtId="0" fontId="17" fillId="28"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0" borderId="0" applyNumberFormat="0" applyBorder="0" applyAlignment="0" applyProtection="0"/>
    <xf numFmtId="0" fontId="17" fillId="32"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2" borderId="0" applyNumberFormat="0" applyBorder="0" applyAlignment="0" applyProtection="0"/>
    <xf numFmtId="0" fontId="17" fillId="9"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3" borderId="0" applyNumberFormat="0" applyBorder="0" applyAlignment="0" applyProtection="0"/>
    <xf numFmtId="0" fontId="17" fillId="13" borderId="0" applyNumberFormat="0" applyBorder="0" applyAlignment="0" applyProtection="0"/>
    <xf numFmtId="0" fontId="35" fillId="53" borderId="0" applyNumberFormat="0" applyBorder="0" applyAlignment="0" applyProtection="0"/>
    <xf numFmtId="0" fontId="35" fillId="54" borderId="0" applyNumberFormat="0" applyBorder="0" applyAlignment="0" applyProtection="0"/>
    <xf numFmtId="0" fontId="35" fillId="54" borderId="0" applyNumberFormat="0" applyBorder="0" applyAlignment="0" applyProtection="0"/>
    <xf numFmtId="0" fontId="17" fillId="17" borderId="0" applyNumberFormat="0" applyBorder="0" applyAlignment="0" applyProtection="0"/>
    <xf numFmtId="0" fontId="35" fillId="54" borderId="0" applyNumberFormat="0" applyBorder="0" applyAlignment="0" applyProtection="0"/>
    <xf numFmtId="0" fontId="35" fillId="48" borderId="0" applyNumberFormat="0" applyBorder="0" applyAlignment="0" applyProtection="0"/>
    <xf numFmtId="0" fontId="35" fillId="48" borderId="0" applyNumberFormat="0" applyBorder="0" applyAlignment="0" applyProtection="0"/>
    <xf numFmtId="0" fontId="17" fillId="21" borderId="0" applyNumberFormat="0" applyBorder="0" applyAlignment="0" applyProtection="0"/>
    <xf numFmtId="0" fontId="35" fillId="48" borderId="0" applyNumberFormat="0" applyBorder="0" applyAlignment="0" applyProtection="0"/>
    <xf numFmtId="0" fontId="35" fillId="49" borderId="0" applyNumberFormat="0" applyBorder="0" applyAlignment="0" applyProtection="0"/>
    <xf numFmtId="0" fontId="35" fillId="49" borderId="0" applyNumberFormat="0" applyBorder="0" applyAlignment="0" applyProtection="0"/>
    <xf numFmtId="0" fontId="17" fillId="25" borderId="0" applyNumberFormat="0" applyBorder="0" applyAlignment="0" applyProtection="0"/>
    <xf numFmtId="0" fontId="35" fillId="49" borderId="0" applyNumberFormat="0" applyBorder="0" applyAlignment="0" applyProtection="0"/>
    <xf numFmtId="0" fontId="35" fillId="51" borderId="0" applyNumberFormat="0" applyBorder="0" applyAlignment="0" applyProtection="0"/>
    <xf numFmtId="0" fontId="35" fillId="51" borderId="0" applyNumberFormat="0" applyBorder="0" applyAlignment="0" applyProtection="0"/>
    <xf numFmtId="0" fontId="17" fillId="29" borderId="0" applyNumberFormat="0" applyBorder="0" applyAlignment="0" applyProtection="0"/>
    <xf numFmtId="0" fontId="35" fillId="51" borderId="0" applyNumberFormat="0" applyBorder="0" applyAlignment="0" applyProtection="0"/>
    <xf numFmtId="0" fontId="68" fillId="0" borderId="0"/>
    <xf numFmtId="0" fontId="52" fillId="34" borderId="0"/>
    <xf numFmtId="0" fontId="52" fillId="34" borderId="0"/>
    <xf numFmtId="0" fontId="52" fillId="34" borderId="0"/>
    <xf numFmtId="0" fontId="52" fillId="34" borderId="0"/>
    <xf numFmtId="0" fontId="52" fillId="34" borderId="0"/>
    <xf numFmtId="0" fontId="36" fillId="36" borderId="0" applyNumberFormat="0" applyBorder="0" applyAlignment="0" applyProtection="0"/>
    <xf numFmtId="0" fontId="36" fillId="36" borderId="0" applyNumberFormat="0" applyBorder="0" applyAlignment="0" applyProtection="0"/>
    <xf numFmtId="0" fontId="7" fillId="3" borderId="0" applyNumberFormat="0" applyBorder="0" applyAlignment="0" applyProtection="0"/>
    <xf numFmtId="0" fontId="36" fillId="36" borderId="0" applyNumberFormat="0" applyBorder="0" applyAlignment="0" applyProtection="0"/>
    <xf numFmtId="0" fontId="18" fillId="64" borderId="0" applyNumberFormat="0"/>
    <xf numFmtId="0" fontId="18" fillId="64" borderId="0" applyNumberFormat="0"/>
    <xf numFmtId="0" fontId="18" fillId="64" borderId="0" applyNumberFormat="0"/>
    <xf numFmtId="0" fontId="18" fillId="64" borderId="0" applyNumberFormat="0"/>
    <xf numFmtId="0" fontId="18" fillId="64" borderId="0" applyNumberFormat="0"/>
    <xf numFmtId="0" fontId="18" fillId="64" borderId="0" applyNumberFormat="0"/>
    <xf numFmtId="0" fontId="18" fillId="64" borderId="0" applyNumberFormat="0"/>
    <xf numFmtId="0" fontId="18" fillId="64" borderId="0" applyNumberFormat="0"/>
    <xf numFmtId="0" fontId="18" fillId="64" borderId="0" applyNumberFormat="0"/>
    <xf numFmtId="0" fontId="18" fillId="64" borderId="0" applyNumberFormat="0"/>
    <xf numFmtId="0" fontId="37" fillId="60" borderId="12" applyNumberFormat="0" applyAlignment="0" applyProtection="0"/>
    <xf numFmtId="0" fontId="37" fillId="60" borderId="12" applyNumberFormat="0" applyAlignment="0" applyProtection="0"/>
    <xf numFmtId="0" fontId="11" fillId="6" borderId="4" applyNumberFormat="0" applyAlignment="0" applyProtection="0"/>
    <xf numFmtId="0" fontId="37" fillId="60" borderId="12" applyNumberFormat="0" applyAlignment="0" applyProtection="0"/>
    <xf numFmtId="0" fontId="68" fillId="0" borderId="0"/>
    <xf numFmtId="0" fontId="38" fillId="61" borderId="17" applyNumberFormat="0" applyAlignment="0" applyProtection="0"/>
    <xf numFmtId="0" fontId="38" fillId="61" borderId="17" applyNumberFormat="0" applyAlignment="0" applyProtection="0"/>
    <xf numFmtId="0" fontId="13" fillId="7" borderId="7" applyNumberFormat="0" applyAlignment="0" applyProtection="0"/>
    <xf numFmtId="0" fontId="38" fillId="61" borderId="17" applyNumberFormat="0" applyAlignment="0" applyProtection="0"/>
    <xf numFmtId="41" fontId="18" fillId="0" borderId="0" applyFont="0" applyFill="0" applyBorder="0" applyAlignment="0" applyProtection="0"/>
    <xf numFmtId="41"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183" fontId="18" fillId="0" borderId="0" applyFont="0" applyFill="0" applyBorder="0" applyAlignment="0" applyProtection="0"/>
    <xf numFmtId="18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3" fontId="18" fillId="0" borderId="0" applyFont="0" applyFill="0" applyBorder="0" applyAlignment="0" applyProtection="0"/>
    <xf numFmtId="43" fontId="18" fillId="0" borderId="0" applyFont="0" applyFill="0" applyBorder="0" applyAlignment="0" applyProtection="0"/>
    <xf numFmtId="43" fontId="199"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99" fillId="0" borderId="0" applyFont="0" applyFill="0" applyBorder="0" applyAlignment="0" applyProtection="0"/>
    <xf numFmtId="43" fontId="199"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99"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99"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18"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42" fontId="18" fillId="0" borderId="0"/>
    <xf numFmtId="3" fontId="18" fillId="0" borderId="0" applyFont="0" applyFill="0" applyBorder="0" applyAlignment="0" applyProtection="0"/>
    <xf numFmtId="3" fontId="18" fillId="0" borderId="0" applyFont="0" applyFill="0" applyBorder="0" applyAlignment="0" applyProtection="0"/>
    <xf numFmtId="3" fontId="200" fillId="0" borderId="0">
      <protection locked="0"/>
    </xf>
    <xf numFmtId="3" fontId="200" fillId="0" borderId="0">
      <protection locked="0"/>
    </xf>
    <xf numFmtId="3" fontId="200" fillId="0" borderId="0">
      <protection locked="0"/>
    </xf>
    <xf numFmtId="3" fontId="200" fillId="0" borderId="0">
      <protection locked="0"/>
    </xf>
    <xf numFmtId="197" fontId="18" fillId="0" borderId="0" applyFont="0" applyFill="0" applyBorder="0" applyAlignment="0" applyProtection="0"/>
    <xf numFmtId="197" fontId="18" fillId="0" borderId="0" applyFont="0" applyFill="0" applyBorder="0" applyAlignment="0" applyProtection="0"/>
    <xf numFmtId="0" fontId="200" fillId="0" borderId="0">
      <protection locked="0"/>
    </xf>
    <xf numFmtId="0" fontId="200" fillId="0" borderId="0">
      <protection locked="0"/>
    </xf>
    <xf numFmtId="0" fontId="200" fillId="0" borderId="0">
      <protection locked="0"/>
    </xf>
    <xf numFmtId="0" fontId="200" fillId="0" borderId="0">
      <protection locked="0"/>
    </xf>
    <xf numFmtId="170" fontId="18" fillId="0" borderId="0"/>
    <xf numFmtId="0" fontId="33" fillId="69" borderId="0" applyNumberFormat="0" applyBorder="0" applyAlignment="0">
      <alignment horizontal="center"/>
    </xf>
    <xf numFmtId="0" fontId="51" fillId="70" borderId="0" applyNumberFormat="0" applyBorder="0" applyAlignment="0"/>
    <xf numFmtId="0" fontId="200" fillId="0" borderId="0">
      <protection locked="0"/>
    </xf>
    <xf numFmtId="184" fontId="52" fillId="0" borderId="0" applyFont="0" applyFill="0" applyBorder="0" applyAlignment="0" applyProtection="0"/>
    <xf numFmtId="184" fontId="52" fillId="0" borderId="0" applyFont="0" applyFill="0" applyBorder="0" applyAlignment="0" applyProtection="0"/>
    <xf numFmtId="184" fontId="52" fillId="0" borderId="0" applyFont="0" applyFill="0" applyBorder="0" applyAlignment="0" applyProtection="0"/>
    <xf numFmtId="0" fontId="200" fillId="0" borderId="0">
      <protection locked="0"/>
    </xf>
    <xf numFmtId="0" fontId="200" fillId="0" borderId="0">
      <protection locked="0"/>
    </xf>
    <xf numFmtId="184" fontId="52" fillId="0" borderId="0" applyFont="0" applyFill="0" applyBorder="0" applyAlignment="0" applyProtection="0"/>
    <xf numFmtId="0" fontId="200" fillId="0" borderId="0">
      <protection locked="0"/>
    </xf>
    <xf numFmtId="184" fontId="52" fillId="0" borderId="0" applyFont="0" applyFill="0" applyBorder="0" applyAlignment="0" applyProtection="0"/>
    <xf numFmtId="0" fontId="200" fillId="0" borderId="0">
      <protection locked="0"/>
    </xf>
    <xf numFmtId="0" fontId="200" fillId="0" borderId="0">
      <protection locked="0"/>
    </xf>
    <xf numFmtId="184" fontId="52" fillId="0" borderId="0" applyFont="0" applyFill="0" applyBorder="0" applyAlignment="0" applyProtection="0"/>
    <xf numFmtId="198" fontId="18" fillId="0" borderId="0"/>
    <xf numFmtId="41" fontId="100" fillId="0" borderId="0" applyFont="0" applyFill="0" applyBorder="0" applyAlignment="0" applyProtection="0"/>
    <xf numFmtId="41" fontId="100"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41" fontId="100" fillId="0" borderId="0" applyFont="0" applyFill="0" applyBorder="0" applyAlignment="0" applyProtection="0"/>
    <xf numFmtId="41" fontId="100"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41" fontId="100" fillId="0" borderId="0" applyFont="0" applyFill="0" applyBorder="0" applyAlignment="0" applyProtection="0"/>
    <xf numFmtId="41"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203" fontId="18"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206" fontId="18" fillId="0" borderId="0" applyFont="0" applyFill="0" applyBorder="0" applyAlignment="0" applyProtection="0"/>
    <xf numFmtId="206"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79" fontId="18" fillId="0" borderId="0" applyFont="0" applyFill="0" applyBorder="0" applyAlignment="0" applyProtection="0"/>
    <xf numFmtId="179" fontId="18" fillId="0" borderId="0" applyFont="0" applyFill="0" applyBorder="0" applyAlignment="0" applyProtection="0"/>
    <xf numFmtId="182" fontId="18" fillId="0" borderId="0" applyFont="0" applyFill="0" applyBorder="0" applyAlignment="0" applyProtection="0"/>
    <xf numFmtId="179"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79" fontId="18" fillId="0" borderId="0" applyFont="0" applyFill="0" applyBorder="0" applyAlignment="0" applyProtection="0"/>
    <xf numFmtId="179"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5" fillId="0" borderId="0" applyNumberFormat="0" applyFill="0" applyBorder="0" applyAlignment="0" applyProtection="0"/>
    <xf numFmtId="0" fontId="39" fillId="0" borderId="0" applyNumberFormat="0" applyFill="0" applyBorder="0" applyAlignment="0" applyProtection="0"/>
    <xf numFmtId="0" fontId="66" fillId="0" borderId="0" applyProtection="0"/>
    <xf numFmtId="0" fontId="66" fillId="0" borderId="0" applyProtection="0"/>
    <xf numFmtId="0" fontId="66" fillId="0" borderId="0" applyProtection="0"/>
    <xf numFmtId="0" fontId="66" fillId="0" borderId="0" applyProtection="0"/>
    <xf numFmtId="0" fontId="66" fillId="0" borderId="0" applyProtection="0"/>
    <xf numFmtId="0" fontId="66" fillId="0" borderId="0" applyProtection="0"/>
    <xf numFmtId="0" fontId="66" fillId="0" borderId="0" applyProtection="0"/>
    <xf numFmtId="0" fontId="66" fillId="0" borderId="0" applyProtection="0"/>
    <xf numFmtId="0" fontId="19" fillId="0" borderId="0" applyProtection="0"/>
    <xf numFmtId="0" fontId="19" fillId="0" borderId="0" applyProtection="0"/>
    <xf numFmtId="0" fontId="19" fillId="0" borderId="0" applyProtection="0"/>
    <xf numFmtId="0" fontId="19" fillId="0" borderId="0" applyProtection="0"/>
    <xf numFmtId="0" fontId="19" fillId="0" borderId="0" applyProtection="0"/>
    <xf numFmtId="0" fontId="19" fillId="0" borderId="0" applyProtection="0"/>
    <xf numFmtId="0" fontId="19" fillId="0" borderId="0" applyProtection="0"/>
    <xf numFmtId="0" fontId="101" fillId="0" borderId="0" applyProtection="0"/>
    <xf numFmtId="0" fontId="101" fillId="0" borderId="0" applyProtection="0"/>
    <xf numFmtId="0" fontId="101" fillId="0" borderId="0" applyProtection="0"/>
    <xf numFmtId="0" fontId="101" fillId="0" borderId="0" applyProtection="0"/>
    <xf numFmtId="0" fontId="101" fillId="0" borderId="0" applyProtection="0"/>
    <xf numFmtId="0" fontId="101" fillId="0" borderId="0" applyProtection="0"/>
    <xf numFmtId="0" fontId="101" fillId="0" borderId="0" applyProtection="0"/>
    <xf numFmtId="0" fontId="101" fillId="0" borderId="0" applyProtection="0"/>
    <xf numFmtId="0" fontId="79" fillId="0" borderId="0" applyProtection="0"/>
    <xf numFmtId="0" fontId="79" fillId="0" borderId="0" applyProtection="0"/>
    <xf numFmtId="0" fontId="79" fillId="0" borderId="0" applyProtection="0"/>
    <xf numFmtId="0" fontId="79" fillId="0" borderId="0" applyProtection="0"/>
    <xf numFmtId="0" fontId="79" fillId="0" borderId="0" applyProtection="0"/>
    <xf numFmtId="0" fontId="102" fillId="0" borderId="0" applyProtection="0"/>
    <xf numFmtId="0" fontId="102" fillId="0" borderId="0" applyProtection="0"/>
    <xf numFmtId="0" fontId="102" fillId="0" borderId="0" applyProtection="0"/>
    <xf numFmtId="0" fontId="102" fillId="0" borderId="0" applyProtection="0"/>
    <xf numFmtId="0" fontId="102" fillId="0" borderId="0" applyProtection="0"/>
    <xf numFmtId="0" fontId="102" fillId="0" borderId="0" applyProtection="0"/>
    <xf numFmtId="0" fontId="102" fillId="0" borderId="0" applyProtection="0"/>
    <xf numFmtId="0" fontId="102" fillId="0" borderId="0" applyProtection="0"/>
    <xf numFmtId="0" fontId="103" fillId="0" borderId="0" applyProtection="0"/>
    <xf numFmtId="0" fontId="103" fillId="0" borderId="0" applyProtection="0"/>
    <xf numFmtId="0" fontId="103" fillId="0" borderId="0" applyProtection="0"/>
    <xf numFmtId="0" fontId="103" fillId="0" borderId="0" applyProtection="0"/>
    <xf numFmtId="0" fontId="103" fillId="0" borderId="0" applyProtection="0"/>
    <xf numFmtId="0" fontId="103" fillId="0" borderId="0" applyProtection="0"/>
    <xf numFmtId="0" fontId="103" fillId="0" borderId="0" applyProtection="0"/>
    <xf numFmtId="0" fontId="103" fillId="0" borderId="0" applyProtection="0"/>
    <xf numFmtId="0" fontId="104" fillId="0" borderId="0" applyProtection="0"/>
    <xf numFmtId="0" fontId="104" fillId="0" borderId="0" applyProtection="0"/>
    <xf numFmtId="0" fontId="104" fillId="0" borderId="0" applyProtection="0"/>
    <xf numFmtId="0" fontId="104" fillId="0" borderId="0" applyProtection="0"/>
    <xf numFmtId="0" fontId="104" fillId="0" borderId="0" applyProtection="0"/>
    <xf numFmtId="0" fontId="104" fillId="0" borderId="0" applyProtection="0"/>
    <xf numFmtId="0" fontId="104" fillId="0" borderId="0" applyProtection="0"/>
    <xf numFmtId="0" fontId="104" fillId="0" borderId="0" applyProtection="0"/>
    <xf numFmtId="2" fontId="18" fillId="0" borderId="0" applyFont="0" applyFill="0" applyBorder="0" applyAlignment="0" applyProtection="0"/>
    <xf numFmtId="2" fontId="18" fillId="0" borderId="0" applyFont="0" applyFill="0" applyBorder="0" applyAlignment="0" applyProtection="0"/>
    <xf numFmtId="0" fontId="200" fillId="0" borderId="0">
      <protection locked="0"/>
    </xf>
    <xf numFmtId="0" fontId="200" fillId="0" borderId="0">
      <protection locked="0"/>
    </xf>
    <xf numFmtId="0" fontId="200" fillId="0" borderId="0">
      <protection locked="0"/>
    </xf>
    <xf numFmtId="0" fontId="200" fillId="0" borderId="0">
      <protection locked="0"/>
    </xf>
    <xf numFmtId="0" fontId="40" fillId="37" borderId="0" applyNumberFormat="0" applyBorder="0" applyAlignment="0" applyProtection="0"/>
    <xf numFmtId="0" fontId="40" fillId="37" borderId="0" applyNumberFormat="0" applyBorder="0" applyAlignment="0" applyProtection="0"/>
    <xf numFmtId="0" fontId="6" fillId="2" borderId="0" applyNumberFormat="0" applyBorder="0" applyAlignment="0" applyProtection="0"/>
    <xf numFmtId="0" fontId="40" fillId="37" borderId="0" applyNumberFormat="0" applyBorder="0" applyAlignment="0" applyProtection="0"/>
    <xf numFmtId="38" fontId="19" fillId="33" borderId="0" applyNumberFormat="0" applyBorder="0" applyAlignment="0" applyProtection="0"/>
    <xf numFmtId="38" fontId="19" fillId="33" borderId="0" applyNumberFormat="0" applyBorder="0" applyAlignment="0" applyProtection="0"/>
    <xf numFmtId="38" fontId="19" fillId="33" borderId="0" applyNumberFormat="0" applyBorder="0" applyAlignment="0" applyProtection="0"/>
    <xf numFmtId="38" fontId="19" fillId="33" borderId="0" applyNumberFormat="0" applyBorder="0" applyAlignment="0" applyProtection="0"/>
    <xf numFmtId="0" fontId="41" fillId="0" borderId="28" applyNumberFormat="0" applyFill="0" applyAlignment="0" applyProtection="0"/>
    <xf numFmtId="0" fontId="41" fillId="0" borderId="28" applyNumberFormat="0" applyFill="0" applyAlignment="0" applyProtection="0"/>
    <xf numFmtId="0" fontId="41" fillId="0" borderId="28" applyNumberFormat="0" applyFill="0" applyAlignment="0" applyProtection="0"/>
    <xf numFmtId="0" fontId="201" fillId="0" borderId="0">
      <protection locked="0"/>
    </xf>
    <xf numFmtId="0" fontId="3" fillId="0" borderId="1" applyNumberFormat="0" applyFill="0" applyAlignment="0" applyProtection="0"/>
    <xf numFmtId="0" fontId="41" fillId="0" borderId="28"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202" fillId="0" borderId="0">
      <protection locked="0"/>
    </xf>
    <xf numFmtId="0" fontId="4" fillId="0" borderId="2" applyNumberFormat="0" applyFill="0" applyAlignment="0" applyProtection="0"/>
    <xf numFmtId="0" fontId="42" fillId="0" borderId="29" applyNumberFormat="0" applyFill="0" applyAlignment="0" applyProtection="0"/>
    <xf numFmtId="0" fontId="43" fillId="0" borderId="30" applyNumberFormat="0" applyFill="0" applyAlignment="0" applyProtection="0"/>
    <xf numFmtId="0" fontId="43" fillId="0" borderId="30" applyNumberFormat="0" applyFill="0" applyAlignment="0" applyProtection="0"/>
    <xf numFmtId="0" fontId="5" fillId="0" borderId="3" applyNumberFormat="0" applyFill="0" applyAlignment="0" applyProtection="0"/>
    <xf numFmtId="0" fontId="43" fillId="0" borderId="30" applyNumberFormat="0" applyFill="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5" fillId="0" borderId="0" applyNumberFormat="0" applyFill="0" applyBorder="0" applyAlignment="0" applyProtection="0"/>
    <xf numFmtId="0" fontId="43" fillId="0" borderId="0" applyNumberFormat="0" applyFill="0" applyBorder="0" applyAlignment="0" applyProtection="0"/>
    <xf numFmtId="5" fontId="107" fillId="76" borderId="20" applyNumberFormat="0" applyAlignment="0">
      <alignment horizontal="left" vertical="top"/>
    </xf>
    <xf numFmtId="0" fontId="203" fillId="82" borderId="0">
      <alignment horizontal="left" vertical="center"/>
    </xf>
    <xf numFmtId="0" fontId="57" fillId="0" borderId="0" applyNumberFormat="0" applyFill="0" applyBorder="0" applyAlignment="0" applyProtection="0">
      <alignment vertical="top"/>
      <protection locked="0"/>
    </xf>
    <xf numFmtId="0" fontId="204"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204"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205"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182" fontId="205" fillId="0" borderId="0" applyNumberFormat="0" applyFill="0" applyBorder="0" applyAlignment="0" applyProtection="0">
      <alignment vertical="top"/>
      <protection locked="0"/>
    </xf>
    <xf numFmtId="0" fontId="205" fillId="0" borderId="0" applyNumberFormat="0" applyFill="0" applyBorder="0" applyAlignment="0" applyProtection="0">
      <alignment vertical="top"/>
      <protection locked="0"/>
    </xf>
    <xf numFmtId="182" fontId="205" fillId="0" borderId="0" applyNumberFormat="0" applyFill="0" applyBorder="0" applyAlignment="0" applyProtection="0">
      <alignment vertical="top"/>
      <protection locked="0"/>
    </xf>
    <xf numFmtId="0" fontId="204" fillId="0" borderId="0" applyNumberFormat="0" applyFill="0" applyBorder="0" applyAlignment="0" applyProtection="0">
      <alignment vertical="top"/>
      <protection locked="0"/>
    </xf>
    <xf numFmtId="182" fontId="205" fillId="0" borderId="0" applyNumberFormat="0" applyFill="0" applyBorder="0" applyAlignment="0" applyProtection="0">
      <alignment vertical="top"/>
      <protection locked="0"/>
    </xf>
    <xf numFmtId="0" fontId="205"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38" fontId="68" fillId="0" borderId="0" applyFont="0" applyFill="0" applyBorder="0" applyAlignment="0" applyProtection="0"/>
    <xf numFmtId="10" fontId="19" fillId="33" borderId="20" applyNumberFormat="0" applyBorder="0" applyAlignment="0" applyProtection="0"/>
    <xf numFmtId="10" fontId="19" fillId="33" borderId="20" applyNumberFormat="0" applyBorder="0" applyAlignment="0" applyProtection="0"/>
    <xf numFmtId="10" fontId="19" fillId="33" borderId="20" applyNumberFormat="0" applyBorder="0" applyAlignment="0" applyProtection="0"/>
    <xf numFmtId="10" fontId="19" fillId="33" borderId="20" applyNumberFormat="0" applyBorder="0" applyAlignment="0" applyProtection="0"/>
    <xf numFmtId="0" fontId="58" fillId="33" borderId="11">
      <protection locked="0"/>
    </xf>
    <xf numFmtId="0" fontId="58" fillId="33" borderId="11">
      <protection locked="0"/>
    </xf>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58" fillId="33" borderId="11">
      <protection locked="0"/>
    </xf>
    <xf numFmtId="0" fontId="58" fillId="33" borderId="11">
      <protection locked="0"/>
    </xf>
    <xf numFmtId="0" fontId="45" fillId="0" borderId="18" applyNumberFormat="0" applyFill="0" applyAlignment="0" applyProtection="0"/>
    <xf numFmtId="0" fontId="45" fillId="0" borderId="18" applyNumberFormat="0" applyFill="0" applyAlignment="0" applyProtection="0"/>
    <xf numFmtId="0" fontId="12" fillId="0" borderId="6" applyNumberFormat="0" applyFill="0" applyAlignment="0" applyProtection="0"/>
    <xf numFmtId="0" fontId="45" fillId="0" borderId="18" applyNumberFormat="0" applyFill="0" applyAlignment="0" applyProtection="0"/>
    <xf numFmtId="10" fontId="68" fillId="80" borderId="31" applyBorder="0">
      <alignment horizontal="center"/>
      <protection locked="0"/>
    </xf>
    <xf numFmtId="261" fontId="18" fillId="0" borderId="32"/>
    <xf numFmtId="261" fontId="18" fillId="0" borderId="32"/>
    <xf numFmtId="44" fontId="18" fillId="0" borderId="0" applyFont="0" applyFill="0" applyBorder="0" applyAlignment="0" applyProtection="0"/>
    <xf numFmtId="0" fontId="111" fillId="0" borderId="0" applyNumberFormat="0" applyFont="0" applyFill="0" applyAlignment="0"/>
    <xf numFmtId="0" fontId="61" fillId="46" borderId="0" applyNumberFormat="0" applyBorder="0" applyAlignment="0" applyProtection="0"/>
    <xf numFmtId="0" fontId="8" fillId="4" borderId="0" applyNumberFormat="0" applyBorder="0" applyAlignment="0" applyProtection="0"/>
    <xf numFmtId="0" fontId="61" fillId="46" borderId="0" applyNumberFormat="0" applyBorder="0" applyAlignment="0" applyProtection="0"/>
    <xf numFmtId="0" fontId="49" fillId="0" borderId="0"/>
    <xf numFmtId="0" fontId="49" fillId="0" borderId="0"/>
    <xf numFmtId="0" fontId="49" fillId="0" borderId="0"/>
    <xf numFmtId="0" fontId="49" fillId="0" borderId="0"/>
    <xf numFmtId="0" fontId="49" fillId="0" borderId="0"/>
    <xf numFmtId="0" fontId="49" fillId="0" borderId="0"/>
    <xf numFmtId="0" fontId="75" fillId="0" borderId="0"/>
    <xf numFmtId="0" fontId="18" fillId="0" borderId="0"/>
    <xf numFmtId="0" fontId="18" fillId="0" borderId="0"/>
    <xf numFmtId="0" fontId="18" fillId="0" borderId="0"/>
    <xf numFmtId="0" fontId="1" fillId="0" borderId="0"/>
    <xf numFmtId="0" fontId="18" fillId="0" borderId="0"/>
    <xf numFmtId="0" fontId="18" fillId="0" borderId="0"/>
    <xf numFmtId="0" fontId="18" fillId="0" borderId="0" applyBorder="0"/>
    <xf numFmtId="0" fontId="18" fillId="0" borderId="0" applyBorder="0"/>
    <xf numFmtId="0" fontId="18" fillId="0" borderId="0" applyBorder="0"/>
    <xf numFmtId="0" fontId="18" fillId="0" borderId="0" applyBorder="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applyBorder="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34" fillId="0" borderId="0"/>
    <xf numFmtId="0" fontId="18" fillId="0" borderId="0"/>
    <xf numFmtId="0" fontId="18" fillId="0" borderId="0"/>
    <xf numFmtId="0" fontId="18" fillId="0" borderId="0"/>
    <xf numFmtId="0" fontId="18" fillId="0" borderId="0"/>
    <xf numFmtId="0" fontId="34" fillId="0" borderId="0"/>
    <xf numFmtId="0" fontId="18" fillId="0" borderId="0"/>
    <xf numFmtId="0" fontId="18" fillId="0" borderId="0"/>
    <xf numFmtId="0" fontId="34" fillId="0" borderId="0"/>
    <xf numFmtId="0" fontId="18" fillId="0" borderId="0"/>
    <xf numFmtId="0" fontId="18" fillId="0" borderId="0"/>
    <xf numFmtId="0" fontId="18" fillId="0" borderId="0"/>
    <xf numFmtId="182" fontId="18" fillId="0" borderId="0"/>
    <xf numFmtId="0" fontId="1" fillId="0" borderId="0"/>
    <xf numFmtId="182" fontId="18" fillId="0" borderId="0"/>
    <xf numFmtId="182" fontId="18" fillId="0" borderId="0"/>
    <xf numFmtId="0" fontId="34" fillId="0" borderId="0"/>
    <xf numFmtId="0" fontId="18" fillId="0" borderId="0"/>
    <xf numFmtId="0" fontId="18" fillId="0" borderId="0"/>
    <xf numFmtId="0" fontId="34" fillId="0" borderId="0"/>
    <xf numFmtId="0" fontId="18" fillId="0" borderId="0"/>
    <xf numFmtId="0" fontId="18" fillId="0" borderId="0"/>
    <xf numFmtId="0" fontId="34" fillId="0" borderId="0"/>
    <xf numFmtId="0" fontId="18" fillId="0" borderId="0"/>
    <xf numFmtId="0" fontId="18" fillId="0" borderId="0"/>
    <xf numFmtId="0" fontId="34" fillId="0" borderId="0"/>
    <xf numFmtId="0" fontId="18" fillId="0" borderId="0"/>
    <xf numFmtId="0" fontId="18" fillId="0" borderId="0"/>
    <xf numFmtId="0" fontId="34" fillId="0" borderId="0"/>
    <xf numFmtId="0" fontId="34" fillId="0" borderId="0"/>
    <xf numFmtId="0" fontId="34" fillId="0" borderId="0"/>
    <xf numFmtId="0" fontId="18" fillId="0" borderId="0"/>
    <xf numFmtId="0" fontId="34" fillId="0" borderId="0"/>
    <xf numFmtId="0" fontId="18" fillId="0" borderId="0"/>
    <xf numFmtId="0" fontId="18" fillId="0" borderId="0"/>
    <xf numFmtId="0" fontId="18"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18" fillId="0" borderId="0"/>
    <xf numFmtId="0" fontId="34" fillId="0" borderId="0"/>
    <xf numFmtId="0" fontId="34" fillId="0" borderId="0"/>
    <xf numFmtId="0" fontId="18" fillId="0" borderId="0" applyBorder="0"/>
    <xf numFmtId="0" fontId="18" fillId="0" borderId="0" applyBorder="0"/>
    <xf numFmtId="0" fontId="18" fillId="0" borderId="0"/>
    <xf numFmtId="0" fontId="34" fillId="0" borderId="0"/>
    <xf numFmtId="0" fontId="18" fillId="0" borderId="0"/>
    <xf numFmtId="0" fontId="18"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18" fillId="0" borderId="0"/>
    <xf numFmtId="0" fontId="18"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99" fillId="0" borderId="0"/>
    <xf numFmtId="0" fontId="18" fillId="0" borderId="0"/>
    <xf numFmtId="0" fontId="199" fillId="0" borderId="0"/>
    <xf numFmtId="0" fontId="18" fillId="0" borderId="0"/>
    <xf numFmtId="0" fontId="18" fillId="0" borderId="0"/>
    <xf numFmtId="182" fontId="18" fillId="0" borderId="0"/>
    <xf numFmtId="182" fontId="18" fillId="0" borderId="0"/>
    <xf numFmtId="0" fontId="18" fillId="0" borderId="0"/>
    <xf numFmtId="182" fontId="18" fillId="0" borderId="0"/>
    <xf numFmtId="182" fontId="18" fillId="0" borderId="0"/>
    <xf numFmtId="0" fontId="18" fillId="0" borderId="0"/>
    <xf numFmtId="0" fontId="18" fillId="0" borderId="0"/>
    <xf numFmtId="0" fontId="18" fillId="0" borderId="0"/>
    <xf numFmtId="0" fontId="18" fillId="0" borderId="0"/>
    <xf numFmtId="0" fontId="18" fillId="0" borderId="0" applyBorder="0"/>
    <xf numFmtId="0" fontId="18" fillId="0" borderId="0"/>
    <xf numFmtId="0" fontId="18" fillId="0" borderId="0"/>
    <xf numFmtId="0" fontId="18" fillId="0" borderId="0"/>
    <xf numFmtId="0" fontId="18"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99" fillId="0" borderId="0"/>
    <xf numFmtId="0" fontId="1" fillId="0" borderId="0"/>
    <xf numFmtId="0" fontId="1" fillId="0" borderId="0"/>
    <xf numFmtId="0" fontId="18" fillId="0" borderId="0"/>
    <xf numFmtId="0" fontId="18" fillId="0" borderId="0"/>
    <xf numFmtId="0" fontId="18" fillId="0" borderId="0"/>
    <xf numFmtId="0" fontId="18" fillId="0" borderId="0"/>
    <xf numFmtId="0" fontId="199" fillId="0" borderId="0"/>
    <xf numFmtId="0" fontId="1" fillId="0" borderId="0"/>
    <xf numFmtId="0" fontId="199" fillId="0" borderId="0"/>
    <xf numFmtId="0" fontId="1" fillId="0" borderId="0"/>
    <xf numFmtId="0" fontId="1" fillId="0" borderId="0"/>
    <xf numFmtId="0" fontId="199" fillId="0" borderId="0"/>
    <xf numFmtId="0" fontId="1" fillId="0" borderId="0"/>
    <xf numFmtId="0" fontId="1" fillId="0" borderId="0"/>
    <xf numFmtId="0" fontId="1" fillId="0" borderId="0"/>
    <xf numFmtId="0" fontId="1" fillId="0" borderId="0"/>
    <xf numFmtId="0" fontId="18" fillId="0" borderId="0"/>
    <xf numFmtId="0" fontId="34" fillId="0" borderId="0"/>
    <xf numFmtId="0" fontId="199" fillId="0" borderId="0"/>
    <xf numFmtId="0" fontId="1" fillId="0" borderId="0"/>
    <xf numFmtId="0" fontId="199" fillId="0" borderId="0"/>
    <xf numFmtId="0" fontId="1" fillId="0" borderId="0"/>
    <xf numFmtId="0" fontId="1" fillId="0" borderId="0"/>
    <xf numFmtId="0" fontId="1" fillId="0" borderId="0"/>
    <xf numFmtId="0" fontId="199" fillId="0" borderId="0"/>
    <xf numFmtId="0" fontId="18" fillId="0" borderId="0"/>
    <xf numFmtId="0" fontId="1" fillId="0" borderId="0"/>
    <xf numFmtId="0" fontId="1" fillId="0" borderId="0"/>
    <xf numFmtId="0" fontId="34" fillId="43" borderId="33" applyNumberFormat="0" applyFont="0" applyAlignment="0" applyProtection="0"/>
    <xf numFmtId="0" fontId="1" fillId="8" borderId="8" applyNumberFormat="0" applyFont="0" applyAlignment="0" applyProtection="0"/>
    <xf numFmtId="0" fontId="18" fillId="43" borderId="33" applyNumberFormat="0" applyFont="0" applyAlignment="0" applyProtection="0"/>
    <xf numFmtId="0" fontId="1" fillId="8" borderId="8"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0" fontId="46" fillId="60" borderId="11" applyNumberFormat="0" applyAlignment="0" applyProtection="0"/>
    <xf numFmtId="0" fontId="46" fillId="60" borderId="11" applyNumberFormat="0" applyAlignment="0" applyProtection="0"/>
    <xf numFmtId="0" fontId="10" fillId="6" borderId="5" applyNumberFormat="0" applyAlignment="0" applyProtection="0"/>
    <xf numFmtId="0" fontId="46" fillId="60" borderId="11" applyNumberFormat="0" applyAlignment="0" applyProtection="0"/>
    <xf numFmtId="9" fontId="112" fillId="0" borderId="0" applyFont="0" applyFill="0" applyBorder="0" applyAlignment="0" applyProtection="0"/>
    <xf numFmtId="10" fontId="112" fillId="0" borderId="0" applyFont="0" applyFill="0" applyBorder="0" applyAlignment="0" applyProtection="0"/>
    <xf numFmtId="10"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99" fillId="0" borderId="0" applyFont="0" applyFill="0" applyBorder="0" applyAlignment="0" applyProtection="0"/>
    <xf numFmtId="9" fontId="18" fillId="0" borderId="0" applyFont="0" applyFill="0" applyBorder="0" applyAlignment="0" applyProtection="0"/>
    <xf numFmtId="0" fontId="52" fillId="59" borderId="0"/>
    <xf numFmtId="0" fontId="52" fillId="59" borderId="0"/>
    <xf numFmtId="0" fontId="52" fillId="59" borderId="0"/>
    <xf numFmtId="0" fontId="52" fillId="59" borderId="0"/>
    <xf numFmtId="0" fontId="52" fillId="59" borderId="0"/>
    <xf numFmtId="0" fontId="18" fillId="0" borderId="0">
      <alignment horizontal="left" wrapText="1"/>
    </xf>
    <xf numFmtId="0" fontId="18" fillId="0" borderId="0">
      <alignment horizontal="left" wrapText="1"/>
    </xf>
    <xf numFmtId="0" fontId="120" fillId="0" borderId="0" applyNumberFormat="0" applyFill="0" applyBorder="0" applyAlignment="0" applyProtection="0"/>
    <xf numFmtId="0" fontId="18" fillId="0" borderId="0">
      <alignment horizontal="left" wrapText="1"/>
    </xf>
    <xf numFmtId="0" fontId="198" fillId="0" borderId="0"/>
    <xf numFmtId="0" fontId="18" fillId="0" borderId="0">
      <alignment horizontal="left" wrapText="1"/>
    </xf>
    <xf numFmtId="0" fontId="120" fillId="0" borderId="0" applyNumberFormat="0" applyFill="0" applyBorder="0" applyAlignment="0" applyProtection="0"/>
    <xf numFmtId="0" fontId="68" fillId="0" borderId="0"/>
    <xf numFmtId="0" fontId="68" fillId="0" borderId="0"/>
    <xf numFmtId="0" fontId="18" fillId="0" borderId="0">
      <alignment vertical="top"/>
    </xf>
    <xf numFmtId="0" fontId="18" fillId="0" borderId="0">
      <alignment vertical="top"/>
    </xf>
    <xf numFmtId="0" fontId="18" fillId="0" borderId="0">
      <alignment vertical="top"/>
    </xf>
    <xf numFmtId="0" fontId="18" fillId="0" borderId="0">
      <alignment vertical="top"/>
    </xf>
    <xf numFmtId="0" fontId="68" fillId="0" borderId="0"/>
    <xf numFmtId="0" fontId="18" fillId="0" borderId="0">
      <alignment vertical="top"/>
    </xf>
    <xf numFmtId="0" fontId="18" fillId="0" borderId="0">
      <alignment vertical="top"/>
    </xf>
    <xf numFmtId="0" fontId="18" fillId="0" borderId="0">
      <alignment vertical="top"/>
    </xf>
    <xf numFmtId="0" fontId="18" fillId="0" borderId="0">
      <alignment vertical="top"/>
    </xf>
    <xf numFmtId="178" fontId="81" fillId="0" borderId="0" applyFont="0" applyFill="0" applyBorder="0" applyAlignment="0" applyProtection="0"/>
    <xf numFmtId="178" fontId="81" fillId="0" borderId="0" applyFont="0" applyFill="0" applyBorder="0" applyAlignment="0" applyProtection="0"/>
    <xf numFmtId="178" fontId="81" fillId="0" borderId="0" applyFont="0" applyFill="0" applyBorder="0" applyAlignment="0" applyProtection="0"/>
    <xf numFmtId="0" fontId="68" fillId="0" borderId="0"/>
    <xf numFmtId="0" fontId="18" fillId="0" borderId="0"/>
    <xf numFmtId="0" fontId="18" fillId="0" borderId="0"/>
    <xf numFmtId="261" fontId="121" fillId="0" borderId="42">
      <alignment horizontal="right" vertical="center"/>
    </xf>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 fillId="0" borderId="0" applyNumberFormat="0" applyFill="0" applyBorder="0" applyAlignment="0" applyProtection="0"/>
    <xf numFmtId="0" fontId="28" fillId="0" borderId="0" applyNumberFormat="0" applyFill="0" applyBorder="0" applyAlignment="0" applyProtection="0"/>
    <xf numFmtId="0" fontId="63" fillId="0" borderId="43" applyNumberFormat="0" applyFill="0" applyAlignment="0" applyProtection="0"/>
    <xf numFmtId="0" fontId="63" fillId="0" borderId="43" applyNumberFormat="0" applyFill="0" applyAlignment="0" applyProtection="0"/>
    <xf numFmtId="0" fontId="200" fillId="0" borderId="53">
      <protection locked="0"/>
    </xf>
    <xf numFmtId="0" fontId="16" fillId="0" borderId="9" applyNumberFormat="0" applyFill="0" applyAlignment="0" applyProtection="0"/>
    <xf numFmtId="0" fontId="63" fillId="0" borderId="43" applyNumberFormat="0" applyFill="0" applyAlignment="0" applyProtection="0"/>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0" fontId="31" fillId="95" borderId="54" applyProtection="0">
      <alignment horizontal="left"/>
    </xf>
    <xf numFmtId="259" fontId="121" fillId="0" borderId="0"/>
    <xf numFmtId="260" fontId="121" fillId="0" borderId="20"/>
    <xf numFmtId="5" fontId="126" fillId="91" borderId="34">
      <alignment vertical="top"/>
    </xf>
    <xf numFmtId="6" fontId="128" fillId="93" borderId="34"/>
    <xf numFmtId="5" fontId="129" fillId="0" borderId="34">
      <alignment horizontal="left" vertical="top"/>
    </xf>
    <xf numFmtId="5" fontId="131" fillId="0" borderId="10">
      <alignment horizontal="left" vertical="top"/>
    </xf>
    <xf numFmtId="0" fontId="47" fillId="0" borderId="0" applyNumberFormat="0" applyFill="0" applyBorder="0" applyAlignment="0" applyProtection="0"/>
    <xf numFmtId="0" fontId="47" fillId="0" borderId="0" applyNumberFormat="0" applyFill="0" applyBorder="0" applyAlignment="0" applyProtection="0"/>
    <xf numFmtId="0" fontId="14" fillId="0" borderId="0" applyNumberFormat="0" applyFill="0" applyBorder="0" applyAlignment="0" applyProtection="0"/>
    <xf numFmtId="0" fontId="47" fillId="0" borderId="0" applyNumberFormat="0" applyFill="0" applyBorder="0" applyAlignment="0" applyProtection="0"/>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0" fontId="18" fillId="0" borderId="0" applyNumberFormat="0" applyFont="0" applyFill="0">
      <alignment horizontal="center"/>
    </xf>
    <xf numFmtId="178" fontId="84" fillId="0" borderId="0" applyFont="0" applyFill="0" applyBorder="0" applyAlignment="0" applyProtection="0"/>
    <xf numFmtId="43" fontId="1" fillId="0" borderId="0" applyFont="0" applyFill="0" applyBorder="0" applyAlignment="0" applyProtection="0"/>
    <xf numFmtId="0" fontId="18" fillId="0" borderId="0">
      <alignment horizontal="left" wrapText="1"/>
    </xf>
    <xf numFmtId="0" fontId="18" fillId="0" borderId="0">
      <alignment horizontal="left" wrapText="1"/>
    </xf>
    <xf numFmtId="0" fontId="18" fillId="0" borderId="0"/>
    <xf numFmtId="247" fontId="68" fillId="0" borderId="0" applyFont="0" applyFill="0" applyBorder="0" applyAlignment="0" applyProtection="0"/>
    <xf numFmtId="217" fontId="18" fillId="33"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lignment horizontal="left" wrapText="1"/>
    </xf>
    <xf numFmtId="0" fontId="18" fillId="0" borderId="0">
      <alignment horizontal="left" wrapText="1"/>
    </xf>
    <xf numFmtId="0" fontId="18" fillId="0" borderId="0">
      <alignment horizontal="left" wrapText="1"/>
    </xf>
    <xf numFmtId="218" fontId="18" fillId="0" borderId="0">
      <alignment vertical="top"/>
    </xf>
    <xf numFmtId="0" fontId="18" fillId="0" borderId="0"/>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xf numFmtId="0" fontId="18" fillId="0" borderId="0"/>
    <xf numFmtId="0" fontId="18" fillId="0" borderId="0"/>
    <xf numFmtId="0" fontId="18" fillId="0" borderId="0"/>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0" fontId="159" fillId="0" borderId="0"/>
    <xf numFmtId="216" fontId="18" fillId="0" borderId="0">
      <alignment horizontal="left" wrapText="1"/>
    </xf>
    <xf numFmtId="216" fontId="18" fillId="0" borderId="0">
      <alignment horizontal="left" wrapText="1"/>
    </xf>
    <xf numFmtId="216" fontId="18" fillId="0" borderId="0">
      <alignment horizontal="left" wrapText="1"/>
    </xf>
    <xf numFmtId="218" fontId="18" fillId="0" borderId="0">
      <alignment vertical="top"/>
    </xf>
    <xf numFmtId="0" fontId="18" fillId="0" borderId="0">
      <alignment vertical="top"/>
    </xf>
    <xf numFmtId="0" fontId="18" fillId="0" borderId="0">
      <alignment vertical="top"/>
    </xf>
    <xf numFmtId="218" fontId="18" fillId="0" borderId="0">
      <alignment vertical="top"/>
    </xf>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218" fontId="18" fillId="0" borderId="0">
      <alignment vertical="top"/>
    </xf>
    <xf numFmtId="218" fontId="18" fillId="0" borderId="0">
      <alignment vertical="top"/>
    </xf>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vertical="top"/>
    </xf>
    <xf numFmtId="0" fontId="18" fillId="0" borderId="0">
      <alignment vertical="top"/>
    </xf>
    <xf numFmtId="0"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vertical="top"/>
    </xf>
    <xf numFmtId="0" fontId="18" fillId="0" borderId="0">
      <alignment vertical="top"/>
    </xf>
    <xf numFmtId="218" fontId="18" fillId="0" borderId="0">
      <alignment vertical="top"/>
    </xf>
    <xf numFmtId="218" fontId="18" fillId="0" borderId="0">
      <alignment vertical="top"/>
    </xf>
    <xf numFmtId="216" fontId="18" fillId="0" borderId="0">
      <alignment horizontal="left" wrapText="1"/>
    </xf>
    <xf numFmtId="216" fontId="18" fillId="0" borderId="0">
      <alignment horizontal="left" wrapText="1"/>
    </xf>
    <xf numFmtId="216" fontId="18" fillId="0" borderId="0">
      <alignment horizontal="left" wrapText="1"/>
    </xf>
    <xf numFmtId="0" fontId="49" fillId="0" borderId="0">
      <alignment vertical="center"/>
    </xf>
    <xf numFmtId="0" fontId="18" fillId="0" borderId="0"/>
    <xf numFmtId="0" fontId="18" fillId="0" borderId="0"/>
    <xf numFmtId="0" fontId="18" fillId="0" borderId="0"/>
    <xf numFmtId="0" fontId="18" fillId="0" borderId="0"/>
    <xf numFmtId="0" fontId="18" fillId="0" borderId="0"/>
    <xf numFmtId="0" fontId="18" fillId="0" borderId="0"/>
    <xf numFmtId="218" fontId="18" fillId="0" borderId="0">
      <alignment vertical="top"/>
    </xf>
    <xf numFmtId="0" fontId="18" fillId="0" borderId="0">
      <alignment horizontal="left" wrapText="1"/>
    </xf>
    <xf numFmtId="0" fontId="18" fillId="0" borderId="0">
      <alignment horizontal="left" wrapText="1"/>
    </xf>
    <xf numFmtId="0" fontId="18" fillId="0" borderId="0">
      <alignment horizontal="left" wrapText="1"/>
    </xf>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xf numFmtId="216" fontId="18" fillId="0" borderId="0">
      <alignment horizontal="left" wrapText="1"/>
    </xf>
    <xf numFmtId="216" fontId="18" fillId="0" borderId="0">
      <alignment horizontal="left" wrapText="1"/>
    </xf>
    <xf numFmtId="216" fontId="18" fillId="0" borderId="0">
      <alignment horizontal="left" wrapText="1"/>
    </xf>
    <xf numFmtId="0" fontId="18" fillId="0" borderId="0">
      <alignment vertical="top"/>
    </xf>
    <xf numFmtId="172" fontId="18" fillId="0" borderId="0" applyFont="0" applyFill="0" applyBorder="0" applyAlignment="0" applyProtection="0"/>
    <xf numFmtId="172" fontId="18" fillId="0" borderId="0" applyFont="0" applyFill="0" applyBorder="0" applyAlignment="0" applyProtection="0"/>
    <xf numFmtId="172" fontId="18" fillId="0" borderId="0" applyFont="0" applyFill="0" applyBorder="0" applyAlignment="0" applyProtection="0"/>
    <xf numFmtId="249" fontId="6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0" fontId="18" fillId="0" borderId="0"/>
    <xf numFmtId="0" fontId="18" fillId="0" borderId="0"/>
    <xf numFmtId="0" fontId="20" fillId="41" borderId="0" applyNumberFormat="0" applyBorder="0" applyAlignment="0" applyProtection="0"/>
    <xf numFmtId="0" fontId="20" fillId="42" borderId="0" applyNumberFormat="0" applyBorder="0" applyAlignment="0" applyProtection="0"/>
    <xf numFmtId="0" fontId="20" fillId="43" borderId="0" applyNumberFormat="0" applyBorder="0" applyAlignment="0" applyProtection="0"/>
    <xf numFmtId="0" fontId="20" fillId="40" borderId="0" applyNumberFormat="0" applyBorder="0" applyAlignment="0" applyProtection="0"/>
    <xf numFmtId="0" fontId="20" fillId="39" borderId="0" applyNumberFormat="0" applyBorder="0" applyAlignment="0" applyProtection="0"/>
    <xf numFmtId="0" fontId="20" fillId="43" borderId="0" applyNumberFormat="0" applyBorder="0" applyAlignment="0" applyProtection="0"/>
    <xf numFmtId="0" fontId="20" fillId="39" borderId="0" applyNumberFormat="0" applyBorder="0" applyAlignment="0" applyProtection="0"/>
    <xf numFmtId="0" fontId="20" fillId="42" borderId="0" applyNumberFormat="0" applyBorder="0" applyAlignment="0" applyProtection="0"/>
    <xf numFmtId="0" fontId="20" fillId="46" borderId="0" applyNumberFormat="0" applyBorder="0" applyAlignment="0" applyProtection="0"/>
    <xf numFmtId="0" fontId="20" fillId="36" borderId="0" applyNumberFormat="0" applyBorder="0" applyAlignment="0" applyProtection="0"/>
    <xf numFmtId="0" fontId="20" fillId="39" borderId="0" applyNumberFormat="0" applyBorder="0" applyAlignment="0" applyProtection="0"/>
    <xf numFmtId="0" fontId="20" fillId="43" borderId="0" applyNumberFormat="0" applyBorder="0" applyAlignment="0" applyProtection="0"/>
    <xf numFmtId="250" fontId="18" fillId="0" borderId="0"/>
    <xf numFmtId="219" fontId="19" fillId="0" borderId="0"/>
    <xf numFmtId="217" fontId="19" fillId="0" borderId="0"/>
    <xf numFmtId="221" fontId="18" fillId="0" borderId="0" applyFont="0" applyFill="0" applyBorder="0" applyAlignment="0" applyProtection="0"/>
    <xf numFmtId="223" fontId="18" fillId="0" borderId="0" applyFont="0" applyFill="0" applyBorder="0" applyAlignment="0" applyProtection="0"/>
    <xf numFmtId="251" fontId="18" fillId="0" borderId="0" applyFont="0" applyFill="0" applyBorder="0" applyAlignment="0" applyProtection="0"/>
    <xf numFmtId="251" fontId="18" fillId="0" borderId="0" applyFont="0" applyFill="0" applyBorder="0" applyAlignment="0" applyProtection="0"/>
    <xf numFmtId="251"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180" fontId="18" fillId="0" borderId="0" applyFont="0" applyFill="0" applyBorder="0" applyAlignment="0" applyProtection="0"/>
    <xf numFmtId="0" fontId="19" fillId="63" borderId="21"/>
    <xf numFmtId="252" fontId="18" fillId="0" borderId="0" applyFont="0" applyFill="0" applyBorder="0" applyAlignment="0" applyProtection="0"/>
    <xf numFmtId="252" fontId="18" fillId="0" borderId="0" applyFont="0" applyFill="0" applyBorder="0" applyAlignment="0" applyProtection="0"/>
    <xf numFmtId="252" fontId="18" fillId="0" borderId="0" applyFont="0" applyFill="0" applyBorder="0" applyAlignment="0" applyProtection="0"/>
    <xf numFmtId="14" fontId="18" fillId="0" borderId="0"/>
    <xf numFmtId="49" fontId="18" fillId="0" borderId="10" applyFill="0" applyProtection="0">
      <alignment horizontal="left" vertical="top" wrapText="1"/>
    </xf>
    <xf numFmtId="181" fontId="18" fillId="72" borderId="0" applyNumberFormat="0" applyBorder="0" applyProtection="0">
      <alignment horizontal="center" vertical="center"/>
    </xf>
    <xf numFmtId="216" fontId="18" fillId="0" borderId="0">
      <alignment horizontal="left" wrapText="1"/>
    </xf>
    <xf numFmtId="0" fontId="18" fillId="0" borderId="0">
      <alignment horizontal="left" wrapText="1"/>
    </xf>
    <xf numFmtId="0" fontId="18" fillId="0" borderId="0">
      <alignment horizontal="left" wrapText="1"/>
    </xf>
    <xf numFmtId="216" fontId="18" fillId="0" borderId="0">
      <alignment horizontal="left" wrapText="1"/>
    </xf>
    <xf numFmtId="0" fontId="18" fillId="0" borderId="0">
      <alignment horizontal="left" wrapText="1"/>
    </xf>
    <xf numFmtId="0" fontId="68" fillId="0" borderId="0"/>
    <xf numFmtId="0" fontId="68" fillId="0" borderId="0"/>
    <xf numFmtId="0" fontId="18" fillId="0" borderId="0">
      <alignment vertical="top"/>
    </xf>
    <xf numFmtId="0" fontId="18" fillId="0" borderId="0">
      <alignment vertical="top"/>
    </xf>
    <xf numFmtId="0" fontId="68" fillId="0" borderId="0"/>
    <xf numFmtId="0" fontId="18" fillId="0" borderId="0">
      <alignment vertical="top"/>
    </xf>
    <xf numFmtId="0" fontId="18" fillId="0" borderId="0">
      <alignment vertical="top"/>
    </xf>
    <xf numFmtId="0" fontId="68" fillId="0" borderId="0"/>
    <xf numFmtId="0" fontId="18" fillId="0" borderId="0"/>
    <xf numFmtId="0" fontId="68" fillId="0" borderId="0"/>
    <xf numFmtId="0" fontId="18" fillId="0" borderId="0"/>
    <xf numFmtId="0" fontId="18" fillId="0" borderId="0"/>
    <xf numFmtId="0" fontId="18" fillId="0" borderId="0"/>
    <xf numFmtId="0" fontId="68" fillId="0" borderId="0"/>
    <xf numFmtId="0" fontId="18" fillId="0" borderId="0"/>
    <xf numFmtId="182" fontId="18" fillId="0" borderId="0" applyFont="0" applyFill="0" applyBorder="0" applyAlignment="0" applyProtection="0"/>
    <xf numFmtId="38" fontId="19" fillId="34" borderId="0" applyNumberFormat="0" applyBorder="0" applyAlignment="0" applyProtection="0"/>
    <xf numFmtId="38" fontId="19" fillId="34" borderId="0" applyNumberFormat="0" applyBorder="0" applyAlignment="0" applyProtection="0"/>
    <xf numFmtId="10" fontId="18" fillId="0" borderId="0" applyBorder="0"/>
    <xf numFmtId="174" fontId="18" fillId="0" borderId="0"/>
    <xf numFmtId="0" fontId="48" fillId="0" borderId="0" applyNumberFormat="0" applyFill="0" applyBorder="0" applyAlignment="0" applyProtection="0">
      <alignment vertical="top"/>
      <protection locked="0"/>
    </xf>
    <xf numFmtId="10" fontId="19" fillId="77" borderId="20" applyNumberFormat="0" applyBorder="0" applyAlignment="0" applyProtection="0"/>
    <xf numFmtId="10" fontId="19" fillId="77" borderId="20" applyNumberFormat="0" applyBorder="0" applyAlignment="0" applyProtection="0"/>
    <xf numFmtId="0" fontId="58" fillId="33" borderId="11">
      <protection locked="0"/>
    </xf>
    <xf numFmtId="0" fontId="58" fillId="33" borderId="11">
      <protection locked="0"/>
    </xf>
    <xf numFmtId="10" fontId="70" fillId="0" borderId="0">
      <protection locked="0"/>
    </xf>
    <xf numFmtId="15" fontId="70" fillId="0" borderId="0">
      <protection locked="0"/>
    </xf>
    <xf numFmtId="2" fontId="70" fillId="0" borderId="10">
      <protection locked="0"/>
    </xf>
    <xf numFmtId="0" fontId="70" fillId="0" borderId="0">
      <protection locked="0"/>
    </xf>
    <xf numFmtId="0" fontId="18" fillId="78" borderId="0" applyNumberFormat="0" applyFont="0" applyBorder="0" applyAlignment="0" applyProtection="0"/>
    <xf numFmtId="178" fontId="18" fillId="0" borderId="0" applyFont="0" applyFill="0" applyBorder="0" applyAlignment="0" applyProtection="0"/>
    <xf numFmtId="178"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80" fontId="18" fillId="0" borderId="0" applyFont="0" applyFill="0" applyBorder="0" applyAlignment="0" applyProtection="0"/>
    <xf numFmtId="239" fontId="18" fillId="0" borderId="10" applyFill="0" applyProtection="0">
      <alignment horizontal="right" vertical="top"/>
    </xf>
    <xf numFmtId="177" fontId="18" fillId="0" borderId="32"/>
    <xf numFmtId="177" fontId="18" fillId="0" borderId="32"/>
    <xf numFmtId="0" fontId="18" fillId="0" borderId="0" applyBorder="0"/>
    <xf numFmtId="0" fontId="18" fillId="0" borderId="0" applyBorder="0"/>
    <xf numFmtId="0" fontId="18" fillId="0" borderId="0"/>
    <xf numFmtId="0" fontId="18" fillId="0" borderId="0"/>
    <xf numFmtId="0" fontId="18" fillId="0" borderId="0"/>
    <xf numFmtId="0" fontId="18" fillId="0" borderId="0"/>
    <xf numFmtId="0" fontId="18" fillId="0" borderId="0"/>
    <xf numFmtId="0" fontId="18" fillId="0" borderId="0" applyBorder="0"/>
    <xf numFmtId="0" fontId="18" fillId="0" borderId="0" applyBorder="0"/>
    <xf numFmtId="0" fontId="18" fillId="0" borderId="0" applyBorder="0"/>
    <xf numFmtId="0" fontId="18" fillId="0" borderId="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37" fontId="18" fillId="0" borderId="0"/>
    <xf numFmtId="9" fontId="18" fillId="0" borderId="0" applyFont="0" applyFill="0" applyBorder="0" applyAlignment="0" applyProtection="0"/>
    <xf numFmtId="9" fontId="18" fillId="0" borderId="0" applyFont="0" applyFill="0" applyBorder="0" applyAlignment="0" applyProtection="0"/>
    <xf numFmtId="257" fontId="68" fillId="0" borderId="0" applyFont="0" applyFill="0" applyBorder="0" applyAlignment="0" applyProtection="0"/>
    <xf numFmtId="242" fontId="18" fillId="0" borderId="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0" fontId="49" fillId="0" borderId="0">
      <alignment vertical="center"/>
    </xf>
    <xf numFmtId="42" fontId="18" fillId="0" borderId="0" applyFont="0" applyFill="0" applyBorder="0" applyAlignment="0" applyProtection="0"/>
    <xf numFmtId="42" fontId="18" fillId="0" borderId="0" applyFont="0" applyFill="0" applyBorder="0" applyAlignment="0" applyProtection="0"/>
    <xf numFmtId="4" fontId="20" fillId="62" borderId="0" applyNumberFormat="0" applyProtection="0">
      <alignment horizontal="left" vertical="center" indent="1"/>
    </xf>
    <xf numFmtId="4" fontId="20" fillId="81" borderId="0" applyNumberFormat="0" applyProtection="0">
      <alignment horizontal="left" vertical="center" indent="1"/>
    </xf>
    <xf numFmtId="41" fontId="81" fillId="0" borderId="0" applyFont="0" applyFill="0" applyBorder="0" applyAlignment="0" applyProtection="0"/>
    <xf numFmtId="41" fontId="81" fillId="0" borderId="0" applyFont="0" applyFill="0" applyBorder="0" applyAlignment="0" applyProtection="0"/>
    <xf numFmtId="41" fontId="81" fillId="0" borderId="0" applyFont="0" applyFill="0" applyBorder="0" applyAlignment="0" applyProtection="0"/>
    <xf numFmtId="0" fontId="18" fillId="0" borderId="0" applyNumberFormat="0" applyFont="0" applyAlignment="0" applyProtection="0"/>
    <xf numFmtId="0" fontId="18" fillId="0" borderId="0" applyNumberFormat="0" applyFont="0" applyAlignment="0" applyProtection="0"/>
    <xf numFmtId="0" fontId="18" fillId="0" borderId="0" applyNumberFormat="0" applyFont="0" applyAlignment="0" applyProtection="0"/>
    <xf numFmtId="0" fontId="18" fillId="0" borderId="0" applyNumberFormat="0" applyFont="0" applyAlignment="0" applyProtection="0"/>
    <xf numFmtId="0" fontId="18" fillId="0" borderId="0" applyNumberFormat="0" applyFont="0" applyAlignment="0" applyProtection="0"/>
    <xf numFmtId="0" fontId="18" fillId="0" borderId="0" applyNumberFormat="0" applyFont="0" applyAlignment="0" applyProtection="0"/>
    <xf numFmtId="0" fontId="18" fillId="0" borderId="39" applyNumberFormat="0" applyFont="0" applyAlignment="0" applyProtection="0"/>
    <xf numFmtId="0" fontId="18" fillId="0" borderId="39" applyNumberFormat="0" applyFont="0" applyAlignment="0" applyProtection="0"/>
    <xf numFmtId="0" fontId="18" fillId="0" borderId="39" applyNumberFormat="0" applyFont="0" applyAlignment="0" applyProtection="0"/>
    <xf numFmtId="0" fontId="18" fillId="0" borderId="40" applyNumberFormat="0" applyFont="0" applyAlignment="0" applyProtection="0"/>
    <xf numFmtId="0" fontId="18" fillId="0" borderId="40" applyNumberFormat="0" applyFont="0" applyAlignment="0" applyProtection="0"/>
    <xf numFmtId="0" fontId="18" fillId="0" borderId="40" applyNumberFormat="0" applyFont="0" applyAlignment="0" applyProtection="0"/>
    <xf numFmtId="0" fontId="18" fillId="0" borderId="41" applyNumberFormat="0" applyFont="0" applyAlignment="0" applyProtection="0"/>
    <xf numFmtId="0" fontId="18" fillId="0" borderId="41" applyNumberFormat="0" applyFont="0" applyAlignment="0" applyProtection="0"/>
    <xf numFmtId="0" fontId="18" fillId="0" borderId="41" applyNumberFormat="0" applyFont="0" applyAlignment="0" applyProtection="0"/>
    <xf numFmtId="177" fontId="121" fillId="0" borderId="42">
      <alignment horizontal="right" vertical="center"/>
    </xf>
    <xf numFmtId="0" fontId="124" fillId="90" borderId="0">
      <alignment horizontal="centerContinuous"/>
    </xf>
    <xf numFmtId="0" fontId="125" fillId="60" borderId="0" applyNumberFormat="0" applyBorder="0" applyAlignment="0">
      <alignment horizontal="center"/>
    </xf>
    <xf numFmtId="49" fontId="18" fillId="0" borderId="10" applyFill="0" applyProtection="0">
      <alignment horizontal="center" vertical="top"/>
    </xf>
    <xf numFmtId="175" fontId="121" fillId="0" borderId="0"/>
    <xf numFmtId="176" fontId="121" fillId="0" borderId="20"/>
    <xf numFmtId="245" fontId="18" fillId="0" borderId="0" applyFont="0" applyFill="0" applyBorder="0" applyAlignment="0" applyProtection="0"/>
    <xf numFmtId="246" fontId="18" fillId="0" borderId="0" applyFont="0" applyFill="0" applyBorder="0" applyAlignment="0" applyProtection="0"/>
    <xf numFmtId="41" fontId="84" fillId="0" borderId="0" applyFont="0" applyFill="0" applyBorder="0" applyAlignment="0" applyProtection="0"/>
    <xf numFmtId="0" fontId="18" fillId="0" borderId="0"/>
    <xf numFmtId="0" fontId="18" fillId="0" borderId="0"/>
    <xf numFmtId="0" fontId="18" fillId="0" borderId="0"/>
    <xf numFmtId="0" fontId="18" fillId="0" borderId="0">
      <alignment horizontal="left" wrapText="1"/>
    </xf>
    <xf numFmtId="0" fontId="18" fillId="0" borderId="0"/>
    <xf numFmtId="0" fontId="18" fillId="0" borderId="0"/>
    <xf numFmtId="0" fontId="206" fillId="0" borderId="0"/>
    <xf numFmtId="0" fontId="206" fillId="0" borderId="0"/>
    <xf numFmtId="0" fontId="20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6" fillId="0" borderId="0"/>
    <xf numFmtId="0" fontId="206" fillId="0" borderId="0"/>
    <xf numFmtId="0" fontId="206" fillId="0" borderId="0"/>
    <xf numFmtId="0" fontId="34" fillId="35"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5" borderId="0" applyNumberFormat="0" applyBorder="0" applyAlignment="0" applyProtection="0"/>
    <xf numFmtId="0" fontId="35" fillId="47" borderId="0" applyNumberFormat="0" applyBorder="0" applyAlignment="0" applyProtection="0"/>
    <xf numFmtId="0" fontId="35" fillId="42" borderId="0" applyNumberFormat="0" applyBorder="0" applyAlignment="0" applyProtection="0"/>
    <xf numFmtId="0" fontId="35" fillId="44" borderId="0" applyNumberFormat="0" applyBorder="0" applyAlignment="0" applyProtection="0"/>
    <xf numFmtId="0" fontId="35" fillId="48"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47" fillId="0" borderId="0" applyNumberFormat="0" applyFill="0" applyBorder="0" applyAlignment="0" applyProtection="0"/>
    <xf numFmtId="0" fontId="52" fillId="34" borderId="0"/>
    <xf numFmtId="0" fontId="52" fillId="34" borderId="0"/>
    <xf numFmtId="0" fontId="52" fillId="34" borderId="0"/>
    <xf numFmtId="0" fontId="37" fillId="60" borderId="12" applyNumberFormat="0" applyAlignment="0" applyProtection="0"/>
    <xf numFmtId="0" fontId="68" fillId="0" borderId="0"/>
    <xf numFmtId="0" fontId="68" fillId="0" borderId="0"/>
    <xf numFmtId="0" fontId="68" fillId="0" borderId="0"/>
    <xf numFmtId="0" fontId="68" fillId="0" borderId="0"/>
    <xf numFmtId="0" fontId="45" fillId="0" borderId="18" applyNumberFormat="0" applyFill="0" applyAlignment="0" applyProtection="0"/>
    <xf numFmtId="180"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18" fillId="43" borderId="33" applyNumberFormat="0" applyFont="0" applyAlignment="0" applyProtection="0"/>
    <xf numFmtId="184" fontId="52" fillId="0" borderId="0" applyFont="0" applyFill="0" applyBorder="0" applyAlignment="0" applyProtection="0"/>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181" fontId="18" fillId="72" borderId="0" applyNumberFormat="0" applyBorder="0" applyProtection="0">
      <alignment horizontal="center" vertical="center"/>
    </xf>
    <xf numFmtId="0" fontId="44" fillId="40" borderId="12" applyNumberFormat="0" applyAlignment="0" applyProtection="0"/>
    <xf numFmtId="182" fontId="18" fillId="0" borderId="0" applyFont="0" applyFill="0" applyBorder="0" applyAlignment="0" applyProtection="0"/>
    <xf numFmtId="182" fontId="18" fillId="0" borderId="0" applyFont="0" applyFill="0" applyBorder="0" applyAlignment="0" applyProtection="0"/>
    <xf numFmtId="182" fontId="18" fillId="0" borderId="0" applyFont="0" applyFill="0" applyBorder="0" applyAlignment="0" applyProtection="0"/>
    <xf numFmtId="10" fontId="70" fillId="0" borderId="0">
      <protection locked="0"/>
    </xf>
    <xf numFmtId="10" fontId="70" fillId="0" borderId="0">
      <protection locked="0"/>
    </xf>
    <xf numFmtId="10" fontId="70" fillId="0" borderId="0">
      <protection locked="0"/>
    </xf>
    <xf numFmtId="10" fontId="70" fillId="0" borderId="0">
      <protection locked="0"/>
    </xf>
    <xf numFmtId="15" fontId="70" fillId="0" borderId="0">
      <protection locked="0"/>
    </xf>
    <xf numFmtId="15" fontId="70" fillId="0" borderId="0">
      <protection locked="0"/>
    </xf>
    <xf numFmtId="15" fontId="70" fillId="0" borderId="0">
      <protection locked="0"/>
    </xf>
    <xf numFmtId="15" fontId="70" fillId="0" borderId="0">
      <protection locked="0"/>
    </xf>
    <xf numFmtId="2" fontId="70" fillId="0" borderId="10">
      <protection locked="0"/>
    </xf>
    <xf numFmtId="2" fontId="70" fillId="0" borderId="10">
      <protection locked="0"/>
    </xf>
    <xf numFmtId="2" fontId="70" fillId="0" borderId="10">
      <protection locked="0"/>
    </xf>
    <xf numFmtId="2" fontId="70" fillId="0" borderId="10">
      <protection locked="0"/>
    </xf>
    <xf numFmtId="0" fontId="70" fillId="0" borderId="0">
      <protection locked="0"/>
    </xf>
    <xf numFmtId="0" fontId="70" fillId="0" borderId="0">
      <protection locked="0"/>
    </xf>
    <xf numFmtId="0" fontId="70" fillId="0" borderId="0">
      <protection locked="0"/>
    </xf>
    <xf numFmtId="0" fontId="70" fillId="0" borderId="0">
      <protection locked="0"/>
    </xf>
    <xf numFmtId="0" fontId="36" fillId="36" borderId="0" applyNumberFormat="0" applyBorder="0" applyAlignment="0" applyProtection="0"/>
    <xf numFmtId="0" fontId="61" fillId="46" borderId="0" applyNumberFormat="0" applyBorder="0" applyAlignment="0" applyProtection="0"/>
    <xf numFmtId="0" fontId="49" fillId="0" borderId="0"/>
    <xf numFmtId="0" fontId="49" fillId="0" borderId="0"/>
    <xf numFmtId="0" fontId="4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43" borderId="33" applyNumberFormat="0" applyFont="0" applyAlignment="0" applyProtection="0"/>
    <xf numFmtId="0" fontId="18" fillId="43" borderId="33" applyNumberFormat="0" applyFont="0" applyAlignment="0" applyProtection="0"/>
    <xf numFmtId="0" fontId="18" fillId="43" borderId="33" applyNumberFormat="0" applyFon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0" fontId="40" fillId="37" borderId="0" applyNumberFormat="0" applyBorder="0" applyAlignment="0" applyProtection="0"/>
    <xf numFmtId="0" fontId="46" fillId="60" borderId="11" applyNumberFormat="0" applyAlignment="0" applyProtection="0"/>
    <xf numFmtId="0" fontId="52" fillId="59" borderId="0"/>
    <xf numFmtId="0" fontId="52" fillId="59" borderId="0"/>
    <xf numFmtId="0" fontId="52" fillId="59" borderId="0"/>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18" fillId="0" borderId="0">
      <alignment horizontal="left" wrapText="1"/>
    </xf>
    <xf numFmtId="0" fontId="39" fillId="0" borderId="0" applyNumberFormat="0" applyFill="0" applyBorder="0" applyAlignment="0" applyProtection="0"/>
    <xf numFmtId="0" fontId="28" fillId="0" borderId="0" applyNumberFormat="0" applyFill="0" applyBorder="0" applyAlignment="0" applyProtection="0"/>
    <xf numFmtId="0" fontId="41" fillId="0" borderId="28" applyNumberFormat="0" applyFill="0" applyAlignment="0" applyProtection="0"/>
    <xf numFmtId="0" fontId="42" fillId="0" borderId="29" applyNumberFormat="0" applyFill="0" applyAlignment="0" applyProtection="0"/>
    <xf numFmtId="0" fontId="43" fillId="0" borderId="30" applyNumberFormat="0" applyFill="0" applyAlignment="0" applyProtection="0"/>
    <xf numFmtId="0" fontId="43" fillId="0" borderId="0" applyNumberFormat="0" applyFill="0" applyBorder="0" applyAlignment="0" applyProtection="0"/>
    <xf numFmtId="0" fontId="38" fillId="61" borderId="17" applyNumberFormat="0" applyAlignment="0" applyProtection="0"/>
    <xf numFmtId="180" fontId="1" fillId="0" borderId="0" applyFont="0" applyFill="0" applyBorder="0" applyAlignment="0" applyProtection="0"/>
    <xf numFmtId="9" fontId="1" fillId="0" borderId="0" applyFont="0" applyFill="0" applyBorder="0" applyAlignment="0" applyProtection="0"/>
  </cellStyleXfs>
  <cellXfs count="117">
    <xf numFmtId="0" fontId="0" fillId="0" borderId="0" xfId="0"/>
    <xf numFmtId="0" fontId="196" fillId="33" borderId="51" xfId="766" applyFont="1" applyFill="1" applyBorder="1" applyAlignment="1" applyProtection="1">
      <alignment horizontal="center"/>
      <protection hidden="1"/>
    </xf>
    <xf numFmtId="0" fontId="196" fillId="0" borderId="52" xfId="766" applyFont="1" applyBorder="1" applyAlignment="1" applyProtection="1">
      <alignment horizontal="center"/>
      <protection hidden="1"/>
    </xf>
    <xf numFmtId="15" fontId="18" fillId="33" borderId="10" xfId="1074" applyNumberFormat="1" applyFill="1" applyBorder="1"/>
    <xf numFmtId="15" fontId="18" fillId="33" borderId="0" xfId="1074" applyNumberFormat="1" applyFill="1"/>
    <xf numFmtId="14" fontId="0" fillId="0" borderId="0" xfId="0" applyNumberFormat="1"/>
    <xf numFmtId="0" fontId="0" fillId="96" borderId="0" xfId="0" applyFill="1"/>
    <xf numFmtId="14" fontId="0" fillId="96" borderId="0" xfId="0" applyNumberFormat="1" applyFill="1"/>
    <xf numFmtId="14" fontId="195" fillId="33" borderId="51" xfId="798" applyNumberFormat="1" applyFont="1" applyFill="1" applyBorder="1" applyAlignment="1" applyProtection="1">
      <alignment horizontal="center"/>
      <protection hidden="1"/>
    </xf>
    <xf numFmtId="3" fontId="207" fillId="0" borderId="0" xfId="0" applyNumberFormat="1" applyFont="1" applyAlignment="1">
      <alignment horizontal="center"/>
    </xf>
    <xf numFmtId="258" fontId="195" fillId="0" borderId="0" xfId="798" applyNumberFormat="1" applyFont="1" applyFill="1" applyBorder="1" applyAlignment="1" applyProtection="1">
      <alignment horizontal="center"/>
      <protection hidden="1"/>
    </xf>
    <xf numFmtId="3" fontId="0" fillId="0" borderId="0" xfId="0" applyNumberFormat="1"/>
    <xf numFmtId="170" fontId="195" fillId="33" borderId="51" xfId="798" applyNumberFormat="1" applyFont="1" applyFill="1" applyBorder="1" applyAlignment="1" applyProtection="1">
      <alignment horizontal="center"/>
      <protection hidden="1"/>
    </xf>
    <xf numFmtId="258" fontId="0" fillId="0" borderId="0" xfId="0" applyNumberFormat="1"/>
    <xf numFmtId="258" fontId="0" fillId="96" borderId="0" xfId="0" applyNumberFormat="1" applyFill="1"/>
    <xf numFmtId="170" fontId="0" fillId="0" borderId="0" xfId="0" applyNumberFormat="1"/>
    <xf numFmtId="170" fontId="0" fillId="96" borderId="0" xfId="0" applyNumberFormat="1" applyFill="1"/>
    <xf numFmtId="264" fontId="0" fillId="0" borderId="0" xfId="0" applyNumberFormat="1"/>
    <xf numFmtId="265" fontId="0" fillId="0" borderId="0" xfId="0" applyNumberFormat="1"/>
    <xf numFmtId="266" fontId="0" fillId="0" borderId="0" xfId="0" applyNumberFormat="1"/>
    <xf numFmtId="0" fontId="0" fillId="97" borderId="0" xfId="0" applyFill="1"/>
    <xf numFmtId="170" fontId="0" fillId="0" borderId="0" xfId="2758" applyNumberFormat="1" applyFont="1" applyBorder="1"/>
    <xf numFmtId="170" fontId="0" fillId="96" borderId="0" xfId="2758" applyNumberFormat="1" applyFont="1" applyFill="1" applyBorder="1"/>
    <xf numFmtId="0" fontId="0" fillId="99" borderId="0" xfId="0" applyFill="1"/>
    <xf numFmtId="0" fontId="0" fillId="0" borderId="58" xfId="0" applyBorder="1"/>
    <xf numFmtId="0" fontId="0" fillId="96" borderId="58" xfId="0" applyFill="1" applyBorder="1"/>
    <xf numFmtId="0" fontId="0" fillId="99" borderId="62" xfId="0" applyFill="1" applyBorder="1"/>
    <xf numFmtId="170" fontId="0" fillId="0" borderId="63" xfId="0" applyNumberFormat="1" applyBorder="1"/>
    <xf numFmtId="0" fontId="0" fillId="0" borderId="63" xfId="0" applyBorder="1"/>
    <xf numFmtId="0" fontId="0" fillId="0" borderId="64" xfId="0" applyBorder="1"/>
    <xf numFmtId="258" fontId="0" fillId="96" borderId="65" xfId="2758" applyNumberFormat="1" applyFont="1" applyFill="1" applyBorder="1"/>
    <xf numFmtId="258" fontId="0" fillId="0" borderId="65" xfId="2758" applyNumberFormat="1" applyFont="1" applyBorder="1"/>
    <xf numFmtId="258" fontId="0" fillId="96" borderId="66" xfId="2758" applyNumberFormat="1" applyFont="1" applyFill="1" applyBorder="1"/>
    <xf numFmtId="258" fontId="0" fillId="0" borderId="63" xfId="0" applyNumberFormat="1" applyBorder="1"/>
    <xf numFmtId="263" fontId="0" fillId="96" borderId="0" xfId="0" applyNumberFormat="1" applyFill="1"/>
    <xf numFmtId="263" fontId="0" fillId="0" borderId="0" xfId="0" applyNumberFormat="1"/>
    <xf numFmtId="258" fontId="0" fillId="96" borderId="67" xfId="0" applyNumberFormat="1" applyFill="1" applyBorder="1"/>
    <xf numFmtId="258" fontId="0" fillId="0" borderId="67" xfId="0" applyNumberFormat="1" applyBorder="1"/>
    <xf numFmtId="258" fontId="0" fillId="96" borderId="68" xfId="0" applyNumberFormat="1" applyFill="1" applyBorder="1"/>
    <xf numFmtId="170" fontId="0" fillId="0" borderId="63" xfId="2758" applyNumberFormat="1" applyFont="1" applyBorder="1"/>
    <xf numFmtId="258" fontId="0" fillId="0" borderId="69" xfId="0" applyNumberFormat="1" applyBorder="1"/>
    <xf numFmtId="258" fontId="0" fillId="0" borderId="70" xfId="2758" applyNumberFormat="1" applyFont="1" applyBorder="1"/>
    <xf numFmtId="10" fontId="0" fillId="0" borderId="0" xfId="0" applyNumberFormat="1"/>
    <xf numFmtId="0" fontId="209" fillId="0" borderId="71" xfId="0" applyFont="1" applyBorder="1" applyAlignment="1">
      <alignment horizontal="center" wrapText="1"/>
    </xf>
    <xf numFmtId="0" fontId="210" fillId="0" borderId="0" xfId="766" applyFont="1" applyAlignment="1" applyProtection="1">
      <alignment horizontal="center"/>
      <protection hidden="1"/>
    </xf>
    <xf numFmtId="3" fontId="13" fillId="0" borderId="0" xfId="0" applyNumberFormat="1" applyFont="1" applyAlignment="1">
      <alignment horizontal="center"/>
    </xf>
    <xf numFmtId="0" fontId="17" fillId="0" borderId="0" xfId="0" applyFont="1" applyAlignment="1">
      <alignment horizontal="center"/>
    </xf>
    <xf numFmtId="3" fontId="17" fillId="0" borderId="0" xfId="0" applyNumberFormat="1" applyFont="1" applyAlignment="1">
      <alignment horizontal="center"/>
    </xf>
    <xf numFmtId="170" fontId="17" fillId="0" borderId="0" xfId="0" applyNumberFormat="1" applyFont="1"/>
    <xf numFmtId="0" fontId="0" fillId="0" borderId="57" xfId="0" applyBorder="1"/>
    <xf numFmtId="0" fontId="0" fillId="0" borderId="0" xfId="0" applyBorder="1"/>
    <xf numFmtId="0" fontId="0" fillId="0" borderId="57" xfId="0" applyBorder="1" applyAlignment="1"/>
    <xf numFmtId="0" fontId="0" fillId="0" borderId="0" xfId="0" applyBorder="1" applyAlignment="1"/>
    <xf numFmtId="0" fontId="0" fillId="0" borderId="58" xfId="0" applyBorder="1" applyAlignment="1"/>
    <xf numFmtId="0" fontId="0" fillId="0" borderId="15" xfId="0" applyBorder="1" applyAlignment="1">
      <alignment horizontal="center"/>
    </xf>
    <xf numFmtId="0" fontId="0" fillId="0" borderId="60" xfId="0" applyBorder="1" applyAlignment="1">
      <alignment horizontal="center"/>
    </xf>
    <xf numFmtId="0" fontId="0" fillId="99" borderId="58" xfId="0" applyFill="1" applyBorder="1"/>
    <xf numFmtId="258" fontId="195" fillId="99" borderId="58" xfId="798" applyNumberFormat="1" applyFont="1" applyFill="1" applyBorder="1" applyAlignment="1" applyProtection="1">
      <alignment horizontal="center"/>
      <protection hidden="1"/>
    </xf>
    <xf numFmtId="258" fontId="195" fillId="99" borderId="58" xfId="798" applyNumberFormat="1" applyFont="1" applyFill="1" applyBorder="1" applyAlignment="1" applyProtection="1">
      <alignment horizontal="center" vertical="center"/>
      <protection hidden="1"/>
    </xf>
    <xf numFmtId="0" fontId="209" fillId="96" borderId="80" xfId="0" applyFont="1" applyFill="1" applyBorder="1" applyAlignment="1">
      <alignment horizontal="center" wrapText="1"/>
    </xf>
    <xf numFmtId="0" fontId="209" fillId="0" borderId="81" xfId="0" applyFont="1" applyBorder="1" applyAlignment="1">
      <alignment horizontal="center" wrapText="1"/>
    </xf>
    <xf numFmtId="0" fontId="0" fillId="0" borderId="74" xfId="0" applyBorder="1"/>
    <xf numFmtId="0" fontId="209" fillId="96" borderId="82" xfId="0" applyFont="1" applyFill="1" applyBorder="1" applyAlignment="1">
      <alignment horizontal="center" wrapText="1"/>
    </xf>
    <xf numFmtId="0" fontId="0" fillId="0" borderId="76" xfId="0" applyBorder="1"/>
    <xf numFmtId="258" fontId="195" fillId="0" borderId="75" xfId="798" applyNumberFormat="1" applyFont="1" applyFill="1" applyBorder="1" applyAlignment="1" applyProtection="1">
      <alignment horizontal="center"/>
      <protection hidden="1"/>
    </xf>
    <xf numFmtId="258" fontId="195" fillId="0" borderId="76" xfId="798" applyNumberFormat="1" applyFont="1" applyFill="1" applyBorder="1" applyAlignment="1" applyProtection="1">
      <alignment horizontal="center"/>
      <protection hidden="1"/>
    </xf>
    <xf numFmtId="258" fontId="195" fillId="0" borderId="76" xfId="798" applyNumberFormat="1" applyFont="1" applyFill="1" applyBorder="1" applyAlignment="1" applyProtection="1">
      <alignment horizontal="center" vertical="center"/>
      <protection hidden="1"/>
    </xf>
    <xf numFmtId="258" fontId="195" fillId="0" borderId="77" xfId="798" applyNumberFormat="1" applyFont="1" applyFill="1" applyBorder="1" applyAlignment="1" applyProtection="1">
      <alignment horizontal="center"/>
      <protection hidden="1"/>
    </xf>
    <xf numFmtId="0" fontId="0" fillId="0" borderId="78" xfId="0" applyBorder="1"/>
    <xf numFmtId="0" fontId="0" fillId="0" borderId="79" xfId="0" applyBorder="1"/>
    <xf numFmtId="0" fontId="0" fillId="0" borderId="0" xfId="0" applyAlignment="1">
      <alignment horizontal="center"/>
    </xf>
    <xf numFmtId="0" fontId="16" fillId="0" borderId="0" xfId="0" applyFont="1"/>
    <xf numFmtId="0" fontId="211" fillId="0" borderId="31" xfId="0" applyFont="1" applyBorder="1"/>
    <xf numFmtId="0" fontId="0" fillId="0" borderId="16" xfId="0" applyBorder="1"/>
    <xf numFmtId="0" fontId="0" fillId="0" borderId="86" xfId="0" applyBorder="1"/>
    <xf numFmtId="0" fontId="14" fillId="0" borderId="87" xfId="0" applyFont="1" applyBorder="1"/>
    <xf numFmtId="0" fontId="0" fillId="0" borderId="88" xfId="0" applyBorder="1"/>
    <xf numFmtId="0" fontId="14" fillId="0" borderId="50" xfId="0" applyFont="1" applyBorder="1"/>
    <xf numFmtId="0" fontId="0" fillId="0" borderId="14" xfId="0" applyBorder="1"/>
    <xf numFmtId="0" fontId="0" fillId="0" borderId="89" xfId="0" applyBorder="1"/>
    <xf numFmtId="0" fontId="0" fillId="0" borderId="90" xfId="0" applyBorder="1"/>
    <xf numFmtId="258" fontId="195" fillId="0" borderId="90" xfId="798" applyNumberFormat="1" applyFont="1" applyFill="1" applyBorder="1" applyAlignment="1" applyProtection="1">
      <alignment horizontal="center"/>
      <protection hidden="1"/>
    </xf>
    <xf numFmtId="258" fontId="195" fillId="0" borderId="90" xfId="798" applyNumberFormat="1" applyFont="1" applyFill="1" applyBorder="1" applyAlignment="1" applyProtection="1">
      <alignment horizontal="center" vertical="center"/>
      <protection hidden="1"/>
    </xf>
    <xf numFmtId="0" fontId="0" fillId="0" borderId="59" xfId="0" applyBorder="1" applyAlignment="1">
      <alignment horizontal="center"/>
    </xf>
    <xf numFmtId="0" fontId="0" fillId="0" borderId="15" xfId="0" applyBorder="1" applyAlignment="1">
      <alignment horizontal="center"/>
    </xf>
    <xf numFmtId="0" fontId="0" fillId="0" borderId="60" xfId="0" applyBorder="1" applyAlignment="1">
      <alignment horizontal="center"/>
    </xf>
    <xf numFmtId="0" fontId="16" fillId="0" borderId="55" xfId="0" applyFont="1" applyBorder="1" applyAlignment="1">
      <alignment horizontal="center"/>
    </xf>
    <xf numFmtId="0" fontId="0" fillId="0" borderId="63" xfId="0" applyBorder="1" applyAlignment="1">
      <alignment horizontal="center"/>
    </xf>
    <xf numFmtId="0" fontId="0" fillId="0" borderId="56" xfId="0" applyBorder="1" applyAlignment="1">
      <alignment horizontal="center"/>
    </xf>
    <xf numFmtId="0" fontId="0" fillId="0" borderId="72" xfId="0" applyBorder="1" applyAlignment="1">
      <alignment horizontal="center" vertical="center" wrapText="1"/>
    </xf>
    <xf numFmtId="0" fontId="0" fillId="0" borderId="7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0"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0" fontId="0" fillId="0" borderId="78" xfId="0" applyBorder="1" applyAlignment="1">
      <alignment horizontal="center" vertical="center"/>
    </xf>
    <xf numFmtId="0" fontId="0" fillId="0" borderId="79" xfId="0" applyBorder="1" applyAlignment="1">
      <alignment horizontal="center" vertical="center"/>
    </xf>
    <xf numFmtId="0" fontId="0" fillId="0" borderId="57" xfId="0" applyBorder="1" applyAlignment="1">
      <alignment horizontal="center" vertical="center" wrapText="1"/>
    </xf>
    <xf numFmtId="0" fontId="0" fillId="0" borderId="0" xfId="0" applyBorder="1" applyAlignment="1">
      <alignment horizontal="center" vertical="center" wrapText="1"/>
    </xf>
    <xf numFmtId="0" fontId="0" fillId="0" borderId="58" xfId="0" applyBorder="1" applyAlignment="1">
      <alignment horizontal="center" vertical="center" wrapText="1"/>
    </xf>
    <xf numFmtId="0" fontId="0" fillId="0" borderId="57" xfId="0" applyBorder="1" applyAlignment="1">
      <alignment horizontal="center" wrapText="1"/>
    </xf>
    <xf numFmtId="0" fontId="0" fillId="0" borderId="0" xfId="0" applyBorder="1" applyAlignment="1">
      <alignment horizontal="center"/>
    </xf>
    <xf numFmtId="0" fontId="0" fillId="0" borderId="58" xfId="0" applyBorder="1" applyAlignment="1">
      <alignment horizontal="center"/>
    </xf>
    <xf numFmtId="0" fontId="0" fillId="0" borderId="57" xfId="0" applyBorder="1" applyAlignment="1">
      <alignment horizontal="center"/>
    </xf>
    <xf numFmtId="0" fontId="17" fillId="97" borderId="0" xfId="0" applyFont="1" applyFill="1" applyAlignment="1">
      <alignment horizontal="center" vertical="center"/>
    </xf>
    <xf numFmtId="0" fontId="17" fillId="97" borderId="58" xfId="0" applyFont="1" applyFill="1" applyBorder="1" applyAlignment="1">
      <alignment horizontal="center" vertical="center"/>
    </xf>
    <xf numFmtId="258" fontId="195" fillId="96" borderId="83" xfId="798" applyNumberFormat="1" applyFont="1" applyFill="1" applyBorder="1" applyAlignment="1" applyProtection="1">
      <alignment horizontal="center"/>
      <protection hidden="1"/>
    </xf>
    <xf numFmtId="258" fontId="195" fillId="96" borderId="61" xfId="798" applyNumberFormat="1" applyFont="1" applyFill="1" applyBorder="1" applyAlignment="1" applyProtection="1">
      <alignment horizontal="center"/>
      <protection hidden="1"/>
    </xf>
    <xf numFmtId="258" fontId="195" fillId="0" borderId="84" xfId="798" applyNumberFormat="1" applyFont="1" applyFill="1" applyBorder="1" applyAlignment="1" applyProtection="1">
      <alignment horizontal="center" vertical="center" wrapText="1"/>
      <protection hidden="1"/>
    </xf>
    <xf numFmtId="258" fontId="195" fillId="0" borderId="56" xfId="798" applyNumberFormat="1" applyFont="1" applyFill="1" applyBorder="1" applyAlignment="1" applyProtection="1">
      <alignment horizontal="center" vertical="center"/>
      <protection hidden="1"/>
    </xf>
    <xf numFmtId="258" fontId="195" fillId="0" borderId="75" xfId="798" applyNumberFormat="1" applyFont="1" applyFill="1" applyBorder="1" applyAlignment="1" applyProtection="1">
      <alignment horizontal="center" vertical="center"/>
      <protection hidden="1"/>
    </xf>
    <xf numFmtId="258" fontId="195" fillId="0" borderId="58" xfId="798" applyNumberFormat="1" applyFont="1" applyFill="1" applyBorder="1" applyAlignment="1" applyProtection="1">
      <alignment horizontal="center" vertical="center"/>
      <protection hidden="1"/>
    </xf>
    <xf numFmtId="258" fontId="195" fillId="0" borderId="85" xfId="798" applyNumberFormat="1" applyFont="1" applyFill="1" applyBorder="1" applyAlignment="1" applyProtection="1">
      <alignment horizontal="center" vertical="center"/>
      <protection hidden="1"/>
    </xf>
    <xf numFmtId="258" fontId="195" fillId="0" borderId="60" xfId="798" applyNumberFormat="1" applyFont="1" applyFill="1" applyBorder="1" applyAlignment="1" applyProtection="1">
      <alignment horizontal="center" vertical="center"/>
      <protection hidden="1"/>
    </xf>
    <xf numFmtId="0" fontId="0" fillId="98" borderId="0" xfId="0" applyFill="1" applyAlignment="1">
      <alignment horizontal="center" vertical="center"/>
    </xf>
    <xf numFmtId="0" fontId="14" fillId="0" borderId="0" xfId="0" applyFont="1"/>
  </cellXfs>
  <cellStyles count="2759">
    <cellStyle name=" 1" xfId="2" xr:uid="{00000000-0005-0000-0000-000000000000}"/>
    <cellStyle name=" 1 2" xfId="1072" xr:uid="{00000000-0005-0000-0000-000001000000}"/>
    <cellStyle name=" 1 2 2" xfId="1071" xr:uid="{00000000-0005-0000-0000-000002000000}"/>
    <cellStyle name=" 1 2 3" xfId="2378" xr:uid="{00000000-0005-0000-0000-000003000000}"/>
    <cellStyle name=" 1 3" xfId="1070" xr:uid="{00000000-0005-0000-0000-000004000000}"/>
    <cellStyle name=" 1 4" xfId="1069" xr:uid="{00000000-0005-0000-0000-000005000000}"/>
    <cellStyle name=" 1 5" xfId="1068" xr:uid="{00000000-0005-0000-0000-000006000000}"/>
    <cellStyle name=" 1 6" xfId="2379" xr:uid="{00000000-0005-0000-0000-000007000000}"/>
    <cellStyle name=" 1 7" xfId="1073" xr:uid="{00000000-0005-0000-0000-000008000000}"/>
    <cellStyle name="_x000a_386grabber=M" xfId="3" xr:uid="{00000000-0005-0000-0000-000009000000}"/>
    <cellStyle name="_x000a_bidires=100_x000d_" xfId="4" xr:uid="{00000000-0005-0000-0000-00000A000000}"/>
    <cellStyle name="_x000a_bidires=100_x000d_ 2" xfId="2380" xr:uid="{00000000-0005-0000-0000-00000B000000}"/>
    <cellStyle name="&quot;Percent&quot;" xfId="5" xr:uid="{00000000-0005-0000-0000-00000C000000}"/>
    <cellStyle name="&quot;Percent&quot; 2" xfId="2381" xr:uid="{00000000-0005-0000-0000-00000D000000}"/>
    <cellStyle name="# ###,#" xfId="6" xr:uid="{00000000-0005-0000-0000-00000E000000}"/>
    <cellStyle name="# ###,# 2" xfId="2382" xr:uid="{00000000-0005-0000-0000-00000F000000}"/>
    <cellStyle name="%" xfId="7" xr:uid="{00000000-0005-0000-0000-000010000000}"/>
    <cellStyle name="% 2" xfId="8" xr:uid="{00000000-0005-0000-0000-000011000000}"/>
    <cellStyle name="% 2 2" xfId="1077" xr:uid="{00000000-0005-0000-0000-000012000000}"/>
    <cellStyle name="% 2 3" xfId="1078" xr:uid="{00000000-0005-0000-0000-000013000000}"/>
    <cellStyle name="% 2 4" xfId="1079" xr:uid="{00000000-0005-0000-0000-000014000000}"/>
    <cellStyle name="% 2 5" xfId="1076" xr:uid="{00000000-0005-0000-0000-000015000000}"/>
    <cellStyle name="% 3" xfId="1080" xr:uid="{00000000-0005-0000-0000-000016000000}"/>
    <cellStyle name="% 3 2" xfId="1081" xr:uid="{00000000-0005-0000-0000-000017000000}"/>
    <cellStyle name="% 3 3" xfId="1082" xr:uid="{00000000-0005-0000-0000-000018000000}"/>
    <cellStyle name="% 3 4" xfId="1083" xr:uid="{00000000-0005-0000-0000-000019000000}"/>
    <cellStyle name="% 4" xfId="1084" xr:uid="{00000000-0005-0000-0000-00001A000000}"/>
    <cellStyle name="%_AjustesPorColat" xfId="9" xr:uid="{00000000-0005-0000-0000-00001B000000}"/>
    <cellStyle name="%_BBGData" xfId="10" xr:uid="{00000000-0005-0000-0000-00001C000000}"/>
    <cellStyle name="%_BBGData 2" xfId="2383" xr:uid="{00000000-0005-0000-0000-00001D000000}"/>
    <cellStyle name="%_BBGData_USD eoniaBasis" xfId="11" xr:uid="{00000000-0005-0000-0000-00001E000000}"/>
    <cellStyle name="%_BBGData_USD eoniaBasis 2" xfId="2384" xr:uid="{00000000-0005-0000-0000-00001F000000}"/>
    <cellStyle name="%_BBV" xfId="1085" xr:uid="{00000000-0005-0000-0000-000020000000}"/>
    <cellStyle name="%_BRL_USD_BASIS" xfId="12" xr:uid="{00000000-0005-0000-0000-000021000000}"/>
    <cellStyle name="%_BRL_USD_BASIS 2" xfId="1086" xr:uid="{00000000-0005-0000-0000-000022000000}"/>
    <cellStyle name="%_CLP" xfId="13" xr:uid="{00000000-0005-0000-0000-000023000000}"/>
    <cellStyle name="%_CLP 2" xfId="2385" xr:uid="{00000000-0005-0000-0000-000024000000}"/>
    <cellStyle name="%_CLP_USD_BASIS" xfId="14" xr:uid="{00000000-0005-0000-0000-000025000000}"/>
    <cellStyle name="%_CLP_USD_BASIS 2" xfId="1087" xr:uid="{00000000-0005-0000-0000-000026000000}"/>
    <cellStyle name="%_COP" xfId="15" xr:uid="{00000000-0005-0000-0000-000027000000}"/>
    <cellStyle name="%_COP 2" xfId="2386" xr:uid="{00000000-0005-0000-0000-000028000000}"/>
    <cellStyle name="%_COP_USD_BASIS" xfId="16" xr:uid="{00000000-0005-0000-0000-000029000000}"/>
    <cellStyle name="%_COP_USD_BASIS 2" xfId="1088" xr:uid="{00000000-0005-0000-0000-00002A000000}"/>
    <cellStyle name="%_Cuadre Curvas Murex3 - USD,GBP,EUR,PEN" xfId="17" xr:uid="{00000000-0005-0000-0000-00002B000000}"/>
    <cellStyle name="%_Cuadre Curvas Murex3 - USD,GBP,EUR,PEN 2" xfId="1089" xr:uid="{00000000-0005-0000-0000-00002C000000}"/>
    <cellStyle name="%_curvas" xfId="1090" xr:uid="{00000000-0005-0000-0000-00002D000000}"/>
    <cellStyle name="%_Curves" xfId="18" xr:uid="{00000000-0005-0000-0000-00002E000000}"/>
    <cellStyle name="%_Curves 2" xfId="1091" xr:uid="{00000000-0005-0000-0000-00002F000000}"/>
    <cellStyle name="%_Curves_BBG" xfId="19" xr:uid="{00000000-0005-0000-0000-000030000000}"/>
    <cellStyle name="%_Curves_BBG 2" xfId="2387" xr:uid="{00000000-0005-0000-0000-000031000000}"/>
    <cellStyle name="%_DataforMurex" xfId="20" xr:uid="{00000000-0005-0000-0000-000032000000}"/>
    <cellStyle name="%_DataforMurex 2" xfId="2388" xr:uid="{00000000-0005-0000-0000-000033000000}"/>
    <cellStyle name="%_Ejercicio" xfId="21" xr:uid="{00000000-0005-0000-0000-000034000000}"/>
    <cellStyle name="%_Ejercicio 2" xfId="2389" xr:uid="{00000000-0005-0000-0000-000035000000}"/>
    <cellStyle name="%_FXDefinition" xfId="22" xr:uid="{00000000-0005-0000-0000-000036000000}"/>
    <cellStyle name="%_FXDefinition 2" xfId="2390" xr:uid="{00000000-0005-0000-0000-000037000000}"/>
    <cellStyle name="%_MktData" xfId="23" xr:uid="{00000000-0005-0000-0000-000038000000}"/>
    <cellStyle name="%_MktData 2" xfId="2391" xr:uid="{00000000-0005-0000-0000-000039000000}"/>
    <cellStyle name="%_MXNStd" xfId="24" xr:uid="{00000000-0005-0000-0000-00003A000000}"/>
    <cellStyle name="%_MXNStd 2" xfId="1092" xr:uid="{00000000-0005-0000-0000-00003B000000}"/>
    <cellStyle name="%_NuevaCalculadoraCurvas" xfId="25" xr:uid="{00000000-0005-0000-0000-00003C000000}"/>
    <cellStyle name="%_NuevaCalculadoraCurvas 2" xfId="1093" xr:uid="{00000000-0005-0000-0000-00003D000000}"/>
    <cellStyle name="%_NuevaCalculadoraCurvas_2" xfId="26" xr:uid="{00000000-0005-0000-0000-00003E000000}"/>
    <cellStyle name="%_NuevaCalculadoraCurvas_2 2" xfId="1094" xr:uid="{00000000-0005-0000-0000-00003F000000}"/>
    <cellStyle name="%_PEN_USD_BASIS" xfId="27" xr:uid="{00000000-0005-0000-0000-000040000000}"/>
    <cellStyle name="%_PEN_USD_BASIS 2" xfId="1095" xr:uid="{00000000-0005-0000-0000-000041000000}"/>
    <cellStyle name="%_REALTIME_EURUSD" xfId="28" xr:uid="{00000000-0005-0000-0000-000042000000}"/>
    <cellStyle name="%_REALTIME_EURUSD 2" xfId="2392" xr:uid="{00000000-0005-0000-0000-000043000000}"/>
    <cellStyle name="%_TIIE" xfId="29" xr:uid="{00000000-0005-0000-0000-000044000000}"/>
    <cellStyle name="%_TIIE 2" xfId="2393" xr:uid="{00000000-0005-0000-0000-000045000000}"/>
    <cellStyle name="%_TIIE USDBasis" xfId="30" xr:uid="{00000000-0005-0000-0000-000046000000}"/>
    <cellStyle name="%_TIIE USDBasis 2" xfId="1096" xr:uid="{00000000-0005-0000-0000-000047000000}"/>
    <cellStyle name="%_USD" xfId="31" xr:uid="{00000000-0005-0000-0000-000048000000}"/>
    <cellStyle name="%_USD 2" xfId="2394" xr:uid="{00000000-0005-0000-0000-000049000000}"/>
    <cellStyle name="%_USD eoniaBasis" xfId="32" xr:uid="{00000000-0005-0000-0000-00004A000000}"/>
    <cellStyle name="%_USD eoniaBasis 2" xfId="2395" xr:uid="{00000000-0005-0000-0000-00004B000000}"/>
    <cellStyle name="%_USD_1" xfId="33" xr:uid="{00000000-0005-0000-0000-00004C000000}"/>
    <cellStyle name="%_USD_1 2" xfId="1097" xr:uid="{00000000-0005-0000-0000-00004D000000}"/>
    <cellStyle name="%_USD_6M" xfId="34" xr:uid="{00000000-0005-0000-0000-00004E000000}"/>
    <cellStyle name="%_USD_6M 2" xfId="1098" xr:uid="{00000000-0005-0000-0000-00004F000000}"/>
    <cellStyle name="%_USD3M" xfId="35" xr:uid="{00000000-0005-0000-0000-000050000000}"/>
    <cellStyle name="%_USD3M 2" xfId="1099" xr:uid="{00000000-0005-0000-0000-000051000000}"/>
    <cellStyle name="%_VOLINT" xfId="1100" xr:uid="{00000000-0005-0000-0000-000052000000}"/>
    <cellStyle name="%_ZLARGO" xfId="1101" xr:uid="{00000000-0005-0000-0000-000053000000}"/>
    <cellStyle name="??" xfId="36" xr:uid="{00000000-0005-0000-0000-000054000000}"/>
    <cellStyle name="?? [0.00]_ Att. 1- Cover" xfId="37" xr:uid="{00000000-0005-0000-0000-000055000000}"/>
    <cellStyle name="?? [0]" xfId="38" xr:uid="{00000000-0005-0000-0000-000056000000}"/>
    <cellStyle name="??&amp;O?&amp;H?_x0008__x000f__x0007_?_x0007__x0001__x0001_" xfId="39" xr:uid="{00000000-0005-0000-0000-000057000000}"/>
    <cellStyle name="??&amp;O?&amp;H?_x0008_??_x0007__x0001__x0001_" xfId="40" xr:uid="{00000000-0005-0000-0000-000058000000}"/>
    <cellStyle name="?_x001d_??%U©÷u&amp;H©÷9_x0008_?_x0009_s_x000a__x0007__x0001__x0001_" xfId="41" xr:uid="{00000000-0005-0000-0000-000059000000}"/>
    <cellStyle name="?_x001d_??%U©÷u&amp;H©÷9_x0008_?_x0009_s_x000a__x0007__x0001__x0001_ 2" xfId="1102" xr:uid="{00000000-0005-0000-0000-00005A000000}"/>
    <cellStyle name="???? [0.00]_PRODUCT DETAIL Q1" xfId="42" xr:uid="{00000000-0005-0000-0000-00005B000000}"/>
    <cellStyle name="????_PRODUCT DETAIL Q1" xfId="43" xr:uid="{00000000-0005-0000-0000-00005C000000}"/>
    <cellStyle name="???[0]_?? DI" xfId="44" xr:uid="{00000000-0005-0000-0000-00005D000000}"/>
    <cellStyle name="???_?? DI" xfId="45" xr:uid="{00000000-0005-0000-0000-00005E000000}"/>
    <cellStyle name="??[0]_BRE" xfId="46" xr:uid="{00000000-0005-0000-0000-00005F000000}"/>
    <cellStyle name="??_ Att. 1- Cover" xfId="47" xr:uid="{00000000-0005-0000-0000-000060000000}"/>
    <cellStyle name="??A? [0]_ÿÿÿÿÿÿ_1_¢¬???¢â? " xfId="48" xr:uid="{00000000-0005-0000-0000-000061000000}"/>
    <cellStyle name="??A?_ÿÿÿÿÿÿ_1_¢¬???¢â? " xfId="49" xr:uid="{00000000-0005-0000-0000-000062000000}"/>
    <cellStyle name="?¡±¢¥?_?¨ù??¢´¢¥_¢¬???¢â? " xfId="50" xr:uid="{00000000-0005-0000-0000-000063000000}"/>
    <cellStyle name="?ðÇ%U?&amp;H?_x0008_?s_x000a__x0007__x0001__x0001_" xfId="51" xr:uid="{00000000-0005-0000-0000-000064000000}"/>
    <cellStyle name="?ðÇ%U?&amp;H?_x0008_?s_x000a__x0007__x0001__x0001_ 2" xfId="1103" xr:uid="{00000000-0005-0000-0000-000065000000}"/>
    <cellStyle name="?W?_laroux" xfId="52" xr:uid="{00000000-0005-0000-0000-000066000000}"/>
    <cellStyle name="[0]_Chi phÝ kh¸c_V" xfId="53" xr:uid="{00000000-0005-0000-0000-000067000000}"/>
    <cellStyle name="_050513 SPC cost model rev 13" xfId="54" xr:uid="{00000000-0005-0000-0000-000068000000}"/>
    <cellStyle name="_110920 - 18m Gold KO Call" xfId="55" xr:uid="{00000000-0005-0000-0000-000069000000}"/>
    <cellStyle name="_110920 - 18m Gold KO Call 2" xfId="56" xr:uid="{00000000-0005-0000-0000-00006A000000}"/>
    <cellStyle name="_110920 - 18m Gold KO Call 2 2" xfId="2396" xr:uid="{00000000-0005-0000-0000-00006B000000}"/>
    <cellStyle name="_110920 - 18m Gold KO Call 3" xfId="57" xr:uid="{00000000-0005-0000-0000-00006C000000}"/>
    <cellStyle name="_110920 - 18m Gold KO Call 3 2" xfId="2397" xr:uid="{00000000-0005-0000-0000-00006D000000}"/>
    <cellStyle name="_110920 - 18m Gold KO Call 4" xfId="2398" xr:uid="{00000000-0005-0000-0000-00006E000000}"/>
    <cellStyle name="_20080930 PayMech_1" xfId="58" xr:uid="{00000000-0005-0000-0000-00006F000000}"/>
    <cellStyle name="_20080930 PayMech_1 2" xfId="2399" xr:uid="{00000000-0005-0000-0000-000070000000}"/>
    <cellStyle name="_201006  NI Roads Cost Model BAFO 05d srnb RBC" xfId="59" xr:uid="{00000000-0005-0000-0000-000071000000}"/>
    <cellStyle name="_201006  NI Roads Cost Model BAFO 05d srnb RBC 2" xfId="2400" xr:uid="{00000000-0005-0000-0000-000072000000}"/>
    <cellStyle name="_3월 개설과정리스트_수주과정 제외" xfId="60" xr:uid="{00000000-0005-0000-0000-000073000000}"/>
    <cellStyle name="_Aluminio" xfId="61" xr:uid="{00000000-0005-0000-0000-000074000000}"/>
    <cellStyle name="_Aluminio 2" xfId="62" xr:uid="{00000000-0005-0000-0000-000075000000}"/>
    <cellStyle name="_Aluminio 2 2" xfId="2401" xr:uid="{00000000-0005-0000-0000-000076000000}"/>
    <cellStyle name="_Aluminio 3" xfId="63" xr:uid="{00000000-0005-0000-0000-000077000000}"/>
    <cellStyle name="_Aluminio 3 2" xfId="2402" xr:uid="{00000000-0005-0000-0000-000078000000}"/>
    <cellStyle name="_Aluminio 4" xfId="2403" xr:uid="{00000000-0005-0000-0000-000079000000}"/>
    <cellStyle name="_Asset Definitions" xfId="64" xr:uid="{00000000-0005-0000-0000-00007A000000}"/>
    <cellStyle name="_Asset Definitions 2" xfId="65" xr:uid="{00000000-0005-0000-0000-00007B000000}"/>
    <cellStyle name="_Asset Definitions 2 2" xfId="2404" xr:uid="{00000000-0005-0000-0000-00007C000000}"/>
    <cellStyle name="_Asset Definitions 3" xfId="66" xr:uid="{00000000-0005-0000-0000-00007D000000}"/>
    <cellStyle name="_Asset Definitions 3 2" xfId="2405" xr:uid="{00000000-0005-0000-0000-00007E000000}"/>
    <cellStyle name="_Asset Definitions 4" xfId="2406" xr:uid="{00000000-0005-0000-0000-00007F000000}"/>
    <cellStyle name="_Bang Chi tieu (2)" xfId="67" xr:uid="{00000000-0005-0000-0000-000080000000}"/>
    <cellStyle name="_Book1" xfId="68" xr:uid="{00000000-0005-0000-0000-000081000000}"/>
    <cellStyle name="_Book1 2" xfId="1104" xr:uid="{00000000-0005-0000-0000-000082000000}"/>
    <cellStyle name="_Book1_1" xfId="69" xr:uid="{00000000-0005-0000-0000-000083000000}"/>
    <cellStyle name="_Book1_1 2" xfId="1105" xr:uid="{00000000-0005-0000-0000-000084000000}"/>
    <cellStyle name="_Book1_1_BBGData" xfId="70" xr:uid="{00000000-0005-0000-0000-000085000000}"/>
    <cellStyle name="_Book1_1_BBGData 2" xfId="1106" xr:uid="{00000000-0005-0000-0000-000086000000}"/>
    <cellStyle name="_Book1_1_CLP" xfId="71" xr:uid="{00000000-0005-0000-0000-000087000000}"/>
    <cellStyle name="_Book1_1_CLP 2" xfId="1107" xr:uid="{00000000-0005-0000-0000-000088000000}"/>
    <cellStyle name="_Book1_1_COP" xfId="72" xr:uid="{00000000-0005-0000-0000-000089000000}"/>
    <cellStyle name="_Book1_1_COP 2" xfId="1108" xr:uid="{00000000-0005-0000-0000-00008A000000}"/>
    <cellStyle name="_Book1_1_CRD Blotter" xfId="73" xr:uid="{00000000-0005-0000-0000-00008B000000}"/>
    <cellStyle name="_Book1_1_Cuadre Curvas Murex3 - USD,GBP,EUR,PEN" xfId="74" xr:uid="{00000000-0005-0000-0000-00008C000000}"/>
    <cellStyle name="_Book1_1_Cuadre Curvas Murex3 - USD,GBP,EUR,PEN 2" xfId="1109" xr:uid="{00000000-0005-0000-0000-00008D000000}"/>
    <cellStyle name="_Book1_1_Curves" xfId="75" xr:uid="{00000000-0005-0000-0000-00008E000000}"/>
    <cellStyle name="_Book1_1_Curves 2" xfId="1110" xr:uid="{00000000-0005-0000-0000-00008F000000}"/>
    <cellStyle name="_Book1_1_Curves_BBG" xfId="76" xr:uid="{00000000-0005-0000-0000-000090000000}"/>
    <cellStyle name="_Book1_1_Curves_BBG 2" xfId="1111" xr:uid="{00000000-0005-0000-0000-000091000000}"/>
    <cellStyle name="_Book1_1_Ejercicio" xfId="77" xr:uid="{00000000-0005-0000-0000-000092000000}"/>
    <cellStyle name="_Book1_1_MktData" xfId="78" xr:uid="{00000000-0005-0000-0000-000093000000}"/>
    <cellStyle name="_Book1_1_MktData 2" xfId="1112" xr:uid="{00000000-0005-0000-0000-000094000000}"/>
    <cellStyle name="_Book1_1_NuevaCalculadoraCurvas" xfId="79" xr:uid="{00000000-0005-0000-0000-000095000000}"/>
    <cellStyle name="_Book1_1_NuevaCalculadoraCurvas 2" xfId="1113" xr:uid="{00000000-0005-0000-0000-000096000000}"/>
    <cellStyle name="_Book1_1_NuevaCalculadoraCurvas_2" xfId="80" xr:uid="{00000000-0005-0000-0000-000097000000}"/>
    <cellStyle name="_Book1_1_NuevaCalculadoraCurvas_2 2" xfId="1114" xr:uid="{00000000-0005-0000-0000-000098000000}"/>
    <cellStyle name="_Book1_1_TIIE" xfId="81" xr:uid="{00000000-0005-0000-0000-000099000000}"/>
    <cellStyle name="_Book1_1_TIIE 2" xfId="1115" xr:uid="{00000000-0005-0000-0000-00009A000000}"/>
    <cellStyle name="_Book1_1_USD" xfId="82" xr:uid="{00000000-0005-0000-0000-00009B000000}"/>
    <cellStyle name="_Book1_1_USD 2" xfId="1116" xr:uid="{00000000-0005-0000-0000-00009C000000}"/>
    <cellStyle name="_Book1_BBGData" xfId="83" xr:uid="{00000000-0005-0000-0000-00009D000000}"/>
    <cellStyle name="_Book1_BBGData 2" xfId="1117" xr:uid="{00000000-0005-0000-0000-00009E000000}"/>
    <cellStyle name="_Book1_CLP" xfId="84" xr:uid="{00000000-0005-0000-0000-00009F000000}"/>
    <cellStyle name="_Book1_CLP 2" xfId="1118" xr:uid="{00000000-0005-0000-0000-0000A0000000}"/>
    <cellStyle name="_Book1_COP" xfId="85" xr:uid="{00000000-0005-0000-0000-0000A1000000}"/>
    <cellStyle name="_Book1_COP 2" xfId="1119" xr:uid="{00000000-0005-0000-0000-0000A2000000}"/>
    <cellStyle name="_Book1_CRD Blotter" xfId="86" xr:uid="{00000000-0005-0000-0000-0000A3000000}"/>
    <cellStyle name="_Book1_CRD Blotter 2" xfId="2407" xr:uid="{00000000-0005-0000-0000-0000A4000000}"/>
    <cellStyle name="_Book1_Cuadre Curvas Murex3 - USD,GBP,EUR,PEN" xfId="87" xr:uid="{00000000-0005-0000-0000-0000A5000000}"/>
    <cellStyle name="_Book1_Cuadre Curvas Murex3 - USD,GBP,EUR,PEN 2" xfId="1120" xr:uid="{00000000-0005-0000-0000-0000A6000000}"/>
    <cellStyle name="_Book1_Curves" xfId="88" xr:uid="{00000000-0005-0000-0000-0000A7000000}"/>
    <cellStyle name="_Book1_Curves 2" xfId="1121" xr:uid="{00000000-0005-0000-0000-0000A8000000}"/>
    <cellStyle name="_Book1_Curves_BBG" xfId="89" xr:uid="{00000000-0005-0000-0000-0000A9000000}"/>
    <cellStyle name="_Book1_Curves_BBG 2" xfId="1122" xr:uid="{00000000-0005-0000-0000-0000AA000000}"/>
    <cellStyle name="_Book1_Ejercicio" xfId="90" xr:uid="{00000000-0005-0000-0000-0000AB000000}"/>
    <cellStyle name="_Book1_Ejercicio 2" xfId="2408" xr:uid="{00000000-0005-0000-0000-0000AC000000}"/>
    <cellStyle name="_Book1_MktData" xfId="91" xr:uid="{00000000-0005-0000-0000-0000AD000000}"/>
    <cellStyle name="_Book1_MktData 2" xfId="1123" xr:uid="{00000000-0005-0000-0000-0000AE000000}"/>
    <cellStyle name="_Book1_NuevaCalculadoraCurvas" xfId="92" xr:uid="{00000000-0005-0000-0000-0000AF000000}"/>
    <cellStyle name="_Book1_NuevaCalculadoraCurvas 2" xfId="1124" xr:uid="{00000000-0005-0000-0000-0000B0000000}"/>
    <cellStyle name="_Book1_NuevaCalculadoraCurvas_2" xfId="93" xr:uid="{00000000-0005-0000-0000-0000B1000000}"/>
    <cellStyle name="_Book1_NuevaCalculadoraCurvas_2 2" xfId="1125" xr:uid="{00000000-0005-0000-0000-0000B2000000}"/>
    <cellStyle name="_Book1_TIIE" xfId="94" xr:uid="{00000000-0005-0000-0000-0000B3000000}"/>
    <cellStyle name="_Book1_TIIE 2" xfId="1126" xr:uid="{00000000-0005-0000-0000-0000B4000000}"/>
    <cellStyle name="_Book1_USD" xfId="95" xr:uid="{00000000-0005-0000-0000-0000B5000000}"/>
    <cellStyle name="_Book1_USD 2" xfId="1127" xr:uid="{00000000-0005-0000-0000-0000B6000000}"/>
    <cellStyle name="_Book16" xfId="96" xr:uid="{00000000-0005-0000-0000-0000B7000000}"/>
    <cellStyle name="_Book17" xfId="97" xr:uid="{00000000-0005-0000-0000-0000B8000000}"/>
    <cellStyle name="_Book2" xfId="98" xr:uid="{00000000-0005-0000-0000-0000B9000000}"/>
    <cellStyle name="_Book2 2" xfId="1128" xr:uid="{00000000-0005-0000-0000-0000BA000000}"/>
    <cellStyle name="_Book2_BBGData" xfId="99" xr:uid="{00000000-0005-0000-0000-0000BB000000}"/>
    <cellStyle name="_Book2_BBGData 2" xfId="1129" xr:uid="{00000000-0005-0000-0000-0000BC000000}"/>
    <cellStyle name="_Book2_CLP" xfId="100" xr:uid="{00000000-0005-0000-0000-0000BD000000}"/>
    <cellStyle name="_Book2_CLP 2" xfId="1130" xr:uid="{00000000-0005-0000-0000-0000BE000000}"/>
    <cellStyle name="_Book2_COP" xfId="101" xr:uid="{00000000-0005-0000-0000-0000BF000000}"/>
    <cellStyle name="_Book2_COP 2" xfId="1131" xr:uid="{00000000-0005-0000-0000-0000C0000000}"/>
    <cellStyle name="_Book2_CRD Blotter" xfId="102" xr:uid="{00000000-0005-0000-0000-0000C1000000}"/>
    <cellStyle name="_Book2_CRD Blotter 2" xfId="2409" xr:uid="{00000000-0005-0000-0000-0000C2000000}"/>
    <cellStyle name="_Book2_Cuadre Curvas Murex3 - USD,GBP,EUR,PEN" xfId="103" xr:uid="{00000000-0005-0000-0000-0000C3000000}"/>
    <cellStyle name="_Book2_Cuadre Curvas Murex3 - USD,GBP,EUR,PEN 2" xfId="1132" xr:uid="{00000000-0005-0000-0000-0000C4000000}"/>
    <cellStyle name="_Book2_Curves" xfId="104" xr:uid="{00000000-0005-0000-0000-0000C5000000}"/>
    <cellStyle name="_Book2_Curves 2" xfId="1133" xr:uid="{00000000-0005-0000-0000-0000C6000000}"/>
    <cellStyle name="_Book2_Curves_BBG" xfId="105" xr:uid="{00000000-0005-0000-0000-0000C7000000}"/>
    <cellStyle name="_Book2_Curves_BBG 2" xfId="1134" xr:uid="{00000000-0005-0000-0000-0000C8000000}"/>
    <cellStyle name="_Book2_Ejercicio" xfId="106" xr:uid="{00000000-0005-0000-0000-0000C9000000}"/>
    <cellStyle name="_Book2_Ejercicio 2" xfId="2410" xr:uid="{00000000-0005-0000-0000-0000CA000000}"/>
    <cellStyle name="_Book2_MktData" xfId="107" xr:uid="{00000000-0005-0000-0000-0000CB000000}"/>
    <cellStyle name="_Book2_MktData 2" xfId="1135" xr:uid="{00000000-0005-0000-0000-0000CC000000}"/>
    <cellStyle name="_Book2_NuevaCalculadoraCurvas" xfId="108" xr:uid="{00000000-0005-0000-0000-0000CD000000}"/>
    <cellStyle name="_Book2_NuevaCalculadoraCurvas 2" xfId="1136" xr:uid="{00000000-0005-0000-0000-0000CE000000}"/>
    <cellStyle name="_Book2_NuevaCalculadoraCurvas_2" xfId="109" xr:uid="{00000000-0005-0000-0000-0000CF000000}"/>
    <cellStyle name="_Book2_NuevaCalculadoraCurvas_2 2" xfId="1137" xr:uid="{00000000-0005-0000-0000-0000D0000000}"/>
    <cellStyle name="_Book2_TIIE" xfId="110" xr:uid="{00000000-0005-0000-0000-0000D1000000}"/>
    <cellStyle name="_Book2_TIIE 2" xfId="1138" xr:uid="{00000000-0005-0000-0000-0000D2000000}"/>
    <cellStyle name="_Book2_USD" xfId="111" xr:uid="{00000000-0005-0000-0000-0000D3000000}"/>
    <cellStyle name="_Book2_USD 2" xfId="1139" xr:uid="{00000000-0005-0000-0000-0000D4000000}"/>
    <cellStyle name="_Brent" xfId="112" xr:uid="{00000000-0005-0000-0000-0000D5000000}"/>
    <cellStyle name="_Brent 2" xfId="113" xr:uid="{00000000-0005-0000-0000-0000D6000000}"/>
    <cellStyle name="_Brent 2 2" xfId="2411" xr:uid="{00000000-0005-0000-0000-0000D7000000}"/>
    <cellStyle name="_Brent 3" xfId="114" xr:uid="{00000000-0005-0000-0000-0000D8000000}"/>
    <cellStyle name="_Brent 3 2" xfId="2412" xr:uid="{00000000-0005-0000-0000-0000D9000000}"/>
    <cellStyle name="_Brent 4" xfId="2413" xr:uid="{00000000-0005-0000-0000-0000DA000000}"/>
    <cellStyle name="_CFeonia" xfId="1140" xr:uid="{00000000-0005-0000-0000-0000DB000000}"/>
    <cellStyle name="_CFeonia 2" xfId="1141" xr:uid="{00000000-0005-0000-0000-0000DC000000}"/>
    <cellStyle name="_CJ_김유지" xfId="115" xr:uid="{00000000-0005-0000-0000-0000DD000000}"/>
    <cellStyle name="_Cobre" xfId="116" xr:uid="{00000000-0005-0000-0000-0000DE000000}"/>
    <cellStyle name="_Cobre 2" xfId="117" xr:uid="{00000000-0005-0000-0000-0000DF000000}"/>
    <cellStyle name="_Cobre 2 2" xfId="2414" xr:uid="{00000000-0005-0000-0000-0000E0000000}"/>
    <cellStyle name="_Cobre 3" xfId="118" xr:uid="{00000000-0005-0000-0000-0000E1000000}"/>
    <cellStyle name="_Cobre 3 2" xfId="2415" xr:uid="{00000000-0005-0000-0000-0000E2000000}"/>
    <cellStyle name="_Cobre 4" xfId="2416" xr:uid="{00000000-0005-0000-0000-0000E3000000}"/>
    <cellStyle name="_Cobre_1" xfId="119" xr:uid="{00000000-0005-0000-0000-0000E4000000}"/>
    <cellStyle name="_Colombian Season" xfId="2417" xr:uid="{00000000-0005-0000-0000-0000E5000000}"/>
    <cellStyle name="_ComIndexDay" xfId="120" xr:uid="{00000000-0005-0000-0000-0000E6000000}"/>
    <cellStyle name="_ComIndexDay 2" xfId="121" xr:uid="{00000000-0005-0000-0000-0000E7000000}"/>
    <cellStyle name="_ComIndexDay 2 2" xfId="2418" xr:uid="{00000000-0005-0000-0000-0000E8000000}"/>
    <cellStyle name="_ComIndexDay 3" xfId="122" xr:uid="{00000000-0005-0000-0000-0000E9000000}"/>
    <cellStyle name="_ComIndexDay 3 2" xfId="2419" xr:uid="{00000000-0005-0000-0000-0000EA000000}"/>
    <cellStyle name="_ComIndexDay 4" xfId="2420" xr:uid="{00000000-0005-0000-0000-0000EB000000}"/>
    <cellStyle name="_Copy of Bid_FM_1905_ÖHtmodell für fin sect &amp; ass book" xfId="123" xr:uid="{00000000-0005-0000-0000-0000EC000000}"/>
    <cellStyle name="_Copy of Bid_FM_1905_ÖHtmodell für fin sect &amp; ass book 2" xfId="2421" xr:uid="{00000000-0005-0000-0000-0000ED000000}"/>
    <cellStyle name="_CurvasCVA" xfId="124" xr:uid="{00000000-0005-0000-0000-0000EE000000}"/>
    <cellStyle name="_CurvasCVA 2" xfId="2422" xr:uid="{00000000-0005-0000-0000-0000EF000000}"/>
    <cellStyle name="_Curves_Info" xfId="125" xr:uid="{00000000-0005-0000-0000-0000F0000000}"/>
    <cellStyle name="_Curves_Info 2" xfId="2423" xr:uid="{00000000-0005-0000-0000-0000F1000000}"/>
    <cellStyle name="_Data" xfId="126" xr:uid="{00000000-0005-0000-0000-0000F2000000}"/>
    <cellStyle name="_Data 2" xfId="2424" xr:uid="{00000000-0005-0000-0000-0000F3000000}"/>
    <cellStyle name="_data_CurvasCVA" xfId="127" xr:uid="{00000000-0005-0000-0000-0000F4000000}"/>
    <cellStyle name="_data_Curves_Info" xfId="128" xr:uid="{00000000-0005-0000-0000-0000F5000000}"/>
    <cellStyle name="_Data_IRCURVE" xfId="129" xr:uid="{00000000-0005-0000-0000-0000F6000000}"/>
    <cellStyle name="_Data_IRCURVE 2" xfId="2425" xr:uid="{00000000-0005-0000-0000-0000F7000000}"/>
    <cellStyle name="_ECall_KO130_GC1_1y_BPI" xfId="130" xr:uid="{00000000-0005-0000-0000-0000F8000000}"/>
    <cellStyle name="_ECall_KO130_GC1_1y_BPI 2" xfId="131" xr:uid="{00000000-0005-0000-0000-0000F9000000}"/>
    <cellStyle name="_ECall_KO130_GC1_1y_BPI 2 2" xfId="2426" xr:uid="{00000000-0005-0000-0000-0000FA000000}"/>
    <cellStyle name="_ECall_KO130_GC1_1y_BPI 3" xfId="132" xr:uid="{00000000-0005-0000-0000-0000FB000000}"/>
    <cellStyle name="_ECall_KO130_GC1_1y_BPI 3 2" xfId="2427" xr:uid="{00000000-0005-0000-0000-0000FC000000}"/>
    <cellStyle name="_ECall_KO130_GC1_1y_BPI 4" xfId="2428" xr:uid="{00000000-0005-0000-0000-0000FD000000}"/>
    <cellStyle name="_Edinburgh Schools Project FM Inputs 160305" xfId="133" xr:uid="{00000000-0005-0000-0000-0000FE000000}"/>
    <cellStyle name="_Edinburgh Schools Project FM Inputs 160305 2" xfId="2429" xr:uid="{00000000-0005-0000-0000-0000FF000000}"/>
    <cellStyle name="_EdiSch FM Cost Model BBCPL Template ITN v2 2" xfId="134" xr:uid="{00000000-0005-0000-0000-000000010000}"/>
    <cellStyle name="_EdiSch FM Cost Model BBCPL Template ITN v3.3" xfId="135" xr:uid="{00000000-0005-0000-0000-000001010000}"/>
    <cellStyle name="_EdiSch FM Pro Formae ITN v4.2 MV1 incl Tynecastle_sg" xfId="136" xr:uid="{00000000-0005-0000-0000-000002010000}"/>
    <cellStyle name="_EdiSch FM Pro Formae ITN v4.2 STD_sg" xfId="137" xr:uid="{00000000-0005-0000-0000-000003010000}"/>
    <cellStyle name="_EUR6M" xfId="1142" xr:uid="{00000000-0005-0000-0000-000004010000}"/>
    <cellStyle name="_Fin" xfId="138" xr:uid="{00000000-0005-0000-0000-000005010000}"/>
    <cellStyle name="_Fin 2" xfId="2430" xr:uid="{00000000-0005-0000-0000-000006010000}"/>
    <cellStyle name="_Fixings" xfId="139" xr:uid="{00000000-0005-0000-0000-000007010000}"/>
    <cellStyle name="_Fixings 2" xfId="140" xr:uid="{00000000-0005-0000-0000-000008010000}"/>
    <cellStyle name="_Fixings 2 2" xfId="2431" xr:uid="{00000000-0005-0000-0000-000009010000}"/>
    <cellStyle name="_Fixings 3" xfId="141" xr:uid="{00000000-0005-0000-0000-00000A010000}"/>
    <cellStyle name="_Fixings 3 2" xfId="2432" xr:uid="{00000000-0005-0000-0000-00000B010000}"/>
    <cellStyle name="_Fixings 4" xfId="2433" xr:uid="{00000000-0005-0000-0000-00000C010000}"/>
    <cellStyle name="_FM 20080916_v1" xfId="142" xr:uid="{00000000-0005-0000-0000-00000D010000}"/>
    <cellStyle name="_FM 20080916_v1 2" xfId="2434" xr:uid="{00000000-0005-0000-0000-00000E010000}"/>
    <cellStyle name="_FM_20080514_v1_MRA freez" xfId="143" xr:uid="{00000000-0005-0000-0000-00000F010000}"/>
    <cellStyle name="_FM_20080514_v1_MRA freez 2" xfId="2435" xr:uid="{00000000-0005-0000-0000-000010010000}"/>
    <cellStyle name="_Formblätter" xfId="144" xr:uid="{00000000-0005-0000-0000-000011010000}"/>
    <cellStyle name="_Formblätter 2" xfId="2436" xr:uid="{00000000-0005-0000-0000-000012010000}"/>
    <cellStyle name="_FwdAccumulatorTargetgold" xfId="145" xr:uid="{00000000-0005-0000-0000-000013010000}"/>
    <cellStyle name="_FwdAccumulatorTargetgold 2" xfId="146" xr:uid="{00000000-0005-0000-0000-000014010000}"/>
    <cellStyle name="_FwdAccumulatorTargetgold 2 2" xfId="2437" xr:uid="{00000000-0005-0000-0000-000015010000}"/>
    <cellStyle name="_FwdAccumulatorTargetgold 3" xfId="147" xr:uid="{00000000-0005-0000-0000-000016010000}"/>
    <cellStyle name="_FwdAccumulatorTargetgold 3 2" xfId="2438" xr:uid="{00000000-0005-0000-0000-000017010000}"/>
    <cellStyle name="_FwdAccumulatorTargetgold 4" xfId="2439" xr:uid="{00000000-0005-0000-0000-000018010000}"/>
    <cellStyle name="_FX" xfId="148" xr:uid="{00000000-0005-0000-0000-000019010000}"/>
    <cellStyle name="_FX 2" xfId="149" xr:uid="{00000000-0005-0000-0000-00001A010000}"/>
    <cellStyle name="_FX 2 2" xfId="2440" xr:uid="{00000000-0005-0000-0000-00001B010000}"/>
    <cellStyle name="_FX 3" xfId="150" xr:uid="{00000000-0005-0000-0000-00001C010000}"/>
    <cellStyle name="_FX 3 2" xfId="2441" xr:uid="{00000000-0005-0000-0000-00001D010000}"/>
    <cellStyle name="_FX 4" xfId="2442" xr:uid="{00000000-0005-0000-0000-00001E010000}"/>
    <cellStyle name="_Gas" xfId="151" xr:uid="{00000000-0005-0000-0000-00001F010000}"/>
    <cellStyle name="_Gas 2" xfId="152" xr:uid="{00000000-0005-0000-0000-000020010000}"/>
    <cellStyle name="_Gas 2 2" xfId="2443" xr:uid="{00000000-0005-0000-0000-000021010000}"/>
    <cellStyle name="_Gas 3" xfId="153" xr:uid="{00000000-0005-0000-0000-000022010000}"/>
    <cellStyle name="_Gas 3 2" xfId="2444" xr:uid="{00000000-0005-0000-0000-000023010000}"/>
    <cellStyle name="_Gas 4" xfId="2445" xr:uid="{00000000-0005-0000-0000-000024010000}"/>
    <cellStyle name="_GENERICO" xfId="154" xr:uid="{00000000-0005-0000-0000-000025010000}"/>
    <cellStyle name="_GENERICO 2" xfId="2446" xr:uid="{00000000-0005-0000-0000-000026010000}"/>
    <cellStyle name="_GENERICO_AMCo DB" xfId="155" xr:uid="{00000000-0005-0000-0000-000027010000}"/>
    <cellStyle name="_GENERICO_AMCo DB 2" xfId="2447" xr:uid="{00000000-0005-0000-0000-000028010000}"/>
    <cellStyle name="_GENERICO_FoHF DB" xfId="156" xr:uid="{00000000-0005-0000-0000-000029010000}"/>
    <cellStyle name="_GENERICO_FoHF DB 2" xfId="2448" xr:uid="{00000000-0005-0000-0000-00002A010000}"/>
    <cellStyle name="_GO" xfId="157" xr:uid="{00000000-0005-0000-0000-00002B010000}"/>
    <cellStyle name="_GO 2" xfId="158" xr:uid="{00000000-0005-0000-0000-00002C010000}"/>
    <cellStyle name="_GO 2 2" xfId="2449" xr:uid="{00000000-0005-0000-0000-00002D010000}"/>
    <cellStyle name="_GO 3" xfId="159" xr:uid="{00000000-0005-0000-0000-00002E010000}"/>
    <cellStyle name="_GO 3 2" xfId="2450" xr:uid="{00000000-0005-0000-0000-00002F010000}"/>
    <cellStyle name="_GO 4" xfId="2451" xr:uid="{00000000-0005-0000-0000-000030010000}"/>
    <cellStyle name="_Int. Rates" xfId="160" xr:uid="{00000000-0005-0000-0000-000031010000}"/>
    <cellStyle name="_Int. Rates 2" xfId="161" xr:uid="{00000000-0005-0000-0000-000032010000}"/>
    <cellStyle name="_Int. Rates 2 2" xfId="2452" xr:uid="{00000000-0005-0000-0000-000033010000}"/>
    <cellStyle name="_Int. Rates 3" xfId="162" xr:uid="{00000000-0005-0000-0000-000034010000}"/>
    <cellStyle name="_Int. Rates 3 2" xfId="2453" xr:uid="{00000000-0005-0000-0000-000035010000}"/>
    <cellStyle name="_Int. Rates 4" xfId="2454" xr:uid="{00000000-0005-0000-0000-000036010000}"/>
    <cellStyle name="_IRCURVE" xfId="163" xr:uid="{00000000-0005-0000-0000-000037010000}"/>
    <cellStyle name="_IRCURVE 2" xfId="2455" xr:uid="{00000000-0005-0000-0000-000038010000}"/>
    <cellStyle name="_Jump Correlations" xfId="164" xr:uid="{00000000-0005-0000-0000-000039010000}"/>
    <cellStyle name="_Jump Correlations 2" xfId="165" xr:uid="{00000000-0005-0000-0000-00003A010000}"/>
    <cellStyle name="_Jump Correlations 2 2" xfId="2456" xr:uid="{00000000-0005-0000-0000-00003B010000}"/>
    <cellStyle name="_Jump Correlations 3" xfId="166" xr:uid="{00000000-0005-0000-0000-00003C010000}"/>
    <cellStyle name="_Jump Correlations 3 2" xfId="2457" xr:uid="{00000000-0005-0000-0000-00003D010000}"/>
    <cellStyle name="_Jump Correlations 4" xfId="2458" xr:uid="{00000000-0005-0000-0000-00003E010000}"/>
    <cellStyle name="_Jump Definitions" xfId="167" xr:uid="{00000000-0005-0000-0000-00003F010000}"/>
    <cellStyle name="_Jump Definitions 2" xfId="168" xr:uid="{00000000-0005-0000-0000-000040010000}"/>
    <cellStyle name="_Jump Definitions 2 2" xfId="2459" xr:uid="{00000000-0005-0000-0000-000041010000}"/>
    <cellStyle name="_Jump Definitions 3" xfId="169" xr:uid="{00000000-0005-0000-0000-000042010000}"/>
    <cellStyle name="_Jump Definitions 3 2" xfId="2460" xr:uid="{00000000-0005-0000-0000-000043010000}"/>
    <cellStyle name="_Jump Definitions 4" xfId="2461" xr:uid="{00000000-0005-0000-0000-000044010000}"/>
    <cellStyle name="_Kappa" xfId="2643" xr:uid="{00000000-0005-0000-0000-000045010000}"/>
    <cellStyle name="_LGMBermudanSwaption" xfId="2644" xr:uid="{00000000-0005-0000-0000-000046010000}"/>
    <cellStyle name="_LGMConfig" xfId="2645" xr:uid="{00000000-0005-0000-0000-000047010000}"/>
    <cellStyle name="_Listas" xfId="170" xr:uid="{00000000-0005-0000-0000-000048010000}"/>
    <cellStyle name="_Listas_AMCo DB" xfId="171" xr:uid="{00000000-0005-0000-0000-000049010000}"/>
    <cellStyle name="_Listas_AMCo DB 2" xfId="2462" xr:uid="{00000000-0005-0000-0000-00004A010000}"/>
    <cellStyle name="_Listas_FoHF DB" xfId="172" xr:uid="{00000000-0005-0000-0000-00004B010000}"/>
    <cellStyle name="_Listas_FoHF DB 2" xfId="2463" xr:uid="{00000000-0005-0000-0000-00004C010000}"/>
    <cellStyle name="_M6ms_Tolna Consortium_Final Financial Model_FC_160708_sponsors" xfId="173" xr:uid="{00000000-0005-0000-0000-00004D010000}"/>
    <cellStyle name="_M6ms_Tolna Consortium_Final Financial Model_FC_160708_sponsors 2" xfId="2464" xr:uid="{00000000-0005-0000-0000-00004E010000}"/>
    <cellStyle name="_M6ms_Tolna Consortium_Final Financial Model_Refi_310708_AF Schedules" xfId="174" xr:uid="{00000000-0005-0000-0000-00004F010000}"/>
    <cellStyle name="_M6ms_Tolna Consortium_Final Financial Model_Refi_310708_AF Schedules 2" xfId="2465" xr:uid="{00000000-0005-0000-0000-000050010000}"/>
    <cellStyle name="_MultiWindow_Asian_Gold" xfId="175" xr:uid="{00000000-0005-0000-0000-000051010000}"/>
    <cellStyle name="_MultiWindow_Asian_Gold 2" xfId="176" xr:uid="{00000000-0005-0000-0000-000052010000}"/>
    <cellStyle name="_MultiWindow_Asian_Gold 2 2" xfId="2466" xr:uid="{00000000-0005-0000-0000-000053010000}"/>
    <cellStyle name="_MultiWindow_Asian_Gold 3" xfId="177" xr:uid="{00000000-0005-0000-0000-000054010000}"/>
    <cellStyle name="_MultiWindow_Asian_Gold 3 2" xfId="2467" xr:uid="{00000000-0005-0000-0000-000055010000}"/>
    <cellStyle name="_MultiWindow_Asian_Gold 4" xfId="2468" xr:uid="{00000000-0005-0000-0000-000056010000}"/>
    <cellStyle name="_Oldham Proforma_LM" xfId="178" xr:uid="{00000000-0005-0000-0000-000057010000}"/>
    <cellStyle name="_Product Definition" xfId="179" xr:uid="{00000000-0005-0000-0000-000058010000}"/>
    <cellStyle name="_Product Definition 2" xfId="2469" xr:uid="{00000000-0005-0000-0000-000059010000}"/>
    <cellStyle name="_REALTIME_USDARS" xfId="180" xr:uid="{00000000-0005-0000-0000-00005A010000}"/>
    <cellStyle name="_REALTIME_USDARS 2" xfId="2470" xr:uid="{00000000-0005-0000-0000-00005B010000}"/>
    <cellStyle name="_REALTIME_USDCLF" xfId="181" xr:uid="{00000000-0005-0000-0000-00005C010000}"/>
    <cellStyle name="_REALTIME_USDCLF 2" xfId="2471" xr:uid="{00000000-0005-0000-0000-00005D010000}"/>
    <cellStyle name="_REALTIME_USDCLP" xfId="182" xr:uid="{00000000-0005-0000-0000-00005E010000}"/>
    <cellStyle name="_REALTIME_USDCLP 2" xfId="2472" xr:uid="{00000000-0005-0000-0000-00005F010000}"/>
    <cellStyle name="_REALTIME_USDCOP" xfId="183" xr:uid="{00000000-0005-0000-0000-000060010000}"/>
    <cellStyle name="_REALTIME_USDCOP 2" xfId="2473" xr:uid="{00000000-0005-0000-0000-000061010000}"/>
    <cellStyle name="_REALTIME_USDMXN" xfId="184" xr:uid="{00000000-0005-0000-0000-000062010000}"/>
    <cellStyle name="_REALTIME_USDMXN 2" xfId="2474" xr:uid="{00000000-0005-0000-0000-000063010000}"/>
    <cellStyle name="_REALTIME_USDPEN" xfId="185" xr:uid="{00000000-0005-0000-0000-000064010000}"/>
    <cellStyle name="_REALTIME_USDPEN 2" xfId="2475" xr:uid="{00000000-0005-0000-0000-000065010000}"/>
    <cellStyle name="_RES" xfId="186" xr:uid="{00000000-0005-0000-0000-000066010000}"/>
    <cellStyle name="_RES 2" xfId="2476" xr:uid="{00000000-0005-0000-0000-000067010000}"/>
    <cellStyle name="_Risk Control Asset Definitions" xfId="187" xr:uid="{00000000-0005-0000-0000-000068010000}"/>
    <cellStyle name="_Risk Control Asset Definitions 2" xfId="188" xr:uid="{00000000-0005-0000-0000-000069010000}"/>
    <cellStyle name="_Risk Control Asset Definitions 2 2" xfId="2477" xr:uid="{00000000-0005-0000-0000-00006A010000}"/>
    <cellStyle name="_Risk Control Asset Definitions 3" xfId="189" xr:uid="{00000000-0005-0000-0000-00006B010000}"/>
    <cellStyle name="_Risk Control Asset Definitions 3 2" xfId="2478" xr:uid="{00000000-0005-0000-0000-00006C010000}"/>
    <cellStyle name="_Risk Control Asset Definitions 4" xfId="2479" xr:uid="{00000000-0005-0000-0000-00006D010000}"/>
    <cellStyle name="_SA Lifecycle Inputs" xfId="190" xr:uid="{00000000-0005-0000-0000-00006E010000}"/>
    <cellStyle name="_Sheet1" xfId="191" xr:uid="{00000000-0005-0000-0000-00006F010000}"/>
    <cellStyle name="_Sheet1 2" xfId="192" xr:uid="{00000000-0005-0000-0000-000070010000}"/>
    <cellStyle name="_Sheet1 2 2" xfId="2480" xr:uid="{00000000-0005-0000-0000-000071010000}"/>
    <cellStyle name="_Sheet1 3" xfId="193" xr:uid="{00000000-0005-0000-0000-000072010000}"/>
    <cellStyle name="_Sheet1 3 2" xfId="2481" xr:uid="{00000000-0005-0000-0000-000073010000}"/>
    <cellStyle name="_Sheet1 4" xfId="2482" xr:uid="{00000000-0005-0000-0000-000074010000}"/>
    <cellStyle name="_Spread Pricer Old" xfId="2646" xr:uid="{00000000-0005-0000-0000-000075010000}"/>
    <cellStyle name="_Stochastic IR Definitions" xfId="194" xr:uid="{00000000-0005-0000-0000-000076010000}"/>
    <cellStyle name="_Stochastic IR Definitions 2" xfId="195" xr:uid="{00000000-0005-0000-0000-000077010000}"/>
    <cellStyle name="_Stochastic IR Definitions 2 2" xfId="2483" xr:uid="{00000000-0005-0000-0000-000078010000}"/>
    <cellStyle name="_Stochastic IR Definitions 3" xfId="196" xr:uid="{00000000-0005-0000-0000-000079010000}"/>
    <cellStyle name="_Stochastic IR Definitions 3 2" xfId="2484" xr:uid="{00000000-0005-0000-0000-00007A010000}"/>
    <cellStyle name="_Stochastic IR Definitions 4" xfId="2485" xr:uid="{00000000-0005-0000-0000-00007B010000}"/>
    <cellStyle name="_SVI Definitions" xfId="197" xr:uid="{00000000-0005-0000-0000-00007C010000}"/>
    <cellStyle name="_SVI Definitions 2" xfId="198" xr:uid="{00000000-0005-0000-0000-00007D010000}"/>
    <cellStyle name="_SVI Definitions 2 2" xfId="2486" xr:uid="{00000000-0005-0000-0000-00007E010000}"/>
    <cellStyle name="_SVI Definitions 3" xfId="199" xr:uid="{00000000-0005-0000-0000-00007F010000}"/>
    <cellStyle name="_SVI Definitions 3 2" xfId="2487" xr:uid="{00000000-0005-0000-0000-000080010000}"/>
    <cellStyle name="_SVI Definitions 4" xfId="2488" xr:uid="{00000000-0005-0000-0000-000081010000}"/>
    <cellStyle name="_USD-CLP" xfId="200" xr:uid="{00000000-0005-0000-0000-000082010000}"/>
    <cellStyle name="_USD-CLP 2" xfId="2489" xr:uid="{00000000-0005-0000-0000-000083010000}"/>
    <cellStyle name="_ValoracionSwaps" xfId="201" xr:uid="{00000000-0005-0000-0000-000084010000}"/>
    <cellStyle name="_ValoracionSwaps 2" xfId="202" xr:uid="{00000000-0005-0000-0000-000085010000}"/>
    <cellStyle name="_ValoracionSwaps 2 2" xfId="2490" xr:uid="{00000000-0005-0000-0000-000086010000}"/>
    <cellStyle name="_ValoracionSwaps 3" xfId="203" xr:uid="{00000000-0005-0000-0000-000087010000}"/>
    <cellStyle name="_ValoracionSwaps 3 2" xfId="2491" xr:uid="{00000000-0005-0000-0000-000088010000}"/>
    <cellStyle name="_ValoracionSwaps 4" xfId="2492" xr:uid="{00000000-0005-0000-0000-000089010000}"/>
    <cellStyle name="~1" xfId="204" xr:uid="{00000000-0005-0000-0000-00008A010000}"/>
    <cellStyle name="˙˙˙˙˙˙˙˙˙˙˙˙˙˙˙˙˙˙˙˙˙˙˙˙˙˙˙˙˙˙˙˙˙˙˙˙˙˙˙˙˙_x0008_" xfId="205" xr:uid="{00000000-0005-0000-0000-00008B010000}"/>
    <cellStyle name="˙˙˙˙˙˙˙˙˙˙˙˙˙˙˙˙˙˙˙˙˙˙˙˙˙˙˙˙˙˙˙˙˙˙˙˙˙˙˙˙˙_x0008_ 2" xfId="2493" xr:uid="{00000000-0005-0000-0000-00008C010000}"/>
    <cellStyle name="’E‰Y [0.00]_laroux" xfId="206" xr:uid="{00000000-0005-0000-0000-00008D010000}"/>
    <cellStyle name="’E‰Y_laroux" xfId="207" xr:uid="{00000000-0005-0000-0000-00008E010000}"/>
    <cellStyle name="£ BP" xfId="208" xr:uid="{00000000-0005-0000-0000-00008F010000}"/>
    <cellStyle name="£ BP 2" xfId="209" xr:uid="{00000000-0005-0000-0000-000090010000}"/>
    <cellStyle name="£ BP 2 2" xfId="2494" xr:uid="{00000000-0005-0000-0000-000091010000}"/>
    <cellStyle name="£ BP 3" xfId="210" xr:uid="{00000000-0005-0000-0000-000092010000}"/>
    <cellStyle name="£ BP 3 2" xfId="2495" xr:uid="{00000000-0005-0000-0000-000093010000}"/>
    <cellStyle name="£ BP 4" xfId="2496" xr:uid="{00000000-0005-0000-0000-000094010000}"/>
    <cellStyle name="£/mhr" xfId="211" xr:uid="{00000000-0005-0000-0000-000095010000}"/>
    <cellStyle name="£/mhr 2" xfId="2497" xr:uid="{00000000-0005-0000-0000-000096010000}"/>
    <cellStyle name="¥ JY" xfId="212" xr:uid="{00000000-0005-0000-0000-000097010000}"/>
    <cellStyle name="¥ JY 2" xfId="213" xr:uid="{00000000-0005-0000-0000-000098010000}"/>
    <cellStyle name="¥ JY 2 2" xfId="2498" xr:uid="{00000000-0005-0000-0000-000099010000}"/>
    <cellStyle name="¥ JY 3" xfId="214" xr:uid="{00000000-0005-0000-0000-00009A010000}"/>
    <cellStyle name="¥ JY 3 2" xfId="2499" xr:uid="{00000000-0005-0000-0000-00009B010000}"/>
    <cellStyle name="¥ JY 4" xfId="2500" xr:uid="{00000000-0005-0000-0000-00009C010000}"/>
    <cellStyle name="=C:\WINNT35\SYSTEM32\COMMAND.COM" xfId="215" xr:uid="{00000000-0005-0000-0000-00009D010000}"/>
    <cellStyle name="=C:\WINNT35\SYSTEM32\COMMAND.COM 2" xfId="216" xr:uid="{00000000-0005-0000-0000-00009E010000}"/>
    <cellStyle name="=C:\WINNT35\SYSTEM32\COMMAND.COM 3" xfId="2501" xr:uid="{00000000-0005-0000-0000-00009F010000}"/>
    <cellStyle name="_x000b_À_x000d__x0014__x0016_À_x0018__x001a_À_x001d_" xfId="217" xr:uid="{00000000-0005-0000-0000-0000A0010000}"/>
    <cellStyle name="_x000b_À_x000d__x0014__x0016_À_x0018__x001a_À_x001d_ 2" xfId="218" xr:uid="{00000000-0005-0000-0000-0000A1010000}"/>
    <cellStyle name="_x000b_À_x000d__x0014__x0016_À_x0018__x001a_À_x001d_ 2 2" xfId="1143" xr:uid="{00000000-0005-0000-0000-0000A2010000}"/>
    <cellStyle name="_x000b_À_x000d__x0014__x0016_À_x0018__x001a_À_x001d_ 3" xfId="1144" xr:uid="{00000000-0005-0000-0000-0000A3010000}"/>
    <cellStyle name="_x000b_À_x000d__x0014__x0016_À_x0018__x001a_À_x001d__BBGData" xfId="219" xr:uid="{00000000-0005-0000-0000-0000A4010000}"/>
    <cellStyle name="0,0_x000d__x000a_NA_x000d__x000a_" xfId="220" xr:uid="{00000000-0005-0000-0000-0000A5010000}"/>
    <cellStyle name="1" xfId="221" xr:uid="{00000000-0005-0000-0000-0000A6010000}"/>
    <cellStyle name="1 10" xfId="1145" xr:uid="{00000000-0005-0000-0000-0000A7010000}"/>
    <cellStyle name="1 11" xfId="1146" xr:uid="{00000000-0005-0000-0000-0000A8010000}"/>
    <cellStyle name="1 12" xfId="1147" xr:uid="{00000000-0005-0000-0000-0000A9010000}"/>
    <cellStyle name="1 13" xfId="1148" xr:uid="{00000000-0005-0000-0000-0000AA010000}"/>
    <cellStyle name="1 14" xfId="1149" xr:uid="{00000000-0005-0000-0000-0000AB010000}"/>
    <cellStyle name="1 14 2" xfId="1150" xr:uid="{00000000-0005-0000-0000-0000AC010000}"/>
    <cellStyle name="1 14 3" xfId="1151" xr:uid="{00000000-0005-0000-0000-0000AD010000}"/>
    <cellStyle name="1 15" xfId="1152" xr:uid="{00000000-0005-0000-0000-0000AE010000}"/>
    <cellStyle name="1 15 2" xfId="1153" xr:uid="{00000000-0005-0000-0000-0000AF010000}"/>
    <cellStyle name="1 15 3" xfId="1154" xr:uid="{00000000-0005-0000-0000-0000B0010000}"/>
    <cellStyle name="1 16" xfId="1155" xr:uid="{00000000-0005-0000-0000-0000B1010000}"/>
    <cellStyle name="1 16 2" xfId="1156" xr:uid="{00000000-0005-0000-0000-0000B2010000}"/>
    <cellStyle name="1 16 2 2" xfId="1157" xr:uid="{00000000-0005-0000-0000-0000B3010000}"/>
    <cellStyle name="1 17" xfId="1158" xr:uid="{00000000-0005-0000-0000-0000B4010000}"/>
    <cellStyle name="1 17 2" xfId="1159" xr:uid="{00000000-0005-0000-0000-0000B5010000}"/>
    <cellStyle name="1 18" xfId="1160" xr:uid="{00000000-0005-0000-0000-0000B6010000}"/>
    <cellStyle name="1 18 2" xfId="1161" xr:uid="{00000000-0005-0000-0000-0000B7010000}"/>
    <cellStyle name="1 19" xfId="1162" xr:uid="{00000000-0005-0000-0000-0000B8010000}"/>
    <cellStyle name="1 19 2" xfId="1163" xr:uid="{00000000-0005-0000-0000-0000B9010000}"/>
    <cellStyle name="1 2" xfId="222" xr:uid="{00000000-0005-0000-0000-0000BA010000}"/>
    <cellStyle name="1 2 2" xfId="1164" xr:uid="{00000000-0005-0000-0000-0000BB010000}"/>
    <cellStyle name="1 2 3" xfId="1165" xr:uid="{00000000-0005-0000-0000-0000BC010000}"/>
    <cellStyle name="1 20" xfId="1166" xr:uid="{00000000-0005-0000-0000-0000BD010000}"/>
    <cellStyle name="1 20 2" xfId="1167" xr:uid="{00000000-0005-0000-0000-0000BE010000}"/>
    <cellStyle name="1 21" xfId="1168" xr:uid="{00000000-0005-0000-0000-0000BF010000}"/>
    <cellStyle name="1 21 2" xfId="1169" xr:uid="{00000000-0005-0000-0000-0000C0010000}"/>
    <cellStyle name="1 22" xfId="1170" xr:uid="{00000000-0005-0000-0000-0000C1010000}"/>
    <cellStyle name="1 23" xfId="1171" xr:uid="{00000000-0005-0000-0000-0000C2010000}"/>
    <cellStyle name="1 3" xfId="223" xr:uid="{00000000-0005-0000-0000-0000C3010000}"/>
    <cellStyle name="1 3 2" xfId="1172" xr:uid="{00000000-0005-0000-0000-0000C4010000}"/>
    <cellStyle name="1 3 3" xfId="1173" xr:uid="{00000000-0005-0000-0000-0000C5010000}"/>
    <cellStyle name="1 3 3 2" xfId="2647" xr:uid="{00000000-0005-0000-0000-0000C6010000}"/>
    <cellStyle name="1 3_BBV" xfId="1174" xr:uid="{00000000-0005-0000-0000-0000C7010000}"/>
    <cellStyle name="1 4" xfId="224" xr:uid="{00000000-0005-0000-0000-0000C8010000}"/>
    <cellStyle name="1 4 2" xfId="1175" xr:uid="{00000000-0005-0000-0000-0000C9010000}"/>
    <cellStyle name="1 4 3" xfId="1176" xr:uid="{00000000-0005-0000-0000-0000CA010000}"/>
    <cellStyle name="1 4_BBV" xfId="1177" xr:uid="{00000000-0005-0000-0000-0000CB010000}"/>
    <cellStyle name="1 5" xfId="225" xr:uid="{00000000-0005-0000-0000-0000CC010000}"/>
    <cellStyle name="1 5 2" xfId="1178" xr:uid="{00000000-0005-0000-0000-0000CD010000}"/>
    <cellStyle name="1 5_BBV" xfId="1179" xr:uid="{00000000-0005-0000-0000-0000CE010000}"/>
    <cellStyle name="1 6" xfId="1180" xr:uid="{00000000-0005-0000-0000-0000CF010000}"/>
    <cellStyle name="1 6 2" xfId="1181" xr:uid="{00000000-0005-0000-0000-0000D0010000}"/>
    <cellStyle name="1 6 3" xfId="1182" xr:uid="{00000000-0005-0000-0000-0000D1010000}"/>
    <cellStyle name="1 7" xfId="1183" xr:uid="{00000000-0005-0000-0000-0000D2010000}"/>
    <cellStyle name="1 7 2" xfId="1184" xr:uid="{00000000-0005-0000-0000-0000D3010000}"/>
    <cellStyle name="1 7 2 2" xfId="1185" xr:uid="{00000000-0005-0000-0000-0000D4010000}"/>
    <cellStyle name="1 7 2 3" xfId="1186" xr:uid="{00000000-0005-0000-0000-0000D5010000}"/>
    <cellStyle name="1 7 3" xfId="1187" xr:uid="{00000000-0005-0000-0000-0000D6010000}"/>
    <cellStyle name="1 8" xfId="1188" xr:uid="{00000000-0005-0000-0000-0000D7010000}"/>
    <cellStyle name="1 8 2" xfId="1189" xr:uid="{00000000-0005-0000-0000-0000D8010000}"/>
    <cellStyle name="1 8 2 2" xfId="1190" xr:uid="{00000000-0005-0000-0000-0000D9010000}"/>
    <cellStyle name="1 9" xfId="1191" xr:uid="{00000000-0005-0000-0000-0000DA010000}"/>
    <cellStyle name="1 9 2" xfId="1192" xr:uid="{00000000-0005-0000-0000-0000DB010000}"/>
    <cellStyle name="1_Assets Data" xfId="2648" xr:uid="{00000000-0005-0000-0000-0000DC010000}"/>
    <cellStyle name="1_BasicSpreadProducts" xfId="2649" xr:uid="{00000000-0005-0000-0000-0000DD010000}"/>
    <cellStyle name="1_BasicSpreadProducts (1)" xfId="2650" xr:uid="{00000000-0005-0000-0000-0000DE010000}"/>
    <cellStyle name="1_BasicSpreadProducts (2)" xfId="2651" xr:uid="{00000000-0005-0000-0000-0000DF010000}"/>
    <cellStyle name="1_CMS_Common" xfId="2652" xr:uid="{00000000-0005-0000-0000-0000E0010000}"/>
    <cellStyle name="1_Copula_Pricer" xfId="2653" xr:uid="{00000000-0005-0000-0000-0000E1010000}"/>
    <cellStyle name="1_CopulaDataNormDisplacedUSD" xfId="2654" xr:uid="{00000000-0005-0000-0000-0000E2010000}"/>
    <cellStyle name="1_DataforMurex" xfId="226" xr:uid="{00000000-0005-0000-0000-0000E3010000}"/>
    <cellStyle name="1_DataforMurex 2" xfId="2502" xr:uid="{00000000-0005-0000-0000-0000E4010000}"/>
    <cellStyle name="1_DataFormurex_MxvsCalc_4" xfId="227" xr:uid="{00000000-0005-0000-0000-0000E5010000}"/>
    <cellStyle name="1_GBP" xfId="1193" xr:uid="{00000000-0005-0000-0000-0000E6010000}"/>
    <cellStyle name="1_LGMRangeAccrual" xfId="2655" xr:uid="{00000000-0005-0000-0000-0000E7010000}"/>
    <cellStyle name="1_OneRef Pricer" xfId="2656" xr:uid="{00000000-0005-0000-0000-0000E8010000}"/>
    <cellStyle name="1_REALTIME_EURUSD" xfId="228" xr:uid="{00000000-0005-0000-0000-0000E9010000}"/>
    <cellStyle name="1_REALTIME_USDARS" xfId="229" xr:uid="{00000000-0005-0000-0000-0000EA010000}"/>
    <cellStyle name="1_REALTIME_USDCLF" xfId="230" xr:uid="{00000000-0005-0000-0000-0000EB010000}"/>
    <cellStyle name="1_REALTIME_USDCLP" xfId="231" xr:uid="{00000000-0005-0000-0000-0000EC010000}"/>
    <cellStyle name="1_REALTIME_USDCOP" xfId="232" xr:uid="{00000000-0005-0000-0000-0000ED010000}"/>
    <cellStyle name="1_REALTIME_USDEUR" xfId="233" xr:uid="{00000000-0005-0000-0000-0000EE010000}"/>
    <cellStyle name="1_REALTIME_USDMXN" xfId="234" xr:uid="{00000000-0005-0000-0000-0000EF010000}"/>
    <cellStyle name="1_REALTIME_USDPEN" xfId="235" xr:uid="{00000000-0005-0000-0000-0000F0010000}"/>
    <cellStyle name="1_Spread Pricer" xfId="2657" xr:uid="{00000000-0005-0000-0000-0000F1010000}"/>
    <cellStyle name="1_Spread Pricer Old" xfId="2658" xr:uid="{00000000-0005-0000-0000-0000F2010000}"/>
    <cellStyle name="1_Spread Pricer Old_BasicSpreadProducts" xfId="2659" xr:uid="{00000000-0005-0000-0000-0000F3010000}"/>
    <cellStyle name="1_TripleRangeAccrual" xfId="2660" xr:uid="{00000000-0005-0000-0000-0000F4010000}"/>
    <cellStyle name="1_TripleRangeAccrual (2)" xfId="2661" xr:uid="{00000000-0005-0000-0000-0000F5010000}"/>
    <cellStyle name="1_TripleRangeAccrual (3)" xfId="2662" xr:uid="{00000000-0005-0000-0000-0000F6010000}"/>
    <cellStyle name="1_USD-CLP" xfId="236" xr:uid="{00000000-0005-0000-0000-0000F7010000}"/>
    <cellStyle name="2" xfId="237" xr:uid="{00000000-0005-0000-0000-0000F8010000}"/>
    <cellStyle name="20 % - Accent1" xfId="2663" xr:uid="{00000000-0005-0000-0000-0000F9010000}"/>
    <cellStyle name="20 % - Accent2" xfId="2664" xr:uid="{00000000-0005-0000-0000-0000FA010000}"/>
    <cellStyle name="20 % - Accent3" xfId="2665" xr:uid="{00000000-0005-0000-0000-0000FB010000}"/>
    <cellStyle name="20 % - Accent4" xfId="2666" xr:uid="{00000000-0005-0000-0000-0000FC010000}"/>
    <cellStyle name="20 % - Accent5" xfId="2667" xr:uid="{00000000-0005-0000-0000-0000FD010000}"/>
    <cellStyle name="20 % - Accent6" xfId="2668" xr:uid="{00000000-0005-0000-0000-0000FE010000}"/>
    <cellStyle name="20% - Accent1" xfId="238" xr:uid="{00000000-0005-0000-0000-0000FF010000}"/>
    <cellStyle name="20% - Accent1 2" xfId="1194" xr:uid="{00000000-0005-0000-0000-000000020000}"/>
    <cellStyle name="20% - Accent1 3" xfId="1195" xr:uid="{00000000-0005-0000-0000-000001020000}"/>
    <cellStyle name="20% - Accent1 4" xfId="1196" xr:uid="{00000000-0005-0000-0000-000002020000}"/>
    <cellStyle name="20% - Accent1 5" xfId="1197" xr:uid="{00000000-0005-0000-0000-000003020000}"/>
    <cellStyle name="20% - Accent2" xfId="239" xr:uid="{00000000-0005-0000-0000-000004020000}"/>
    <cellStyle name="20% - Accent2 2" xfId="1198" xr:uid="{00000000-0005-0000-0000-000005020000}"/>
    <cellStyle name="20% - Accent2 3" xfId="1199" xr:uid="{00000000-0005-0000-0000-000006020000}"/>
    <cellStyle name="20% - Accent2 4" xfId="1200" xr:uid="{00000000-0005-0000-0000-000007020000}"/>
    <cellStyle name="20% - Accent2 5" xfId="1201" xr:uid="{00000000-0005-0000-0000-000008020000}"/>
    <cellStyle name="20% - Accent3" xfId="240" xr:uid="{00000000-0005-0000-0000-000009020000}"/>
    <cellStyle name="20% - Accent3 2" xfId="1202" xr:uid="{00000000-0005-0000-0000-00000A020000}"/>
    <cellStyle name="20% - Accent3 3" xfId="1203" xr:uid="{00000000-0005-0000-0000-00000B020000}"/>
    <cellStyle name="20% - Accent3 4" xfId="1204" xr:uid="{00000000-0005-0000-0000-00000C020000}"/>
    <cellStyle name="20% - Accent3 5" xfId="1205" xr:uid="{00000000-0005-0000-0000-00000D020000}"/>
    <cellStyle name="20% - Accent4" xfId="241" xr:uid="{00000000-0005-0000-0000-00000E020000}"/>
    <cellStyle name="20% - Accent4 2" xfId="1206" xr:uid="{00000000-0005-0000-0000-00000F020000}"/>
    <cellStyle name="20% - Accent4 3" xfId="1207" xr:uid="{00000000-0005-0000-0000-000010020000}"/>
    <cellStyle name="20% - Accent4 4" xfId="1208" xr:uid="{00000000-0005-0000-0000-000011020000}"/>
    <cellStyle name="20% - Accent4 5" xfId="1209" xr:uid="{00000000-0005-0000-0000-000012020000}"/>
    <cellStyle name="20% - Accent5" xfId="242" xr:uid="{00000000-0005-0000-0000-000013020000}"/>
    <cellStyle name="20% - Accent5 2" xfId="1210" xr:uid="{00000000-0005-0000-0000-000014020000}"/>
    <cellStyle name="20% - Accent5 3" xfId="1211" xr:uid="{00000000-0005-0000-0000-000015020000}"/>
    <cellStyle name="20% - Accent5 4" xfId="1212" xr:uid="{00000000-0005-0000-0000-000016020000}"/>
    <cellStyle name="20% - Accent5 5" xfId="1213" xr:uid="{00000000-0005-0000-0000-000017020000}"/>
    <cellStyle name="20% - Accent6" xfId="243" xr:uid="{00000000-0005-0000-0000-000018020000}"/>
    <cellStyle name="20% - Accent6 2" xfId="1214" xr:uid="{00000000-0005-0000-0000-000019020000}"/>
    <cellStyle name="20% - Accent6 3" xfId="1215" xr:uid="{00000000-0005-0000-0000-00001A020000}"/>
    <cellStyle name="20% - Accent6 4" xfId="1216" xr:uid="{00000000-0005-0000-0000-00001B020000}"/>
    <cellStyle name="20% - Accent6 5" xfId="1217" xr:uid="{00000000-0005-0000-0000-00001C020000}"/>
    <cellStyle name="20% - Akzent1" xfId="244" xr:uid="{00000000-0005-0000-0000-00001D020000}"/>
    <cellStyle name="20% - Akzent1 2" xfId="2503" xr:uid="{00000000-0005-0000-0000-00001E020000}"/>
    <cellStyle name="20% - Akzent2" xfId="245" xr:uid="{00000000-0005-0000-0000-00001F020000}"/>
    <cellStyle name="20% - Akzent2 2" xfId="2504" xr:uid="{00000000-0005-0000-0000-000020020000}"/>
    <cellStyle name="20% - Akzent3" xfId="246" xr:uid="{00000000-0005-0000-0000-000021020000}"/>
    <cellStyle name="20% - Akzent3 2" xfId="2505" xr:uid="{00000000-0005-0000-0000-000022020000}"/>
    <cellStyle name="20% - Akzent4" xfId="247" xr:uid="{00000000-0005-0000-0000-000023020000}"/>
    <cellStyle name="20% - Akzent4 2" xfId="2506" xr:uid="{00000000-0005-0000-0000-000024020000}"/>
    <cellStyle name="20% - Akzent5" xfId="248" xr:uid="{00000000-0005-0000-0000-000025020000}"/>
    <cellStyle name="20% - Akzent5 2" xfId="2507" xr:uid="{00000000-0005-0000-0000-000026020000}"/>
    <cellStyle name="20% - Akzent6" xfId="249" xr:uid="{00000000-0005-0000-0000-000027020000}"/>
    <cellStyle name="20% - Akzent6 2" xfId="2508" xr:uid="{00000000-0005-0000-0000-000028020000}"/>
    <cellStyle name="20% - Énfasis1 2" xfId="251" xr:uid="{00000000-0005-0000-0000-000029020000}"/>
    <cellStyle name="20% - Énfasis1 3" xfId="252" xr:uid="{00000000-0005-0000-0000-00002A020000}"/>
    <cellStyle name="20% - Énfasis1 4" xfId="253" xr:uid="{00000000-0005-0000-0000-00002B020000}"/>
    <cellStyle name="20% - Énfasis1 5" xfId="250" xr:uid="{00000000-0005-0000-0000-00002C020000}"/>
    <cellStyle name="20% - Énfasis2 2" xfId="255" xr:uid="{00000000-0005-0000-0000-00002D020000}"/>
    <cellStyle name="20% - Énfasis2 3" xfId="256" xr:uid="{00000000-0005-0000-0000-00002E020000}"/>
    <cellStyle name="20% - Énfasis2 4" xfId="257" xr:uid="{00000000-0005-0000-0000-00002F020000}"/>
    <cellStyle name="20% - Énfasis2 5" xfId="254" xr:uid="{00000000-0005-0000-0000-000030020000}"/>
    <cellStyle name="20% - Énfasis3 2" xfId="259" xr:uid="{00000000-0005-0000-0000-000031020000}"/>
    <cellStyle name="20% - Énfasis3 3" xfId="260" xr:uid="{00000000-0005-0000-0000-000032020000}"/>
    <cellStyle name="20% - Énfasis3 4" xfId="261" xr:uid="{00000000-0005-0000-0000-000033020000}"/>
    <cellStyle name="20% - Énfasis3 5" xfId="258" xr:uid="{00000000-0005-0000-0000-000034020000}"/>
    <cellStyle name="20% - Énfasis4 2" xfId="263" xr:uid="{00000000-0005-0000-0000-000035020000}"/>
    <cellStyle name="20% - Énfasis4 3" xfId="264" xr:uid="{00000000-0005-0000-0000-000036020000}"/>
    <cellStyle name="20% - Énfasis4 4" xfId="265" xr:uid="{00000000-0005-0000-0000-000037020000}"/>
    <cellStyle name="20% - Énfasis4 5" xfId="262" xr:uid="{00000000-0005-0000-0000-000038020000}"/>
    <cellStyle name="20% - Énfasis5 2" xfId="267" xr:uid="{00000000-0005-0000-0000-000039020000}"/>
    <cellStyle name="20% - Énfasis5 3" xfId="268" xr:uid="{00000000-0005-0000-0000-00003A020000}"/>
    <cellStyle name="20% - Énfasis5 4" xfId="269" xr:uid="{00000000-0005-0000-0000-00003B020000}"/>
    <cellStyle name="20% - Énfasis5 5" xfId="266" xr:uid="{00000000-0005-0000-0000-00003C020000}"/>
    <cellStyle name="20% - Énfasis6 2" xfId="271" xr:uid="{00000000-0005-0000-0000-00003D020000}"/>
    <cellStyle name="20% - Énfasis6 3" xfId="272" xr:uid="{00000000-0005-0000-0000-00003E020000}"/>
    <cellStyle name="20% - Énfasis6 4" xfId="273" xr:uid="{00000000-0005-0000-0000-00003F020000}"/>
    <cellStyle name="20% - Énfasis6 5" xfId="270" xr:uid="{00000000-0005-0000-0000-000040020000}"/>
    <cellStyle name="20% - 강조색1" xfId="274" xr:uid="{00000000-0005-0000-0000-000041020000}"/>
    <cellStyle name="20% - 강조색2" xfId="275" xr:uid="{00000000-0005-0000-0000-000042020000}"/>
    <cellStyle name="20% - 강조색3" xfId="276" xr:uid="{00000000-0005-0000-0000-000043020000}"/>
    <cellStyle name="20% - 강조색4" xfId="277" xr:uid="{00000000-0005-0000-0000-000044020000}"/>
    <cellStyle name="20% - 강조색5" xfId="278" xr:uid="{00000000-0005-0000-0000-000045020000}"/>
    <cellStyle name="20% - 강조색6" xfId="279" xr:uid="{00000000-0005-0000-0000-000046020000}"/>
    <cellStyle name="3" xfId="280" xr:uid="{00000000-0005-0000-0000-000047020000}"/>
    <cellStyle name="4" xfId="281" xr:uid="{00000000-0005-0000-0000-000048020000}"/>
    <cellStyle name="40 % - Accent1" xfId="2669" xr:uid="{00000000-0005-0000-0000-000049020000}"/>
    <cellStyle name="40 % - Accent2" xfId="2670" xr:uid="{00000000-0005-0000-0000-00004A020000}"/>
    <cellStyle name="40 % - Accent3" xfId="2671" xr:uid="{00000000-0005-0000-0000-00004B020000}"/>
    <cellStyle name="40 % - Accent4" xfId="2672" xr:uid="{00000000-0005-0000-0000-00004C020000}"/>
    <cellStyle name="40 % - Accent5" xfId="2673" xr:uid="{00000000-0005-0000-0000-00004D020000}"/>
    <cellStyle name="40 % - Accent6" xfId="2674" xr:uid="{00000000-0005-0000-0000-00004E020000}"/>
    <cellStyle name="40% - Accent1" xfId="282" xr:uid="{00000000-0005-0000-0000-00004F020000}"/>
    <cellStyle name="40% - Accent1 2" xfId="1218" xr:uid="{00000000-0005-0000-0000-000050020000}"/>
    <cellStyle name="40% - Accent1 3" xfId="1219" xr:uid="{00000000-0005-0000-0000-000051020000}"/>
    <cellStyle name="40% - Accent1 4" xfId="1220" xr:uid="{00000000-0005-0000-0000-000052020000}"/>
    <cellStyle name="40% - Accent1 5" xfId="1221" xr:uid="{00000000-0005-0000-0000-000053020000}"/>
    <cellStyle name="40% - Accent2" xfId="283" xr:uid="{00000000-0005-0000-0000-000054020000}"/>
    <cellStyle name="40% - Accent2 2" xfId="1222" xr:uid="{00000000-0005-0000-0000-000055020000}"/>
    <cellStyle name="40% - Accent2 3" xfId="1223" xr:uid="{00000000-0005-0000-0000-000056020000}"/>
    <cellStyle name="40% - Accent2 4" xfId="1224" xr:uid="{00000000-0005-0000-0000-000057020000}"/>
    <cellStyle name="40% - Accent2 5" xfId="1225" xr:uid="{00000000-0005-0000-0000-000058020000}"/>
    <cellStyle name="40% - Accent3" xfId="284" xr:uid="{00000000-0005-0000-0000-000059020000}"/>
    <cellStyle name="40% - Accent3 2" xfId="1226" xr:uid="{00000000-0005-0000-0000-00005A020000}"/>
    <cellStyle name="40% - Accent3 3" xfId="1227" xr:uid="{00000000-0005-0000-0000-00005B020000}"/>
    <cellStyle name="40% - Accent3 4" xfId="1228" xr:uid="{00000000-0005-0000-0000-00005C020000}"/>
    <cellStyle name="40% - Accent3 5" xfId="1229" xr:uid="{00000000-0005-0000-0000-00005D020000}"/>
    <cellStyle name="40% - Accent4" xfId="285" xr:uid="{00000000-0005-0000-0000-00005E020000}"/>
    <cellStyle name="40% - Accent4 2" xfId="1230" xr:uid="{00000000-0005-0000-0000-00005F020000}"/>
    <cellStyle name="40% - Accent4 3" xfId="1231" xr:uid="{00000000-0005-0000-0000-000060020000}"/>
    <cellStyle name="40% - Accent4 4" xfId="1232" xr:uid="{00000000-0005-0000-0000-000061020000}"/>
    <cellStyle name="40% - Accent4 5" xfId="1233" xr:uid="{00000000-0005-0000-0000-000062020000}"/>
    <cellStyle name="40% - Accent5" xfId="286" xr:uid="{00000000-0005-0000-0000-000063020000}"/>
    <cellStyle name="40% - Accent5 2" xfId="1234" xr:uid="{00000000-0005-0000-0000-000064020000}"/>
    <cellStyle name="40% - Accent5 3" xfId="1235" xr:uid="{00000000-0005-0000-0000-000065020000}"/>
    <cellStyle name="40% - Accent5 4" xfId="1236" xr:uid="{00000000-0005-0000-0000-000066020000}"/>
    <cellStyle name="40% - Accent5 5" xfId="1237" xr:uid="{00000000-0005-0000-0000-000067020000}"/>
    <cellStyle name="40% - Accent6" xfId="287" xr:uid="{00000000-0005-0000-0000-000068020000}"/>
    <cellStyle name="40% - Accent6 2" xfId="1238" xr:uid="{00000000-0005-0000-0000-000069020000}"/>
    <cellStyle name="40% - Accent6 3" xfId="1239" xr:uid="{00000000-0005-0000-0000-00006A020000}"/>
    <cellStyle name="40% - Accent6 4" xfId="1240" xr:uid="{00000000-0005-0000-0000-00006B020000}"/>
    <cellStyle name="40% - Accent6 5" xfId="1241" xr:uid="{00000000-0005-0000-0000-00006C020000}"/>
    <cellStyle name="40% - Akzent1" xfId="288" xr:uid="{00000000-0005-0000-0000-00006D020000}"/>
    <cellStyle name="40% - Akzent1 2" xfId="2509" xr:uid="{00000000-0005-0000-0000-00006E020000}"/>
    <cellStyle name="40% - Akzent2" xfId="289" xr:uid="{00000000-0005-0000-0000-00006F020000}"/>
    <cellStyle name="40% - Akzent2 2" xfId="2510" xr:uid="{00000000-0005-0000-0000-000070020000}"/>
    <cellStyle name="40% - Akzent3" xfId="290" xr:uid="{00000000-0005-0000-0000-000071020000}"/>
    <cellStyle name="40% - Akzent3 2" xfId="2511" xr:uid="{00000000-0005-0000-0000-000072020000}"/>
    <cellStyle name="40% - Akzent4" xfId="291" xr:uid="{00000000-0005-0000-0000-000073020000}"/>
    <cellStyle name="40% - Akzent4 2" xfId="2512" xr:uid="{00000000-0005-0000-0000-000074020000}"/>
    <cellStyle name="40% - Akzent5" xfId="292" xr:uid="{00000000-0005-0000-0000-000075020000}"/>
    <cellStyle name="40% - Akzent5 2" xfId="2513" xr:uid="{00000000-0005-0000-0000-000076020000}"/>
    <cellStyle name="40% - Akzent6" xfId="293" xr:uid="{00000000-0005-0000-0000-000077020000}"/>
    <cellStyle name="40% - Akzent6 2" xfId="2514" xr:uid="{00000000-0005-0000-0000-000078020000}"/>
    <cellStyle name="40% - Énfasis1 2" xfId="295" xr:uid="{00000000-0005-0000-0000-000079020000}"/>
    <cellStyle name="40% - Énfasis1 3" xfId="296" xr:uid="{00000000-0005-0000-0000-00007A020000}"/>
    <cellStyle name="40% - Énfasis1 4" xfId="297" xr:uid="{00000000-0005-0000-0000-00007B020000}"/>
    <cellStyle name="40% - Énfasis1 5" xfId="294" xr:uid="{00000000-0005-0000-0000-00007C020000}"/>
    <cellStyle name="40% - Énfasis2 2" xfId="299" xr:uid="{00000000-0005-0000-0000-00007D020000}"/>
    <cellStyle name="40% - Énfasis2 3" xfId="300" xr:uid="{00000000-0005-0000-0000-00007E020000}"/>
    <cellStyle name="40% - Énfasis2 4" xfId="301" xr:uid="{00000000-0005-0000-0000-00007F020000}"/>
    <cellStyle name="40% - Énfasis2 5" xfId="298" xr:uid="{00000000-0005-0000-0000-000080020000}"/>
    <cellStyle name="40% - Énfasis3 2" xfId="303" xr:uid="{00000000-0005-0000-0000-000081020000}"/>
    <cellStyle name="40% - Énfasis3 3" xfId="304" xr:uid="{00000000-0005-0000-0000-000082020000}"/>
    <cellStyle name="40% - Énfasis3 4" xfId="305" xr:uid="{00000000-0005-0000-0000-000083020000}"/>
    <cellStyle name="40% - Énfasis3 5" xfId="302" xr:uid="{00000000-0005-0000-0000-000084020000}"/>
    <cellStyle name="40% - Énfasis4 2" xfId="307" xr:uid="{00000000-0005-0000-0000-000085020000}"/>
    <cellStyle name="40% - Énfasis4 3" xfId="308" xr:uid="{00000000-0005-0000-0000-000086020000}"/>
    <cellStyle name="40% - Énfasis4 4" xfId="309" xr:uid="{00000000-0005-0000-0000-000087020000}"/>
    <cellStyle name="40% - Énfasis4 5" xfId="306" xr:uid="{00000000-0005-0000-0000-000088020000}"/>
    <cellStyle name="40% - Énfasis5 2" xfId="311" xr:uid="{00000000-0005-0000-0000-000089020000}"/>
    <cellStyle name="40% - Énfasis5 3" xfId="312" xr:uid="{00000000-0005-0000-0000-00008A020000}"/>
    <cellStyle name="40% - Énfasis5 4" xfId="313" xr:uid="{00000000-0005-0000-0000-00008B020000}"/>
    <cellStyle name="40% - Énfasis5 5" xfId="310" xr:uid="{00000000-0005-0000-0000-00008C020000}"/>
    <cellStyle name="40% - Énfasis6 2" xfId="315" xr:uid="{00000000-0005-0000-0000-00008D020000}"/>
    <cellStyle name="40% - Énfasis6 3" xfId="316" xr:uid="{00000000-0005-0000-0000-00008E020000}"/>
    <cellStyle name="40% - Énfasis6 4" xfId="317" xr:uid="{00000000-0005-0000-0000-00008F020000}"/>
    <cellStyle name="40% - Énfasis6 5" xfId="314" xr:uid="{00000000-0005-0000-0000-000090020000}"/>
    <cellStyle name="40% - 강조색1" xfId="318" xr:uid="{00000000-0005-0000-0000-000091020000}"/>
    <cellStyle name="40% - 강조색2" xfId="319" xr:uid="{00000000-0005-0000-0000-000092020000}"/>
    <cellStyle name="40% - 강조색3" xfId="320" xr:uid="{00000000-0005-0000-0000-000093020000}"/>
    <cellStyle name="40% - 강조색4" xfId="321" xr:uid="{00000000-0005-0000-0000-000094020000}"/>
    <cellStyle name="40% - 강조색5" xfId="322" xr:uid="{00000000-0005-0000-0000-000095020000}"/>
    <cellStyle name="40% - 강조색6" xfId="323" xr:uid="{00000000-0005-0000-0000-000096020000}"/>
    <cellStyle name="60 % - Accent1" xfId="2675" xr:uid="{00000000-0005-0000-0000-000097020000}"/>
    <cellStyle name="60 % - Accent2" xfId="2676" xr:uid="{00000000-0005-0000-0000-000098020000}"/>
    <cellStyle name="60 % - Accent3" xfId="2677" xr:uid="{00000000-0005-0000-0000-000099020000}"/>
    <cellStyle name="60 % - Accent4" xfId="2678" xr:uid="{00000000-0005-0000-0000-00009A020000}"/>
    <cellStyle name="60 % - Accent5" xfId="2679" xr:uid="{00000000-0005-0000-0000-00009B020000}"/>
    <cellStyle name="60 % - Accent6" xfId="2680" xr:uid="{00000000-0005-0000-0000-00009C020000}"/>
    <cellStyle name="60% - Accent1" xfId="324" xr:uid="{00000000-0005-0000-0000-00009D020000}"/>
    <cellStyle name="60% - Accent1 2" xfId="1242" xr:uid="{00000000-0005-0000-0000-00009E020000}"/>
    <cellStyle name="60% - Accent1 3" xfId="1243" xr:uid="{00000000-0005-0000-0000-00009F020000}"/>
    <cellStyle name="60% - Accent1 4" xfId="1244" xr:uid="{00000000-0005-0000-0000-0000A0020000}"/>
    <cellStyle name="60% - Accent1 5" xfId="1245" xr:uid="{00000000-0005-0000-0000-0000A1020000}"/>
    <cellStyle name="60% - Accent2" xfId="325" xr:uid="{00000000-0005-0000-0000-0000A2020000}"/>
    <cellStyle name="60% - Accent2 2" xfId="1246" xr:uid="{00000000-0005-0000-0000-0000A3020000}"/>
    <cellStyle name="60% - Accent2 3" xfId="1247" xr:uid="{00000000-0005-0000-0000-0000A4020000}"/>
    <cellStyle name="60% - Accent2 4" xfId="1248" xr:uid="{00000000-0005-0000-0000-0000A5020000}"/>
    <cellStyle name="60% - Accent2 5" xfId="1249" xr:uid="{00000000-0005-0000-0000-0000A6020000}"/>
    <cellStyle name="60% - Accent3" xfId="326" xr:uid="{00000000-0005-0000-0000-0000A7020000}"/>
    <cellStyle name="60% - Accent3 2" xfId="1250" xr:uid="{00000000-0005-0000-0000-0000A8020000}"/>
    <cellStyle name="60% - Accent3 3" xfId="1251" xr:uid="{00000000-0005-0000-0000-0000A9020000}"/>
    <cellStyle name="60% - Accent3 4" xfId="1252" xr:uid="{00000000-0005-0000-0000-0000AA020000}"/>
    <cellStyle name="60% - Accent3 5" xfId="1253" xr:uid="{00000000-0005-0000-0000-0000AB020000}"/>
    <cellStyle name="60% - Accent4" xfId="327" xr:uid="{00000000-0005-0000-0000-0000AC020000}"/>
    <cellStyle name="60% - Accent4 2" xfId="1254" xr:uid="{00000000-0005-0000-0000-0000AD020000}"/>
    <cellStyle name="60% - Accent4 3" xfId="1255" xr:uid="{00000000-0005-0000-0000-0000AE020000}"/>
    <cellStyle name="60% - Accent4 4" xfId="1256" xr:uid="{00000000-0005-0000-0000-0000AF020000}"/>
    <cellStyle name="60% - Accent4 5" xfId="1257" xr:uid="{00000000-0005-0000-0000-0000B0020000}"/>
    <cellStyle name="60% - Accent5" xfId="328" xr:uid="{00000000-0005-0000-0000-0000B1020000}"/>
    <cellStyle name="60% - Accent5 2" xfId="1258" xr:uid="{00000000-0005-0000-0000-0000B2020000}"/>
    <cellStyle name="60% - Accent5 3" xfId="1259" xr:uid="{00000000-0005-0000-0000-0000B3020000}"/>
    <cellStyle name="60% - Accent5 4" xfId="1260" xr:uid="{00000000-0005-0000-0000-0000B4020000}"/>
    <cellStyle name="60% - Accent5 5" xfId="1261" xr:uid="{00000000-0005-0000-0000-0000B5020000}"/>
    <cellStyle name="60% - Accent6" xfId="329" xr:uid="{00000000-0005-0000-0000-0000B6020000}"/>
    <cellStyle name="60% - Accent6 2" xfId="1262" xr:uid="{00000000-0005-0000-0000-0000B7020000}"/>
    <cellStyle name="60% - Accent6 3" xfId="1263" xr:uid="{00000000-0005-0000-0000-0000B8020000}"/>
    <cellStyle name="60% - Accent6 4" xfId="1264" xr:uid="{00000000-0005-0000-0000-0000B9020000}"/>
    <cellStyle name="60% - Accent6 5" xfId="1265" xr:uid="{00000000-0005-0000-0000-0000BA020000}"/>
    <cellStyle name="60% - Akzent1" xfId="330" xr:uid="{00000000-0005-0000-0000-0000BB020000}"/>
    <cellStyle name="60% - Akzent2" xfId="331" xr:uid="{00000000-0005-0000-0000-0000BC020000}"/>
    <cellStyle name="60% - Akzent3" xfId="332" xr:uid="{00000000-0005-0000-0000-0000BD020000}"/>
    <cellStyle name="60% - Akzent4" xfId="333" xr:uid="{00000000-0005-0000-0000-0000BE020000}"/>
    <cellStyle name="60% - Akzent5" xfId="334" xr:uid="{00000000-0005-0000-0000-0000BF020000}"/>
    <cellStyle name="60% - Akzent6" xfId="335" xr:uid="{00000000-0005-0000-0000-0000C0020000}"/>
    <cellStyle name="60% - Énfasis1 2" xfId="337" xr:uid="{00000000-0005-0000-0000-0000C1020000}"/>
    <cellStyle name="60% - Énfasis1 3" xfId="338" xr:uid="{00000000-0005-0000-0000-0000C2020000}"/>
    <cellStyle name="60% - Énfasis1 4" xfId="339" xr:uid="{00000000-0005-0000-0000-0000C3020000}"/>
    <cellStyle name="60% - Énfasis1 5" xfId="336" xr:uid="{00000000-0005-0000-0000-0000C4020000}"/>
    <cellStyle name="60% - Énfasis2 2" xfId="341" xr:uid="{00000000-0005-0000-0000-0000C5020000}"/>
    <cellStyle name="60% - Énfasis2 3" xfId="342" xr:uid="{00000000-0005-0000-0000-0000C6020000}"/>
    <cellStyle name="60% - Énfasis2 4" xfId="343" xr:uid="{00000000-0005-0000-0000-0000C7020000}"/>
    <cellStyle name="60% - Énfasis2 5" xfId="340" xr:uid="{00000000-0005-0000-0000-0000C8020000}"/>
    <cellStyle name="60% - Énfasis3 2" xfId="345" xr:uid="{00000000-0005-0000-0000-0000C9020000}"/>
    <cellStyle name="60% - Énfasis3 3" xfId="346" xr:uid="{00000000-0005-0000-0000-0000CA020000}"/>
    <cellStyle name="60% - Énfasis3 4" xfId="347" xr:uid="{00000000-0005-0000-0000-0000CB020000}"/>
    <cellStyle name="60% - Énfasis3 5" xfId="344" xr:uid="{00000000-0005-0000-0000-0000CC020000}"/>
    <cellStyle name="60% - Énfasis4 2" xfId="349" xr:uid="{00000000-0005-0000-0000-0000CD020000}"/>
    <cellStyle name="60% - Énfasis4 3" xfId="350" xr:uid="{00000000-0005-0000-0000-0000CE020000}"/>
    <cellStyle name="60% - Énfasis4 4" xfId="351" xr:uid="{00000000-0005-0000-0000-0000CF020000}"/>
    <cellStyle name="60% - Énfasis4 5" xfId="348" xr:uid="{00000000-0005-0000-0000-0000D0020000}"/>
    <cellStyle name="60% - Énfasis5 2" xfId="353" xr:uid="{00000000-0005-0000-0000-0000D1020000}"/>
    <cellStyle name="60% - Énfasis5 3" xfId="354" xr:uid="{00000000-0005-0000-0000-0000D2020000}"/>
    <cellStyle name="60% - Énfasis5 4" xfId="355" xr:uid="{00000000-0005-0000-0000-0000D3020000}"/>
    <cellStyle name="60% - Énfasis5 5" xfId="352" xr:uid="{00000000-0005-0000-0000-0000D4020000}"/>
    <cellStyle name="60% - Énfasis6 2" xfId="357" xr:uid="{00000000-0005-0000-0000-0000D5020000}"/>
    <cellStyle name="60% - Énfasis6 3" xfId="358" xr:uid="{00000000-0005-0000-0000-0000D6020000}"/>
    <cellStyle name="60% - Énfasis6 4" xfId="359" xr:uid="{00000000-0005-0000-0000-0000D7020000}"/>
    <cellStyle name="60% - Énfasis6 5" xfId="356" xr:uid="{00000000-0005-0000-0000-0000D8020000}"/>
    <cellStyle name="60% - 강조색1" xfId="360" xr:uid="{00000000-0005-0000-0000-0000D9020000}"/>
    <cellStyle name="60% - 강조색2" xfId="361" xr:uid="{00000000-0005-0000-0000-0000DA020000}"/>
    <cellStyle name="60% - 강조색3" xfId="362" xr:uid="{00000000-0005-0000-0000-0000DB020000}"/>
    <cellStyle name="60% - 강조색4" xfId="363" xr:uid="{00000000-0005-0000-0000-0000DC020000}"/>
    <cellStyle name="60% - 강조색5" xfId="364" xr:uid="{00000000-0005-0000-0000-0000DD020000}"/>
    <cellStyle name="60% - 강조색6" xfId="365" xr:uid="{00000000-0005-0000-0000-0000DE020000}"/>
    <cellStyle name="aaa" xfId="366" xr:uid="{00000000-0005-0000-0000-0000DF020000}"/>
    <cellStyle name="Accent1" xfId="367" xr:uid="{00000000-0005-0000-0000-0000E0020000}"/>
    <cellStyle name="Accent1 2" xfId="1266" xr:uid="{00000000-0005-0000-0000-0000E1020000}"/>
    <cellStyle name="Accent1 3" xfId="1267" xr:uid="{00000000-0005-0000-0000-0000E2020000}"/>
    <cellStyle name="Accent1 4" xfId="1268" xr:uid="{00000000-0005-0000-0000-0000E3020000}"/>
    <cellStyle name="Accent1 5" xfId="1269" xr:uid="{00000000-0005-0000-0000-0000E4020000}"/>
    <cellStyle name="Accent2" xfId="368" xr:uid="{00000000-0005-0000-0000-0000E5020000}"/>
    <cellStyle name="Accent2 2" xfId="1270" xr:uid="{00000000-0005-0000-0000-0000E6020000}"/>
    <cellStyle name="Accent2 3" xfId="1271" xr:uid="{00000000-0005-0000-0000-0000E7020000}"/>
    <cellStyle name="Accent2 4" xfId="1272" xr:uid="{00000000-0005-0000-0000-0000E8020000}"/>
    <cellStyle name="Accent2 5" xfId="1273" xr:uid="{00000000-0005-0000-0000-0000E9020000}"/>
    <cellStyle name="Accent3" xfId="369" xr:uid="{00000000-0005-0000-0000-0000EA020000}"/>
    <cellStyle name="Accent3 2" xfId="1274" xr:uid="{00000000-0005-0000-0000-0000EB020000}"/>
    <cellStyle name="Accent3 3" xfId="1275" xr:uid="{00000000-0005-0000-0000-0000EC020000}"/>
    <cellStyle name="Accent3 4" xfId="1276" xr:uid="{00000000-0005-0000-0000-0000ED020000}"/>
    <cellStyle name="Accent3 5" xfId="1277" xr:uid="{00000000-0005-0000-0000-0000EE020000}"/>
    <cellStyle name="Accent4" xfId="370" xr:uid="{00000000-0005-0000-0000-0000EF020000}"/>
    <cellStyle name="Accent4 2" xfId="1278" xr:uid="{00000000-0005-0000-0000-0000F0020000}"/>
    <cellStyle name="Accent4 3" xfId="1279" xr:uid="{00000000-0005-0000-0000-0000F1020000}"/>
    <cellStyle name="Accent4 4" xfId="1280" xr:uid="{00000000-0005-0000-0000-0000F2020000}"/>
    <cellStyle name="Accent4 5" xfId="1281" xr:uid="{00000000-0005-0000-0000-0000F3020000}"/>
    <cellStyle name="Accent5" xfId="371" xr:uid="{00000000-0005-0000-0000-0000F4020000}"/>
    <cellStyle name="Accent5 2" xfId="1282" xr:uid="{00000000-0005-0000-0000-0000F5020000}"/>
    <cellStyle name="Accent5 3" xfId="1283" xr:uid="{00000000-0005-0000-0000-0000F6020000}"/>
    <cellStyle name="Accent5 4" xfId="1284" xr:uid="{00000000-0005-0000-0000-0000F7020000}"/>
    <cellStyle name="Accent5 5" xfId="1285" xr:uid="{00000000-0005-0000-0000-0000F8020000}"/>
    <cellStyle name="Accent6" xfId="372" xr:uid="{00000000-0005-0000-0000-0000F9020000}"/>
    <cellStyle name="Accent6 2" xfId="1286" xr:uid="{00000000-0005-0000-0000-0000FA020000}"/>
    <cellStyle name="Accent6 3" xfId="1287" xr:uid="{00000000-0005-0000-0000-0000FB020000}"/>
    <cellStyle name="Accent6 4" xfId="1288" xr:uid="{00000000-0005-0000-0000-0000FC020000}"/>
    <cellStyle name="Accent6 5" xfId="1289" xr:uid="{00000000-0005-0000-0000-0000FD020000}"/>
    <cellStyle name="ÅëÈ­ [0]_      " xfId="373" xr:uid="{00000000-0005-0000-0000-0000FE020000}"/>
    <cellStyle name="AeE­ [0]_INQUIRY ¿?¾÷AßAø " xfId="374" xr:uid="{00000000-0005-0000-0000-0000FF020000}"/>
    <cellStyle name="ÅëÈ­ [0]_laroux" xfId="375" xr:uid="{00000000-0005-0000-0000-000000030000}"/>
    <cellStyle name="AeE­ [0]_PERSONAL" xfId="376" xr:uid="{00000000-0005-0000-0000-000001030000}"/>
    <cellStyle name="ÅëÈ­_      " xfId="377" xr:uid="{00000000-0005-0000-0000-000002030000}"/>
    <cellStyle name="AeE­_INQUIRY ¿?¾÷AßAø " xfId="378" xr:uid="{00000000-0005-0000-0000-000003030000}"/>
    <cellStyle name="ÅëÈ­_laroux" xfId="379" xr:uid="{00000000-0005-0000-0000-000004030000}"/>
    <cellStyle name="AeE­_PERSONAL" xfId="380" xr:uid="{00000000-0005-0000-0000-000005030000}"/>
    <cellStyle name="Akzent1" xfId="381" xr:uid="{00000000-0005-0000-0000-000006030000}"/>
    <cellStyle name="Akzent2" xfId="382" xr:uid="{00000000-0005-0000-0000-000007030000}"/>
    <cellStyle name="Akzent3" xfId="383" xr:uid="{00000000-0005-0000-0000-000008030000}"/>
    <cellStyle name="Akzent4" xfId="384" xr:uid="{00000000-0005-0000-0000-000009030000}"/>
    <cellStyle name="Akzent5" xfId="385" xr:uid="{00000000-0005-0000-0000-00000A030000}"/>
    <cellStyle name="Akzent6" xfId="386" xr:uid="{00000000-0005-0000-0000-00000B030000}"/>
    <cellStyle name="ALIGNMENT" xfId="387" xr:uid="{00000000-0005-0000-0000-00000C030000}"/>
    <cellStyle name="ALIGNMENT 2" xfId="1290" xr:uid="{00000000-0005-0000-0000-00000D030000}"/>
    <cellStyle name="articolo" xfId="388" xr:uid="{00000000-0005-0000-0000-00000E030000}"/>
    <cellStyle name="ÄÞ¸¶ [0]_      " xfId="389" xr:uid="{00000000-0005-0000-0000-00000F030000}"/>
    <cellStyle name="AÞ¸¶ [0]_INQUIRY ¿?¾÷AßAø " xfId="390" xr:uid="{00000000-0005-0000-0000-000010030000}"/>
    <cellStyle name="ÄÞ¸¶ [0]_laroux" xfId="391" xr:uid="{00000000-0005-0000-0000-000011030000}"/>
    <cellStyle name="ÄÞ¸¶_      " xfId="392" xr:uid="{00000000-0005-0000-0000-000012030000}"/>
    <cellStyle name="AÞ¸¶_INQUIRY ¿?¾÷AßAø " xfId="393" xr:uid="{00000000-0005-0000-0000-000013030000}"/>
    <cellStyle name="ÄÞ¸¶_laroux" xfId="394" xr:uid="{00000000-0005-0000-0000-000014030000}"/>
    <cellStyle name="aum" xfId="395" xr:uid="{00000000-0005-0000-0000-000015030000}"/>
    <cellStyle name="aum 2" xfId="2515" xr:uid="{00000000-0005-0000-0000-000016030000}"/>
    <cellStyle name="Ausgabe" xfId="396" xr:uid="{00000000-0005-0000-0000-000017030000}"/>
    <cellStyle name="Auto_OpenAuto_CloseExtractD" xfId="397" xr:uid="{00000000-0005-0000-0000-000018030000}"/>
    <cellStyle name="Availability" xfId="398" xr:uid="{00000000-0005-0000-0000-000019030000}"/>
    <cellStyle name="Avertissement" xfId="2681" xr:uid="{00000000-0005-0000-0000-00001A030000}"/>
    <cellStyle name="background" xfId="399" xr:uid="{00000000-0005-0000-0000-00001B030000}"/>
    <cellStyle name="background 2" xfId="400" xr:uid="{00000000-0005-0000-0000-00001C030000}"/>
    <cellStyle name="background 2 2" xfId="1291" xr:uid="{00000000-0005-0000-0000-00001D030000}"/>
    <cellStyle name="background 2 3" xfId="1292" xr:uid="{00000000-0005-0000-0000-00001E030000}"/>
    <cellStyle name="background 2 4" xfId="1293" xr:uid="{00000000-0005-0000-0000-00001F030000}"/>
    <cellStyle name="background 2_BBV" xfId="1294" xr:uid="{00000000-0005-0000-0000-000020030000}"/>
    <cellStyle name="background 3" xfId="1295" xr:uid="{00000000-0005-0000-0000-000021030000}"/>
    <cellStyle name="background 3 2" xfId="2682" xr:uid="{00000000-0005-0000-0000-000022030000}"/>
    <cellStyle name="background 4" xfId="2683" xr:uid="{00000000-0005-0000-0000-000023030000}"/>
    <cellStyle name="background 4 2" xfId="2684" xr:uid="{00000000-0005-0000-0000-000024030000}"/>
    <cellStyle name="background_12577900" xfId="401" xr:uid="{00000000-0005-0000-0000-000025030000}"/>
    <cellStyle name="Bad" xfId="402" xr:uid="{00000000-0005-0000-0000-000026030000}"/>
    <cellStyle name="Bad 2" xfId="1296" xr:uid="{00000000-0005-0000-0000-000027030000}"/>
    <cellStyle name="Bad 3" xfId="1297" xr:uid="{00000000-0005-0000-0000-000028030000}"/>
    <cellStyle name="Bad 4" xfId="1298" xr:uid="{00000000-0005-0000-0000-000029030000}"/>
    <cellStyle name="Bad 5" xfId="1299" xr:uid="{00000000-0005-0000-0000-00002A030000}"/>
    <cellStyle name="banner" xfId="403" xr:uid="{00000000-0005-0000-0000-00002B030000}"/>
    <cellStyle name="Berechnung" xfId="404" xr:uid="{00000000-0005-0000-0000-00002C030000}"/>
    <cellStyle name="Body" xfId="1300" xr:uid="{00000000-0005-0000-0000-00002D030000}"/>
    <cellStyle name="Body 2" xfId="1301" xr:uid="{00000000-0005-0000-0000-00002E030000}"/>
    <cellStyle name="Body 2 2" xfId="1302" xr:uid="{00000000-0005-0000-0000-00002F030000}"/>
    <cellStyle name="Body 2_BBV" xfId="1303" xr:uid="{00000000-0005-0000-0000-000030030000}"/>
    <cellStyle name="Body 3" xfId="1304" xr:uid="{00000000-0005-0000-0000-000031030000}"/>
    <cellStyle name="Body 4" xfId="1305" xr:uid="{00000000-0005-0000-0000-000032030000}"/>
    <cellStyle name="Body 4 2" xfId="1306" xr:uid="{00000000-0005-0000-0000-000033030000}"/>
    <cellStyle name="Body 4 2 2" xfId="1307" xr:uid="{00000000-0005-0000-0000-000034030000}"/>
    <cellStyle name="Body 5" xfId="1308" xr:uid="{00000000-0005-0000-0000-000035030000}"/>
    <cellStyle name="Body 5 2" xfId="1309" xr:uid="{00000000-0005-0000-0000-000036030000}"/>
    <cellStyle name="body01" xfId="405" xr:uid="{00000000-0005-0000-0000-000037030000}"/>
    <cellStyle name="body02" xfId="406" xr:uid="{00000000-0005-0000-0000-000038030000}"/>
    <cellStyle name="Bold/Border" xfId="407" xr:uid="{00000000-0005-0000-0000-000039030000}"/>
    <cellStyle name="Bottom bold border" xfId="408" xr:uid="{00000000-0005-0000-0000-00003A030000}"/>
    <cellStyle name="Bottom single border" xfId="409" xr:uid="{00000000-0005-0000-0000-00003B030000}"/>
    <cellStyle name="BPC %" xfId="410" xr:uid="{00000000-0005-0000-0000-00003C030000}"/>
    <cellStyle name="BPC % 2" xfId="2516" xr:uid="{00000000-0005-0000-0000-00003D030000}"/>
    <cellStyle name="BPC abs" xfId="411" xr:uid="{00000000-0005-0000-0000-00003E030000}"/>
    <cellStyle name="BPC abs 2" xfId="2517" xr:uid="{00000000-0005-0000-0000-00003F030000}"/>
    <cellStyle name="BPC Input %" xfId="412" xr:uid="{00000000-0005-0000-0000-000040030000}"/>
    <cellStyle name="BPC Input abs" xfId="413" xr:uid="{00000000-0005-0000-0000-000041030000}"/>
    <cellStyle name="Brackets 0" xfId="414" xr:uid="{00000000-0005-0000-0000-000042030000}"/>
    <cellStyle name="Brackets 0 2" xfId="2518" xr:uid="{00000000-0005-0000-0000-000043030000}"/>
    <cellStyle name="Brackets T's 1" xfId="415" xr:uid="{00000000-0005-0000-0000-000044030000}"/>
    <cellStyle name="brakcomma" xfId="416" xr:uid="{00000000-0005-0000-0000-000045030000}"/>
    <cellStyle name="brakcomma 2" xfId="2519" xr:uid="{00000000-0005-0000-0000-000046030000}"/>
    <cellStyle name="Buena 2" xfId="417" xr:uid="{00000000-0005-0000-0000-000047030000}"/>
    <cellStyle name="Buena 3" xfId="418" xr:uid="{00000000-0005-0000-0000-000048030000}"/>
    <cellStyle name="Bullet" xfId="419" xr:uid="{00000000-0005-0000-0000-000049030000}"/>
    <cellStyle name="Bullet 2" xfId="420" xr:uid="{00000000-0005-0000-0000-00004A030000}"/>
    <cellStyle name="Bullet 2 2" xfId="2520" xr:uid="{00000000-0005-0000-0000-00004B030000}"/>
    <cellStyle name="Bullet 3" xfId="421" xr:uid="{00000000-0005-0000-0000-00004C030000}"/>
    <cellStyle name="Bullet 3 2" xfId="2521" xr:uid="{00000000-0005-0000-0000-00004D030000}"/>
    <cellStyle name="Bullet 4" xfId="2522" xr:uid="{00000000-0005-0000-0000-00004E030000}"/>
    <cellStyle name="C?AØ_¿?¾÷CoE² " xfId="422" xr:uid="{00000000-0005-0000-0000-00004F030000}"/>
    <cellStyle name="Ç¥ÁØ_      " xfId="423" xr:uid="{00000000-0005-0000-0000-000050030000}"/>
    <cellStyle name="C￥AØ_¿μ¾÷CoE² " xfId="424" xr:uid="{00000000-0005-0000-0000-000051030000}"/>
    <cellStyle name="Ç¥ÁØ_laroux" xfId="425" xr:uid="{00000000-0005-0000-0000-000052030000}"/>
    <cellStyle name="calc" xfId="426" xr:uid="{00000000-0005-0000-0000-000053030000}"/>
    <cellStyle name="CALC Amount" xfId="427" xr:uid="{00000000-0005-0000-0000-000054030000}"/>
    <cellStyle name="CALC Amount [1]" xfId="428" xr:uid="{00000000-0005-0000-0000-000055030000}"/>
    <cellStyle name="CALC Amount [2]" xfId="429" xr:uid="{00000000-0005-0000-0000-000056030000}"/>
    <cellStyle name="CALC Amount Total" xfId="430" xr:uid="{00000000-0005-0000-0000-000057030000}"/>
    <cellStyle name="CALC Amount Total [1]" xfId="431" xr:uid="{00000000-0005-0000-0000-000058030000}"/>
    <cellStyle name="CALC Amount Total [2]" xfId="432" xr:uid="{00000000-0005-0000-0000-000059030000}"/>
    <cellStyle name="CALC Currency" xfId="433" xr:uid="{00000000-0005-0000-0000-00005A030000}"/>
    <cellStyle name="Calc Currency (0)" xfId="434" xr:uid="{00000000-0005-0000-0000-00005B030000}"/>
    <cellStyle name="CALC Currency [1]" xfId="435" xr:uid="{00000000-0005-0000-0000-00005C030000}"/>
    <cellStyle name="CALC Currency [2]" xfId="436" xr:uid="{00000000-0005-0000-0000-00005D030000}"/>
    <cellStyle name="CALC Currency Total" xfId="437" xr:uid="{00000000-0005-0000-0000-00005E030000}"/>
    <cellStyle name="CALC Currency Total [1]" xfId="438" xr:uid="{00000000-0005-0000-0000-00005F030000}"/>
    <cellStyle name="CALC Currency Total [2]" xfId="439" xr:uid="{00000000-0005-0000-0000-000060030000}"/>
    <cellStyle name="CALC Date Long" xfId="440" xr:uid="{00000000-0005-0000-0000-000061030000}"/>
    <cellStyle name="CALC Date Short" xfId="441" xr:uid="{00000000-0005-0000-0000-000062030000}"/>
    <cellStyle name="CALC Percent" xfId="442" xr:uid="{00000000-0005-0000-0000-000063030000}"/>
    <cellStyle name="CALC Percent [1]" xfId="443" xr:uid="{00000000-0005-0000-0000-000064030000}"/>
    <cellStyle name="CALC Percent [2]" xfId="444" xr:uid="{00000000-0005-0000-0000-000065030000}"/>
    <cellStyle name="CALC Percent Total" xfId="445" xr:uid="{00000000-0005-0000-0000-000066030000}"/>
    <cellStyle name="CALC Percent Total [1]" xfId="446" xr:uid="{00000000-0005-0000-0000-000067030000}"/>
    <cellStyle name="CALC Percent Total [2]" xfId="447" xr:uid="{00000000-0005-0000-0000-000068030000}"/>
    <cellStyle name="Calcul" xfId="2685" xr:uid="{00000000-0005-0000-0000-000069030000}"/>
    <cellStyle name="calculated" xfId="448" xr:uid="{00000000-0005-0000-0000-00006A030000}"/>
    <cellStyle name="Calculation" xfId="449" xr:uid="{00000000-0005-0000-0000-00006B030000}"/>
    <cellStyle name="Calculation 2" xfId="1310" xr:uid="{00000000-0005-0000-0000-00006C030000}"/>
    <cellStyle name="Calculation 3" xfId="1311" xr:uid="{00000000-0005-0000-0000-00006D030000}"/>
    <cellStyle name="Calculation 4" xfId="1312" xr:uid="{00000000-0005-0000-0000-00006E030000}"/>
    <cellStyle name="Calculation 5" xfId="1313" xr:uid="{00000000-0005-0000-0000-00006F030000}"/>
    <cellStyle name="Cálculo 2" xfId="451" xr:uid="{00000000-0005-0000-0000-000070030000}"/>
    <cellStyle name="Cálculo 3" xfId="452" xr:uid="{00000000-0005-0000-0000-000071030000}"/>
    <cellStyle name="Cálculo 4" xfId="453" xr:uid="{00000000-0005-0000-0000-000072030000}"/>
    <cellStyle name="Cálculo 5" xfId="450" xr:uid="{00000000-0005-0000-0000-000073030000}"/>
    <cellStyle name="Cambiar to&amp;do" xfId="454" xr:uid="{00000000-0005-0000-0000-000074030000}"/>
    <cellStyle name="Cambiar to&amp;do 2" xfId="455" xr:uid="{00000000-0005-0000-0000-000075030000}"/>
    <cellStyle name="Cambiar to&amp;do 2 2" xfId="1314" xr:uid="{00000000-0005-0000-0000-000076030000}"/>
    <cellStyle name="Cambiar to&amp;do 3" xfId="2686" xr:uid="{00000000-0005-0000-0000-000077030000}"/>
    <cellStyle name="Cambiar to&amp;do 3 2" xfId="2687" xr:uid="{00000000-0005-0000-0000-000078030000}"/>
    <cellStyle name="Cambiar to&amp;do 4" xfId="2688" xr:uid="{00000000-0005-0000-0000-000079030000}"/>
    <cellStyle name="Cambiar to&amp;do 4 2" xfId="2689" xr:uid="{00000000-0005-0000-0000-00007A030000}"/>
    <cellStyle name="Cambiar to&amp;do_AjustesPorColat" xfId="456" xr:uid="{00000000-0005-0000-0000-00007B030000}"/>
    <cellStyle name="category" xfId="457" xr:uid="{00000000-0005-0000-0000-00007C030000}"/>
    <cellStyle name="Celda de comprobación 2" xfId="458" xr:uid="{00000000-0005-0000-0000-00007D030000}"/>
    <cellStyle name="Celda de comprobación 3" xfId="459" xr:uid="{00000000-0005-0000-0000-00007E030000}"/>
    <cellStyle name="Celda vinculada 2" xfId="460" xr:uid="{00000000-0005-0000-0000-00007F030000}"/>
    <cellStyle name="Celda vinculada 3" xfId="461" xr:uid="{00000000-0005-0000-0000-000080030000}"/>
    <cellStyle name="Celkem" xfId="462" xr:uid="{00000000-0005-0000-0000-000081030000}"/>
    <cellStyle name="Cellule liée" xfId="2690" xr:uid="{00000000-0005-0000-0000-000082030000}"/>
    <cellStyle name="Check Cell 2" xfId="1315" xr:uid="{00000000-0005-0000-0000-000083030000}"/>
    <cellStyle name="Check Cell 3" xfId="1316" xr:uid="{00000000-0005-0000-0000-000084030000}"/>
    <cellStyle name="Check Cell 4" xfId="1317" xr:uid="{00000000-0005-0000-0000-000085030000}"/>
    <cellStyle name="Check Cell 5" xfId="1318" xr:uid="{00000000-0005-0000-0000-000086030000}"/>
    <cellStyle name="Chi phÝ kh¸c_Book1" xfId="463" xr:uid="{00000000-0005-0000-0000-000087030000}"/>
    <cellStyle name="Comma  - Style1" xfId="464" xr:uid="{00000000-0005-0000-0000-000088030000}"/>
    <cellStyle name="Comma  - Style2" xfId="465" xr:uid="{00000000-0005-0000-0000-000089030000}"/>
    <cellStyle name="Comma  - Style3" xfId="466" xr:uid="{00000000-0005-0000-0000-00008A030000}"/>
    <cellStyle name="Comma  - Style4" xfId="467" xr:uid="{00000000-0005-0000-0000-00008B030000}"/>
    <cellStyle name="Comma  - Style5" xfId="468" xr:uid="{00000000-0005-0000-0000-00008C030000}"/>
    <cellStyle name="Comma  - Style6" xfId="469" xr:uid="{00000000-0005-0000-0000-00008D030000}"/>
    <cellStyle name="Comma  - Style7" xfId="470" xr:uid="{00000000-0005-0000-0000-00008E030000}"/>
    <cellStyle name="Comma  - Style8" xfId="471" xr:uid="{00000000-0005-0000-0000-00008F030000}"/>
    <cellStyle name="Comma [0] 2" xfId="472" xr:uid="{00000000-0005-0000-0000-000090030000}"/>
    <cellStyle name="Comma [0] 2 2" xfId="1320" xr:uid="{00000000-0005-0000-0000-000091030000}"/>
    <cellStyle name="Comma [0] 2 3" xfId="1319" xr:uid="{00000000-0005-0000-0000-000092030000}"/>
    <cellStyle name="Comma 10" xfId="1321" xr:uid="{00000000-0005-0000-0000-000093030000}"/>
    <cellStyle name="Comma 10 2" xfId="1322" xr:uid="{00000000-0005-0000-0000-000094030000}"/>
    <cellStyle name="Comma 10 2 2" xfId="1323" xr:uid="{00000000-0005-0000-0000-000095030000}"/>
    <cellStyle name="Comma 10 2 3" xfId="1324" xr:uid="{00000000-0005-0000-0000-000096030000}"/>
    <cellStyle name="Comma 10 2 4" xfId="1325" xr:uid="{00000000-0005-0000-0000-000097030000}"/>
    <cellStyle name="Comma 10 3" xfId="1326" xr:uid="{00000000-0005-0000-0000-000098030000}"/>
    <cellStyle name="Comma 10 3 2" xfId="1327" xr:uid="{00000000-0005-0000-0000-000099030000}"/>
    <cellStyle name="Comma 10 3 2 2" xfId="1328" xr:uid="{00000000-0005-0000-0000-00009A030000}"/>
    <cellStyle name="Comma 10 3 2 3" xfId="1329" xr:uid="{00000000-0005-0000-0000-00009B030000}"/>
    <cellStyle name="Comma 10 3 3" xfId="1330" xr:uid="{00000000-0005-0000-0000-00009C030000}"/>
    <cellStyle name="Comma 10 3 4" xfId="1331" xr:uid="{00000000-0005-0000-0000-00009D030000}"/>
    <cellStyle name="Comma 10 4" xfId="1332" xr:uid="{00000000-0005-0000-0000-00009E030000}"/>
    <cellStyle name="Comma 10 5" xfId="1333" xr:uid="{00000000-0005-0000-0000-00009F030000}"/>
    <cellStyle name="Comma 10 6" xfId="1334" xr:uid="{00000000-0005-0000-0000-0000A0030000}"/>
    <cellStyle name="Comma 11" xfId="1335" xr:uid="{00000000-0005-0000-0000-0000A1030000}"/>
    <cellStyle name="Comma 11 2" xfId="1336" xr:uid="{00000000-0005-0000-0000-0000A2030000}"/>
    <cellStyle name="Comma 11 2 2" xfId="1337" xr:uid="{00000000-0005-0000-0000-0000A3030000}"/>
    <cellStyle name="Comma 11 2 3" xfId="1338" xr:uid="{00000000-0005-0000-0000-0000A4030000}"/>
    <cellStyle name="Comma 11 3" xfId="1339" xr:uid="{00000000-0005-0000-0000-0000A5030000}"/>
    <cellStyle name="Comma 11 3 2" xfId="1340" xr:uid="{00000000-0005-0000-0000-0000A6030000}"/>
    <cellStyle name="Comma 11 3 2 2" xfId="1341" xr:uid="{00000000-0005-0000-0000-0000A7030000}"/>
    <cellStyle name="Comma 11 3 2 3" xfId="1342" xr:uid="{00000000-0005-0000-0000-0000A8030000}"/>
    <cellStyle name="Comma 11 3 3" xfId="1343" xr:uid="{00000000-0005-0000-0000-0000A9030000}"/>
    <cellStyle name="Comma 11 3 4" xfId="1344" xr:uid="{00000000-0005-0000-0000-0000AA030000}"/>
    <cellStyle name="Comma 11 4" xfId="1345" xr:uid="{00000000-0005-0000-0000-0000AB030000}"/>
    <cellStyle name="Comma 11 5" xfId="1346" xr:uid="{00000000-0005-0000-0000-0000AC030000}"/>
    <cellStyle name="Comma 12" xfId="1347" xr:uid="{00000000-0005-0000-0000-0000AD030000}"/>
    <cellStyle name="Comma 12 2" xfId="2523" xr:uid="{00000000-0005-0000-0000-0000AE030000}"/>
    <cellStyle name="Comma 13" xfId="1348" xr:uid="{00000000-0005-0000-0000-0000AF030000}"/>
    <cellStyle name="Comma 13 2" xfId="1349" xr:uid="{00000000-0005-0000-0000-0000B0030000}"/>
    <cellStyle name="Comma 13 2 2" xfId="1350" xr:uid="{00000000-0005-0000-0000-0000B1030000}"/>
    <cellStyle name="Comma 13 2 3" xfId="1351" xr:uid="{00000000-0005-0000-0000-0000B2030000}"/>
    <cellStyle name="Comma 13 3" xfId="1352" xr:uid="{00000000-0005-0000-0000-0000B3030000}"/>
    <cellStyle name="Comma 13 3 2" xfId="1353" xr:uid="{00000000-0005-0000-0000-0000B4030000}"/>
    <cellStyle name="Comma 13 3 2 2" xfId="1354" xr:uid="{00000000-0005-0000-0000-0000B5030000}"/>
    <cellStyle name="Comma 13 3 2 3" xfId="1355" xr:uid="{00000000-0005-0000-0000-0000B6030000}"/>
    <cellStyle name="Comma 13 3 3" xfId="1356" xr:uid="{00000000-0005-0000-0000-0000B7030000}"/>
    <cellStyle name="Comma 13 3 4" xfId="1357" xr:uid="{00000000-0005-0000-0000-0000B8030000}"/>
    <cellStyle name="Comma 13 4" xfId="1358" xr:uid="{00000000-0005-0000-0000-0000B9030000}"/>
    <cellStyle name="Comma 13 5" xfId="1359" xr:uid="{00000000-0005-0000-0000-0000BA030000}"/>
    <cellStyle name="Comma 14" xfId="1360" xr:uid="{00000000-0005-0000-0000-0000BB030000}"/>
    <cellStyle name="Comma 14 2" xfId="2524" xr:uid="{00000000-0005-0000-0000-0000BC030000}"/>
    <cellStyle name="Comma 15" xfId="1361" xr:uid="{00000000-0005-0000-0000-0000BD030000}"/>
    <cellStyle name="Comma 15 2" xfId="1362" xr:uid="{00000000-0005-0000-0000-0000BE030000}"/>
    <cellStyle name="Comma 15 2 2" xfId="1363" xr:uid="{00000000-0005-0000-0000-0000BF030000}"/>
    <cellStyle name="Comma 15 2 3" xfId="1364" xr:uid="{00000000-0005-0000-0000-0000C0030000}"/>
    <cellStyle name="Comma 15 3" xfId="1365" xr:uid="{00000000-0005-0000-0000-0000C1030000}"/>
    <cellStyle name="Comma 15 4" xfId="1366" xr:uid="{00000000-0005-0000-0000-0000C2030000}"/>
    <cellStyle name="Comma 16" xfId="1367" xr:uid="{00000000-0005-0000-0000-0000C3030000}"/>
    <cellStyle name="Comma 16 2" xfId="2525" xr:uid="{00000000-0005-0000-0000-0000C4030000}"/>
    <cellStyle name="Comma 17" xfId="1368" xr:uid="{00000000-0005-0000-0000-0000C5030000}"/>
    <cellStyle name="Comma 17 2" xfId="1369" xr:uid="{00000000-0005-0000-0000-0000C6030000}"/>
    <cellStyle name="Comma 17 2 2" xfId="1370" xr:uid="{00000000-0005-0000-0000-0000C7030000}"/>
    <cellStyle name="Comma 17 2 3" xfId="1371" xr:uid="{00000000-0005-0000-0000-0000C8030000}"/>
    <cellStyle name="Comma 17 3" xfId="1372" xr:uid="{00000000-0005-0000-0000-0000C9030000}"/>
    <cellStyle name="Comma 17 4" xfId="1373" xr:uid="{00000000-0005-0000-0000-0000CA030000}"/>
    <cellStyle name="Comma 18" xfId="1374" xr:uid="{00000000-0005-0000-0000-0000CB030000}"/>
    <cellStyle name="Comma 18 2" xfId="2526" xr:uid="{00000000-0005-0000-0000-0000CC030000}"/>
    <cellStyle name="Comma 19" xfId="1375" xr:uid="{00000000-0005-0000-0000-0000CD030000}"/>
    <cellStyle name="Comma 19 2" xfId="1376" xr:uid="{00000000-0005-0000-0000-0000CE030000}"/>
    <cellStyle name="Comma 19 2 2" xfId="1377" xr:uid="{00000000-0005-0000-0000-0000CF030000}"/>
    <cellStyle name="Comma 19 2 3" xfId="1378" xr:uid="{00000000-0005-0000-0000-0000D0030000}"/>
    <cellStyle name="Comma 19 3" xfId="1379" xr:uid="{00000000-0005-0000-0000-0000D1030000}"/>
    <cellStyle name="Comma 19 4" xfId="1380" xr:uid="{00000000-0005-0000-0000-0000D2030000}"/>
    <cellStyle name="Comma 2" xfId="473" xr:uid="{00000000-0005-0000-0000-0000D3030000}"/>
    <cellStyle name="Comma 2 2" xfId="1381" xr:uid="{00000000-0005-0000-0000-0000D4030000}"/>
    <cellStyle name="Comma 2 2 2" xfId="1382" xr:uid="{00000000-0005-0000-0000-0000D5030000}"/>
    <cellStyle name="Comma 2 2 2 2" xfId="1383" xr:uid="{00000000-0005-0000-0000-0000D6030000}"/>
    <cellStyle name="Comma 2 2 2 3" xfId="1384" xr:uid="{00000000-0005-0000-0000-0000D7030000}"/>
    <cellStyle name="Comma 2 2 2 4" xfId="1385" xr:uid="{00000000-0005-0000-0000-0000D8030000}"/>
    <cellStyle name="Comma 2 2 3" xfId="1386" xr:uid="{00000000-0005-0000-0000-0000D9030000}"/>
    <cellStyle name="Comma 2 2 3 2" xfId="1387" xr:uid="{00000000-0005-0000-0000-0000DA030000}"/>
    <cellStyle name="Comma 2 2 3 3" xfId="1388" xr:uid="{00000000-0005-0000-0000-0000DB030000}"/>
    <cellStyle name="Comma 2 2 3 3 2" xfId="1389" xr:uid="{00000000-0005-0000-0000-0000DC030000}"/>
    <cellStyle name="Comma 2 2 4" xfId="1390" xr:uid="{00000000-0005-0000-0000-0000DD030000}"/>
    <cellStyle name="Comma 2 2 5" xfId="1391" xr:uid="{00000000-0005-0000-0000-0000DE030000}"/>
    <cellStyle name="Comma 2 2 6" xfId="1392" xr:uid="{00000000-0005-0000-0000-0000DF030000}"/>
    <cellStyle name="Comma 2 2 6 2" xfId="1393" xr:uid="{00000000-0005-0000-0000-0000E0030000}"/>
    <cellStyle name="Comma 2 2 7" xfId="1394" xr:uid="{00000000-0005-0000-0000-0000E1030000}"/>
    <cellStyle name="Comma 2 2 7 2" xfId="1395" xr:uid="{00000000-0005-0000-0000-0000E2030000}"/>
    <cellStyle name="Comma 2 2 8" xfId="1396" xr:uid="{00000000-0005-0000-0000-0000E3030000}"/>
    <cellStyle name="Comma 2 3" xfId="1397" xr:uid="{00000000-0005-0000-0000-0000E4030000}"/>
    <cellStyle name="Comma 2 3 2" xfId="1398" xr:uid="{00000000-0005-0000-0000-0000E5030000}"/>
    <cellStyle name="Comma 2 3 3" xfId="1399" xr:uid="{00000000-0005-0000-0000-0000E6030000}"/>
    <cellStyle name="Comma 2 3 4" xfId="1400" xr:uid="{00000000-0005-0000-0000-0000E7030000}"/>
    <cellStyle name="Comma 2 4" xfId="1401" xr:uid="{00000000-0005-0000-0000-0000E8030000}"/>
    <cellStyle name="Comma 2 4 2" xfId="2691" xr:uid="{00000000-0005-0000-0000-0000E9030000}"/>
    <cellStyle name="Comma 2 5" xfId="1402" xr:uid="{00000000-0005-0000-0000-0000EA030000}"/>
    <cellStyle name="Comma 2 6" xfId="1403" xr:uid="{00000000-0005-0000-0000-0000EB030000}"/>
    <cellStyle name="Comma 2 7" xfId="1075" xr:uid="{00000000-0005-0000-0000-0000EC030000}"/>
    <cellStyle name="Comma 20" xfId="1404" xr:uid="{00000000-0005-0000-0000-0000ED030000}"/>
    <cellStyle name="Comma 20 2" xfId="2527" xr:uid="{00000000-0005-0000-0000-0000EE030000}"/>
    <cellStyle name="Comma 21" xfId="1405" xr:uid="{00000000-0005-0000-0000-0000EF030000}"/>
    <cellStyle name="Comma 21 2" xfId="1406" xr:uid="{00000000-0005-0000-0000-0000F0030000}"/>
    <cellStyle name="Comma 21 2 2" xfId="1407" xr:uid="{00000000-0005-0000-0000-0000F1030000}"/>
    <cellStyle name="Comma 21 2 3" xfId="1408" xr:uid="{00000000-0005-0000-0000-0000F2030000}"/>
    <cellStyle name="Comma 21 3" xfId="1409" xr:uid="{00000000-0005-0000-0000-0000F3030000}"/>
    <cellStyle name="Comma 21 4" xfId="1410" xr:uid="{00000000-0005-0000-0000-0000F4030000}"/>
    <cellStyle name="Comma 22" xfId="1411" xr:uid="{00000000-0005-0000-0000-0000F5030000}"/>
    <cellStyle name="Comma 22 2" xfId="2528" xr:uid="{00000000-0005-0000-0000-0000F6030000}"/>
    <cellStyle name="Comma 23" xfId="1412" xr:uid="{00000000-0005-0000-0000-0000F7030000}"/>
    <cellStyle name="Comma 23 2" xfId="1413" xr:uid="{00000000-0005-0000-0000-0000F8030000}"/>
    <cellStyle name="Comma 23 2 2" xfId="1414" xr:uid="{00000000-0005-0000-0000-0000F9030000}"/>
    <cellStyle name="Comma 23 2 3" xfId="1415" xr:uid="{00000000-0005-0000-0000-0000FA030000}"/>
    <cellStyle name="Comma 23 3" xfId="1416" xr:uid="{00000000-0005-0000-0000-0000FB030000}"/>
    <cellStyle name="Comma 23 4" xfId="1417" xr:uid="{00000000-0005-0000-0000-0000FC030000}"/>
    <cellStyle name="Comma 24" xfId="1418" xr:uid="{00000000-0005-0000-0000-0000FD030000}"/>
    <cellStyle name="Comma 24 2" xfId="2529" xr:uid="{00000000-0005-0000-0000-0000FE030000}"/>
    <cellStyle name="Comma 25" xfId="1419" xr:uid="{00000000-0005-0000-0000-0000FF030000}"/>
    <cellStyle name="Comma 25 2" xfId="1420" xr:uid="{00000000-0005-0000-0000-000000040000}"/>
    <cellStyle name="Comma 25 2 2" xfId="1421" xr:uid="{00000000-0005-0000-0000-000001040000}"/>
    <cellStyle name="Comma 25 2 3" xfId="1422" xr:uid="{00000000-0005-0000-0000-000002040000}"/>
    <cellStyle name="Comma 25 3" xfId="1423" xr:uid="{00000000-0005-0000-0000-000003040000}"/>
    <cellStyle name="Comma 25 4" xfId="1424" xr:uid="{00000000-0005-0000-0000-000004040000}"/>
    <cellStyle name="Comma 26" xfId="1425" xr:uid="{00000000-0005-0000-0000-000005040000}"/>
    <cellStyle name="Comma 26 2" xfId="2530" xr:uid="{00000000-0005-0000-0000-000006040000}"/>
    <cellStyle name="Comma 27" xfId="1426" xr:uid="{00000000-0005-0000-0000-000007040000}"/>
    <cellStyle name="Comma 27 2" xfId="2531" xr:uid="{00000000-0005-0000-0000-000008040000}"/>
    <cellStyle name="Comma 28" xfId="1427" xr:uid="{00000000-0005-0000-0000-000009040000}"/>
    <cellStyle name="Comma 28 2" xfId="2532" xr:uid="{00000000-0005-0000-0000-00000A040000}"/>
    <cellStyle name="Comma 29" xfId="1428" xr:uid="{00000000-0005-0000-0000-00000B040000}"/>
    <cellStyle name="Comma 29 2" xfId="1429" xr:uid="{00000000-0005-0000-0000-00000C040000}"/>
    <cellStyle name="Comma 29 3" xfId="1430" xr:uid="{00000000-0005-0000-0000-00000D040000}"/>
    <cellStyle name="Comma 3" xfId="474" xr:uid="{00000000-0005-0000-0000-00000E040000}"/>
    <cellStyle name="Comma 3 2" xfId="1431" xr:uid="{00000000-0005-0000-0000-00000F040000}"/>
    <cellStyle name="Comma 3 2 2" xfId="1432" xr:uid="{00000000-0005-0000-0000-000010040000}"/>
    <cellStyle name="Comma 3 2 3" xfId="1433" xr:uid="{00000000-0005-0000-0000-000011040000}"/>
    <cellStyle name="Comma 3 2 4" xfId="1434" xr:uid="{00000000-0005-0000-0000-000012040000}"/>
    <cellStyle name="Comma 3 3" xfId="1435" xr:uid="{00000000-0005-0000-0000-000013040000}"/>
    <cellStyle name="Comma 3 4" xfId="1436" xr:uid="{00000000-0005-0000-0000-000014040000}"/>
    <cellStyle name="Comma 3 5" xfId="1437" xr:uid="{00000000-0005-0000-0000-000015040000}"/>
    <cellStyle name="Comma 3 6" xfId="1438" xr:uid="{00000000-0005-0000-0000-000016040000}"/>
    <cellStyle name="Comma 3 7" xfId="1439" xr:uid="{00000000-0005-0000-0000-000017040000}"/>
    <cellStyle name="Comma 3 8" xfId="1440" xr:uid="{00000000-0005-0000-0000-000018040000}"/>
    <cellStyle name="Comma 30" xfId="1441" xr:uid="{00000000-0005-0000-0000-000019040000}"/>
    <cellStyle name="Comma 30 2" xfId="1442" xr:uid="{00000000-0005-0000-0000-00001A040000}"/>
    <cellStyle name="Comma 30 3" xfId="1443" xr:uid="{00000000-0005-0000-0000-00001B040000}"/>
    <cellStyle name="Comma 31" xfId="1444" xr:uid="{00000000-0005-0000-0000-00001C040000}"/>
    <cellStyle name="Comma 31 2" xfId="1445" xr:uid="{00000000-0005-0000-0000-00001D040000}"/>
    <cellStyle name="Comma 31 3" xfId="1446" xr:uid="{00000000-0005-0000-0000-00001E040000}"/>
    <cellStyle name="Comma 32" xfId="1447" xr:uid="{00000000-0005-0000-0000-00001F040000}"/>
    <cellStyle name="Comma 32 2" xfId="1448" xr:uid="{00000000-0005-0000-0000-000020040000}"/>
    <cellStyle name="Comma 32 3" xfId="1449" xr:uid="{00000000-0005-0000-0000-000021040000}"/>
    <cellStyle name="Comma 33" xfId="1450" xr:uid="{00000000-0005-0000-0000-000022040000}"/>
    <cellStyle name="Comma 33 2" xfId="1451" xr:uid="{00000000-0005-0000-0000-000023040000}"/>
    <cellStyle name="Comma 33 3" xfId="2533" xr:uid="{00000000-0005-0000-0000-000024040000}"/>
    <cellStyle name="Comma 34" xfId="1452" xr:uid="{00000000-0005-0000-0000-000025040000}"/>
    <cellStyle name="Comma 35" xfId="1453" xr:uid="{00000000-0005-0000-0000-000026040000}"/>
    <cellStyle name="Comma 36" xfId="1454" xr:uid="{00000000-0005-0000-0000-000027040000}"/>
    <cellStyle name="Comma 37" xfId="1455" xr:uid="{00000000-0005-0000-0000-000028040000}"/>
    <cellStyle name="Comma 38" xfId="1456" xr:uid="{00000000-0005-0000-0000-000029040000}"/>
    <cellStyle name="Comma 39" xfId="1457" xr:uid="{00000000-0005-0000-0000-00002A040000}"/>
    <cellStyle name="Comma 4" xfId="475" xr:uid="{00000000-0005-0000-0000-00002B040000}"/>
    <cellStyle name="Comma 4 2" xfId="1459" xr:uid="{00000000-0005-0000-0000-00002C040000}"/>
    <cellStyle name="Comma 4 3" xfId="1460" xr:uid="{00000000-0005-0000-0000-00002D040000}"/>
    <cellStyle name="Comma 4 3 2" xfId="2692" xr:uid="{00000000-0005-0000-0000-00002E040000}"/>
    <cellStyle name="Comma 4 4" xfId="1461" xr:uid="{00000000-0005-0000-0000-00002F040000}"/>
    <cellStyle name="Comma 4 5" xfId="1462" xr:uid="{00000000-0005-0000-0000-000030040000}"/>
    <cellStyle name="Comma 4 6" xfId="1463" xr:uid="{00000000-0005-0000-0000-000031040000}"/>
    <cellStyle name="Comma 4 7" xfId="1458" xr:uid="{00000000-0005-0000-0000-000032040000}"/>
    <cellStyle name="Comma 40" xfId="1464" xr:uid="{00000000-0005-0000-0000-000033040000}"/>
    <cellStyle name="Comma 41" xfId="1465" xr:uid="{00000000-0005-0000-0000-000034040000}"/>
    <cellStyle name="Comma 42" xfId="1466" xr:uid="{00000000-0005-0000-0000-000035040000}"/>
    <cellStyle name="Comma 43" xfId="1467" xr:uid="{00000000-0005-0000-0000-000036040000}"/>
    <cellStyle name="Comma 44" xfId="1468" xr:uid="{00000000-0005-0000-0000-000037040000}"/>
    <cellStyle name="Comma 45" xfId="1469" xr:uid="{00000000-0005-0000-0000-000038040000}"/>
    <cellStyle name="Comma 46" xfId="1470" xr:uid="{00000000-0005-0000-0000-000039040000}"/>
    <cellStyle name="Comma 46 2" xfId="1471" xr:uid="{00000000-0005-0000-0000-00003A040000}"/>
    <cellStyle name="Comma 46 3" xfId="1472" xr:uid="{00000000-0005-0000-0000-00003B040000}"/>
    <cellStyle name="Comma 47" xfId="1473" xr:uid="{00000000-0005-0000-0000-00003C040000}"/>
    <cellStyle name="Comma 47 2" xfId="1474" xr:uid="{00000000-0005-0000-0000-00003D040000}"/>
    <cellStyle name="Comma 47 3" xfId="1475" xr:uid="{00000000-0005-0000-0000-00003E040000}"/>
    <cellStyle name="Comma 48" xfId="1476" xr:uid="{00000000-0005-0000-0000-00003F040000}"/>
    <cellStyle name="Comma 48 2" xfId="1477" xr:uid="{00000000-0005-0000-0000-000040040000}"/>
    <cellStyle name="Comma 48 3" xfId="1478" xr:uid="{00000000-0005-0000-0000-000041040000}"/>
    <cellStyle name="Comma 49" xfId="1479" xr:uid="{00000000-0005-0000-0000-000042040000}"/>
    <cellStyle name="Comma 5" xfId="476" xr:uid="{00000000-0005-0000-0000-000043040000}"/>
    <cellStyle name="Comma 5 2" xfId="1480" xr:uid="{00000000-0005-0000-0000-000044040000}"/>
    <cellStyle name="Comma 5 2 2" xfId="1481" xr:uid="{00000000-0005-0000-0000-000045040000}"/>
    <cellStyle name="Comma 5 2 3" xfId="1482" xr:uid="{00000000-0005-0000-0000-000046040000}"/>
    <cellStyle name="Comma 5 3" xfId="1483" xr:uid="{00000000-0005-0000-0000-000047040000}"/>
    <cellStyle name="Comma 5 3 2" xfId="1484" xr:uid="{00000000-0005-0000-0000-000048040000}"/>
    <cellStyle name="Comma 5 3 3" xfId="1485" xr:uid="{00000000-0005-0000-0000-000049040000}"/>
    <cellStyle name="Comma 5 3 3 2" xfId="2693" xr:uid="{00000000-0005-0000-0000-00004A040000}"/>
    <cellStyle name="Comma 5 3 4" xfId="2694" xr:uid="{00000000-0005-0000-0000-00004B040000}"/>
    <cellStyle name="Comma 5 4" xfId="1486" xr:uid="{00000000-0005-0000-0000-00004C040000}"/>
    <cellStyle name="Comma 5 4 2" xfId="1487" xr:uid="{00000000-0005-0000-0000-00004D040000}"/>
    <cellStyle name="Comma 5 4 3" xfId="1488" xr:uid="{00000000-0005-0000-0000-00004E040000}"/>
    <cellStyle name="Comma 5 5" xfId="1489" xr:uid="{00000000-0005-0000-0000-00004F040000}"/>
    <cellStyle name="Comma 5 6" xfId="1490" xr:uid="{00000000-0005-0000-0000-000050040000}"/>
    <cellStyle name="Comma 50" xfId="1491" xr:uid="{00000000-0005-0000-0000-000051040000}"/>
    <cellStyle name="Comma 50 2" xfId="1492" xr:uid="{00000000-0005-0000-0000-000052040000}"/>
    <cellStyle name="Comma 50 2 2" xfId="1493" xr:uid="{00000000-0005-0000-0000-000053040000}"/>
    <cellStyle name="Comma 50 3" xfId="1494" xr:uid="{00000000-0005-0000-0000-000054040000}"/>
    <cellStyle name="Comma 50 4" xfId="1495" xr:uid="{00000000-0005-0000-0000-000055040000}"/>
    <cellStyle name="Comma 51" xfId="1496" xr:uid="{00000000-0005-0000-0000-000056040000}"/>
    <cellStyle name="Comma 51 2" xfId="1497" xr:uid="{00000000-0005-0000-0000-000057040000}"/>
    <cellStyle name="Comma 51 3" xfId="1498" xr:uid="{00000000-0005-0000-0000-000058040000}"/>
    <cellStyle name="Comma 52" xfId="1499" xr:uid="{00000000-0005-0000-0000-000059040000}"/>
    <cellStyle name="Comma 52 2" xfId="1500" xr:uid="{00000000-0005-0000-0000-00005A040000}"/>
    <cellStyle name="Comma 52 3" xfId="1501" xr:uid="{00000000-0005-0000-0000-00005B040000}"/>
    <cellStyle name="Comma 53" xfId="1502" xr:uid="{00000000-0005-0000-0000-00005C040000}"/>
    <cellStyle name="Comma 54" xfId="1503" xr:uid="{00000000-0005-0000-0000-00005D040000}"/>
    <cellStyle name="Comma 55" xfId="1504" xr:uid="{00000000-0005-0000-0000-00005E040000}"/>
    <cellStyle name="Comma 55 2" xfId="1505" xr:uid="{00000000-0005-0000-0000-00005F040000}"/>
    <cellStyle name="Comma 56" xfId="1506" xr:uid="{00000000-0005-0000-0000-000060040000}"/>
    <cellStyle name="Comma 56 2" xfId="1507" xr:uid="{00000000-0005-0000-0000-000061040000}"/>
    <cellStyle name="Comma 57" xfId="1508" xr:uid="{00000000-0005-0000-0000-000062040000}"/>
    <cellStyle name="Comma 58" xfId="1509" xr:uid="{00000000-0005-0000-0000-000063040000}"/>
    <cellStyle name="Comma 59" xfId="1510" xr:uid="{00000000-0005-0000-0000-000064040000}"/>
    <cellStyle name="Comma 6" xfId="477" xr:uid="{00000000-0005-0000-0000-000065040000}"/>
    <cellStyle name="Comma 6 2" xfId="1512" xr:uid="{00000000-0005-0000-0000-000066040000}"/>
    <cellStyle name="Comma 6 3" xfId="1513" xr:uid="{00000000-0005-0000-0000-000067040000}"/>
    <cellStyle name="Comma 6 4" xfId="1511" xr:uid="{00000000-0005-0000-0000-000068040000}"/>
    <cellStyle name="Comma 60" xfId="1514" xr:uid="{00000000-0005-0000-0000-000069040000}"/>
    <cellStyle name="Comma 60 2" xfId="1515" xr:uid="{00000000-0005-0000-0000-00006A040000}"/>
    <cellStyle name="Comma 61" xfId="1516" xr:uid="{00000000-0005-0000-0000-00006B040000}"/>
    <cellStyle name="Comma 62" xfId="1517" xr:uid="{00000000-0005-0000-0000-00006C040000}"/>
    <cellStyle name="Comma 62 2" xfId="1518" xr:uid="{00000000-0005-0000-0000-00006D040000}"/>
    <cellStyle name="Comma 63" xfId="1519" xr:uid="{00000000-0005-0000-0000-00006E040000}"/>
    <cellStyle name="Comma 63 2" xfId="1520" xr:uid="{00000000-0005-0000-0000-00006F040000}"/>
    <cellStyle name="Comma 64" xfId="1521" xr:uid="{00000000-0005-0000-0000-000070040000}"/>
    <cellStyle name="Comma 64 2" xfId="1522" xr:uid="{00000000-0005-0000-0000-000071040000}"/>
    <cellStyle name="Comma 65" xfId="1523" xr:uid="{00000000-0005-0000-0000-000072040000}"/>
    <cellStyle name="Comma 66" xfId="1524" xr:uid="{00000000-0005-0000-0000-000073040000}"/>
    <cellStyle name="Comma 67" xfId="1525" xr:uid="{00000000-0005-0000-0000-000074040000}"/>
    <cellStyle name="Comma 68" xfId="1526" xr:uid="{00000000-0005-0000-0000-000075040000}"/>
    <cellStyle name="Comma 69" xfId="1527" xr:uid="{00000000-0005-0000-0000-000076040000}"/>
    <cellStyle name="Comma 7" xfId="1528" xr:uid="{00000000-0005-0000-0000-000077040000}"/>
    <cellStyle name="Comma 7 2" xfId="1529" xr:uid="{00000000-0005-0000-0000-000078040000}"/>
    <cellStyle name="Comma 7 2 2" xfId="1530" xr:uid="{00000000-0005-0000-0000-000079040000}"/>
    <cellStyle name="Comma 7 2 3" xfId="1531" xr:uid="{00000000-0005-0000-0000-00007A040000}"/>
    <cellStyle name="Comma 7 3" xfId="1532" xr:uid="{00000000-0005-0000-0000-00007B040000}"/>
    <cellStyle name="Comma 7 3 2" xfId="1533" xr:uid="{00000000-0005-0000-0000-00007C040000}"/>
    <cellStyle name="Comma 7 3 2 2" xfId="1534" xr:uid="{00000000-0005-0000-0000-00007D040000}"/>
    <cellStyle name="Comma 7 3 2 3" xfId="1535" xr:uid="{00000000-0005-0000-0000-00007E040000}"/>
    <cellStyle name="Comma 7 3 3" xfId="1536" xr:uid="{00000000-0005-0000-0000-00007F040000}"/>
    <cellStyle name="Comma 7 3 4" xfId="1537" xr:uid="{00000000-0005-0000-0000-000080040000}"/>
    <cellStyle name="Comma 7 4" xfId="1538" xr:uid="{00000000-0005-0000-0000-000081040000}"/>
    <cellStyle name="Comma 7 5" xfId="1539" xr:uid="{00000000-0005-0000-0000-000082040000}"/>
    <cellStyle name="Comma 70" xfId="2377" xr:uid="{00000000-0005-0000-0000-000083040000}"/>
    <cellStyle name="Comma 71" xfId="2534" xr:uid="{00000000-0005-0000-0000-000084040000}"/>
    <cellStyle name="Comma 72" xfId="2535" xr:uid="{00000000-0005-0000-0000-000085040000}"/>
    <cellStyle name="Comma 8" xfId="1540" xr:uid="{00000000-0005-0000-0000-000086040000}"/>
    <cellStyle name="Comma 8 2" xfId="1541" xr:uid="{00000000-0005-0000-0000-000087040000}"/>
    <cellStyle name="Comma 8 2 2" xfId="1542" xr:uid="{00000000-0005-0000-0000-000088040000}"/>
    <cellStyle name="Comma 8 2 3" xfId="1543" xr:uid="{00000000-0005-0000-0000-000089040000}"/>
    <cellStyle name="Comma 8 3" xfId="1544" xr:uid="{00000000-0005-0000-0000-00008A040000}"/>
    <cellStyle name="Comma 8 3 2" xfId="1545" xr:uid="{00000000-0005-0000-0000-00008B040000}"/>
    <cellStyle name="Comma 8 3 2 2" xfId="1546" xr:uid="{00000000-0005-0000-0000-00008C040000}"/>
    <cellStyle name="Comma 8 3 2 3" xfId="1547" xr:uid="{00000000-0005-0000-0000-00008D040000}"/>
    <cellStyle name="Comma 8 3 3" xfId="1548" xr:uid="{00000000-0005-0000-0000-00008E040000}"/>
    <cellStyle name="Comma 8 3 4" xfId="1549" xr:uid="{00000000-0005-0000-0000-00008F040000}"/>
    <cellStyle name="Comma 8 4" xfId="1550" xr:uid="{00000000-0005-0000-0000-000090040000}"/>
    <cellStyle name="Comma 8 5" xfId="1551" xr:uid="{00000000-0005-0000-0000-000091040000}"/>
    <cellStyle name="Comma 9" xfId="1552" xr:uid="{00000000-0005-0000-0000-000092040000}"/>
    <cellStyle name="Comma 9 2" xfId="1553" xr:uid="{00000000-0005-0000-0000-000093040000}"/>
    <cellStyle name="Comma 9 2 2" xfId="1554" xr:uid="{00000000-0005-0000-0000-000094040000}"/>
    <cellStyle name="Comma 9 2 3" xfId="1555" xr:uid="{00000000-0005-0000-0000-000095040000}"/>
    <cellStyle name="Comma 9 3" xfId="1556" xr:uid="{00000000-0005-0000-0000-000096040000}"/>
    <cellStyle name="Comma 9 3 2" xfId="1557" xr:uid="{00000000-0005-0000-0000-000097040000}"/>
    <cellStyle name="Comma 9 3 2 2" xfId="1558" xr:uid="{00000000-0005-0000-0000-000098040000}"/>
    <cellStyle name="Comma 9 3 2 3" xfId="1559" xr:uid="{00000000-0005-0000-0000-000099040000}"/>
    <cellStyle name="Comma 9 3 3" xfId="1560" xr:uid="{00000000-0005-0000-0000-00009A040000}"/>
    <cellStyle name="Comma 9 3 4" xfId="1561" xr:uid="{00000000-0005-0000-0000-00009B040000}"/>
    <cellStyle name="Comma 9 4" xfId="1562" xr:uid="{00000000-0005-0000-0000-00009C040000}"/>
    <cellStyle name="Comma 9 5" xfId="1563" xr:uid="{00000000-0005-0000-0000-00009D040000}"/>
    <cellStyle name="comma zerodec" xfId="478" xr:uid="{00000000-0005-0000-0000-00009E040000}"/>
    <cellStyle name="comma zerodec 2" xfId="1564" xr:uid="{00000000-0005-0000-0000-00009F040000}"/>
    <cellStyle name="Comma0" xfId="479" xr:uid="{00000000-0005-0000-0000-0000A0040000}"/>
    <cellStyle name="Comma0 2" xfId="1565" xr:uid="{00000000-0005-0000-0000-0000A1040000}"/>
    <cellStyle name="Comma0 2 2" xfId="1566" xr:uid="{00000000-0005-0000-0000-0000A2040000}"/>
    <cellStyle name="Comma0 2 3" xfId="1567" xr:uid="{00000000-0005-0000-0000-0000A3040000}"/>
    <cellStyle name="Comma0 3" xfId="1568" xr:uid="{00000000-0005-0000-0000-0000A4040000}"/>
    <cellStyle name="Comma0 3 2" xfId="1569" xr:uid="{00000000-0005-0000-0000-0000A5040000}"/>
    <cellStyle name="Comma0_00.Carlos101.Multicurve.spl" xfId="1570" xr:uid="{00000000-0005-0000-0000-0000A6040000}"/>
    <cellStyle name="Commentaire" xfId="2695" xr:uid="{00000000-0005-0000-0000-0000A7040000}"/>
    <cellStyle name="cong" xfId="480" xr:uid="{00000000-0005-0000-0000-0000A8040000}"/>
    <cellStyle name="Constant (do not change)" xfId="481" xr:uid="{00000000-0005-0000-0000-0000A9040000}"/>
    <cellStyle name="Criteria" xfId="482" xr:uid="{00000000-0005-0000-0000-0000AA040000}"/>
    <cellStyle name="Criteria 2" xfId="2536" xr:uid="{00000000-0005-0000-0000-0000AB040000}"/>
    <cellStyle name="Currency0" xfId="483" xr:uid="{00000000-0005-0000-0000-0000AC040000}"/>
    <cellStyle name="Currency0 2" xfId="1571" xr:uid="{00000000-0005-0000-0000-0000AD040000}"/>
    <cellStyle name="Currency0 2 2" xfId="1572" xr:uid="{00000000-0005-0000-0000-0000AE040000}"/>
    <cellStyle name="Currency0 2 3" xfId="1573" xr:uid="{00000000-0005-0000-0000-0000AF040000}"/>
    <cellStyle name="Currency0 3" xfId="1574" xr:uid="{00000000-0005-0000-0000-0000B0040000}"/>
    <cellStyle name="Currency0 3 2" xfId="1575" xr:uid="{00000000-0005-0000-0000-0000B1040000}"/>
    <cellStyle name="Currency0_00.Carlos101.Multicurve.spl" xfId="1576" xr:uid="{00000000-0005-0000-0000-0000B2040000}"/>
    <cellStyle name="Currency1" xfId="484" xr:uid="{00000000-0005-0000-0000-0000B3040000}"/>
    <cellStyle name="Currency1 2" xfId="1577" xr:uid="{00000000-0005-0000-0000-0000B4040000}"/>
    <cellStyle name="Dash" xfId="485" xr:uid="{00000000-0005-0000-0000-0000B5040000}"/>
    <cellStyle name="Dash 2" xfId="486" xr:uid="{00000000-0005-0000-0000-0000B6040000}"/>
    <cellStyle name="Dash 2 2" xfId="2537" xr:uid="{00000000-0005-0000-0000-0000B7040000}"/>
    <cellStyle name="Dash 3" xfId="487" xr:uid="{00000000-0005-0000-0000-0000B8040000}"/>
    <cellStyle name="Dash 3 2" xfId="2538" xr:uid="{00000000-0005-0000-0000-0000B9040000}"/>
    <cellStyle name="Dash 4" xfId="2539" xr:uid="{00000000-0005-0000-0000-0000BA040000}"/>
    <cellStyle name="data" xfId="488" xr:uid="{00000000-0005-0000-0000-0000BB040000}"/>
    <cellStyle name="DATA Amount" xfId="489" xr:uid="{00000000-0005-0000-0000-0000BC040000}"/>
    <cellStyle name="DATA Amount [1]" xfId="490" xr:uid="{00000000-0005-0000-0000-0000BD040000}"/>
    <cellStyle name="DATA Amount [2]" xfId="491" xr:uid="{00000000-0005-0000-0000-0000BE040000}"/>
    <cellStyle name="DATA Currency" xfId="492" xr:uid="{00000000-0005-0000-0000-0000BF040000}"/>
    <cellStyle name="DATA Currency [1]" xfId="493" xr:uid="{00000000-0005-0000-0000-0000C0040000}"/>
    <cellStyle name="DATA Currency [2]" xfId="494" xr:uid="{00000000-0005-0000-0000-0000C1040000}"/>
    <cellStyle name="DATA Date Long" xfId="495" xr:uid="{00000000-0005-0000-0000-0000C2040000}"/>
    <cellStyle name="DATA Date Short" xfId="496" xr:uid="{00000000-0005-0000-0000-0000C3040000}"/>
    <cellStyle name="DATA List" xfId="497" xr:uid="{00000000-0005-0000-0000-0000C4040000}"/>
    <cellStyle name="DATA Memo" xfId="498" xr:uid="{00000000-0005-0000-0000-0000C5040000}"/>
    <cellStyle name="DATA Percent" xfId="499" xr:uid="{00000000-0005-0000-0000-0000C6040000}"/>
    <cellStyle name="DATA Percent [1]" xfId="500" xr:uid="{00000000-0005-0000-0000-0000C7040000}"/>
    <cellStyle name="DATA Percent [2]" xfId="501" xr:uid="{00000000-0005-0000-0000-0000C8040000}"/>
    <cellStyle name="DATA Text" xfId="502" xr:uid="{00000000-0005-0000-0000-0000C9040000}"/>
    <cellStyle name="DATA Version" xfId="503" xr:uid="{00000000-0005-0000-0000-0000CA040000}"/>
    <cellStyle name="data_3000" xfId="504" xr:uid="{00000000-0005-0000-0000-0000CB040000}"/>
    <cellStyle name="Data1" xfId="505" xr:uid="{00000000-0005-0000-0000-0000CC040000}"/>
    <cellStyle name="Data2" xfId="506" xr:uid="{00000000-0005-0000-0000-0000CD040000}"/>
    <cellStyle name="Data2 2" xfId="1578" xr:uid="{00000000-0005-0000-0000-0000CE040000}"/>
    <cellStyle name="Data3" xfId="507" xr:uid="{00000000-0005-0000-0000-0000CF040000}"/>
    <cellStyle name="Data3 2" xfId="1579" xr:uid="{00000000-0005-0000-0000-0000D0040000}"/>
    <cellStyle name="Data4" xfId="508" xr:uid="{00000000-0005-0000-0000-0000D1040000}"/>
    <cellStyle name="Data5" xfId="509" xr:uid="{00000000-0005-0000-0000-0000D2040000}"/>
    <cellStyle name="date" xfId="510" xr:uid="{00000000-0005-0000-0000-0000D3040000}"/>
    <cellStyle name="date 2" xfId="511" xr:uid="{00000000-0005-0000-0000-0000D4040000}"/>
    <cellStyle name="date 2 2" xfId="1581" xr:uid="{00000000-0005-0000-0000-0000D5040000}"/>
    <cellStyle name="date 2 3" xfId="1582" xr:uid="{00000000-0005-0000-0000-0000D6040000}"/>
    <cellStyle name="date 2 4" xfId="1583" xr:uid="{00000000-0005-0000-0000-0000D7040000}"/>
    <cellStyle name="Date 2 5" xfId="1584" xr:uid="{00000000-0005-0000-0000-0000D8040000}"/>
    <cellStyle name="Date 2 6" xfId="1585" xr:uid="{00000000-0005-0000-0000-0000D9040000}"/>
    <cellStyle name="Date 2 7" xfId="1580" xr:uid="{00000000-0005-0000-0000-0000DA040000}"/>
    <cellStyle name="date 3" xfId="1586" xr:uid="{00000000-0005-0000-0000-0000DB040000}"/>
    <cellStyle name="Date 3 2" xfId="1587" xr:uid="{00000000-0005-0000-0000-0000DC040000}"/>
    <cellStyle name="date 3 3" xfId="1588" xr:uid="{00000000-0005-0000-0000-0000DD040000}"/>
    <cellStyle name="Date 3 4" xfId="1589" xr:uid="{00000000-0005-0000-0000-0000DE040000}"/>
    <cellStyle name="Date 4" xfId="1590" xr:uid="{00000000-0005-0000-0000-0000DF040000}"/>
    <cellStyle name="date 4 2" xfId="2696" xr:uid="{00000000-0005-0000-0000-0000E0040000}"/>
    <cellStyle name="date_BBV" xfId="1591" xr:uid="{00000000-0005-0000-0000-0000E1040000}"/>
    <cellStyle name="DateFormat" xfId="512" xr:uid="{00000000-0005-0000-0000-0000E2040000}"/>
    <cellStyle name="DateFormat 2" xfId="2540" xr:uid="{00000000-0005-0000-0000-0000E3040000}"/>
    <cellStyle name="DateModel" xfId="513" xr:uid="{00000000-0005-0000-0000-0000E4040000}"/>
    <cellStyle name="DatePeriodic" xfId="514" xr:uid="{00000000-0005-0000-0000-0000E5040000}"/>
    <cellStyle name="datetime" xfId="515" xr:uid="{00000000-0005-0000-0000-0000E6040000}"/>
    <cellStyle name="Datum" xfId="516" xr:uid="{00000000-0005-0000-0000-0000E7040000}"/>
    <cellStyle name="DAUDE" xfId="517" xr:uid="{00000000-0005-0000-0000-0000E8040000}"/>
    <cellStyle name="descrizione" xfId="518" xr:uid="{00000000-0005-0000-0000-0000E9040000}"/>
    <cellStyle name="descrizione 2" xfId="2541" xr:uid="{00000000-0005-0000-0000-0000EA040000}"/>
    <cellStyle name="descrizione articolo" xfId="519" xr:uid="{00000000-0005-0000-0000-0000EB040000}"/>
    <cellStyle name="Dezimal [0]_~0027840" xfId="520" xr:uid="{00000000-0005-0000-0000-0000EC040000}"/>
    <cellStyle name="Dezimal_99_alone_dec" xfId="521" xr:uid="{00000000-0005-0000-0000-0000ED040000}"/>
    <cellStyle name="Dollar (zero dec)" xfId="522" xr:uid="{00000000-0005-0000-0000-0000EE040000}"/>
    <cellStyle name="Dollar (zero dec) 2" xfId="1592" xr:uid="{00000000-0005-0000-0000-0000EF040000}"/>
    <cellStyle name="Dziesi?tny [0]_Invoices2001Slovakia" xfId="523" xr:uid="{00000000-0005-0000-0000-0000F0040000}"/>
    <cellStyle name="Dziesi?tny_Invoices2001Slovakia" xfId="524" xr:uid="{00000000-0005-0000-0000-0000F1040000}"/>
    <cellStyle name="Dziesietny [0]_Invoices2001Slovakia" xfId="525" xr:uid="{00000000-0005-0000-0000-0000F2040000}"/>
    <cellStyle name="Dziesiętny [0]_Invoices2001Slovakia" xfId="526" xr:uid="{00000000-0005-0000-0000-0000F3040000}"/>
    <cellStyle name="Dziesietny [0]_Invoices2001Slovakia 2" xfId="1593" xr:uid="{00000000-0005-0000-0000-0000F4040000}"/>
    <cellStyle name="Dziesiętny [0]_Invoices2001Slovakia 2" xfId="1594" xr:uid="{00000000-0005-0000-0000-0000F5040000}"/>
    <cellStyle name="Dziesietny [0]_Invoices2001Slovakia_01_Nha so 1_Dien" xfId="527" xr:uid="{00000000-0005-0000-0000-0000F6040000}"/>
    <cellStyle name="Dziesiętny [0]_Invoices2001Slovakia_01_Nha so 1_Dien" xfId="528" xr:uid="{00000000-0005-0000-0000-0000F7040000}"/>
    <cellStyle name="Dziesietny [0]_Invoices2001Slovakia_01_Nha so 1_Dien 10" xfId="1595" xr:uid="{00000000-0005-0000-0000-0000F8040000}"/>
    <cellStyle name="Dziesiętny [0]_Invoices2001Slovakia_01_Nha so 1_Dien 10" xfId="1596" xr:uid="{00000000-0005-0000-0000-0000F9040000}"/>
    <cellStyle name="Dziesietny [0]_Invoices2001Slovakia_01_Nha so 1_Dien 11" xfId="1597" xr:uid="{00000000-0005-0000-0000-0000FA040000}"/>
    <cellStyle name="Dziesiętny [0]_Invoices2001Slovakia_01_Nha so 1_Dien 11" xfId="1598" xr:uid="{00000000-0005-0000-0000-0000FB040000}"/>
    <cellStyle name="Dziesietny [0]_Invoices2001Slovakia_01_Nha so 1_Dien 12" xfId="1599" xr:uid="{00000000-0005-0000-0000-0000FC040000}"/>
    <cellStyle name="Dziesiętny [0]_Invoices2001Slovakia_01_Nha so 1_Dien 12" xfId="1600" xr:uid="{00000000-0005-0000-0000-0000FD040000}"/>
    <cellStyle name="Dziesietny [0]_Invoices2001Slovakia_01_Nha so 1_Dien 13" xfId="1601" xr:uid="{00000000-0005-0000-0000-0000FE040000}"/>
    <cellStyle name="Dziesiętny [0]_Invoices2001Slovakia_01_Nha so 1_Dien 13" xfId="1602" xr:uid="{00000000-0005-0000-0000-0000FF040000}"/>
    <cellStyle name="Dziesietny [0]_Invoices2001Slovakia_01_Nha so 1_Dien 14" xfId="1603" xr:uid="{00000000-0005-0000-0000-000000050000}"/>
    <cellStyle name="Dziesiętny [0]_Invoices2001Slovakia_01_Nha so 1_Dien 14" xfId="1604" xr:uid="{00000000-0005-0000-0000-000001050000}"/>
    <cellStyle name="Dziesietny [0]_Invoices2001Slovakia_01_Nha so 1_Dien 15" xfId="1605" xr:uid="{00000000-0005-0000-0000-000002050000}"/>
    <cellStyle name="Dziesiętny [0]_Invoices2001Slovakia_01_Nha so 1_Dien 15" xfId="1606" xr:uid="{00000000-0005-0000-0000-000003050000}"/>
    <cellStyle name="Dziesietny [0]_Invoices2001Slovakia_01_Nha so 1_Dien 2" xfId="1607" xr:uid="{00000000-0005-0000-0000-000004050000}"/>
    <cellStyle name="Dziesiętny [0]_Invoices2001Slovakia_01_Nha so 1_Dien 2" xfId="1608" xr:uid="{00000000-0005-0000-0000-000005050000}"/>
    <cellStyle name="Dziesietny [0]_Invoices2001Slovakia_01_Nha so 1_Dien 3" xfId="1609" xr:uid="{00000000-0005-0000-0000-000006050000}"/>
    <cellStyle name="Dziesiętny [0]_Invoices2001Slovakia_01_Nha so 1_Dien 3" xfId="1610" xr:uid="{00000000-0005-0000-0000-000007050000}"/>
    <cellStyle name="Dziesietny [0]_Invoices2001Slovakia_01_Nha so 1_Dien 4" xfId="1611" xr:uid="{00000000-0005-0000-0000-000008050000}"/>
    <cellStyle name="Dziesiętny [0]_Invoices2001Slovakia_01_Nha so 1_Dien 4" xfId="1612" xr:uid="{00000000-0005-0000-0000-000009050000}"/>
    <cellStyle name="Dziesietny [0]_Invoices2001Slovakia_01_Nha so 1_Dien 5" xfId="1613" xr:uid="{00000000-0005-0000-0000-00000A050000}"/>
    <cellStyle name="Dziesiętny [0]_Invoices2001Slovakia_01_Nha so 1_Dien 5" xfId="1614" xr:uid="{00000000-0005-0000-0000-00000B050000}"/>
    <cellStyle name="Dziesietny [0]_Invoices2001Slovakia_01_Nha so 1_Dien 6" xfId="1615" xr:uid="{00000000-0005-0000-0000-00000C050000}"/>
    <cellStyle name="Dziesiętny [0]_Invoices2001Slovakia_01_Nha so 1_Dien 6" xfId="1616" xr:uid="{00000000-0005-0000-0000-00000D050000}"/>
    <cellStyle name="Dziesietny [0]_Invoices2001Slovakia_01_Nha so 1_Dien 7" xfId="1617" xr:uid="{00000000-0005-0000-0000-00000E050000}"/>
    <cellStyle name="Dziesiętny [0]_Invoices2001Slovakia_01_Nha so 1_Dien 7" xfId="1618" xr:uid="{00000000-0005-0000-0000-00000F050000}"/>
    <cellStyle name="Dziesietny [0]_Invoices2001Slovakia_01_Nha so 1_Dien 8" xfId="1619" xr:uid="{00000000-0005-0000-0000-000010050000}"/>
    <cellStyle name="Dziesiętny [0]_Invoices2001Slovakia_01_Nha so 1_Dien 8" xfId="1620" xr:uid="{00000000-0005-0000-0000-000011050000}"/>
    <cellStyle name="Dziesietny [0]_Invoices2001Slovakia_01_Nha so 1_Dien 9" xfId="1621" xr:uid="{00000000-0005-0000-0000-000012050000}"/>
    <cellStyle name="Dziesiętny [0]_Invoices2001Slovakia_01_Nha so 1_Dien 9" xfId="1622" xr:uid="{00000000-0005-0000-0000-000013050000}"/>
    <cellStyle name="Dziesietny [0]_Invoices2001Slovakia_10_Nha so 10_Dien1" xfId="529" xr:uid="{00000000-0005-0000-0000-000014050000}"/>
    <cellStyle name="Dziesiętny [0]_Invoices2001Slovakia_10_Nha so 10_Dien1" xfId="530" xr:uid="{00000000-0005-0000-0000-000015050000}"/>
    <cellStyle name="Dziesietny [0]_Invoices2001Slovakia_10_Nha so 10_Dien1 10" xfId="1623" xr:uid="{00000000-0005-0000-0000-000016050000}"/>
    <cellStyle name="Dziesiętny [0]_Invoices2001Slovakia_10_Nha so 10_Dien1 10" xfId="1624" xr:uid="{00000000-0005-0000-0000-000017050000}"/>
    <cellStyle name="Dziesietny [0]_Invoices2001Slovakia_10_Nha so 10_Dien1 11" xfId="1625" xr:uid="{00000000-0005-0000-0000-000018050000}"/>
    <cellStyle name="Dziesiętny [0]_Invoices2001Slovakia_10_Nha so 10_Dien1 11" xfId="1626" xr:uid="{00000000-0005-0000-0000-000019050000}"/>
    <cellStyle name="Dziesietny [0]_Invoices2001Slovakia_10_Nha so 10_Dien1 12" xfId="1627" xr:uid="{00000000-0005-0000-0000-00001A050000}"/>
    <cellStyle name="Dziesiętny [0]_Invoices2001Slovakia_10_Nha so 10_Dien1 12" xfId="1628" xr:uid="{00000000-0005-0000-0000-00001B050000}"/>
    <cellStyle name="Dziesietny [0]_Invoices2001Slovakia_10_Nha so 10_Dien1 13" xfId="1629" xr:uid="{00000000-0005-0000-0000-00001C050000}"/>
    <cellStyle name="Dziesiętny [0]_Invoices2001Slovakia_10_Nha so 10_Dien1 13" xfId="1630" xr:uid="{00000000-0005-0000-0000-00001D050000}"/>
    <cellStyle name="Dziesietny [0]_Invoices2001Slovakia_10_Nha so 10_Dien1 14" xfId="1631" xr:uid="{00000000-0005-0000-0000-00001E050000}"/>
    <cellStyle name="Dziesiętny [0]_Invoices2001Slovakia_10_Nha so 10_Dien1 14" xfId="1632" xr:uid="{00000000-0005-0000-0000-00001F050000}"/>
    <cellStyle name="Dziesietny [0]_Invoices2001Slovakia_10_Nha so 10_Dien1 15" xfId="1633" xr:uid="{00000000-0005-0000-0000-000020050000}"/>
    <cellStyle name="Dziesiętny [0]_Invoices2001Slovakia_10_Nha so 10_Dien1 15" xfId="1634" xr:uid="{00000000-0005-0000-0000-000021050000}"/>
    <cellStyle name="Dziesietny [0]_Invoices2001Slovakia_10_Nha so 10_Dien1 2" xfId="1635" xr:uid="{00000000-0005-0000-0000-000022050000}"/>
    <cellStyle name="Dziesiętny [0]_Invoices2001Slovakia_10_Nha so 10_Dien1 2" xfId="1636" xr:uid="{00000000-0005-0000-0000-000023050000}"/>
    <cellStyle name="Dziesietny [0]_Invoices2001Slovakia_10_Nha so 10_Dien1 3" xfId="1637" xr:uid="{00000000-0005-0000-0000-000024050000}"/>
    <cellStyle name="Dziesiętny [0]_Invoices2001Slovakia_10_Nha so 10_Dien1 3" xfId="1638" xr:uid="{00000000-0005-0000-0000-000025050000}"/>
    <cellStyle name="Dziesietny [0]_Invoices2001Slovakia_10_Nha so 10_Dien1 4" xfId="1639" xr:uid="{00000000-0005-0000-0000-000026050000}"/>
    <cellStyle name="Dziesiętny [0]_Invoices2001Slovakia_10_Nha so 10_Dien1 4" xfId="1640" xr:uid="{00000000-0005-0000-0000-000027050000}"/>
    <cellStyle name="Dziesietny [0]_Invoices2001Slovakia_10_Nha so 10_Dien1 5" xfId="1641" xr:uid="{00000000-0005-0000-0000-000028050000}"/>
    <cellStyle name="Dziesiętny [0]_Invoices2001Slovakia_10_Nha so 10_Dien1 5" xfId="1642" xr:uid="{00000000-0005-0000-0000-000029050000}"/>
    <cellStyle name="Dziesietny [0]_Invoices2001Slovakia_10_Nha so 10_Dien1 6" xfId="1643" xr:uid="{00000000-0005-0000-0000-00002A050000}"/>
    <cellStyle name="Dziesiętny [0]_Invoices2001Slovakia_10_Nha so 10_Dien1 6" xfId="1644" xr:uid="{00000000-0005-0000-0000-00002B050000}"/>
    <cellStyle name="Dziesietny [0]_Invoices2001Slovakia_10_Nha so 10_Dien1 7" xfId="1645" xr:uid="{00000000-0005-0000-0000-00002C050000}"/>
    <cellStyle name="Dziesiętny [0]_Invoices2001Slovakia_10_Nha so 10_Dien1 7" xfId="1646" xr:uid="{00000000-0005-0000-0000-00002D050000}"/>
    <cellStyle name="Dziesietny [0]_Invoices2001Slovakia_10_Nha so 10_Dien1 8" xfId="1647" xr:uid="{00000000-0005-0000-0000-00002E050000}"/>
    <cellStyle name="Dziesiętny [0]_Invoices2001Slovakia_10_Nha so 10_Dien1 8" xfId="1648" xr:uid="{00000000-0005-0000-0000-00002F050000}"/>
    <cellStyle name="Dziesietny [0]_Invoices2001Slovakia_10_Nha so 10_Dien1 9" xfId="1649" xr:uid="{00000000-0005-0000-0000-000030050000}"/>
    <cellStyle name="Dziesiętny [0]_Invoices2001Slovakia_10_Nha so 10_Dien1 9" xfId="1650" xr:uid="{00000000-0005-0000-0000-000031050000}"/>
    <cellStyle name="Dziesietny [0]_Invoices2001Slovakia_Book1" xfId="531" xr:uid="{00000000-0005-0000-0000-000032050000}"/>
    <cellStyle name="Dziesiętny [0]_Invoices2001Slovakia_Book1" xfId="532" xr:uid="{00000000-0005-0000-0000-000033050000}"/>
    <cellStyle name="Dziesietny [0]_Invoices2001Slovakia_Book1 2" xfId="1651" xr:uid="{00000000-0005-0000-0000-000034050000}"/>
    <cellStyle name="Dziesiętny [0]_Invoices2001Slovakia_Book1 2" xfId="1652" xr:uid="{00000000-0005-0000-0000-000035050000}"/>
    <cellStyle name="Dziesietny [0]_Invoices2001Slovakia_Book1_1" xfId="533" xr:uid="{00000000-0005-0000-0000-000036050000}"/>
    <cellStyle name="Dziesiętny [0]_Invoices2001Slovakia_Book1_1" xfId="534" xr:uid="{00000000-0005-0000-0000-000037050000}"/>
    <cellStyle name="Dziesietny [0]_Invoices2001Slovakia_Book1_1 10" xfId="1653" xr:uid="{00000000-0005-0000-0000-000038050000}"/>
    <cellStyle name="Dziesiętny [0]_Invoices2001Slovakia_Book1_1 10" xfId="1654" xr:uid="{00000000-0005-0000-0000-000039050000}"/>
    <cellStyle name="Dziesietny [0]_Invoices2001Slovakia_Book1_1 11" xfId="1655" xr:uid="{00000000-0005-0000-0000-00003A050000}"/>
    <cellStyle name="Dziesiętny [0]_Invoices2001Slovakia_Book1_1 11" xfId="1656" xr:uid="{00000000-0005-0000-0000-00003B050000}"/>
    <cellStyle name="Dziesietny [0]_Invoices2001Slovakia_Book1_1 12" xfId="1657" xr:uid="{00000000-0005-0000-0000-00003C050000}"/>
    <cellStyle name="Dziesiętny [0]_Invoices2001Slovakia_Book1_1 12" xfId="1658" xr:uid="{00000000-0005-0000-0000-00003D050000}"/>
    <cellStyle name="Dziesietny [0]_Invoices2001Slovakia_Book1_1 13" xfId="1659" xr:uid="{00000000-0005-0000-0000-00003E050000}"/>
    <cellStyle name="Dziesiętny [0]_Invoices2001Slovakia_Book1_1 13" xfId="1660" xr:uid="{00000000-0005-0000-0000-00003F050000}"/>
    <cellStyle name="Dziesietny [0]_Invoices2001Slovakia_Book1_1 14" xfId="1661" xr:uid="{00000000-0005-0000-0000-000040050000}"/>
    <cellStyle name="Dziesiętny [0]_Invoices2001Slovakia_Book1_1 14" xfId="1662" xr:uid="{00000000-0005-0000-0000-000041050000}"/>
    <cellStyle name="Dziesietny [0]_Invoices2001Slovakia_Book1_1 15" xfId="1663" xr:uid="{00000000-0005-0000-0000-000042050000}"/>
    <cellStyle name="Dziesiętny [0]_Invoices2001Slovakia_Book1_1 15" xfId="1664" xr:uid="{00000000-0005-0000-0000-000043050000}"/>
    <cellStyle name="Dziesietny [0]_Invoices2001Slovakia_Book1_1 2" xfId="1665" xr:uid="{00000000-0005-0000-0000-000044050000}"/>
    <cellStyle name="Dziesiętny [0]_Invoices2001Slovakia_Book1_1 2" xfId="1666" xr:uid="{00000000-0005-0000-0000-000045050000}"/>
    <cellStyle name="Dziesietny [0]_Invoices2001Slovakia_Book1_1 3" xfId="1667" xr:uid="{00000000-0005-0000-0000-000046050000}"/>
    <cellStyle name="Dziesiętny [0]_Invoices2001Slovakia_Book1_1 3" xfId="1668" xr:uid="{00000000-0005-0000-0000-000047050000}"/>
    <cellStyle name="Dziesietny [0]_Invoices2001Slovakia_Book1_1 4" xfId="1669" xr:uid="{00000000-0005-0000-0000-000048050000}"/>
    <cellStyle name="Dziesiętny [0]_Invoices2001Slovakia_Book1_1 4" xfId="1670" xr:uid="{00000000-0005-0000-0000-000049050000}"/>
    <cellStyle name="Dziesietny [0]_Invoices2001Slovakia_Book1_1 5" xfId="1671" xr:uid="{00000000-0005-0000-0000-00004A050000}"/>
    <cellStyle name="Dziesiętny [0]_Invoices2001Slovakia_Book1_1 5" xfId="1672" xr:uid="{00000000-0005-0000-0000-00004B050000}"/>
    <cellStyle name="Dziesietny [0]_Invoices2001Slovakia_Book1_1 6" xfId="1673" xr:uid="{00000000-0005-0000-0000-00004C050000}"/>
    <cellStyle name="Dziesiętny [0]_Invoices2001Slovakia_Book1_1 6" xfId="1674" xr:uid="{00000000-0005-0000-0000-00004D050000}"/>
    <cellStyle name="Dziesietny [0]_Invoices2001Slovakia_Book1_1 7" xfId="1675" xr:uid="{00000000-0005-0000-0000-00004E050000}"/>
    <cellStyle name="Dziesiętny [0]_Invoices2001Slovakia_Book1_1 7" xfId="1676" xr:uid="{00000000-0005-0000-0000-00004F050000}"/>
    <cellStyle name="Dziesietny [0]_Invoices2001Slovakia_Book1_1 8" xfId="1677" xr:uid="{00000000-0005-0000-0000-000050050000}"/>
    <cellStyle name="Dziesiętny [0]_Invoices2001Slovakia_Book1_1 8" xfId="1678" xr:uid="{00000000-0005-0000-0000-000051050000}"/>
    <cellStyle name="Dziesietny [0]_Invoices2001Slovakia_Book1_1 9" xfId="1679" xr:uid="{00000000-0005-0000-0000-000052050000}"/>
    <cellStyle name="Dziesiętny [0]_Invoices2001Slovakia_Book1_1 9" xfId="1680" xr:uid="{00000000-0005-0000-0000-000053050000}"/>
    <cellStyle name="Dziesietny [0]_Invoices2001Slovakia_Book1_1_Book1" xfId="535" xr:uid="{00000000-0005-0000-0000-000054050000}"/>
    <cellStyle name="Dziesiętny [0]_Invoices2001Slovakia_Book1_1_Book1" xfId="536" xr:uid="{00000000-0005-0000-0000-000055050000}"/>
    <cellStyle name="Dziesietny [0]_Invoices2001Slovakia_Book1_2" xfId="537" xr:uid="{00000000-0005-0000-0000-000056050000}"/>
    <cellStyle name="Dziesiętny [0]_Invoices2001Slovakia_Book1_2" xfId="538" xr:uid="{00000000-0005-0000-0000-000057050000}"/>
    <cellStyle name="Dziesietny [0]_Invoices2001Slovakia_DT d-uong" xfId="539" xr:uid="{00000000-0005-0000-0000-000058050000}"/>
    <cellStyle name="Dziesiętny [0]_Invoices2001Slovakia_Nhµ ®Ó xe" xfId="540" xr:uid="{00000000-0005-0000-0000-000059050000}"/>
    <cellStyle name="Dziesietny [0]_Invoices2001Slovakia_Nha bao ve(28-7-05)" xfId="541" xr:uid="{00000000-0005-0000-0000-00005A050000}"/>
    <cellStyle name="Dziesiętny [0]_Invoices2001Slovakia_Nha bao ve(28-7-05)" xfId="542" xr:uid="{00000000-0005-0000-0000-00005B050000}"/>
    <cellStyle name="Dziesietny [0]_Invoices2001Slovakia_NHA de xe nguyen du" xfId="543" xr:uid="{00000000-0005-0000-0000-00005C050000}"/>
    <cellStyle name="Dziesiętny [0]_Invoices2001Slovakia_NHA de xe nguyen du" xfId="544" xr:uid="{00000000-0005-0000-0000-00005D050000}"/>
    <cellStyle name="Dziesietny [0]_Invoices2001Slovakia_Nhalamviec VTC(25-1-05)" xfId="545" xr:uid="{00000000-0005-0000-0000-00005E050000}"/>
    <cellStyle name="Dziesiętny [0]_Invoices2001Slovakia_Nhalamviec VTC(25-1-05)" xfId="546" xr:uid="{00000000-0005-0000-0000-00005F050000}"/>
    <cellStyle name="Dziesietny [0]_Invoices2001Slovakia_Nhalamviec VTC(25-1-05) 2" xfId="1681" xr:uid="{00000000-0005-0000-0000-000060050000}"/>
    <cellStyle name="Dziesiętny [0]_Invoices2001Slovakia_Nhalamviec VTC(25-1-05) 2" xfId="1682" xr:uid="{00000000-0005-0000-0000-000061050000}"/>
    <cellStyle name="Dziesietny [0]_Invoices2001Slovakia_t.nuoc(12-10-06)" xfId="547" xr:uid="{00000000-0005-0000-0000-000062050000}"/>
    <cellStyle name="Dziesiętny [0]_Invoices2001Slovakia_TDT KHANH HOA" xfId="548" xr:uid="{00000000-0005-0000-0000-000063050000}"/>
    <cellStyle name="Dziesietny [0]_Invoices2001Slovakia_TDT quangngai" xfId="549" xr:uid="{00000000-0005-0000-0000-000064050000}"/>
    <cellStyle name="Dziesiętny [0]_Invoices2001Slovakia_TDT quangngai" xfId="550" xr:uid="{00000000-0005-0000-0000-000065050000}"/>
    <cellStyle name="Dziesietny [0]_Invoices2001Slovakia_TMDT(10-5-06)" xfId="551" xr:uid="{00000000-0005-0000-0000-000066050000}"/>
    <cellStyle name="Dziesietny_Invoices2001Slovakia" xfId="552" xr:uid="{00000000-0005-0000-0000-000067050000}"/>
    <cellStyle name="Dziesiętny_Invoices2001Slovakia" xfId="553" xr:uid="{00000000-0005-0000-0000-000068050000}"/>
    <cellStyle name="Dziesietny_Invoices2001Slovakia 2" xfId="1683" xr:uid="{00000000-0005-0000-0000-000069050000}"/>
    <cellStyle name="Dziesiętny_Invoices2001Slovakia 2" xfId="1684" xr:uid="{00000000-0005-0000-0000-00006A050000}"/>
    <cellStyle name="Dziesietny_Invoices2001Slovakia_01_Nha so 1_Dien" xfId="554" xr:uid="{00000000-0005-0000-0000-00006B050000}"/>
    <cellStyle name="Dziesiętny_Invoices2001Slovakia_01_Nha so 1_Dien" xfId="555" xr:uid="{00000000-0005-0000-0000-00006C050000}"/>
    <cellStyle name="Dziesietny_Invoices2001Slovakia_01_Nha so 1_Dien 10" xfId="1685" xr:uid="{00000000-0005-0000-0000-00006D050000}"/>
    <cellStyle name="Dziesiętny_Invoices2001Slovakia_01_Nha so 1_Dien 10" xfId="1686" xr:uid="{00000000-0005-0000-0000-00006E050000}"/>
    <cellStyle name="Dziesietny_Invoices2001Slovakia_01_Nha so 1_Dien 11" xfId="1687" xr:uid="{00000000-0005-0000-0000-00006F050000}"/>
    <cellStyle name="Dziesiętny_Invoices2001Slovakia_01_Nha so 1_Dien 11" xfId="1688" xr:uid="{00000000-0005-0000-0000-000070050000}"/>
    <cellStyle name="Dziesietny_Invoices2001Slovakia_01_Nha so 1_Dien 12" xfId="1689" xr:uid="{00000000-0005-0000-0000-000071050000}"/>
    <cellStyle name="Dziesiętny_Invoices2001Slovakia_01_Nha so 1_Dien 12" xfId="1690" xr:uid="{00000000-0005-0000-0000-000072050000}"/>
    <cellStyle name="Dziesietny_Invoices2001Slovakia_01_Nha so 1_Dien 13" xfId="1691" xr:uid="{00000000-0005-0000-0000-000073050000}"/>
    <cellStyle name="Dziesiętny_Invoices2001Slovakia_01_Nha so 1_Dien 13" xfId="1692" xr:uid="{00000000-0005-0000-0000-000074050000}"/>
    <cellStyle name="Dziesietny_Invoices2001Slovakia_01_Nha so 1_Dien 14" xfId="1693" xr:uid="{00000000-0005-0000-0000-000075050000}"/>
    <cellStyle name="Dziesiętny_Invoices2001Slovakia_01_Nha so 1_Dien 14" xfId="1694" xr:uid="{00000000-0005-0000-0000-000076050000}"/>
    <cellStyle name="Dziesietny_Invoices2001Slovakia_01_Nha so 1_Dien 15" xfId="1695" xr:uid="{00000000-0005-0000-0000-000077050000}"/>
    <cellStyle name="Dziesiętny_Invoices2001Slovakia_01_Nha so 1_Dien 15" xfId="1696" xr:uid="{00000000-0005-0000-0000-000078050000}"/>
    <cellStyle name="Dziesietny_Invoices2001Slovakia_01_Nha so 1_Dien 2" xfId="1697" xr:uid="{00000000-0005-0000-0000-000079050000}"/>
    <cellStyle name="Dziesiętny_Invoices2001Slovakia_01_Nha so 1_Dien 2" xfId="1698" xr:uid="{00000000-0005-0000-0000-00007A050000}"/>
    <cellStyle name="Dziesietny_Invoices2001Slovakia_01_Nha so 1_Dien 3" xfId="1699" xr:uid="{00000000-0005-0000-0000-00007B050000}"/>
    <cellStyle name="Dziesiętny_Invoices2001Slovakia_01_Nha so 1_Dien 3" xfId="1700" xr:uid="{00000000-0005-0000-0000-00007C050000}"/>
    <cellStyle name="Dziesietny_Invoices2001Slovakia_01_Nha so 1_Dien 4" xfId="1701" xr:uid="{00000000-0005-0000-0000-00007D050000}"/>
    <cellStyle name="Dziesiętny_Invoices2001Slovakia_01_Nha so 1_Dien 4" xfId="1702" xr:uid="{00000000-0005-0000-0000-00007E050000}"/>
    <cellStyle name="Dziesietny_Invoices2001Slovakia_01_Nha so 1_Dien 5" xfId="1703" xr:uid="{00000000-0005-0000-0000-00007F050000}"/>
    <cellStyle name="Dziesiętny_Invoices2001Slovakia_01_Nha so 1_Dien 5" xfId="1704" xr:uid="{00000000-0005-0000-0000-000080050000}"/>
    <cellStyle name="Dziesietny_Invoices2001Slovakia_01_Nha so 1_Dien 6" xfId="1705" xr:uid="{00000000-0005-0000-0000-000081050000}"/>
    <cellStyle name="Dziesiętny_Invoices2001Slovakia_01_Nha so 1_Dien 6" xfId="1706" xr:uid="{00000000-0005-0000-0000-000082050000}"/>
    <cellStyle name="Dziesietny_Invoices2001Slovakia_01_Nha so 1_Dien 7" xfId="1707" xr:uid="{00000000-0005-0000-0000-000083050000}"/>
    <cellStyle name="Dziesiętny_Invoices2001Slovakia_01_Nha so 1_Dien 7" xfId="1708" xr:uid="{00000000-0005-0000-0000-000084050000}"/>
    <cellStyle name="Dziesietny_Invoices2001Slovakia_01_Nha so 1_Dien 8" xfId="1709" xr:uid="{00000000-0005-0000-0000-000085050000}"/>
    <cellStyle name="Dziesiętny_Invoices2001Slovakia_01_Nha so 1_Dien 8" xfId="1710" xr:uid="{00000000-0005-0000-0000-000086050000}"/>
    <cellStyle name="Dziesietny_Invoices2001Slovakia_01_Nha so 1_Dien 9" xfId="1711" xr:uid="{00000000-0005-0000-0000-000087050000}"/>
    <cellStyle name="Dziesiętny_Invoices2001Slovakia_01_Nha so 1_Dien 9" xfId="1712" xr:uid="{00000000-0005-0000-0000-000088050000}"/>
    <cellStyle name="Dziesietny_Invoices2001Slovakia_10_Nha so 10_Dien1" xfId="556" xr:uid="{00000000-0005-0000-0000-000089050000}"/>
    <cellStyle name="Dziesiętny_Invoices2001Slovakia_10_Nha so 10_Dien1" xfId="557" xr:uid="{00000000-0005-0000-0000-00008A050000}"/>
    <cellStyle name="Dziesietny_Invoices2001Slovakia_10_Nha so 10_Dien1 10" xfId="1713" xr:uid="{00000000-0005-0000-0000-00008B050000}"/>
    <cellStyle name="Dziesiętny_Invoices2001Slovakia_10_Nha so 10_Dien1 10" xfId="1714" xr:uid="{00000000-0005-0000-0000-00008C050000}"/>
    <cellStyle name="Dziesietny_Invoices2001Slovakia_10_Nha so 10_Dien1 11" xfId="1715" xr:uid="{00000000-0005-0000-0000-00008D050000}"/>
    <cellStyle name="Dziesiętny_Invoices2001Slovakia_10_Nha so 10_Dien1 11" xfId="1716" xr:uid="{00000000-0005-0000-0000-00008E050000}"/>
    <cellStyle name="Dziesietny_Invoices2001Slovakia_10_Nha so 10_Dien1 12" xfId="1717" xr:uid="{00000000-0005-0000-0000-00008F050000}"/>
    <cellStyle name="Dziesiętny_Invoices2001Slovakia_10_Nha so 10_Dien1 12" xfId="1718" xr:uid="{00000000-0005-0000-0000-000090050000}"/>
    <cellStyle name="Dziesietny_Invoices2001Slovakia_10_Nha so 10_Dien1 13" xfId="1719" xr:uid="{00000000-0005-0000-0000-000091050000}"/>
    <cellStyle name="Dziesiętny_Invoices2001Slovakia_10_Nha so 10_Dien1 13" xfId="1720" xr:uid="{00000000-0005-0000-0000-000092050000}"/>
    <cellStyle name="Dziesietny_Invoices2001Slovakia_10_Nha so 10_Dien1 14" xfId="1721" xr:uid="{00000000-0005-0000-0000-000093050000}"/>
    <cellStyle name="Dziesiętny_Invoices2001Slovakia_10_Nha so 10_Dien1 14" xfId="1722" xr:uid="{00000000-0005-0000-0000-000094050000}"/>
    <cellStyle name="Dziesietny_Invoices2001Slovakia_10_Nha so 10_Dien1 15" xfId="1723" xr:uid="{00000000-0005-0000-0000-000095050000}"/>
    <cellStyle name="Dziesiętny_Invoices2001Slovakia_10_Nha so 10_Dien1 15" xfId="1724" xr:uid="{00000000-0005-0000-0000-000096050000}"/>
    <cellStyle name="Dziesietny_Invoices2001Slovakia_10_Nha so 10_Dien1 2" xfId="1725" xr:uid="{00000000-0005-0000-0000-000097050000}"/>
    <cellStyle name="Dziesiętny_Invoices2001Slovakia_10_Nha so 10_Dien1 2" xfId="1726" xr:uid="{00000000-0005-0000-0000-000098050000}"/>
    <cellStyle name="Dziesietny_Invoices2001Slovakia_10_Nha so 10_Dien1 3" xfId="1727" xr:uid="{00000000-0005-0000-0000-000099050000}"/>
    <cellStyle name="Dziesiętny_Invoices2001Slovakia_10_Nha so 10_Dien1 3" xfId="1728" xr:uid="{00000000-0005-0000-0000-00009A050000}"/>
    <cellStyle name="Dziesietny_Invoices2001Slovakia_10_Nha so 10_Dien1 4" xfId="1729" xr:uid="{00000000-0005-0000-0000-00009B050000}"/>
    <cellStyle name="Dziesiętny_Invoices2001Slovakia_10_Nha so 10_Dien1 4" xfId="1730" xr:uid="{00000000-0005-0000-0000-00009C050000}"/>
    <cellStyle name="Dziesietny_Invoices2001Slovakia_10_Nha so 10_Dien1 5" xfId="1731" xr:uid="{00000000-0005-0000-0000-00009D050000}"/>
    <cellStyle name="Dziesiętny_Invoices2001Slovakia_10_Nha so 10_Dien1 5" xfId="1732" xr:uid="{00000000-0005-0000-0000-00009E050000}"/>
    <cellStyle name="Dziesietny_Invoices2001Slovakia_10_Nha so 10_Dien1 6" xfId="1733" xr:uid="{00000000-0005-0000-0000-00009F050000}"/>
    <cellStyle name="Dziesiętny_Invoices2001Slovakia_10_Nha so 10_Dien1 6" xfId="1734" xr:uid="{00000000-0005-0000-0000-0000A0050000}"/>
    <cellStyle name="Dziesietny_Invoices2001Slovakia_10_Nha so 10_Dien1 7" xfId="1735" xr:uid="{00000000-0005-0000-0000-0000A1050000}"/>
    <cellStyle name="Dziesiętny_Invoices2001Slovakia_10_Nha so 10_Dien1 7" xfId="1736" xr:uid="{00000000-0005-0000-0000-0000A2050000}"/>
    <cellStyle name="Dziesietny_Invoices2001Slovakia_10_Nha so 10_Dien1 8" xfId="1737" xr:uid="{00000000-0005-0000-0000-0000A3050000}"/>
    <cellStyle name="Dziesiętny_Invoices2001Slovakia_10_Nha so 10_Dien1 8" xfId="1738" xr:uid="{00000000-0005-0000-0000-0000A4050000}"/>
    <cellStyle name="Dziesietny_Invoices2001Slovakia_10_Nha so 10_Dien1 9" xfId="1739" xr:uid="{00000000-0005-0000-0000-0000A5050000}"/>
    <cellStyle name="Dziesiętny_Invoices2001Slovakia_10_Nha so 10_Dien1 9" xfId="1740" xr:uid="{00000000-0005-0000-0000-0000A6050000}"/>
    <cellStyle name="Dziesietny_Invoices2001Slovakia_Book1" xfId="558" xr:uid="{00000000-0005-0000-0000-0000A7050000}"/>
    <cellStyle name="Dziesiętny_Invoices2001Slovakia_Book1" xfId="559" xr:uid="{00000000-0005-0000-0000-0000A8050000}"/>
    <cellStyle name="Dziesietny_Invoices2001Slovakia_Book1 2" xfId="1741" xr:uid="{00000000-0005-0000-0000-0000A9050000}"/>
    <cellStyle name="Dziesiętny_Invoices2001Slovakia_Book1 2" xfId="1742" xr:uid="{00000000-0005-0000-0000-0000AA050000}"/>
    <cellStyle name="Dziesietny_Invoices2001Slovakia_Book1_1" xfId="560" xr:uid="{00000000-0005-0000-0000-0000AB050000}"/>
    <cellStyle name="Dziesiętny_Invoices2001Slovakia_Book1_1" xfId="561" xr:uid="{00000000-0005-0000-0000-0000AC050000}"/>
    <cellStyle name="Dziesietny_Invoices2001Slovakia_Book1_1 10" xfId="1743" xr:uid="{00000000-0005-0000-0000-0000AD050000}"/>
    <cellStyle name="Dziesiętny_Invoices2001Slovakia_Book1_1 10" xfId="1744" xr:uid="{00000000-0005-0000-0000-0000AE050000}"/>
    <cellStyle name="Dziesietny_Invoices2001Slovakia_Book1_1 11" xfId="1745" xr:uid="{00000000-0005-0000-0000-0000AF050000}"/>
    <cellStyle name="Dziesiętny_Invoices2001Slovakia_Book1_1 11" xfId="1746" xr:uid="{00000000-0005-0000-0000-0000B0050000}"/>
    <cellStyle name="Dziesietny_Invoices2001Slovakia_Book1_1 12" xfId="1747" xr:uid="{00000000-0005-0000-0000-0000B1050000}"/>
    <cellStyle name="Dziesiętny_Invoices2001Slovakia_Book1_1 12" xfId="1748" xr:uid="{00000000-0005-0000-0000-0000B2050000}"/>
    <cellStyle name="Dziesietny_Invoices2001Slovakia_Book1_1 13" xfId="1749" xr:uid="{00000000-0005-0000-0000-0000B3050000}"/>
    <cellStyle name="Dziesiętny_Invoices2001Slovakia_Book1_1 13" xfId="1750" xr:uid="{00000000-0005-0000-0000-0000B4050000}"/>
    <cellStyle name="Dziesietny_Invoices2001Slovakia_Book1_1 14" xfId="1751" xr:uid="{00000000-0005-0000-0000-0000B5050000}"/>
    <cellStyle name="Dziesiętny_Invoices2001Slovakia_Book1_1 14" xfId="1752" xr:uid="{00000000-0005-0000-0000-0000B6050000}"/>
    <cellStyle name="Dziesietny_Invoices2001Slovakia_Book1_1 15" xfId="1753" xr:uid="{00000000-0005-0000-0000-0000B7050000}"/>
    <cellStyle name="Dziesiętny_Invoices2001Slovakia_Book1_1 15" xfId="1754" xr:uid="{00000000-0005-0000-0000-0000B8050000}"/>
    <cellStyle name="Dziesietny_Invoices2001Slovakia_Book1_1 2" xfId="1755" xr:uid="{00000000-0005-0000-0000-0000B9050000}"/>
    <cellStyle name="Dziesiętny_Invoices2001Slovakia_Book1_1 2" xfId="1756" xr:uid="{00000000-0005-0000-0000-0000BA050000}"/>
    <cellStyle name="Dziesietny_Invoices2001Slovakia_Book1_1 3" xfId="1757" xr:uid="{00000000-0005-0000-0000-0000BB050000}"/>
    <cellStyle name="Dziesiętny_Invoices2001Slovakia_Book1_1 3" xfId="1758" xr:uid="{00000000-0005-0000-0000-0000BC050000}"/>
    <cellStyle name="Dziesietny_Invoices2001Slovakia_Book1_1 4" xfId="1759" xr:uid="{00000000-0005-0000-0000-0000BD050000}"/>
    <cellStyle name="Dziesiętny_Invoices2001Slovakia_Book1_1 4" xfId="1760" xr:uid="{00000000-0005-0000-0000-0000BE050000}"/>
    <cellStyle name="Dziesietny_Invoices2001Slovakia_Book1_1 5" xfId="1761" xr:uid="{00000000-0005-0000-0000-0000BF050000}"/>
    <cellStyle name="Dziesiętny_Invoices2001Slovakia_Book1_1 5" xfId="1762" xr:uid="{00000000-0005-0000-0000-0000C0050000}"/>
    <cellStyle name="Dziesietny_Invoices2001Slovakia_Book1_1 6" xfId="1763" xr:uid="{00000000-0005-0000-0000-0000C1050000}"/>
    <cellStyle name="Dziesiętny_Invoices2001Slovakia_Book1_1 6" xfId="1764" xr:uid="{00000000-0005-0000-0000-0000C2050000}"/>
    <cellStyle name="Dziesietny_Invoices2001Slovakia_Book1_1 7" xfId="1765" xr:uid="{00000000-0005-0000-0000-0000C3050000}"/>
    <cellStyle name="Dziesiętny_Invoices2001Slovakia_Book1_1 7" xfId="1766" xr:uid="{00000000-0005-0000-0000-0000C4050000}"/>
    <cellStyle name="Dziesietny_Invoices2001Slovakia_Book1_1 8" xfId="1767" xr:uid="{00000000-0005-0000-0000-0000C5050000}"/>
    <cellStyle name="Dziesiętny_Invoices2001Slovakia_Book1_1 8" xfId="1768" xr:uid="{00000000-0005-0000-0000-0000C6050000}"/>
    <cellStyle name="Dziesietny_Invoices2001Slovakia_Book1_1 9" xfId="1769" xr:uid="{00000000-0005-0000-0000-0000C7050000}"/>
    <cellStyle name="Dziesiętny_Invoices2001Slovakia_Book1_1 9" xfId="1770" xr:uid="{00000000-0005-0000-0000-0000C8050000}"/>
    <cellStyle name="Dziesietny_Invoices2001Slovakia_Book1_1_Book1" xfId="562" xr:uid="{00000000-0005-0000-0000-0000C9050000}"/>
    <cellStyle name="Dziesiętny_Invoices2001Slovakia_Book1_1_Book1" xfId="563" xr:uid="{00000000-0005-0000-0000-0000CA050000}"/>
    <cellStyle name="Dziesietny_Invoices2001Slovakia_Book1_2" xfId="564" xr:uid="{00000000-0005-0000-0000-0000CB050000}"/>
    <cellStyle name="Dziesiętny_Invoices2001Slovakia_Book1_2" xfId="565" xr:uid="{00000000-0005-0000-0000-0000CC050000}"/>
    <cellStyle name="Dziesietny_Invoices2001Slovakia_DT d-uong" xfId="566" xr:uid="{00000000-0005-0000-0000-0000CD050000}"/>
    <cellStyle name="Dziesiętny_Invoices2001Slovakia_Nhµ ®Ó xe" xfId="567" xr:uid="{00000000-0005-0000-0000-0000CE050000}"/>
    <cellStyle name="Dziesietny_Invoices2001Slovakia_Nha bao ve(28-7-05)" xfId="568" xr:uid="{00000000-0005-0000-0000-0000CF050000}"/>
    <cellStyle name="Dziesiętny_Invoices2001Slovakia_Nha bao ve(28-7-05)" xfId="569" xr:uid="{00000000-0005-0000-0000-0000D0050000}"/>
    <cellStyle name="Dziesietny_Invoices2001Slovakia_NHA de xe nguyen du" xfId="570" xr:uid="{00000000-0005-0000-0000-0000D1050000}"/>
    <cellStyle name="Dziesiętny_Invoices2001Slovakia_NHA de xe nguyen du" xfId="571" xr:uid="{00000000-0005-0000-0000-0000D2050000}"/>
    <cellStyle name="Dziesietny_Invoices2001Slovakia_Nhalamviec VTC(25-1-05)" xfId="572" xr:uid="{00000000-0005-0000-0000-0000D3050000}"/>
    <cellStyle name="Dziesiętny_Invoices2001Slovakia_Nhalamviec VTC(25-1-05)" xfId="573" xr:uid="{00000000-0005-0000-0000-0000D4050000}"/>
    <cellStyle name="Dziesietny_Invoices2001Slovakia_Nhalamviec VTC(25-1-05) 2" xfId="1771" xr:uid="{00000000-0005-0000-0000-0000D5050000}"/>
    <cellStyle name="Dziesiętny_Invoices2001Slovakia_Nhalamviec VTC(25-1-05) 2" xfId="1772" xr:uid="{00000000-0005-0000-0000-0000D6050000}"/>
    <cellStyle name="Dziesietny_Invoices2001Slovakia_t.nuoc(12-10-06)" xfId="574" xr:uid="{00000000-0005-0000-0000-0000D7050000}"/>
    <cellStyle name="Dziesiętny_Invoices2001Slovakia_TDT KHANH HOA" xfId="575" xr:uid="{00000000-0005-0000-0000-0000D8050000}"/>
    <cellStyle name="Dziesietny_Invoices2001Slovakia_TDT quangngai" xfId="576" xr:uid="{00000000-0005-0000-0000-0000D9050000}"/>
    <cellStyle name="Dziesiętny_Invoices2001Slovakia_TDT quangngai" xfId="577" xr:uid="{00000000-0005-0000-0000-0000DA050000}"/>
    <cellStyle name="Dziesietny_Invoices2001Slovakia_TMDT(10-5-06)" xfId="578" xr:uid="{00000000-0005-0000-0000-0000DB050000}"/>
    <cellStyle name="Eingabe" xfId="579" xr:uid="{00000000-0005-0000-0000-0000DC050000}"/>
    <cellStyle name="Encabezado" xfId="580" xr:uid="{00000000-0005-0000-0000-0000DD050000}"/>
    <cellStyle name="Encabezado 10" xfId="1773" xr:uid="{00000000-0005-0000-0000-0000DE050000}"/>
    <cellStyle name="Encabezado 11" xfId="2697" xr:uid="{00000000-0005-0000-0000-0000DF050000}"/>
    <cellStyle name="Encabezado 2" xfId="581" xr:uid="{00000000-0005-0000-0000-0000E0050000}"/>
    <cellStyle name="Encabezado 2 2" xfId="1774" xr:uid="{00000000-0005-0000-0000-0000E1050000}"/>
    <cellStyle name="Encabezado 2 3" xfId="1775" xr:uid="{00000000-0005-0000-0000-0000E2050000}"/>
    <cellStyle name="Encabezado 2 3 2" xfId="2698" xr:uid="{00000000-0005-0000-0000-0000E3050000}"/>
    <cellStyle name="Encabezado 2 4" xfId="2699" xr:uid="{00000000-0005-0000-0000-0000E4050000}"/>
    <cellStyle name="Encabezado 2 4 2" xfId="2700" xr:uid="{00000000-0005-0000-0000-0000E5050000}"/>
    <cellStyle name="Encabezado 3" xfId="582" xr:uid="{00000000-0005-0000-0000-0000E6050000}"/>
    <cellStyle name="Encabezado 3 2" xfId="2542" xr:uid="{00000000-0005-0000-0000-0000E7050000}"/>
    <cellStyle name="Encabezado 4 2" xfId="583" xr:uid="{00000000-0005-0000-0000-0000E8050000}"/>
    <cellStyle name="Encabezado 4 3" xfId="584" xr:uid="{00000000-0005-0000-0000-0000E9050000}"/>
    <cellStyle name="Encabezado 5" xfId="585" xr:uid="{00000000-0005-0000-0000-0000EA050000}"/>
    <cellStyle name="Encabezado 5 2" xfId="1776" xr:uid="{00000000-0005-0000-0000-0000EB050000}"/>
    <cellStyle name="Encabezado 5_BBV" xfId="1777" xr:uid="{00000000-0005-0000-0000-0000EC050000}"/>
    <cellStyle name="Encabezado 6" xfId="586" xr:uid="{00000000-0005-0000-0000-0000ED050000}"/>
    <cellStyle name="Encabezado 6 2" xfId="1778" xr:uid="{00000000-0005-0000-0000-0000EE050000}"/>
    <cellStyle name="Encabezado 6 2 2" xfId="1779" xr:uid="{00000000-0005-0000-0000-0000EF050000}"/>
    <cellStyle name="Encabezado 7" xfId="1780" xr:uid="{00000000-0005-0000-0000-0000F0050000}"/>
    <cellStyle name="Encabezado 7 2" xfId="1781" xr:uid="{00000000-0005-0000-0000-0000F1050000}"/>
    <cellStyle name="Encabezado 8" xfId="1782" xr:uid="{00000000-0005-0000-0000-0000F2050000}"/>
    <cellStyle name="Encabezado 8 2" xfId="1783" xr:uid="{00000000-0005-0000-0000-0000F3050000}"/>
    <cellStyle name="Encabezado 9" xfId="1784" xr:uid="{00000000-0005-0000-0000-0000F4050000}"/>
    <cellStyle name="Énfasis1 2" xfId="588" xr:uid="{00000000-0005-0000-0000-0000F5050000}"/>
    <cellStyle name="Énfasis1 3" xfId="589" xr:uid="{00000000-0005-0000-0000-0000F6050000}"/>
    <cellStyle name="Énfasis1 4" xfId="590" xr:uid="{00000000-0005-0000-0000-0000F7050000}"/>
    <cellStyle name="Énfasis1 5" xfId="587" xr:uid="{00000000-0005-0000-0000-0000F8050000}"/>
    <cellStyle name="Énfasis2 2" xfId="592" xr:uid="{00000000-0005-0000-0000-0000F9050000}"/>
    <cellStyle name="Énfasis2 3" xfId="593" xr:uid="{00000000-0005-0000-0000-0000FA050000}"/>
    <cellStyle name="Énfasis2 4" xfId="594" xr:uid="{00000000-0005-0000-0000-0000FB050000}"/>
    <cellStyle name="Énfasis2 5" xfId="591" xr:uid="{00000000-0005-0000-0000-0000FC050000}"/>
    <cellStyle name="Énfasis3 2" xfId="596" xr:uid="{00000000-0005-0000-0000-0000FD050000}"/>
    <cellStyle name="Énfasis3 3" xfId="597" xr:uid="{00000000-0005-0000-0000-0000FE050000}"/>
    <cellStyle name="Énfasis3 4" xfId="598" xr:uid="{00000000-0005-0000-0000-0000FF050000}"/>
    <cellStyle name="Énfasis3 5" xfId="595" xr:uid="{00000000-0005-0000-0000-000000060000}"/>
    <cellStyle name="Énfasis4 2" xfId="600" xr:uid="{00000000-0005-0000-0000-000001060000}"/>
    <cellStyle name="Énfasis4 3" xfId="601" xr:uid="{00000000-0005-0000-0000-000002060000}"/>
    <cellStyle name="Énfasis4 4" xfId="602" xr:uid="{00000000-0005-0000-0000-000003060000}"/>
    <cellStyle name="Énfasis4 5" xfId="599" xr:uid="{00000000-0005-0000-0000-000004060000}"/>
    <cellStyle name="Énfasis5 2" xfId="604" xr:uid="{00000000-0005-0000-0000-000005060000}"/>
    <cellStyle name="Énfasis5 3" xfId="605" xr:uid="{00000000-0005-0000-0000-000006060000}"/>
    <cellStyle name="Énfasis5 4" xfId="606" xr:uid="{00000000-0005-0000-0000-000007060000}"/>
    <cellStyle name="Énfasis5 5" xfId="603" xr:uid="{00000000-0005-0000-0000-000008060000}"/>
    <cellStyle name="Énfasis6 2" xfId="608" xr:uid="{00000000-0005-0000-0000-000009060000}"/>
    <cellStyle name="Énfasis6 3" xfId="609" xr:uid="{00000000-0005-0000-0000-00000A060000}"/>
    <cellStyle name="Énfasis6 4" xfId="610" xr:uid="{00000000-0005-0000-0000-00000B060000}"/>
    <cellStyle name="Énfasis6 5" xfId="607" xr:uid="{00000000-0005-0000-0000-00000C060000}"/>
    <cellStyle name="EnMiles" xfId="611" xr:uid="{00000000-0005-0000-0000-00000D060000}"/>
    <cellStyle name="EnMiles 2" xfId="612" xr:uid="{00000000-0005-0000-0000-00000E060000}"/>
    <cellStyle name="EnMiles 2 2" xfId="1785" xr:uid="{00000000-0005-0000-0000-00000F060000}"/>
    <cellStyle name="EnMiles 3" xfId="1786" xr:uid="{00000000-0005-0000-0000-000010060000}"/>
    <cellStyle name="Entrada 2" xfId="613" xr:uid="{00000000-0005-0000-0000-000011060000}"/>
    <cellStyle name="Entrada 3" xfId="614" xr:uid="{00000000-0005-0000-0000-000012060000}"/>
    <cellStyle name="Entrée" xfId="2701" xr:uid="{00000000-0005-0000-0000-000013060000}"/>
    <cellStyle name="Ergebnis" xfId="615" xr:uid="{00000000-0005-0000-0000-000014060000}"/>
    <cellStyle name="Erklärender Text" xfId="616" xr:uid="{00000000-0005-0000-0000-000015060000}"/>
    <cellStyle name="Estilo 1" xfId="617" xr:uid="{00000000-0005-0000-0000-000016060000}"/>
    <cellStyle name="Estilo 1 2" xfId="618" xr:uid="{00000000-0005-0000-0000-000017060000}"/>
    <cellStyle name="Estilo 1 2 2" xfId="2543" xr:uid="{00000000-0005-0000-0000-000018060000}"/>
    <cellStyle name="Estilo 1 3" xfId="619" xr:uid="{00000000-0005-0000-0000-000019060000}"/>
    <cellStyle name="Estilo 1 3 2" xfId="2544" xr:uid="{00000000-0005-0000-0000-00001A060000}"/>
    <cellStyle name="Estilo 1 4" xfId="620" xr:uid="{00000000-0005-0000-0000-00001B060000}"/>
    <cellStyle name="Estilo 1 4 2" xfId="2545" xr:uid="{00000000-0005-0000-0000-00001C060000}"/>
    <cellStyle name="Estilo 1 5" xfId="621" xr:uid="{00000000-0005-0000-0000-00001D060000}"/>
    <cellStyle name="Estilo 1 5 2" xfId="2546" xr:uid="{00000000-0005-0000-0000-00001E060000}"/>
    <cellStyle name="Estilo 1 6" xfId="2547" xr:uid="{00000000-0005-0000-0000-00001F060000}"/>
    <cellStyle name="Estilo 10" xfId="622" xr:uid="{00000000-0005-0000-0000-000020060000}"/>
    <cellStyle name="Estilo 10 2" xfId="2548" xr:uid="{00000000-0005-0000-0000-000021060000}"/>
    <cellStyle name="Estilo 11" xfId="623" xr:uid="{00000000-0005-0000-0000-000022060000}"/>
    <cellStyle name="Estilo 11 2" xfId="2549" xr:uid="{00000000-0005-0000-0000-000023060000}"/>
    <cellStyle name="Estilo 12" xfId="624" xr:uid="{00000000-0005-0000-0000-000024060000}"/>
    <cellStyle name="Estilo 12 2" xfId="2550" xr:uid="{00000000-0005-0000-0000-000025060000}"/>
    <cellStyle name="Estilo 13" xfId="625" xr:uid="{00000000-0005-0000-0000-000026060000}"/>
    <cellStyle name="Estilo 13 2" xfId="2551" xr:uid="{00000000-0005-0000-0000-000027060000}"/>
    <cellStyle name="Estilo 14" xfId="626" xr:uid="{00000000-0005-0000-0000-000028060000}"/>
    <cellStyle name="Estilo 14 2" xfId="2552" xr:uid="{00000000-0005-0000-0000-000029060000}"/>
    <cellStyle name="Estilo 15" xfId="627" xr:uid="{00000000-0005-0000-0000-00002A060000}"/>
    <cellStyle name="Estilo 15 2" xfId="2553" xr:uid="{00000000-0005-0000-0000-00002B060000}"/>
    <cellStyle name="Estilo 16" xfId="628" xr:uid="{00000000-0005-0000-0000-00002C060000}"/>
    <cellStyle name="Estilo 16 2" xfId="2554" xr:uid="{00000000-0005-0000-0000-00002D060000}"/>
    <cellStyle name="Estilo 2" xfId="629" xr:uid="{00000000-0005-0000-0000-00002E060000}"/>
    <cellStyle name="Estilo 2 2" xfId="2555" xr:uid="{00000000-0005-0000-0000-00002F060000}"/>
    <cellStyle name="Estilo 3" xfId="630" xr:uid="{00000000-0005-0000-0000-000030060000}"/>
    <cellStyle name="Estilo 3 2" xfId="2556" xr:uid="{00000000-0005-0000-0000-000031060000}"/>
    <cellStyle name="Estilo 4" xfId="631" xr:uid="{00000000-0005-0000-0000-000032060000}"/>
    <cellStyle name="Estilo 4 2" xfId="2557" xr:uid="{00000000-0005-0000-0000-000033060000}"/>
    <cellStyle name="Estilo 5" xfId="632" xr:uid="{00000000-0005-0000-0000-000034060000}"/>
    <cellStyle name="Estilo 5 2" xfId="2558" xr:uid="{00000000-0005-0000-0000-000035060000}"/>
    <cellStyle name="Estilo 6" xfId="633" xr:uid="{00000000-0005-0000-0000-000036060000}"/>
    <cellStyle name="Estilo 6 2" xfId="2559" xr:uid="{00000000-0005-0000-0000-000037060000}"/>
    <cellStyle name="Estilo 7" xfId="634" xr:uid="{00000000-0005-0000-0000-000038060000}"/>
    <cellStyle name="Estilo 7 2" xfId="2560" xr:uid="{00000000-0005-0000-0000-000039060000}"/>
    <cellStyle name="Estilo 8" xfId="635" xr:uid="{00000000-0005-0000-0000-00003A060000}"/>
    <cellStyle name="Estilo 8 2" xfId="2561" xr:uid="{00000000-0005-0000-0000-00003B060000}"/>
    <cellStyle name="Estilo 9" xfId="636" xr:uid="{00000000-0005-0000-0000-00003C060000}"/>
    <cellStyle name="Estilo 9 2" xfId="2562" xr:uid="{00000000-0005-0000-0000-00003D060000}"/>
    <cellStyle name="Euro" xfId="637" xr:uid="{00000000-0005-0000-0000-00003E060000}"/>
    <cellStyle name="Euro 10" xfId="1787" xr:uid="{00000000-0005-0000-0000-00003F060000}"/>
    <cellStyle name="Euro 10 2" xfId="1788" xr:uid="{00000000-0005-0000-0000-000040060000}"/>
    <cellStyle name="Euro 11" xfId="1789" xr:uid="{00000000-0005-0000-0000-000041060000}"/>
    <cellStyle name="Euro 11 2" xfId="1790" xr:uid="{00000000-0005-0000-0000-000042060000}"/>
    <cellStyle name="Euro 12" xfId="1791" xr:uid="{00000000-0005-0000-0000-000043060000}"/>
    <cellStyle name="Euro 13" xfId="1792" xr:uid="{00000000-0005-0000-0000-000044060000}"/>
    <cellStyle name="Euro 14" xfId="1793" xr:uid="{00000000-0005-0000-0000-000045060000}"/>
    <cellStyle name="Euro 15" xfId="2702" xr:uid="{00000000-0005-0000-0000-000046060000}"/>
    <cellStyle name="Euro 2" xfId="638" xr:uid="{00000000-0005-0000-0000-000047060000}"/>
    <cellStyle name="Euro 2 2" xfId="1794" xr:uid="{00000000-0005-0000-0000-000048060000}"/>
    <cellStyle name="Euro 2 3" xfId="1795" xr:uid="{00000000-0005-0000-0000-000049060000}"/>
    <cellStyle name="Euro 2 3 2" xfId="2703" xr:uid="{00000000-0005-0000-0000-00004A060000}"/>
    <cellStyle name="Euro 2 4" xfId="1796" xr:uid="{00000000-0005-0000-0000-00004B060000}"/>
    <cellStyle name="Euro 2 4 2" xfId="2704" xr:uid="{00000000-0005-0000-0000-00004C060000}"/>
    <cellStyle name="Euro 2 5" xfId="1797" xr:uid="{00000000-0005-0000-0000-00004D060000}"/>
    <cellStyle name="Euro 3" xfId="639" xr:uid="{00000000-0005-0000-0000-00004E060000}"/>
    <cellStyle name="Euro 3 2" xfId="2563" xr:uid="{00000000-0005-0000-0000-00004F060000}"/>
    <cellStyle name="Euro 4" xfId="640" xr:uid="{00000000-0005-0000-0000-000050060000}"/>
    <cellStyle name="Euro 4 2" xfId="1798" xr:uid="{00000000-0005-0000-0000-000051060000}"/>
    <cellStyle name="Euro 4 3" xfId="1799" xr:uid="{00000000-0005-0000-0000-000052060000}"/>
    <cellStyle name="Euro 5" xfId="641" xr:uid="{00000000-0005-0000-0000-000053060000}"/>
    <cellStyle name="Euro 5 2" xfId="1800" xr:uid="{00000000-0005-0000-0000-000054060000}"/>
    <cellStyle name="Euro 5 3" xfId="1801" xr:uid="{00000000-0005-0000-0000-000055060000}"/>
    <cellStyle name="Euro 6" xfId="1802" xr:uid="{00000000-0005-0000-0000-000056060000}"/>
    <cellStyle name="Euro 6 2" xfId="1803" xr:uid="{00000000-0005-0000-0000-000057060000}"/>
    <cellStyle name="Euro 7" xfId="1804" xr:uid="{00000000-0005-0000-0000-000058060000}"/>
    <cellStyle name="Euro 7 2" xfId="1805" xr:uid="{00000000-0005-0000-0000-000059060000}"/>
    <cellStyle name="Euro 7 3" xfId="1806" xr:uid="{00000000-0005-0000-0000-00005A060000}"/>
    <cellStyle name="Euro 8" xfId="1807" xr:uid="{00000000-0005-0000-0000-00005B060000}"/>
    <cellStyle name="Euro 8 2" xfId="1808" xr:uid="{00000000-0005-0000-0000-00005C060000}"/>
    <cellStyle name="Euro 8 2 2" xfId="1809" xr:uid="{00000000-0005-0000-0000-00005D060000}"/>
    <cellStyle name="Euro 9" xfId="1810" xr:uid="{00000000-0005-0000-0000-00005E060000}"/>
    <cellStyle name="Euro 9 2" xfId="1811" xr:uid="{00000000-0005-0000-0000-00005F060000}"/>
    <cellStyle name="Euro_colateral" xfId="642" xr:uid="{00000000-0005-0000-0000-000060060000}"/>
    <cellStyle name="Explanatory Text" xfId="643" xr:uid="{00000000-0005-0000-0000-000061060000}"/>
    <cellStyle name="Explanatory Text 2" xfId="1812" xr:uid="{00000000-0005-0000-0000-000062060000}"/>
    <cellStyle name="Explanatory Text 3" xfId="1813" xr:uid="{00000000-0005-0000-0000-000063060000}"/>
    <cellStyle name="Explanatory Text 4" xfId="1814" xr:uid="{00000000-0005-0000-0000-000064060000}"/>
    <cellStyle name="Explanatory Text 5" xfId="1815" xr:uid="{00000000-0005-0000-0000-000065060000}"/>
    <cellStyle name="ExtractionInfoDataStyle" xfId="644" xr:uid="{00000000-0005-0000-0000-000066060000}"/>
    <cellStyle name="ExtractionInfoHeaderStyle" xfId="645" xr:uid="{00000000-0005-0000-0000-000067060000}"/>
    <cellStyle name="EY House" xfId="646" xr:uid="{00000000-0005-0000-0000-000068060000}"/>
    <cellStyle name="F2" xfId="647" xr:uid="{00000000-0005-0000-0000-000069060000}"/>
    <cellStyle name="F2 2" xfId="1816" xr:uid="{00000000-0005-0000-0000-00006A060000}"/>
    <cellStyle name="F2 2 2" xfId="1817" xr:uid="{00000000-0005-0000-0000-00006B060000}"/>
    <cellStyle name="F2 2 3" xfId="1818" xr:uid="{00000000-0005-0000-0000-00006C060000}"/>
    <cellStyle name="F2 2 4" xfId="1819" xr:uid="{00000000-0005-0000-0000-00006D060000}"/>
    <cellStyle name="F2 2_BBV" xfId="1820" xr:uid="{00000000-0005-0000-0000-00006E060000}"/>
    <cellStyle name="F2 3" xfId="1821" xr:uid="{00000000-0005-0000-0000-00006F060000}"/>
    <cellStyle name="F2 3 2" xfId="1822" xr:uid="{00000000-0005-0000-0000-000070060000}"/>
    <cellStyle name="F2_curvas" xfId="1823" xr:uid="{00000000-0005-0000-0000-000071060000}"/>
    <cellStyle name="F3" xfId="648" xr:uid="{00000000-0005-0000-0000-000072060000}"/>
    <cellStyle name="F3 2" xfId="1824" xr:uid="{00000000-0005-0000-0000-000073060000}"/>
    <cellStyle name="F3 2 2" xfId="1825" xr:uid="{00000000-0005-0000-0000-000074060000}"/>
    <cellStyle name="F3 2 3" xfId="1826" xr:uid="{00000000-0005-0000-0000-000075060000}"/>
    <cellStyle name="F3 2_BBV" xfId="1827" xr:uid="{00000000-0005-0000-0000-000076060000}"/>
    <cellStyle name="F3 3" xfId="1828" xr:uid="{00000000-0005-0000-0000-000077060000}"/>
    <cellStyle name="F3 3 2" xfId="1829" xr:uid="{00000000-0005-0000-0000-000078060000}"/>
    <cellStyle name="F3_00.Carlos101.Multicurve.spl" xfId="1830" xr:uid="{00000000-0005-0000-0000-000079060000}"/>
    <cellStyle name="F4" xfId="649" xr:uid="{00000000-0005-0000-0000-00007A060000}"/>
    <cellStyle name="F4 2" xfId="1831" xr:uid="{00000000-0005-0000-0000-00007B060000}"/>
    <cellStyle name="F4 2 2" xfId="1832" xr:uid="{00000000-0005-0000-0000-00007C060000}"/>
    <cellStyle name="F4 2 3" xfId="1833" xr:uid="{00000000-0005-0000-0000-00007D060000}"/>
    <cellStyle name="F4 2 4" xfId="1834" xr:uid="{00000000-0005-0000-0000-00007E060000}"/>
    <cellStyle name="F4 2_BBV" xfId="1835" xr:uid="{00000000-0005-0000-0000-00007F060000}"/>
    <cellStyle name="F4 3" xfId="1836" xr:uid="{00000000-0005-0000-0000-000080060000}"/>
    <cellStyle name="F4 3 2" xfId="1837" xr:uid="{00000000-0005-0000-0000-000081060000}"/>
    <cellStyle name="F4_curvas" xfId="1838" xr:uid="{00000000-0005-0000-0000-000082060000}"/>
    <cellStyle name="F5" xfId="650" xr:uid="{00000000-0005-0000-0000-000083060000}"/>
    <cellStyle name="F5 2" xfId="1839" xr:uid="{00000000-0005-0000-0000-000084060000}"/>
    <cellStyle name="F5 3" xfId="1840" xr:uid="{00000000-0005-0000-0000-000085060000}"/>
    <cellStyle name="F5 3 2" xfId="1841" xr:uid="{00000000-0005-0000-0000-000086060000}"/>
    <cellStyle name="F5 4" xfId="1842" xr:uid="{00000000-0005-0000-0000-000087060000}"/>
    <cellStyle name="F5_BBV" xfId="1843" xr:uid="{00000000-0005-0000-0000-000088060000}"/>
    <cellStyle name="F6" xfId="651" xr:uid="{00000000-0005-0000-0000-000089060000}"/>
    <cellStyle name="F6 2" xfId="1844" xr:uid="{00000000-0005-0000-0000-00008A060000}"/>
    <cellStyle name="F6 2 2" xfId="1845" xr:uid="{00000000-0005-0000-0000-00008B060000}"/>
    <cellStyle name="F6 2 3" xfId="1846" xr:uid="{00000000-0005-0000-0000-00008C060000}"/>
    <cellStyle name="F6 2 4" xfId="1847" xr:uid="{00000000-0005-0000-0000-00008D060000}"/>
    <cellStyle name="F6 2_BBV" xfId="1848" xr:uid="{00000000-0005-0000-0000-00008E060000}"/>
    <cellStyle name="F6 3" xfId="1849" xr:uid="{00000000-0005-0000-0000-00008F060000}"/>
    <cellStyle name="F6 3 2" xfId="1850" xr:uid="{00000000-0005-0000-0000-000090060000}"/>
    <cellStyle name="F6_curvas" xfId="1851" xr:uid="{00000000-0005-0000-0000-000091060000}"/>
    <cellStyle name="F7" xfId="652" xr:uid="{00000000-0005-0000-0000-000092060000}"/>
    <cellStyle name="F7 2" xfId="1852" xr:uid="{00000000-0005-0000-0000-000093060000}"/>
    <cellStyle name="F7 2 2" xfId="1853" xr:uid="{00000000-0005-0000-0000-000094060000}"/>
    <cellStyle name="F7 2 3" xfId="1854" xr:uid="{00000000-0005-0000-0000-000095060000}"/>
    <cellStyle name="F7 2 4" xfId="1855" xr:uid="{00000000-0005-0000-0000-000096060000}"/>
    <cellStyle name="F7 2_BBV" xfId="1856" xr:uid="{00000000-0005-0000-0000-000097060000}"/>
    <cellStyle name="F7 3" xfId="1857" xr:uid="{00000000-0005-0000-0000-000098060000}"/>
    <cellStyle name="F7 3 2" xfId="1858" xr:uid="{00000000-0005-0000-0000-000099060000}"/>
    <cellStyle name="F7_curvas" xfId="1859" xr:uid="{00000000-0005-0000-0000-00009A060000}"/>
    <cellStyle name="F8" xfId="653" xr:uid="{00000000-0005-0000-0000-00009B060000}"/>
    <cellStyle name="F8 2" xfId="1860" xr:uid="{00000000-0005-0000-0000-00009C060000}"/>
    <cellStyle name="F8 2 2" xfId="1861" xr:uid="{00000000-0005-0000-0000-00009D060000}"/>
    <cellStyle name="F8 2 3" xfId="1862" xr:uid="{00000000-0005-0000-0000-00009E060000}"/>
    <cellStyle name="F8 2 4" xfId="1863" xr:uid="{00000000-0005-0000-0000-00009F060000}"/>
    <cellStyle name="F8 2_BBV" xfId="1864" xr:uid="{00000000-0005-0000-0000-0000A0060000}"/>
    <cellStyle name="F8 3" xfId="1865" xr:uid="{00000000-0005-0000-0000-0000A1060000}"/>
    <cellStyle name="F8 3 2" xfId="1866" xr:uid="{00000000-0005-0000-0000-0000A2060000}"/>
    <cellStyle name="F8_curvas" xfId="1867" xr:uid="{00000000-0005-0000-0000-0000A3060000}"/>
    <cellStyle name="Finanční0" xfId="654" xr:uid="{00000000-0005-0000-0000-0000A4060000}"/>
    <cellStyle name="Fixed" xfId="655" xr:uid="{00000000-0005-0000-0000-0000A5060000}"/>
    <cellStyle name="Fixed 2" xfId="1868" xr:uid="{00000000-0005-0000-0000-0000A6060000}"/>
    <cellStyle name="Fixed 2 2" xfId="1869" xr:uid="{00000000-0005-0000-0000-0000A7060000}"/>
    <cellStyle name="Fixed 2 3" xfId="1870" xr:uid="{00000000-0005-0000-0000-0000A8060000}"/>
    <cellStyle name="Fixed 3" xfId="1871" xr:uid="{00000000-0005-0000-0000-0000A9060000}"/>
    <cellStyle name="Fixed 3 2" xfId="1872" xr:uid="{00000000-0005-0000-0000-0000AA060000}"/>
    <cellStyle name="Fixed_00.Carlos101.Multicurve.spl" xfId="1873" xr:uid="{00000000-0005-0000-0000-0000AB060000}"/>
    <cellStyle name="Gevolgde hyperlink" xfId="656" xr:uid="{00000000-0005-0000-0000-0000AC060000}"/>
    <cellStyle name="gia" xfId="657" xr:uid="{00000000-0005-0000-0000-0000AD060000}"/>
    <cellStyle name="Good 2" xfId="1874" xr:uid="{00000000-0005-0000-0000-0000AE060000}"/>
    <cellStyle name="Good 3" xfId="1875" xr:uid="{00000000-0005-0000-0000-0000AF060000}"/>
    <cellStyle name="Good 4" xfId="1876" xr:uid="{00000000-0005-0000-0000-0000B0060000}"/>
    <cellStyle name="Good 5" xfId="1877" xr:uid="{00000000-0005-0000-0000-0000B1060000}"/>
    <cellStyle name="Grey" xfId="658" xr:uid="{00000000-0005-0000-0000-0000B2060000}"/>
    <cellStyle name="Grey 2" xfId="659" xr:uid="{00000000-0005-0000-0000-0000B3060000}"/>
    <cellStyle name="Grey 2 2" xfId="1879" xr:uid="{00000000-0005-0000-0000-0000B4060000}"/>
    <cellStyle name="Grey 2 2 2" xfId="2564" xr:uid="{00000000-0005-0000-0000-0000B5060000}"/>
    <cellStyle name="Grey 2 3" xfId="2565" xr:uid="{00000000-0005-0000-0000-0000B6060000}"/>
    <cellStyle name="Grey 2 4" xfId="1878" xr:uid="{00000000-0005-0000-0000-0000B7060000}"/>
    <cellStyle name="Grey 2_BBV" xfId="1880" xr:uid="{00000000-0005-0000-0000-0000B8060000}"/>
    <cellStyle name="Grey 3" xfId="1881" xr:uid="{00000000-0005-0000-0000-0000B9060000}"/>
    <cellStyle name="Grey_AjustesPorColat" xfId="660" xr:uid="{00000000-0005-0000-0000-0000BA060000}"/>
    <cellStyle name="Gut" xfId="661" xr:uid="{00000000-0005-0000-0000-0000BB060000}"/>
    <cellStyle name="Header" xfId="662" xr:uid="{00000000-0005-0000-0000-0000BC060000}"/>
    <cellStyle name="Header0" xfId="663" xr:uid="{00000000-0005-0000-0000-0000BD060000}"/>
    <cellStyle name="Header1" xfId="664" xr:uid="{00000000-0005-0000-0000-0000BE060000}"/>
    <cellStyle name="Header2" xfId="665" xr:uid="{00000000-0005-0000-0000-0000BF060000}"/>
    <cellStyle name="Heading 1" xfId="666" xr:uid="{00000000-0005-0000-0000-0000C0060000}"/>
    <cellStyle name="Heading 1 2" xfId="1882" xr:uid="{00000000-0005-0000-0000-0000C1060000}"/>
    <cellStyle name="Heading 1 2 2" xfId="1883" xr:uid="{00000000-0005-0000-0000-0000C2060000}"/>
    <cellStyle name="Heading 1 3" xfId="1884" xr:uid="{00000000-0005-0000-0000-0000C3060000}"/>
    <cellStyle name="Heading 1 3 2" xfId="1885" xr:uid="{00000000-0005-0000-0000-0000C4060000}"/>
    <cellStyle name="Heading 1 4" xfId="1886" xr:uid="{00000000-0005-0000-0000-0000C5060000}"/>
    <cellStyle name="Heading 1 5" xfId="1887" xr:uid="{00000000-0005-0000-0000-0000C6060000}"/>
    <cellStyle name="Heading 2" xfId="667" xr:uid="{00000000-0005-0000-0000-0000C7060000}"/>
    <cellStyle name="Heading 2 2" xfId="1888" xr:uid="{00000000-0005-0000-0000-0000C8060000}"/>
    <cellStyle name="Heading 2 2 2" xfId="1889" xr:uid="{00000000-0005-0000-0000-0000C9060000}"/>
    <cellStyle name="Heading 2 3" xfId="1890" xr:uid="{00000000-0005-0000-0000-0000CA060000}"/>
    <cellStyle name="Heading 2 3 2" xfId="1891" xr:uid="{00000000-0005-0000-0000-0000CB060000}"/>
    <cellStyle name="Heading 2 4" xfId="1892" xr:uid="{00000000-0005-0000-0000-0000CC060000}"/>
    <cellStyle name="Heading 2 5" xfId="1893" xr:uid="{00000000-0005-0000-0000-0000CD060000}"/>
    <cellStyle name="Heading 3" xfId="668" xr:uid="{00000000-0005-0000-0000-0000CE060000}"/>
    <cellStyle name="Heading 3 2" xfId="1894" xr:uid="{00000000-0005-0000-0000-0000CF060000}"/>
    <cellStyle name="Heading 3 3" xfId="1895" xr:uid="{00000000-0005-0000-0000-0000D0060000}"/>
    <cellStyle name="Heading 3 4" xfId="1896" xr:uid="{00000000-0005-0000-0000-0000D1060000}"/>
    <cellStyle name="Heading 3 5" xfId="1897" xr:uid="{00000000-0005-0000-0000-0000D2060000}"/>
    <cellStyle name="Heading 4 2" xfId="1898" xr:uid="{00000000-0005-0000-0000-0000D3060000}"/>
    <cellStyle name="Heading 4 3" xfId="1899" xr:uid="{00000000-0005-0000-0000-0000D4060000}"/>
    <cellStyle name="Heading 4 4" xfId="1900" xr:uid="{00000000-0005-0000-0000-0000D5060000}"/>
    <cellStyle name="Heading 4 5" xfId="1901" xr:uid="{00000000-0005-0000-0000-0000D6060000}"/>
    <cellStyle name="HEADING1" xfId="669" xr:uid="{00000000-0005-0000-0000-0000D7060000}"/>
    <cellStyle name="HEADING2" xfId="670" xr:uid="{00000000-0005-0000-0000-0000D8060000}"/>
    <cellStyle name="headline01" xfId="671" xr:uid="{00000000-0005-0000-0000-0000D9060000}"/>
    <cellStyle name="headoption" xfId="672" xr:uid="{00000000-0005-0000-0000-0000DA060000}"/>
    <cellStyle name="headoption 2" xfId="1902" xr:uid="{00000000-0005-0000-0000-0000DB060000}"/>
    <cellStyle name="Hidden" xfId="673" xr:uid="{00000000-0005-0000-0000-0000DC060000}"/>
    <cellStyle name="Hipervínculo 2" xfId="674" xr:uid="{00000000-0005-0000-0000-0000DD060000}"/>
    <cellStyle name="HSBC Percent" xfId="675" xr:uid="{00000000-0005-0000-0000-0000DE060000}"/>
    <cellStyle name="HSBC Percent 2" xfId="2566" xr:uid="{00000000-0005-0000-0000-0000DF060000}"/>
    <cellStyle name="HSBC Ratio" xfId="676" xr:uid="{00000000-0005-0000-0000-0000E0060000}"/>
    <cellStyle name="HSBC Ratio 2" xfId="2567" xr:uid="{00000000-0005-0000-0000-0000E1060000}"/>
    <cellStyle name="HSBC_SheetTitle" xfId="1903" xr:uid="{00000000-0005-0000-0000-0000E2060000}"/>
    <cellStyle name="Hyperlink 2" xfId="677" xr:uid="{00000000-0005-0000-0000-0000E3060000}"/>
    <cellStyle name="Hyperlink 2 2" xfId="1904" xr:uid="{00000000-0005-0000-0000-0000E4060000}"/>
    <cellStyle name="Hyperlink 2 2 2" xfId="1905" xr:uid="{00000000-0005-0000-0000-0000E5060000}"/>
    <cellStyle name="Hyperlink 2 2 3" xfId="1906" xr:uid="{00000000-0005-0000-0000-0000E6060000}"/>
    <cellStyle name="Hyperlink 2 2 4" xfId="1907" xr:uid="{00000000-0005-0000-0000-0000E7060000}"/>
    <cellStyle name="Hyperlink 2 3" xfId="1908" xr:uid="{00000000-0005-0000-0000-0000E8060000}"/>
    <cellStyle name="Hyperlink 2 3 2" xfId="1909" xr:uid="{00000000-0005-0000-0000-0000E9060000}"/>
    <cellStyle name="Hyperlink 2 3 3" xfId="1910" xr:uid="{00000000-0005-0000-0000-0000EA060000}"/>
    <cellStyle name="Hyperlink 2 4" xfId="1911" xr:uid="{00000000-0005-0000-0000-0000EB060000}"/>
    <cellStyle name="Hyperlink 2 5" xfId="1912" xr:uid="{00000000-0005-0000-0000-0000EC060000}"/>
    <cellStyle name="Hyperlink 2 6" xfId="1913" xr:uid="{00000000-0005-0000-0000-0000ED060000}"/>
    <cellStyle name="Hyperlink 3" xfId="1914" xr:uid="{00000000-0005-0000-0000-0000EE060000}"/>
    <cellStyle name="Hyperlink 3 2" xfId="1915" xr:uid="{00000000-0005-0000-0000-0000EF060000}"/>
    <cellStyle name="Hyperlink 3 3" xfId="1916" xr:uid="{00000000-0005-0000-0000-0000F0060000}"/>
    <cellStyle name="Hyperlink 4" xfId="1917" xr:uid="{00000000-0005-0000-0000-0000F1060000}"/>
    <cellStyle name="Hyperlink 5" xfId="1918" xr:uid="{00000000-0005-0000-0000-0000F2060000}"/>
    <cellStyle name="Hyperlink 6" xfId="1919" xr:uid="{00000000-0005-0000-0000-0000F3060000}"/>
    <cellStyle name="Hyperlink_CurvasBloombergLatamAsia" xfId="2568" xr:uid="{00000000-0005-0000-0000-0000F4060000}"/>
    <cellStyle name="i phÝ kh¸c_B¶ng 2" xfId="678" xr:uid="{00000000-0005-0000-0000-0000F5060000}"/>
    <cellStyle name="I.3" xfId="679" xr:uid="{00000000-0005-0000-0000-0000F6060000}"/>
    <cellStyle name="I.3 2" xfId="1920" xr:uid="{00000000-0005-0000-0000-0000F7060000}"/>
    <cellStyle name="ï-¾È»ê_BiÓu TB" xfId="680" xr:uid="{00000000-0005-0000-0000-0000F8060000}"/>
    <cellStyle name="importo" xfId="681" xr:uid="{00000000-0005-0000-0000-0000F9060000}"/>
    <cellStyle name="Incorrecto 2" xfId="683" xr:uid="{00000000-0005-0000-0000-0000FA060000}"/>
    <cellStyle name="Incorrecto 3" xfId="684" xr:uid="{00000000-0005-0000-0000-0000FB060000}"/>
    <cellStyle name="Incorrecto 4" xfId="685" xr:uid="{00000000-0005-0000-0000-0000FC060000}"/>
    <cellStyle name="Incorrecto 5" xfId="682" xr:uid="{00000000-0005-0000-0000-0000FD060000}"/>
    <cellStyle name="Input [yellow]" xfId="686" xr:uid="{00000000-0005-0000-0000-0000FE060000}"/>
    <cellStyle name="Input [yellow] 2" xfId="687" xr:uid="{00000000-0005-0000-0000-0000FF060000}"/>
    <cellStyle name="Input [yellow] 2 2" xfId="1922" xr:uid="{00000000-0005-0000-0000-000000070000}"/>
    <cellStyle name="Input [yellow] 2 2 2" xfId="2569" xr:uid="{00000000-0005-0000-0000-000001070000}"/>
    <cellStyle name="Input [yellow] 2 3" xfId="2570" xr:uid="{00000000-0005-0000-0000-000002070000}"/>
    <cellStyle name="Input [yellow] 2 4" xfId="1921" xr:uid="{00000000-0005-0000-0000-000003070000}"/>
    <cellStyle name="Input [yellow] 2_BBV" xfId="1923" xr:uid="{00000000-0005-0000-0000-000004070000}"/>
    <cellStyle name="Input [yellow] 3" xfId="1924" xr:uid="{00000000-0005-0000-0000-000005070000}"/>
    <cellStyle name="Input [yellow]_AjustesPorColat" xfId="688" xr:uid="{00000000-0005-0000-0000-000006070000}"/>
    <cellStyle name="input 10" xfId="2571" xr:uid="{00000000-0005-0000-0000-000007070000}"/>
    <cellStyle name="input 11" xfId="2572" xr:uid="{00000000-0005-0000-0000-000008070000}"/>
    <cellStyle name="input 2" xfId="1925" xr:uid="{00000000-0005-0000-0000-000009070000}"/>
    <cellStyle name="input 3" xfId="1926" xr:uid="{00000000-0005-0000-0000-00000A070000}"/>
    <cellStyle name="Input 4" xfId="1927" xr:uid="{00000000-0005-0000-0000-00000B070000}"/>
    <cellStyle name="Input 5" xfId="1928" xr:uid="{00000000-0005-0000-0000-00000C070000}"/>
    <cellStyle name="Input 6" xfId="1929" xr:uid="{00000000-0005-0000-0000-00000D070000}"/>
    <cellStyle name="Input 7" xfId="1930" xr:uid="{00000000-0005-0000-0000-00000E070000}"/>
    <cellStyle name="input 8" xfId="1931" xr:uid="{00000000-0005-0000-0000-00000F070000}"/>
    <cellStyle name="input 9" xfId="1932" xr:uid="{00000000-0005-0000-0000-000010070000}"/>
    <cellStyle name="Input%" xfId="689" xr:uid="{00000000-0005-0000-0000-000011070000}"/>
    <cellStyle name="Input% 2" xfId="690" xr:uid="{00000000-0005-0000-0000-000012070000}"/>
    <cellStyle name="Input% 2 2" xfId="2573" xr:uid="{00000000-0005-0000-0000-000013070000}"/>
    <cellStyle name="Input% 3" xfId="2705" xr:uid="{00000000-0005-0000-0000-000014070000}"/>
    <cellStyle name="Input% 3 2" xfId="2706" xr:uid="{00000000-0005-0000-0000-000015070000}"/>
    <cellStyle name="Input% 4" xfId="2707" xr:uid="{00000000-0005-0000-0000-000016070000}"/>
    <cellStyle name="Input% 4 2" xfId="2708" xr:uid="{00000000-0005-0000-0000-000017070000}"/>
    <cellStyle name="Input%_AjustesPorColat" xfId="691" xr:uid="{00000000-0005-0000-0000-000018070000}"/>
    <cellStyle name="InputDate" xfId="692" xr:uid="{00000000-0005-0000-0000-000019070000}"/>
    <cellStyle name="InputDate 2" xfId="693" xr:uid="{00000000-0005-0000-0000-00001A070000}"/>
    <cellStyle name="InputDate 2 2" xfId="2574" xr:uid="{00000000-0005-0000-0000-00001B070000}"/>
    <cellStyle name="InputDate 3" xfId="2709" xr:uid="{00000000-0005-0000-0000-00001C070000}"/>
    <cellStyle name="InputDate 3 2" xfId="2710" xr:uid="{00000000-0005-0000-0000-00001D070000}"/>
    <cellStyle name="InputDate 4" xfId="2711" xr:uid="{00000000-0005-0000-0000-00001E070000}"/>
    <cellStyle name="InputDate 4 2" xfId="2712" xr:uid="{00000000-0005-0000-0000-00001F070000}"/>
    <cellStyle name="InputDate_AjustesPorColat" xfId="694" xr:uid="{00000000-0005-0000-0000-000020070000}"/>
    <cellStyle name="InputDecimal" xfId="695" xr:uid="{00000000-0005-0000-0000-000021070000}"/>
    <cellStyle name="InputDecimal 2" xfId="696" xr:uid="{00000000-0005-0000-0000-000022070000}"/>
    <cellStyle name="InputDecimal 2 2" xfId="2575" xr:uid="{00000000-0005-0000-0000-000023070000}"/>
    <cellStyle name="InputDecimal 3" xfId="2713" xr:uid="{00000000-0005-0000-0000-000024070000}"/>
    <cellStyle name="InputDecimal 3 2" xfId="2714" xr:uid="{00000000-0005-0000-0000-000025070000}"/>
    <cellStyle name="InputDecimal 4" xfId="2715" xr:uid="{00000000-0005-0000-0000-000026070000}"/>
    <cellStyle name="InputDecimal 4 2" xfId="2716" xr:uid="{00000000-0005-0000-0000-000027070000}"/>
    <cellStyle name="InputDecimal_AjustesPorColat" xfId="697" xr:uid="{00000000-0005-0000-0000-000028070000}"/>
    <cellStyle name="InputValue" xfId="698" xr:uid="{00000000-0005-0000-0000-000029070000}"/>
    <cellStyle name="InputValue 2" xfId="699" xr:uid="{00000000-0005-0000-0000-00002A070000}"/>
    <cellStyle name="InputValue 2 2" xfId="2576" xr:uid="{00000000-0005-0000-0000-00002B070000}"/>
    <cellStyle name="InputValue 3" xfId="2717" xr:uid="{00000000-0005-0000-0000-00002C070000}"/>
    <cellStyle name="InputValue 3 2" xfId="2718" xr:uid="{00000000-0005-0000-0000-00002D070000}"/>
    <cellStyle name="InputValue 4" xfId="2719" xr:uid="{00000000-0005-0000-0000-00002E070000}"/>
    <cellStyle name="InputValue 4 2" xfId="2720" xr:uid="{00000000-0005-0000-0000-00002F070000}"/>
    <cellStyle name="InputValue_AjustesPorColat" xfId="700" xr:uid="{00000000-0005-0000-0000-000030070000}"/>
    <cellStyle name="Insatisfaisant" xfId="2721" xr:uid="{00000000-0005-0000-0000-000031070000}"/>
    <cellStyle name="invoice 8_g1" xfId="701" xr:uid="{00000000-0005-0000-0000-000032070000}"/>
    <cellStyle name="kh¸c_Bang Chi tieu" xfId="702" xr:uid="{00000000-0005-0000-0000-000033070000}"/>
    <cellStyle name="khanh" xfId="703" xr:uid="{00000000-0005-0000-0000-000034070000}"/>
    <cellStyle name="KPMG Heading 1" xfId="704" xr:uid="{00000000-0005-0000-0000-000035070000}"/>
    <cellStyle name="KPMG Heading 2" xfId="705" xr:uid="{00000000-0005-0000-0000-000036070000}"/>
    <cellStyle name="KPMG Heading 3" xfId="706" xr:uid="{00000000-0005-0000-0000-000037070000}"/>
    <cellStyle name="KPMG Heading 4" xfId="707" xr:uid="{00000000-0005-0000-0000-000038070000}"/>
    <cellStyle name="KPMG Normal" xfId="708" xr:uid="{00000000-0005-0000-0000-000039070000}"/>
    <cellStyle name="KPMG Normal Text" xfId="709" xr:uid="{00000000-0005-0000-0000-00003A070000}"/>
    <cellStyle name="label" xfId="710" xr:uid="{00000000-0005-0000-0000-00003B070000}"/>
    <cellStyle name="LABEL Normal" xfId="711" xr:uid="{00000000-0005-0000-0000-00003C070000}"/>
    <cellStyle name="LABEL Note" xfId="712" xr:uid="{00000000-0005-0000-0000-00003D070000}"/>
    <cellStyle name="LABEL Units" xfId="713" xr:uid="{00000000-0005-0000-0000-00003E070000}"/>
    <cellStyle name="label_12577900" xfId="714" xr:uid="{00000000-0005-0000-0000-00003F070000}"/>
    <cellStyle name="Lauren" xfId="715" xr:uid="{00000000-0005-0000-0000-000040070000}"/>
    <cellStyle name="Lauren 2" xfId="2577" xr:uid="{00000000-0005-0000-0000-000041070000}"/>
    <cellStyle name="Linked Cell 2" xfId="1933" xr:uid="{00000000-0005-0000-0000-000042070000}"/>
    <cellStyle name="Linked Cell 3" xfId="1934" xr:uid="{00000000-0005-0000-0000-000043070000}"/>
    <cellStyle name="Linked Cell 4" xfId="1935" xr:uid="{00000000-0005-0000-0000-000044070000}"/>
    <cellStyle name="Linked Cell 5" xfId="1936" xr:uid="{00000000-0005-0000-0000-000045070000}"/>
    <cellStyle name="main_input" xfId="716" xr:uid="{00000000-0005-0000-0000-000046070000}"/>
    <cellStyle name="Měna0" xfId="717" xr:uid="{00000000-0005-0000-0000-000047070000}"/>
    <cellStyle name="Migliaia (0)_ANPRE" xfId="718" xr:uid="{00000000-0005-0000-0000-000048070000}"/>
    <cellStyle name="Millares [0] 2" xfId="719" xr:uid="{00000000-0005-0000-0000-000049070000}"/>
    <cellStyle name="Millares [0] 2 2" xfId="2578" xr:uid="{00000000-0005-0000-0000-00004A070000}"/>
    <cellStyle name="Millares [0] 3" xfId="720" xr:uid="{00000000-0005-0000-0000-00004B070000}"/>
    <cellStyle name="Millares [0] 3 2" xfId="2579" xr:uid="{00000000-0005-0000-0000-00004C070000}"/>
    <cellStyle name="Millares 2" xfId="721" xr:uid="{00000000-0005-0000-0000-00004D070000}"/>
    <cellStyle name="Millares 2 2" xfId="2580" xr:uid="{00000000-0005-0000-0000-00004E070000}"/>
    <cellStyle name="Millares 3" xfId="722" xr:uid="{00000000-0005-0000-0000-00004F070000}"/>
    <cellStyle name="Millares 3 2" xfId="2581" xr:uid="{00000000-0005-0000-0000-000050070000}"/>
    <cellStyle name="Millares 4" xfId="723" xr:uid="{00000000-0005-0000-0000-000051070000}"/>
    <cellStyle name="Millares 4 2" xfId="2582" xr:uid="{00000000-0005-0000-0000-000052070000}"/>
    <cellStyle name="Millares 5" xfId="724" xr:uid="{00000000-0005-0000-0000-000053070000}"/>
    <cellStyle name="Millares 5 2" xfId="2583" xr:uid="{00000000-0005-0000-0000-000054070000}"/>
    <cellStyle name="Millares 6" xfId="725" xr:uid="{00000000-0005-0000-0000-000055070000}"/>
    <cellStyle name="Millares 6 2" xfId="2584" xr:uid="{00000000-0005-0000-0000-000056070000}"/>
    <cellStyle name="Millares 7" xfId="726" xr:uid="{00000000-0005-0000-0000-000057070000}"/>
    <cellStyle name="Millares 8" xfId="2757" xr:uid="{00000000-0005-0000-0000-000058070000}"/>
    <cellStyle name="Milliers [0]_Basis" xfId="727" xr:uid="{00000000-0005-0000-0000-000059070000}"/>
    <cellStyle name="Milliers_Basis" xfId="728" xr:uid="{00000000-0005-0000-0000-00005A070000}"/>
    <cellStyle name="misure" xfId="729" xr:uid="{00000000-0005-0000-0000-00005B070000}"/>
    <cellStyle name="misure 2" xfId="2585" xr:uid="{00000000-0005-0000-0000-00005C070000}"/>
    <cellStyle name="misure totali" xfId="730" xr:uid="{00000000-0005-0000-0000-00005D070000}"/>
    <cellStyle name="Model" xfId="731" xr:uid="{00000000-0005-0000-0000-00005E070000}"/>
    <cellStyle name="Modifiable" xfId="732" xr:uid="{00000000-0005-0000-0000-00005F070000}"/>
    <cellStyle name="Modifiable 2" xfId="1937" xr:uid="{00000000-0005-0000-0000-000060070000}"/>
    <cellStyle name="moi" xfId="733" xr:uid="{00000000-0005-0000-0000-000061070000}"/>
    <cellStyle name="moi 2" xfId="1939" xr:uid="{00000000-0005-0000-0000-000062070000}"/>
    <cellStyle name="moi 2 2" xfId="2586" xr:uid="{00000000-0005-0000-0000-000063070000}"/>
    <cellStyle name="moi 3" xfId="2587" xr:uid="{00000000-0005-0000-0000-000064070000}"/>
    <cellStyle name="moi 4" xfId="1938" xr:uid="{00000000-0005-0000-0000-000065070000}"/>
    <cellStyle name="Moneda 2" xfId="734" xr:uid="{00000000-0005-0000-0000-000066070000}"/>
    <cellStyle name="Moneda 2 2" xfId="1940" xr:uid="{00000000-0005-0000-0000-000067070000}"/>
    <cellStyle name="Monétaire [0]_Basis" xfId="735" xr:uid="{00000000-0005-0000-0000-000068070000}"/>
    <cellStyle name="Monétaire_Basis" xfId="736" xr:uid="{00000000-0005-0000-0000-000069070000}"/>
    <cellStyle name="n" xfId="737" xr:uid="{00000000-0005-0000-0000-00006A070000}"/>
    <cellStyle name="n 2" xfId="1941" xr:uid="{00000000-0005-0000-0000-00006B070000}"/>
    <cellStyle name="n_AjustesPorColat" xfId="738" xr:uid="{00000000-0005-0000-0000-00006C070000}"/>
    <cellStyle name="n_FXDefinition" xfId="739" xr:uid="{00000000-0005-0000-0000-00006D070000}"/>
    <cellStyle name="Neutral 2" xfId="741" xr:uid="{00000000-0005-0000-0000-00006E070000}"/>
    <cellStyle name="Neutral 3" xfId="740" xr:uid="{00000000-0005-0000-0000-00006F070000}"/>
    <cellStyle name="Neutral 3 2" xfId="1942" xr:uid="{00000000-0005-0000-0000-000070070000}"/>
    <cellStyle name="Neutral 4" xfId="1943" xr:uid="{00000000-0005-0000-0000-000071070000}"/>
    <cellStyle name="Neutral 5" xfId="1944" xr:uid="{00000000-0005-0000-0000-000072070000}"/>
    <cellStyle name="Neutre" xfId="2722" xr:uid="{00000000-0005-0000-0000-000073070000}"/>
    <cellStyle name="New Times Roman" xfId="742" xr:uid="{00000000-0005-0000-0000-000074070000}"/>
    <cellStyle name="Next holiday" xfId="743" xr:uid="{00000000-0005-0000-0000-000075070000}"/>
    <cellStyle name="No Border" xfId="744" xr:uid="{00000000-0005-0000-0000-000076070000}"/>
    <cellStyle name="no dec" xfId="745" xr:uid="{00000000-0005-0000-0000-000077070000}"/>
    <cellStyle name="No-definido" xfId="746" xr:uid="{00000000-0005-0000-0000-000078070000}"/>
    <cellStyle name="No-definido 2" xfId="747" xr:uid="{00000000-0005-0000-0000-000079070000}"/>
    <cellStyle name="No-definido 2 2" xfId="1945" xr:uid="{00000000-0005-0000-0000-00007A070000}"/>
    <cellStyle name="No-definido 2 3" xfId="1946" xr:uid="{00000000-0005-0000-0000-00007B070000}"/>
    <cellStyle name="No-definido 2 4" xfId="1947" xr:uid="{00000000-0005-0000-0000-00007C070000}"/>
    <cellStyle name="No-definido 2_BBV" xfId="1948" xr:uid="{00000000-0005-0000-0000-00007D070000}"/>
    <cellStyle name="No-definido 3" xfId="1949" xr:uid="{00000000-0005-0000-0000-00007E070000}"/>
    <cellStyle name="No-definido 3 2" xfId="1950" xr:uid="{00000000-0005-0000-0000-00007F070000}"/>
    <cellStyle name="No-definido 4" xfId="2723" xr:uid="{00000000-0005-0000-0000-000080070000}"/>
    <cellStyle name="No-definido 4 2" xfId="2724" xr:uid="{00000000-0005-0000-0000-000081070000}"/>
    <cellStyle name="No-definido 5" xfId="2725" xr:uid="{00000000-0005-0000-0000-000082070000}"/>
    <cellStyle name="No-definido_AjustesPorColat" xfId="748" xr:uid="{00000000-0005-0000-0000-000083070000}"/>
    <cellStyle name="Normal" xfId="0" builtinId="0"/>
    <cellStyle name="Normal - Style1" xfId="749" xr:uid="{00000000-0005-0000-0000-000085070000}"/>
    <cellStyle name="Normal - Style1 2" xfId="1951" xr:uid="{00000000-0005-0000-0000-000086070000}"/>
    <cellStyle name="Normal 10" xfId="1" xr:uid="{00000000-0005-0000-0000-000087070000}"/>
    <cellStyle name="Normal 10 2" xfId="1952" xr:uid="{00000000-0005-0000-0000-000088070000}"/>
    <cellStyle name="Normal 10 3" xfId="1953" xr:uid="{00000000-0005-0000-0000-000089070000}"/>
    <cellStyle name="Normal 10 3 2" xfId="1954" xr:uid="{00000000-0005-0000-0000-00008A070000}"/>
    <cellStyle name="Normal 100" xfId="1955" xr:uid="{00000000-0005-0000-0000-00008B070000}"/>
    <cellStyle name="Normal 101" xfId="1956" xr:uid="{00000000-0005-0000-0000-00008C070000}"/>
    <cellStyle name="Normal 101 2" xfId="1957" xr:uid="{00000000-0005-0000-0000-00008D070000}"/>
    <cellStyle name="Normal 102" xfId="1958" xr:uid="{00000000-0005-0000-0000-00008E070000}"/>
    <cellStyle name="Normal 103" xfId="1959" xr:uid="{00000000-0005-0000-0000-00008F070000}"/>
    <cellStyle name="Normal 104" xfId="1960" xr:uid="{00000000-0005-0000-0000-000090070000}"/>
    <cellStyle name="Normal 105" xfId="1961" xr:uid="{00000000-0005-0000-0000-000091070000}"/>
    <cellStyle name="Normal 106" xfId="1962" xr:uid="{00000000-0005-0000-0000-000092070000}"/>
    <cellStyle name="Normal 107" xfId="1963" xr:uid="{00000000-0005-0000-0000-000093070000}"/>
    <cellStyle name="Normal 108" xfId="1964" xr:uid="{00000000-0005-0000-0000-000094070000}"/>
    <cellStyle name="Normal 109" xfId="1965" xr:uid="{00000000-0005-0000-0000-000095070000}"/>
    <cellStyle name="Normal 11" xfId="1966" xr:uid="{00000000-0005-0000-0000-000096070000}"/>
    <cellStyle name="Normal 110" xfId="1967" xr:uid="{00000000-0005-0000-0000-000097070000}"/>
    <cellStyle name="Normal 111" xfId="1968" xr:uid="{00000000-0005-0000-0000-000098070000}"/>
    <cellStyle name="Normal 112" xfId="1969" xr:uid="{00000000-0005-0000-0000-000099070000}"/>
    <cellStyle name="Normal 112 2" xfId="750" xr:uid="{00000000-0005-0000-0000-00009A070000}"/>
    <cellStyle name="Normal 112 2 2" xfId="1970" xr:uid="{00000000-0005-0000-0000-00009B070000}"/>
    <cellStyle name="Normal 113" xfId="1971" xr:uid="{00000000-0005-0000-0000-00009C070000}"/>
    <cellStyle name="Normal 114" xfId="1972" xr:uid="{00000000-0005-0000-0000-00009D070000}"/>
    <cellStyle name="Normal 115" xfId="1973" xr:uid="{00000000-0005-0000-0000-00009E070000}"/>
    <cellStyle name="Normal 116" xfId="1974" xr:uid="{00000000-0005-0000-0000-00009F070000}"/>
    <cellStyle name="Normal 117" xfId="1975" xr:uid="{00000000-0005-0000-0000-0000A0070000}"/>
    <cellStyle name="Normal 118" xfId="1976" xr:uid="{00000000-0005-0000-0000-0000A1070000}"/>
    <cellStyle name="Normal 119" xfId="1977" xr:uid="{00000000-0005-0000-0000-0000A2070000}"/>
    <cellStyle name="Normal 12" xfId="1978" xr:uid="{00000000-0005-0000-0000-0000A3070000}"/>
    <cellStyle name="Normal 120" xfId="1979" xr:uid="{00000000-0005-0000-0000-0000A4070000}"/>
    <cellStyle name="Normal 121" xfId="1980" xr:uid="{00000000-0005-0000-0000-0000A5070000}"/>
    <cellStyle name="Normal 122" xfId="1981" xr:uid="{00000000-0005-0000-0000-0000A6070000}"/>
    <cellStyle name="Normal 123" xfId="1982" xr:uid="{00000000-0005-0000-0000-0000A7070000}"/>
    <cellStyle name="Normal 124" xfId="1983" xr:uid="{00000000-0005-0000-0000-0000A8070000}"/>
    <cellStyle name="Normal 125" xfId="1984" xr:uid="{00000000-0005-0000-0000-0000A9070000}"/>
    <cellStyle name="Normal 126" xfId="1985" xr:uid="{00000000-0005-0000-0000-0000AA070000}"/>
    <cellStyle name="Normal 127" xfId="2588" xr:uid="{00000000-0005-0000-0000-0000AB070000}"/>
    <cellStyle name="Normal 128" xfId="2589" xr:uid="{00000000-0005-0000-0000-0000AC070000}"/>
    <cellStyle name="Normal 129" xfId="2726" xr:uid="{00000000-0005-0000-0000-0000AD070000}"/>
    <cellStyle name="Normal 13" xfId="1986" xr:uid="{00000000-0005-0000-0000-0000AE070000}"/>
    <cellStyle name="Normal 13 2" xfId="1987" xr:uid="{00000000-0005-0000-0000-0000AF070000}"/>
    <cellStyle name="Normal 13 3" xfId="1988" xr:uid="{00000000-0005-0000-0000-0000B0070000}"/>
    <cellStyle name="Normal 13 3 2" xfId="1989" xr:uid="{00000000-0005-0000-0000-0000B1070000}"/>
    <cellStyle name="Normal 130" xfId="2727" xr:uid="{00000000-0005-0000-0000-0000B2070000}"/>
    <cellStyle name="Normal 14" xfId="1990" xr:uid="{00000000-0005-0000-0000-0000B3070000}"/>
    <cellStyle name="Normal 15" xfId="1991" xr:uid="{00000000-0005-0000-0000-0000B4070000}"/>
    <cellStyle name="Normal 15 2" xfId="1992" xr:uid="{00000000-0005-0000-0000-0000B5070000}"/>
    <cellStyle name="Normal 15 3" xfId="1993" xr:uid="{00000000-0005-0000-0000-0000B6070000}"/>
    <cellStyle name="Normal 15 3 2" xfId="1994" xr:uid="{00000000-0005-0000-0000-0000B7070000}"/>
    <cellStyle name="Normal 16" xfId="1995" xr:uid="{00000000-0005-0000-0000-0000B8070000}"/>
    <cellStyle name="Normal 17" xfId="1996" xr:uid="{00000000-0005-0000-0000-0000B9070000}"/>
    <cellStyle name="Normal 17 2" xfId="1997" xr:uid="{00000000-0005-0000-0000-0000BA070000}"/>
    <cellStyle name="Normal 18" xfId="1998" xr:uid="{00000000-0005-0000-0000-0000BB070000}"/>
    <cellStyle name="Normal 19" xfId="1999" xr:uid="{00000000-0005-0000-0000-0000BC070000}"/>
    <cellStyle name="Normal 19 2" xfId="2000" xr:uid="{00000000-0005-0000-0000-0000BD070000}"/>
    <cellStyle name="Normal 2" xfId="751" xr:uid="{00000000-0005-0000-0000-0000BE070000}"/>
    <cellStyle name="Normal 2 2" xfId="752" xr:uid="{00000000-0005-0000-0000-0000BF070000}"/>
    <cellStyle name="Normal 2 2 2" xfId="2001" xr:uid="{00000000-0005-0000-0000-0000C0070000}"/>
    <cellStyle name="Normal 2 2 3" xfId="2002" xr:uid="{00000000-0005-0000-0000-0000C1070000}"/>
    <cellStyle name="Normal 2 3" xfId="753" xr:uid="{00000000-0005-0000-0000-0000C2070000}"/>
    <cellStyle name="Normal 2 3 2" xfId="2590" xr:uid="{00000000-0005-0000-0000-0000C3070000}"/>
    <cellStyle name="Normal 2 4" xfId="754" xr:uid="{00000000-0005-0000-0000-0000C4070000}"/>
    <cellStyle name="Normal 2 4 2" xfId="2591" xr:uid="{00000000-0005-0000-0000-0000C5070000}"/>
    <cellStyle name="Normal 2 4 3" xfId="2003" xr:uid="{00000000-0005-0000-0000-0000C6070000}"/>
    <cellStyle name="Normal 2 5" xfId="755" xr:uid="{00000000-0005-0000-0000-0000C7070000}"/>
    <cellStyle name="Normal 2 5 2" xfId="2592" xr:uid="{00000000-0005-0000-0000-0000C8070000}"/>
    <cellStyle name="Normal 2 5 3" xfId="2004" xr:uid="{00000000-0005-0000-0000-0000C9070000}"/>
    <cellStyle name="Normal 2 6" xfId="2005" xr:uid="{00000000-0005-0000-0000-0000CA070000}"/>
    <cellStyle name="Normal 2 6 2" xfId="2593" xr:uid="{00000000-0005-0000-0000-0000CB070000}"/>
    <cellStyle name="Normal 2_12577900" xfId="756" xr:uid="{00000000-0005-0000-0000-0000CC070000}"/>
    <cellStyle name="Normal 20" xfId="2006" xr:uid="{00000000-0005-0000-0000-0000CD070000}"/>
    <cellStyle name="Normal 21" xfId="2007" xr:uid="{00000000-0005-0000-0000-0000CE070000}"/>
    <cellStyle name="Normal 21 2" xfId="2008" xr:uid="{00000000-0005-0000-0000-0000CF070000}"/>
    <cellStyle name="Normal 22" xfId="2009" xr:uid="{00000000-0005-0000-0000-0000D0070000}"/>
    <cellStyle name="Normal 23" xfId="2010" xr:uid="{00000000-0005-0000-0000-0000D1070000}"/>
    <cellStyle name="Normal 23 2" xfId="2011" xr:uid="{00000000-0005-0000-0000-0000D2070000}"/>
    <cellStyle name="Normal 24" xfId="2012" xr:uid="{00000000-0005-0000-0000-0000D3070000}"/>
    <cellStyle name="Normal 25" xfId="2013" xr:uid="{00000000-0005-0000-0000-0000D4070000}"/>
    <cellStyle name="Normal 25 2" xfId="2014" xr:uid="{00000000-0005-0000-0000-0000D5070000}"/>
    <cellStyle name="Normal 26" xfId="2015" xr:uid="{00000000-0005-0000-0000-0000D6070000}"/>
    <cellStyle name="Normal 27" xfId="2016" xr:uid="{00000000-0005-0000-0000-0000D7070000}"/>
    <cellStyle name="Normal 27 2" xfId="2017" xr:uid="{00000000-0005-0000-0000-0000D8070000}"/>
    <cellStyle name="Normal 28" xfId="2018" xr:uid="{00000000-0005-0000-0000-0000D9070000}"/>
    <cellStyle name="Normal 29" xfId="2019" xr:uid="{00000000-0005-0000-0000-0000DA070000}"/>
    <cellStyle name="Normal 3" xfId="757" xr:uid="{00000000-0005-0000-0000-0000DB070000}"/>
    <cellStyle name="Normal 3 2" xfId="2020" xr:uid="{00000000-0005-0000-0000-0000DC070000}"/>
    <cellStyle name="Normal 3 2 2" xfId="2021" xr:uid="{00000000-0005-0000-0000-0000DD070000}"/>
    <cellStyle name="Normal 3 2 3" xfId="2022" xr:uid="{00000000-0005-0000-0000-0000DE070000}"/>
    <cellStyle name="Normal 3 2 4" xfId="2023" xr:uid="{00000000-0005-0000-0000-0000DF070000}"/>
    <cellStyle name="Normal 3 3" xfId="2024" xr:uid="{00000000-0005-0000-0000-0000E0070000}"/>
    <cellStyle name="Normal 3 4" xfId="2025" xr:uid="{00000000-0005-0000-0000-0000E1070000}"/>
    <cellStyle name="Normal 30" xfId="2026" xr:uid="{00000000-0005-0000-0000-0000E2070000}"/>
    <cellStyle name="Normal 31" xfId="2027" xr:uid="{00000000-0005-0000-0000-0000E3070000}"/>
    <cellStyle name="Normal 32" xfId="2028" xr:uid="{00000000-0005-0000-0000-0000E4070000}"/>
    <cellStyle name="Normal 33" xfId="2029" xr:uid="{00000000-0005-0000-0000-0000E5070000}"/>
    <cellStyle name="Normal 34" xfId="2030" xr:uid="{00000000-0005-0000-0000-0000E6070000}"/>
    <cellStyle name="Normal 35" xfId="2031" xr:uid="{00000000-0005-0000-0000-0000E7070000}"/>
    <cellStyle name="Normal 36" xfId="2032" xr:uid="{00000000-0005-0000-0000-0000E8070000}"/>
    <cellStyle name="Normal 37" xfId="758" xr:uid="{00000000-0005-0000-0000-0000E9070000}"/>
    <cellStyle name="Normal 37 2" xfId="2033" xr:uid="{00000000-0005-0000-0000-0000EA070000}"/>
    <cellStyle name="Normal 38" xfId="2034" xr:uid="{00000000-0005-0000-0000-0000EB070000}"/>
    <cellStyle name="Normal 39" xfId="2035" xr:uid="{00000000-0005-0000-0000-0000EC070000}"/>
    <cellStyle name="Normal 4" xfId="759" xr:uid="{00000000-0005-0000-0000-0000ED070000}"/>
    <cellStyle name="Normal 4 2" xfId="2037" xr:uid="{00000000-0005-0000-0000-0000EE070000}"/>
    <cellStyle name="Normal 4 2 2" xfId="2038" xr:uid="{00000000-0005-0000-0000-0000EF070000}"/>
    <cellStyle name="Normal 4 2 3" xfId="2039" xr:uid="{00000000-0005-0000-0000-0000F0070000}"/>
    <cellStyle name="Normal 4 2 4" xfId="2040" xr:uid="{00000000-0005-0000-0000-0000F1070000}"/>
    <cellStyle name="Normal 4 3" xfId="2041" xr:uid="{00000000-0005-0000-0000-0000F2070000}"/>
    <cellStyle name="Normal 4 4" xfId="2036" xr:uid="{00000000-0005-0000-0000-0000F3070000}"/>
    <cellStyle name="Normal 40" xfId="2042" xr:uid="{00000000-0005-0000-0000-0000F4070000}"/>
    <cellStyle name="Normal 41" xfId="2043" xr:uid="{00000000-0005-0000-0000-0000F5070000}"/>
    <cellStyle name="Normal 42" xfId="2044" xr:uid="{00000000-0005-0000-0000-0000F6070000}"/>
    <cellStyle name="Normal 43" xfId="2045" xr:uid="{00000000-0005-0000-0000-0000F7070000}"/>
    <cellStyle name="Normal 44" xfId="2046" xr:uid="{00000000-0005-0000-0000-0000F8070000}"/>
    <cellStyle name="Normal 45" xfId="2047" xr:uid="{00000000-0005-0000-0000-0000F9070000}"/>
    <cellStyle name="Normal 46" xfId="2048" xr:uid="{00000000-0005-0000-0000-0000FA070000}"/>
    <cellStyle name="Normal 47" xfId="2049" xr:uid="{00000000-0005-0000-0000-0000FB070000}"/>
    <cellStyle name="Normal 48" xfId="2050" xr:uid="{00000000-0005-0000-0000-0000FC070000}"/>
    <cellStyle name="Normal 49" xfId="2051" xr:uid="{00000000-0005-0000-0000-0000FD070000}"/>
    <cellStyle name="Normal 5" xfId="760" xr:uid="{00000000-0005-0000-0000-0000FE070000}"/>
    <cellStyle name="Normal 5 2" xfId="2053" xr:uid="{00000000-0005-0000-0000-0000FF070000}"/>
    <cellStyle name="Normal 5 2 2" xfId="2594" xr:uid="{00000000-0005-0000-0000-000000080000}"/>
    <cellStyle name="Normal 5 3" xfId="2054" xr:uid="{00000000-0005-0000-0000-000001080000}"/>
    <cellStyle name="Normal 5 3 2" xfId="2055" xr:uid="{00000000-0005-0000-0000-000002080000}"/>
    <cellStyle name="Normal 5 4" xfId="2052" xr:uid="{00000000-0005-0000-0000-000003080000}"/>
    <cellStyle name="Normal 50" xfId="2056" xr:uid="{00000000-0005-0000-0000-000004080000}"/>
    <cellStyle name="Normal 51" xfId="2057" xr:uid="{00000000-0005-0000-0000-000005080000}"/>
    <cellStyle name="Normal 52" xfId="2058" xr:uid="{00000000-0005-0000-0000-000006080000}"/>
    <cellStyle name="Normal 53" xfId="2059" xr:uid="{00000000-0005-0000-0000-000007080000}"/>
    <cellStyle name="Normal 54" xfId="2060" xr:uid="{00000000-0005-0000-0000-000008080000}"/>
    <cellStyle name="Normal 55" xfId="2061" xr:uid="{00000000-0005-0000-0000-000009080000}"/>
    <cellStyle name="Normal 56" xfId="2062" xr:uid="{00000000-0005-0000-0000-00000A080000}"/>
    <cellStyle name="Normal 57" xfId="2063" xr:uid="{00000000-0005-0000-0000-00000B080000}"/>
    <cellStyle name="Normal 58" xfId="2064" xr:uid="{00000000-0005-0000-0000-00000C080000}"/>
    <cellStyle name="Normal 59" xfId="2065" xr:uid="{00000000-0005-0000-0000-00000D080000}"/>
    <cellStyle name="Normal 6" xfId="761" xr:uid="{00000000-0005-0000-0000-00000E080000}"/>
    <cellStyle name="Normal 6 2" xfId="2066" xr:uid="{00000000-0005-0000-0000-00000F080000}"/>
    <cellStyle name="Normal 6 3" xfId="2067" xr:uid="{00000000-0005-0000-0000-000010080000}"/>
    <cellStyle name="Normal 6 4" xfId="2068" xr:uid="{00000000-0005-0000-0000-000011080000}"/>
    <cellStyle name="Normal 60" xfId="2069" xr:uid="{00000000-0005-0000-0000-000012080000}"/>
    <cellStyle name="Normal 61" xfId="2070" xr:uid="{00000000-0005-0000-0000-000013080000}"/>
    <cellStyle name="Normal 62" xfId="2071" xr:uid="{00000000-0005-0000-0000-000014080000}"/>
    <cellStyle name="Normal 63" xfId="2072" xr:uid="{00000000-0005-0000-0000-000015080000}"/>
    <cellStyle name="Normal 64" xfId="2073" xr:uid="{00000000-0005-0000-0000-000016080000}"/>
    <cellStyle name="Normal 64 2" xfId="2074" xr:uid="{00000000-0005-0000-0000-000017080000}"/>
    <cellStyle name="Normal 64 3" xfId="2075" xr:uid="{00000000-0005-0000-0000-000018080000}"/>
    <cellStyle name="Normal 64 4" xfId="2076" xr:uid="{00000000-0005-0000-0000-000019080000}"/>
    <cellStyle name="Normal 65" xfId="2077" xr:uid="{00000000-0005-0000-0000-00001A080000}"/>
    <cellStyle name="Normal 66" xfId="2078" xr:uid="{00000000-0005-0000-0000-00001B080000}"/>
    <cellStyle name="Normal 66 2" xfId="2079" xr:uid="{00000000-0005-0000-0000-00001C080000}"/>
    <cellStyle name="Normal 66 3" xfId="2080" xr:uid="{00000000-0005-0000-0000-00001D080000}"/>
    <cellStyle name="Normal 67" xfId="2081" xr:uid="{00000000-0005-0000-0000-00001E080000}"/>
    <cellStyle name="Normal 67 2" xfId="2082" xr:uid="{00000000-0005-0000-0000-00001F080000}"/>
    <cellStyle name="Normal 67 3" xfId="2083" xr:uid="{00000000-0005-0000-0000-000020080000}"/>
    <cellStyle name="Normal 68" xfId="2084" xr:uid="{00000000-0005-0000-0000-000021080000}"/>
    <cellStyle name="Normal 68 2" xfId="2085" xr:uid="{00000000-0005-0000-0000-000022080000}"/>
    <cellStyle name="Normal 69" xfId="2086" xr:uid="{00000000-0005-0000-0000-000023080000}"/>
    <cellStyle name="Normal 7" xfId="762" xr:uid="{00000000-0005-0000-0000-000024080000}"/>
    <cellStyle name="Normal 7 2" xfId="2088" xr:uid="{00000000-0005-0000-0000-000025080000}"/>
    <cellStyle name="Normal 7 3" xfId="2089" xr:uid="{00000000-0005-0000-0000-000026080000}"/>
    <cellStyle name="Normal 7 3 2" xfId="2090" xr:uid="{00000000-0005-0000-0000-000027080000}"/>
    <cellStyle name="Normal 7 4" xfId="2091" xr:uid="{00000000-0005-0000-0000-000028080000}"/>
    <cellStyle name="Normal 7 5" xfId="2092" xr:uid="{00000000-0005-0000-0000-000029080000}"/>
    <cellStyle name="Normal 7 6" xfId="2093" xr:uid="{00000000-0005-0000-0000-00002A080000}"/>
    <cellStyle name="Normal 7 7" xfId="2087" xr:uid="{00000000-0005-0000-0000-00002B080000}"/>
    <cellStyle name="Normal 70" xfId="2094" xr:uid="{00000000-0005-0000-0000-00002C080000}"/>
    <cellStyle name="Normal 70 2" xfId="2095" xr:uid="{00000000-0005-0000-0000-00002D080000}"/>
    <cellStyle name="Normal 71" xfId="2096" xr:uid="{00000000-0005-0000-0000-00002E080000}"/>
    <cellStyle name="Normal 71 2" xfId="2097" xr:uid="{00000000-0005-0000-0000-00002F080000}"/>
    <cellStyle name="Normal 72" xfId="2098" xr:uid="{00000000-0005-0000-0000-000030080000}"/>
    <cellStyle name="Normal 72 2" xfId="2099" xr:uid="{00000000-0005-0000-0000-000031080000}"/>
    <cellStyle name="Normal 73" xfId="2100" xr:uid="{00000000-0005-0000-0000-000032080000}"/>
    <cellStyle name="Normal 74" xfId="2101" xr:uid="{00000000-0005-0000-0000-000033080000}"/>
    <cellStyle name="Normal 74 2" xfId="2102" xr:uid="{00000000-0005-0000-0000-000034080000}"/>
    <cellStyle name="Normal 75" xfId="2103" xr:uid="{00000000-0005-0000-0000-000035080000}"/>
    <cellStyle name="Normal 76" xfId="2104" xr:uid="{00000000-0005-0000-0000-000036080000}"/>
    <cellStyle name="Normal 77" xfId="2105" xr:uid="{00000000-0005-0000-0000-000037080000}"/>
    <cellStyle name="Normal 78" xfId="2106" xr:uid="{00000000-0005-0000-0000-000038080000}"/>
    <cellStyle name="Normal 79" xfId="2107" xr:uid="{00000000-0005-0000-0000-000039080000}"/>
    <cellStyle name="Normal 8" xfId="763" xr:uid="{00000000-0005-0000-0000-00003A080000}"/>
    <cellStyle name="Normal 8 2" xfId="2109" xr:uid="{00000000-0005-0000-0000-00003B080000}"/>
    <cellStyle name="Normal 8 2 2" xfId="2595" xr:uid="{00000000-0005-0000-0000-00003C080000}"/>
    <cellStyle name="Normal 8 3" xfId="2110" xr:uid="{00000000-0005-0000-0000-00003D080000}"/>
    <cellStyle name="Normal 8 3 2" xfId="2111" xr:uid="{00000000-0005-0000-0000-00003E080000}"/>
    <cellStyle name="Normal 8 4" xfId="2596" xr:uid="{00000000-0005-0000-0000-00003F080000}"/>
    <cellStyle name="Normal 8 5" xfId="2108" xr:uid="{00000000-0005-0000-0000-000040080000}"/>
    <cellStyle name="Normal 80" xfId="2112" xr:uid="{00000000-0005-0000-0000-000041080000}"/>
    <cellStyle name="Normal 81" xfId="2113" xr:uid="{00000000-0005-0000-0000-000042080000}"/>
    <cellStyle name="Normal 82" xfId="2114" xr:uid="{00000000-0005-0000-0000-000043080000}"/>
    <cellStyle name="Normal 83" xfId="2115" xr:uid="{00000000-0005-0000-0000-000044080000}"/>
    <cellStyle name="Normal 84" xfId="2116" xr:uid="{00000000-0005-0000-0000-000045080000}"/>
    <cellStyle name="Normal 85" xfId="2117" xr:uid="{00000000-0005-0000-0000-000046080000}"/>
    <cellStyle name="Normal 86" xfId="2118" xr:uid="{00000000-0005-0000-0000-000047080000}"/>
    <cellStyle name="Normal 87" xfId="2119" xr:uid="{00000000-0005-0000-0000-000048080000}"/>
    <cellStyle name="Normal 88" xfId="2120" xr:uid="{00000000-0005-0000-0000-000049080000}"/>
    <cellStyle name="Normal 89" xfId="2121" xr:uid="{00000000-0005-0000-0000-00004A080000}"/>
    <cellStyle name="Normal 9" xfId="764" xr:uid="{00000000-0005-0000-0000-00004B080000}"/>
    <cellStyle name="Normal 9 2" xfId="2123" xr:uid="{00000000-0005-0000-0000-00004C080000}"/>
    <cellStyle name="Normal 9 3" xfId="2597" xr:uid="{00000000-0005-0000-0000-00004D080000}"/>
    <cellStyle name="Normal 9 4" xfId="2122" xr:uid="{00000000-0005-0000-0000-00004E080000}"/>
    <cellStyle name="Normal 90" xfId="2124" xr:uid="{00000000-0005-0000-0000-00004F080000}"/>
    <cellStyle name="Normal 90 2" xfId="2728" xr:uid="{00000000-0005-0000-0000-000050080000}"/>
    <cellStyle name="Normal 90 3" xfId="2729" xr:uid="{00000000-0005-0000-0000-000051080000}"/>
    <cellStyle name="Normal 90 3 2" xfId="2730" xr:uid="{00000000-0005-0000-0000-000052080000}"/>
    <cellStyle name="Normal 90 3 3" xfId="2731" xr:uid="{00000000-0005-0000-0000-000053080000}"/>
    <cellStyle name="Normal 90 3 3 2" xfId="2732" xr:uid="{00000000-0005-0000-0000-000054080000}"/>
    <cellStyle name="Normal 90 3 4" xfId="2733" xr:uid="{00000000-0005-0000-0000-000055080000}"/>
    <cellStyle name="Normal 91" xfId="2125" xr:uid="{00000000-0005-0000-0000-000056080000}"/>
    <cellStyle name="Normal 92" xfId="2126" xr:uid="{00000000-0005-0000-0000-000057080000}"/>
    <cellStyle name="Normal 93" xfId="2127" xr:uid="{00000000-0005-0000-0000-000058080000}"/>
    <cellStyle name="Normal 94" xfId="2128" xr:uid="{00000000-0005-0000-0000-000059080000}"/>
    <cellStyle name="Normal 95" xfId="2129" xr:uid="{00000000-0005-0000-0000-00005A080000}"/>
    <cellStyle name="Normal 96" xfId="2130" xr:uid="{00000000-0005-0000-0000-00005B080000}"/>
    <cellStyle name="Normal 97" xfId="2131" xr:uid="{00000000-0005-0000-0000-00005C080000}"/>
    <cellStyle name="Normal 98" xfId="2132" xr:uid="{00000000-0005-0000-0000-00005D080000}"/>
    <cellStyle name="Normal 99" xfId="2133" xr:uid="{00000000-0005-0000-0000-00005E080000}"/>
    <cellStyle name="Normál_0427_Paks-Szekszárd_építményjegyzék_2007_11_29" xfId="765" xr:uid="{00000000-0005-0000-0000-00005F080000}"/>
    <cellStyle name="Normal_Curva_Mdo" xfId="766" xr:uid="{00000000-0005-0000-0000-000060080000}"/>
    <cellStyle name="Normal_HOLS" xfId="1074" xr:uid="{00000000-0005-0000-0000-000061080000}"/>
    <cellStyle name="Normal1" xfId="767" xr:uid="{00000000-0005-0000-0000-000062080000}"/>
    <cellStyle name="Normale 2" xfId="768" xr:uid="{00000000-0005-0000-0000-000063080000}"/>
    <cellStyle name="Normale 2 2" xfId="769" xr:uid="{00000000-0005-0000-0000-000064080000}"/>
    <cellStyle name="Normale 2 2 2" xfId="2598" xr:uid="{00000000-0005-0000-0000-000065080000}"/>
    <cellStyle name="Normalny_Cennik obowiazuje od 06-08-2001 r (1)" xfId="770" xr:uid="{00000000-0005-0000-0000-000066080000}"/>
    <cellStyle name="Notas 2" xfId="771" xr:uid="{00000000-0005-0000-0000-000067080000}"/>
    <cellStyle name="Notas 2 2" xfId="2599" xr:uid="{00000000-0005-0000-0000-000068080000}"/>
    <cellStyle name="Notas 2 3" xfId="2135" xr:uid="{00000000-0005-0000-0000-000069080000}"/>
    <cellStyle name="Notas 3" xfId="772" xr:uid="{00000000-0005-0000-0000-00006A080000}"/>
    <cellStyle name="Notas 3 2" xfId="2600" xr:uid="{00000000-0005-0000-0000-00006B080000}"/>
    <cellStyle name="Notas 4" xfId="2134" xr:uid="{00000000-0005-0000-0000-00006C080000}"/>
    <cellStyle name="Note 2" xfId="773" xr:uid="{00000000-0005-0000-0000-00006D080000}"/>
    <cellStyle name="Note 2 2" xfId="2136" xr:uid="{00000000-0005-0000-0000-00006E080000}"/>
    <cellStyle name="Note 2 3" xfId="2137" xr:uid="{00000000-0005-0000-0000-00006F080000}"/>
    <cellStyle name="Note 3" xfId="774" xr:uid="{00000000-0005-0000-0000-000070080000}"/>
    <cellStyle name="Note 3 2" xfId="2138" xr:uid="{00000000-0005-0000-0000-000071080000}"/>
    <cellStyle name="Note 3 3" xfId="2139" xr:uid="{00000000-0005-0000-0000-000072080000}"/>
    <cellStyle name="Note 3 3 2" xfId="2734" xr:uid="{00000000-0005-0000-0000-000073080000}"/>
    <cellStyle name="Note 4" xfId="775" xr:uid="{00000000-0005-0000-0000-000074080000}"/>
    <cellStyle name="Note 4 2" xfId="2140" xr:uid="{00000000-0005-0000-0000-000075080000}"/>
    <cellStyle name="Note 4 2 2" xfId="2141" xr:uid="{00000000-0005-0000-0000-000076080000}"/>
    <cellStyle name="Note 4 3" xfId="2735" xr:uid="{00000000-0005-0000-0000-000077080000}"/>
    <cellStyle name="Note 4 3 2" xfId="2736" xr:uid="{00000000-0005-0000-0000-000078080000}"/>
    <cellStyle name="Note 5" xfId="776" xr:uid="{00000000-0005-0000-0000-000079080000}"/>
    <cellStyle name="Note 5 2" xfId="2142" xr:uid="{00000000-0005-0000-0000-00007A080000}"/>
    <cellStyle name="Note 6" xfId="2143" xr:uid="{00000000-0005-0000-0000-00007B080000}"/>
    <cellStyle name="Note 6 2" xfId="2144" xr:uid="{00000000-0005-0000-0000-00007C080000}"/>
    <cellStyle name="Note 7" xfId="2145" xr:uid="{00000000-0005-0000-0000-00007D080000}"/>
    <cellStyle name="Note 8" xfId="2146" xr:uid="{00000000-0005-0000-0000-00007E080000}"/>
    <cellStyle name="Notiz" xfId="777" xr:uid="{00000000-0005-0000-0000-00007F080000}"/>
    <cellStyle name="Notiz 2" xfId="2601" xr:uid="{00000000-0005-0000-0000-000080080000}"/>
    <cellStyle name="Number" xfId="778" xr:uid="{00000000-0005-0000-0000-000081080000}"/>
    <cellStyle name="NumberFormat" xfId="779" xr:uid="{00000000-0005-0000-0000-000082080000}"/>
    <cellStyle name="NumberFormat 2" xfId="2602" xr:uid="{00000000-0005-0000-0000-000083080000}"/>
    <cellStyle name="numero" xfId="780" xr:uid="{00000000-0005-0000-0000-000084080000}"/>
    <cellStyle name="Œ…?æ맖?e [0.00]_laroux" xfId="781" xr:uid="{00000000-0005-0000-0000-000085080000}"/>
    <cellStyle name="Œ…?æ맖?e_laroux" xfId="782" xr:uid="{00000000-0005-0000-0000-000086080000}"/>
    <cellStyle name="OLELink" xfId="783" xr:uid="{00000000-0005-0000-0000-000087080000}"/>
    <cellStyle name="Operis date" xfId="784" xr:uid="{00000000-0005-0000-0000-000088080000}"/>
    <cellStyle name="Operis ratio" xfId="785" xr:uid="{00000000-0005-0000-0000-000089080000}"/>
    <cellStyle name="OperisBase" xfId="786" xr:uid="{00000000-0005-0000-0000-00008A080000}"/>
    <cellStyle name="OperisMoney" xfId="787" xr:uid="{00000000-0005-0000-0000-00008B080000}"/>
    <cellStyle name="OperisPercent" xfId="788" xr:uid="{00000000-0005-0000-0000-00008C080000}"/>
    <cellStyle name="OperisRatio" xfId="789" xr:uid="{00000000-0005-0000-0000-00008D080000}"/>
    <cellStyle name="Output" xfId="790" xr:uid="{00000000-0005-0000-0000-00008E080000}"/>
    <cellStyle name="Output 2" xfId="2147" xr:uid="{00000000-0005-0000-0000-00008F080000}"/>
    <cellStyle name="Output 3" xfId="2148" xr:uid="{00000000-0005-0000-0000-000090080000}"/>
    <cellStyle name="Output 4" xfId="2149" xr:uid="{00000000-0005-0000-0000-000091080000}"/>
    <cellStyle name="Output 5" xfId="2150" xr:uid="{00000000-0005-0000-0000-000092080000}"/>
    <cellStyle name="Percent [0%]" xfId="2151" xr:uid="{00000000-0005-0000-0000-000093080000}"/>
    <cellStyle name="Percent [0.00%]" xfId="2152" xr:uid="{00000000-0005-0000-0000-000094080000}"/>
    <cellStyle name="Percent [2]" xfId="791" xr:uid="{00000000-0005-0000-0000-000095080000}"/>
    <cellStyle name="Percent [2] 2" xfId="2153" xr:uid="{00000000-0005-0000-0000-000096080000}"/>
    <cellStyle name="Percent 10" xfId="2154" xr:uid="{00000000-0005-0000-0000-000097080000}"/>
    <cellStyle name="Percent 10 2" xfId="2155" xr:uid="{00000000-0005-0000-0000-000098080000}"/>
    <cellStyle name="Percent 10 3" xfId="2156" xr:uid="{00000000-0005-0000-0000-000099080000}"/>
    <cellStyle name="Percent 10 4" xfId="2157" xr:uid="{00000000-0005-0000-0000-00009A080000}"/>
    <cellStyle name="Percent 11" xfId="2158" xr:uid="{00000000-0005-0000-0000-00009B080000}"/>
    <cellStyle name="Percent 11 2" xfId="2159" xr:uid="{00000000-0005-0000-0000-00009C080000}"/>
    <cellStyle name="Percent 11 3" xfId="2160" xr:uid="{00000000-0005-0000-0000-00009D080000}"/>
    <cellStyle name="Percent 11 4" xfId="2161" xr:uid="{00000000-0005-0000-0000-00009E080000}"/>
    <cellStyle name="Percent 12" xfId="2162" xr:uid="{00000000-0005-0000-0000-00009F080000}"/>
    <cellStyle name="Percent 12 2" xfId="2163" xr:uid="{00000000-0005-0000-0000-0000A0080000}"/>
    <cellStyle name="Percent 12 3" xfId="2164" xr:uid="{00000000-0005-0000-0000-0000A1080000}"/>
    <cellStyle name="Percent 12 3 2" xfId="2165" xr:uid="{00000000-0005-0000-0000-0000A2080000}"/>
    <cellStyle name="Percent 12 3 3" xfId="2166" xr:uid="{00000000-0005-0000-0000-0000A3080000}"/>
    <cellStyle name="Percent 12 4" xfId="2167" xr:uid="{00000000-0005-0000-0000-0000A4080000}"/>
    <cellStyle name="Percent 12 5" xfId="2168" xr:uid="{00000000-0005-0000-0000-0000A5080000}"/>
    <cellStyle name="Percent 13" xfId="2169" xr:uid="{00000000-0005-0000-0000-0000A6080000}"/>
    <cellStyle name="Percent 13 2" xfId="2170" xr:uid="{00000000-0005-0000-0000-0000A7080000}"/>
    <cellStyle name="Percent 13 3" xfId="2171" xr:uid="{00000000-0005-0000-0000-0000A8080000}"/>
    <cellStyle name="Percent 14" xfId="2172" xr:uid="{00000000-0005-0000-0000-0000A9080000}"/>
    <cellStyle name="Percent 14 2" xfId="2173" xr:uid="{00000000-0005-0000-0000-0000AA080000}"/>
    <cellStyle name="Percent 14 3" xfId="2174" xr:uid="{00000000-0005-0000-0000-0000AB080000}"/>
    <cellStyle name="Percent 15" xfId="2175" xr:uid="{00000000-0005-0000-0000-0000AC080000}"/>
    <cellStyle name="Percent 15 2" xfId="2176" xr:uid="{00000000-0005-0000-0000-0000AD080000}"/>
    <cellStyle name="Percent 15 3" xfId="2177" xr:uid="{00000000-0005-0000-0000-0000AE080000}"/>
    <cellStyle name="Percent 16" xfId="2178" xr:uid="{00000000-0005-0000-0000-0000AF080000}"/>
    <cellStyle name="Percent 17" xfId="2179" xr:uid="{00000000-0005-0000-0000-0000B0080000}"/>
    <cellStyle name="Percent 18" xfId="2180" xr:uid="{00000000-0005-0000-0000-0000B1080000}"/>
    <cellStyle name="Percent 19" xfId="2181" xr:uid="{00000000-0005-0000-0000-0000B2080000}"/>
    <cellStyle name="Percent 2" xfId="792" xr:uid="{00000000-0005-0000-0000-0000B3080000}"/>
    <cellStyle name="Percent 2 2" xfId="2182" xr:uid="{00000000-0005-0000-0000-0000B4080000}"/>
    <cellStyle name="Percent 2 3" xfId="2183" xr:uid="{00000000-0005-0000-0000-0000B5080000}"/>
    <cellStyle name="Percent 2 3 2" xfId="2737" xr:uid="{00000000-0005-0000-0000-0000B6080000}"/>
    <cellStyle name="Percent 2 4" xfId="2184" xr:uid="{00000000-0005-0000-0000-0000B7080000}"/>
    <cellStyle name="Percent 2 4 2" xfId="2738" xr:uid="{00000000-0005-0000-0000-0000B8080000}"/>
    <cellStyle name="Percent 20" xfId="2185" xr:uid="{00000000-0005-0000-0000-0000B9080000}"/>
    <cellStyle name="Percent 20 2" xfId="2186" xr:uid="{00000000-0005-0000-0000-0000BA080000}"/>
    <cellStyle name="Percent 20 3" xfId="2187" xr:uid="{00000000-0005-0000-0000-0000BB080000}"/>
    <cellStyle name="Percent 21" xfId="2188" xr:uid="{00000000-0005-0000-0000-0000BC080000}"/>
    <cellStyle name="Percent 21 2" xfId="2189" xr:uid="{00000000-0005-0000-0000-0000BD080000}"/>
    <cellStyle name="Percent 21 3" xfId="2190" xr:uid="{00000000-0005-0000-0000-0000BE080000}"/>
    <cellStyle name="Percent 22" xfId="2191" xr:uid="{00000000-0005-0000-0000-0000BF080000}"/>
    <cellStyle name="Percent 22 2" xfId="2192" xr:uid="{00000000-0005-0000-0000-0000C0080000}"/>
    <cellStyle name="Percent 23" xfId="2193" xr:uid="{00000000-0005-0000-0000-0000C1080000}"/>
    <cellStyle name="Percent 24" xfId="2194" xr:uid="{00000000-0005-0000-0000-0000C2080000}"/>
    <cellStyle name="Percent 24 2" xfId="2195" xr:uid="{00000000-0005-0000-0000-0000C3080000}"/>
    <cellStyle name="Percent 25" xfId="2196" xr:uid="{00000000-0005-0000-0000-0000C4080000}"/>
    <cellStyle name="Percent 25 2" xfId="2197" xr:uid="{00000000-0005-0000-0000-0000C5080000}"/>
    <cellStyle name="Percent 26" xfId="2198" xr:uid="{00000000-0005-0000-0000-0000C6080000}"/>
    <cellStyle name="Percent 27" xfId="2199" xr:uid="{00000000-0005-0000-0000-0000C7080000}"/>
    <cellStyle name="Percent 28" xfId="2200" xr:uid="{00000000-0005-0000-0000-0000C8080000}"/>
    <cellStyle name="Percent 29" xfId="2201" xr:uid="{00000000-0005-0000-0000-0000C9080000}"/>
    <cellStyle name="Percent 3" xfId="793" xr:uid="{00000000-0005-0000-0000-0000CA080000}"/>
    <cellStyle name="Percent 3 2" xfId="2202" xr:uid="{00000000-0005-0000-0000-0000CB080000}"/>
    <cellStyle name="Percent 3 3" xfId="2203" xr:uid="{00000000-0005-0000-0000-0000CC080000}"/>
    <cellStyle name="Percent 3 3 2" xfId="2739" xr:uid="{00000000-0005-0000-0000-0000CD080000}"/>
    <cellStyle name="Percent 30" xfId="2204" xr:uid="{00000000-0005-0000-0000-0000CE080000}"/>
    <cellStyle name="Percent 31" xfId="2205" xr:uid="{00000000-0005-0000-0000-0000CF080000}"/>
    <cellStyle name="Percent 32" xfId="2206" xr:uid="{00000000-0005-0000-0000-0000D0080000}"/>
    <cellStyle name="Percent 33" xfId="2207" xr:uid="{00000000-0005-0000-0000-0000D1080000}"/>
    <cellStyle name="Percent 34" xfId="2208" xr:uid="{00000000-0005-0000-0000-0000D2080000}"/>
    <cellStyle name="Percent 35" xfId="2209" xr:uid="{00000000-0005-0000-0000-0000D3080000}"/>
    <cellStyle name="Percent 36" xfId="2210" xr:uid="{00000000-0005-0000-0000-0000D4080000}"/>
    <cellStyle name="Percent 36 2" xfId="2211" xr:uid="{00000000-0005-0000-0000-0000D5080000}"/>
    <cellStyle name="Percent 36 3" xfId="2212" xr:uid="{00000000-0005-0000-0000-0000D6080000}"/>
    <cellStyle name="Percent 37" xfId="2213" xr:uid="{00000000-0005-0000-0000-0000D7080000}"/>
    <cellStyle name="Percent 37 2" xfId="2214" xr:uid="{00000000-0005-0000-0000-0000D8080000}"/>
    <cellStyle name="Percent 37 3" xfId="2215" xr:uid="{00000000-0005-0000-0000-0000D9080000}"/>
    <cellStyle name="Percent 38" xfId="2216" xr:uid="{00000000-0005-0000-0000-0000DA080000}"/>
    <cellStyle name="Percent 38 2" xfId="2217" xr:uid="{00000000-0005-0000-0000-0000DB080000}"/>
    <cellStyle name="Percent 38 3" xfId="2218" xr:uid="{00000000-0005-0000-0000-0000DC080000}"/>
    <cellStyle name="Percent 39" xfId="2219" xr:uid="{00000000-0005-0000-0000-0000DD080000}"/>
    <cellStyle name="Percent 4" xfId="2220" xr:uid="{00000000-0005-0000-0000-0000DE080000}"/>
    <cellStyle name="Percent 4 2" xfId="2221" xr:uid="{00000000-0005-0000-0000-0000DF080000}"/>
    <cellStyle name="Percent 4 3" xfId="2222" xr:uid="{00000000-0005-0000-0000-0000E0080000}"/>
    <cellStyle name="Percent 4 3 2" xfId="2223" xr:uid="{00000000-0005-0000-0000-0000E1080000}"/>
    <cellStyle name="Percent 40" xfId="2224" xr:uid="{00000000-0005-0000-0000-0000E2080000}"/>
    <cellStyle name="Percent 40 2" xfId="2225" xr:uid="{00000000-0005-0000-0000-0000E3080000}"/>
    <cellStyle name="Percent 40 3" xfId="2226" xr:uid="{00000000-0005-0000-0000-0000E4080000}"/>
    <cellStyle name="Percent 41" xfId="2227" xr:uid="{00000000-0005-0000-0000-0000E5080000}"/>
    <cellStyle name="Percent 42" xfId="2228" xr:uid="{00000000-0005-0000-0000-0000E6080000}"/>
    <cellStyle name="Percent 43" xfId="2229" xr:uid="{00000000-0005-0000-0000-0000E7080000}"/>
    <cellStyle name="Percent 43 2" xfId="2230" xr:uid="{00000000-0005-0000-0000-0000E8080000}"/>
    <cellStyle name="Percent 43 2 2" xfId="2231" xr:uid="{00000000-0005-0000-0000-0000E9080000}"/>
    <cellStyle name="Percent 44" xfId="2232" xr:uid="{00000000-0005-0000-0000-0000EA080000}"/>
    <cellStyle name="Percent 45" xfId="2233" xr:uid="{00000000-0005-0000-0000-0000EB080000}"/>
    <cellStyle name="Percent 46" xfId="2234" xr:uid="{00000000-0005-0000-0000-0000EC080000}"/>
    <cellStyle name="Percent 47" xfId="2235" xr:uid="{00000000-0005-0000-0000-0000ED080000}"/>
    <cellStyle name="Percent 48" xfId="2236" xr:uid="{00000000-0005-0000-0000-0000EE080000}"/>
    <cellStyle name="Percent 48 2" xfId="2237" xr:uid="{00000000-0005-0000-0000-0000EF080000}"/>
    <cellStyle name="Percent 49" xfId="2238" xr:uid="{00000000-0005-0000-0000-0000F0080000}"/>
    <cellStyle name="Percent 49 2" xfId="2239" xr:uid="{00000000-0005-0000-0000-0000F1080000}"/>
    <cellStyle name="Percent 5" xfId="2240" xr:uid="{00000000-0005-0000-0000-0000F2080000}"/>
    <cellStyle name="Percent 5 2" xfId="2241" xr:uid="{00000000-0005-0000-0000-0000F3080000}"/>
    <cellStyle name="Percent 5 3" xfId="2242" xr:uid="{00000000-0005-0000-0000-0000F4080000}"/>
    <cellStyle name="Percent 5 3 2" xfId="2243" xr:uid="{00000000-0005-0000-0000-0000F5080000}"/>
    <cellStyle name="Percent 5 4" xfId="2244" xr:uid="{00000000-0005-0000-0000-0000F6080000}"/>
    <cellStyle name="Percent 5 5" xfId="2245" xr:uid="{00000000-0005-0000-0000-0000F7080000}"/>
    <cellStyle name="Percent 50" xfId="2246" xr:uid="{00000000-0005-0000-0000-0000F8080000}"/>
    <cellStyle name="Percent 50 2" xfId="2247" xr:uid="{00000000-0005-0000-0000-0000F9080000}"/>
    <cellStyle name="Percent 50 2 2" xfId="2248" xr:uid="{00000000-0005-0000-0000-0000FA080000}"/>
    <cellStyle name="Percent 51" xfId="2249" xr:uid="{00000000-0005-0000-0000-0000FB080000}"/>
    <cellStyle name="Percent 52" xfId="2250" xr:uid="{00000000-0005-0000-0000-0000FC080000}"/>
    <cellStyle name="Percent 53" xfId="2251" xr:uid="{00000000-0005-0000-0000-0000FD080000}"/>
    <cellStyle name="Percent 54" xfId="2252" xr:uid="{00000000-0005-0000-0000-0000FE080000}"/>
    <cellStyle name="Percent 55" xfId="2253" xr:uid="{00000000-0005-0000-0000-0000FF080000}"/>
    <cellStyle name="Percent 56" xfId="2254" xr:uid="{00000000-0005-0000-0000-000000090000}"/>
    <cellStyle name="Percent 57" xfId="2255" xr:uid="{00000000-0005-0000-0000-000001090000}"/>
    <cellStyle name="Percent 58" xfId="2256" xr:uid="{00000000-0005-0000-0000-000002090000}"/>
    <cellStyle name="Percent 59" xfId="2257" xr:uid="{00000000-0005-0000-0000-000003090000}"/>
    <cellStyle name="Percent 6" xfId="2258" xr:uid="{00000000-0005-0000-0000-000004090000}"/>
    <cellStyle name="Percent 6 2" xfId="2259" xr:uid="{00000000-0005-0000-0000-000005090000}"/>
    <cellStyle name="Percent 6 3" xfId="2260" xr:uid="{00000000-0005-0000-0000-000006090000}"/>
    <cellStyle name="Percent 6 3 2" xfId="2261" xr:uid="{00000000-0005-0000-0000-000007090000}"/>
    <cellStyle name="Percent 6 4" xfId="2262" xr:uid="{00000000-0005-0000-0000-000008090000}"/>
    <cellStyle name="Percent 6 5" xfId="2263" xr:uid="{00000000-0005-0000-0000-000009090000}"/>
    <cellStyle name="Percent 60" xfId="2264" xr:uid="{00000000-0005-0000-0000-00000A090000}"/>
    <cellStyle name="Percent 61" xfId="2265" xr:uid="{00000000-0005-0000-0000-00000B090000}"/>
    <cellStyle name="Percent 62" xfId="2266" xr:uid="{00000000-0005-0000-0000-00000C090000}"/>
    <cellStyle name="Percent 63" xfId="2267" xr:uid="{00000000-0005-0000-0000-00000D090000}"/>
    <cellStyle name="Percent 64" xfId="2268" xr:uid="{00000000-0005-0000-0000-00000E090000}"/>
    <cellStyle name="Percent 65" xfId="2269" xr:uid="{00000000-0005-0000-0000-00000F090000}"/>
    <cellStyle name="Percent 66" xfId="2270" xr:uid="{00000000-0005-0000-0000-000010090000}"/>
    <cellStyle name="Percent 67" xfId="2271" xr:uid="{00000000-0005-0000-0000-000011090000}"/>
    <cellStyle name="Percent 68" xfId="2603" xr:uid="{00000000-0005-0000-0000-000012090000}"/>
    <cellStyle name="Percent 69" xfId="2604" xr:uid="{00000000-0005-0000-0000-000013090000}"/>
    <cellStyle name="Percent 7" xfId="2272" xr:uid="{00000000-0005-0000-0000-000014090000}"/>
    <cellStyle name="Percent 7 2" xfId="2273" xr:uid="{00000000-0005-0000-0000-000015090000}"/>
    <cellStyle name="Percent 7 3" xfId="2274" xr:uid="{00000000-0005-0000-0000-000016090000}"/>
    <cellStyle name="Percent 7 3 2" xfId="2275" xr:uid="{00000000-0005-0000-0000-000017090000}"/>
    <cellStyle name="Percent 7 4" xfId="2276" xr:uid="{00000000-0005-0000-0000-000018090000}"/>
    <cellStyle name="Percent 8" xfId="2277" xr:uid="{00000000-0005-0000-0000-000019090000}"/>
    <cellStyle name="Percent 8 2" xfId="2278" xr:uid="{00000000-0005-0000-0000-00001A090000}"/>
    <cellStyle name="Percent 8 3" xfId="2279" xr:uid="{00000000-0005-0000-0000-00001B090000}"/>
    <cellStyle name="Percent 8 3 2" xfId="2280" xr:uid="{00000000-0005-0000-0000-00001C090000}"/>
    <cellStyle name="Percent 8 4" xfId="2281" xr:uid="{00000000-0005-0000-0000-00001D090000}"/>
    <cellStyle name="Percent 8 4 2" xfId="2282" xr:uid="{00000000-0005-0000-0000-00001E090000}"/>
    <cellStyle name="Percent 8 4 3" xfId="2283" xr:uid="{00000000-0005-0000-0000-00001F090000}"/>
    <cellStyle name="Percent 9" xfId="2284" xr:uid="{00000000-0005-0000-0000-000020090000}"/>
    <cellStyle name="Percent 9 2" xfId="2285" xr:uid="{00000000-0005-0000-0000-000021090000}"/>
    <cellStyle name="Percent 9 3" xfId="2286" xr:uid="{00000000-0005-0000-0000-000022090000}"/>
    <cellStyle name="Percent 9 3 2" xfId="2287" xr:uid="{00000000-0005-0000-0000-000023090000}"/>
    <cellStyle name="Percent 9 4" xfId="2288" xr:uid="{00000000-0005-0000-0000-000024090000}"/>
    <cellStyle name="Percent 9 5" xfId="2289" xr:uid="{00000000-0005-0000-0000-000025090000}"/>
    <cellStyle name="Percent with ()" xfId="794" xr:uid="{00000000-0005-0000-0000-000026090000}"/>
    <cellStyle name="Percent[0]" xfId="795" xr:uid="{00000000-0005-0000-0000-000027090000}"/>
    <cellStyle name="Percent[0] 2" xfId="2605" xr:uid="{00000000-0005-0000-0000-000028090000}"/>
    <cellStyle name="percnt" xfId="796" xr:uid="{00000000-0005-0000-0000-000029090000}"/>
    <cellStyle name="percnt 2" xfId="2606" xr:uid="{00000000-0005-0000-0000-00002A090000}"/>
    <cellStyle name="Pevný" xfId="797" xr:uid="{00000000-0005-0000-0000-00002B090000}"/>
    <cellStyle name="Porcentaje" xfId="2758" builtinId="5"/>
    <cellStyle name="Porcentaje 2" xfId="799" xr:uid="{00000000-0005-0000-0000-00002C090000}"/>
    <cellStyle name="Porcentaje 2 2" xfId="2607" xr:uid="{00000000-0005-0000-0000-00002D090000}"/>
    <cellStyle name="Porcentaje 3" xfId="800" xr:uid="{00000000-0005-0000-0000-00002E090000}"/>
    <cellStyle name="Porcentaje 3 2" xfId="2608" xr:uid="{00000000-0005-0000-0000-00002F090000}"/>
    <cellStyle name="Porcentaje 4" xfId="801" xr:uid="{00000000-0005-0000-0000-000030090000}"/>
    <cellStyle name="Porcentaje 4 2" xfId="2609" xr:uid="{00000000-0005-0000-0000-000031090000}"/>
    <cellStyle name="Porcentaje 5" xfId="802" xr:uid="{00000000-0005-0000-0000-000032090000}"/>
    <cellStyle name="Porcentaje 5 2" xfId="2610" xr:uid="{00000000-0005-0000-0000-000033090000}"/>
    <cellStyle name="Porcentaje 6" xfId="798" xr:uid="{00000000-0005-0000-0000-000034090000}"/>
    <cellStyle name="Porcentual 2" xfId="803" xr:uid="{00000000-0005-0000-0000-000035090000}"/>
    <cellStyle name="Porcentual 2 2" xfId="2290" xr:uid="{00000000-0005-0000-0000-000036090000}"/>
    <cellStyle name="Porcentual 3" xfId="804" xr:uid="{00000000-0005-0000-0000-000037090000}"/>
    <cellStyle name="prezzo unitario" xfId="805" xr:uid="{00000000-0005-0000-0000-000038090000}"/>
    <cellStyle name="Rates" xfId="806" xr:uid="{00000000-0005-0000-0000-000039090000}"/>
    <cellStyle name="realtime" xfId="807" xr:uid="{00000000-0005-0000-0000-00003A090000}"/>
    <cellStyle name="Refreshes real time data links for active sheet" xfId="808" xr:uid="{00000000-0005-0000-0000-00003B090000}"/>
    <cellStyle name="Refreshes real time data links for active sheet 2" xfId="2611" xr:uid="{00000000-0005-0000-0000-00003C090000}"/>
    <cellStyle name="result" xfId="809" xr:uid="{00000000-0005-0000-0000-00003D090000}"/>
    <cellStyle name="ri" xfId="810" xr:uid="{00000000-0005-0000-0000-00003E090000}"/>
    <cellStyle name="ri 2" xfId="2613" xr:uid="{00000000-0005-0000-0000-00003F090000}"/>
    <cellStyle name="ri 3" xfId="2612" xr:uid="{00000000-0005-0000-0000-000040090000}"/>
    <cellStyle name="rt" xfId="811" xr:uid="{00000000-0005-0000-0000-000041090000}"/>
    <cellStyle name="Salida 2" xfId="813" xr:uid="{00000000-0005-0000-0000-000042090000}"/>
    <cellStyle name="Salida 3" xfId="814" xr:uid="{00000000-0005-0000-0000-000043090000}"/>
    <cellStyle name="Salida 4" xfId="815" xr:uid="{00000000-0005-0000-0000-000044090000}"/>
    <cellStyle name="Salida 5" xfId="812" xr:uid="{00000000-0005-0000-0000-000045090000}"/>
    <cellStyle name="SAPBEXaggData" xfId="816" xr:uid="{00000000-0005-0000-0000-000046090000}"/>
    <cellStyle name="SAPBEXaggDataEmph" xfId="817" xr:uid="{00000000-0005-0000-0000-000047090000}"/>
    <cellStyle name="SAPBEXaggItem" xfId="818" xr:uid="{00000000-0005-0000-0000-000048090000}"/>
    <cellStyle name="SAPBEXchaText" xfId="819" xr:uid="{00000000-0005-0000-0000-000049090000}"/>
    <cellStyle name="SAPBEXexcBad7" xfId="820" xr:uid="{00000000-0005-0000-0000-00004A090000}"/>
    <cellStyle name="SAPBEXexcBad8" xfId="821" xr:uid="{00000000-0005-0000-0000-00004B090000}"/>
    <cellStyle name="SAPBEXexcBad9" xfId="822" xr:uid="{00000000-0005-0000-0000-00004C090000}"/>
    <cellStyle name="SAPBEXexcCritical4" xfId="823" xr:uid="{00000000-0005-0000-0000-00004D090000}"/>
    <cellStyle name="SAPBEXexcCritical5" xfId="824" xr:uid="{00000000-0005-0000-0000-00004E090000}"/>
    <cellStyle name="SAPBEXexcCritical6" xfId="825" xr:uid="{00000000-0005-0000-0000-00004F090000}"/>
    <cellStyle name="SAPBEXexcGood1" xfId="826" xr:uid="{00000000-0005-0000-0000-000050090000}"/>
    <cellStyle name="SAPBEXexcGood2" xfId="827" xr:uid="{00000000-0005-0000-0000-000051090000}"/>
    <cellStyle name="SAPBEXexcGood3" xfId="828" xr:uid="{00000000-0005-0000-0000-000052090000}"/>
    <cellStyle name="SAPBEXfilterDrill" xfId="829" xr:uid="{00000000-0005-0000-0000-000053090000}"/>
    <cellStyle name="SAPBEXfilterItem" xfId="830" xr:uid="{00000000-0005-0000-0000-000054090000}"/>
    <cellStyle name="SAPBEXfilterText" xfId="831" xr:uid="{00000000-0005-0000-0000-000055090000}"/>
    <cellStyle name="SAPBEXformats" xfId="832" xr:uid="{00000000-0005-0000-0000-000056090000}"/>
    <cellStyle name="SAPBEXheaderItem" xfId="833" xr:uid="{00000000-0005-0000-0000-000057090000}"/>
    <cellStyle name="SAPBEXheaderItem 2" xfId="2614" xr:uid="{00000000-0005-0000-0000-000058090000}"/>
    <cellStyle name="SAPBEXheaderText" xfId="834" xr:uid="{00000000-0005-0000-0000-000059090000}"/>
    <cellStyle name="SAPBEXheaderText 2" xfId="2615" xr:uid="{00000000-0005-0000-0000-00005A090000}"/>
    <cellStyle name="SAPBEXresData" xfId="835" xr:uid="{00000000-0005-0000-0000-00005B090000}"/>
    <cellStyle name="SAPBEXresDataEmph" xfId="836" xr:uid="{00000000-0005-0000-0000-00005C090000}"/>
    <cellStyle name="SAPBEXresItem" xfId="837" xr:uid="{00000000-0005-0000-0000-00005D090000}"/>
    <cellStyle name="SAPBEXstdData" xfId="838" xr:uid="{00000000-0005-0000-0000-00005E090000}"/>
    <cellStyle name="SAPBEXstdDataEmph" xfId="839" xr:uid="{00000000-0005-0000-0000-00005F090000}"/>
    <cellStyle name="SAPBEXstdItem" xfId="840" xr:uid="{00000000-0005-0000-0000-000060090000}"/>
    <cellStyle name="SAPBEXtitle" xfId="841" xr:uid="{00000000-0005-0000-0000-000061090000}"/>
    <cellStyle name="SAPBEXundefined" xfId="842" xr:uid="{00000000-0005-0000-0000-000062090000}"/>
    <cellStyle name="Satisfaisant" xfId="2740" xr:uid="{00000000-0005-0000-0000-000063090000}"/>
    <cellStyle name="Schlecht" xfId="843" xr:uid="{00000000-0005-0000-0000-000064090000}"/>
    <cellStyle name="Single Border" xfId="844" xr:uid="{00000000-0005-0000-0000-000065090000}"/>
    <cellStyle name="Sortie" xfId="2741" xr:uid="{00000000-0005-0000-0000-000066090000}"/>
    <cellStyle name="Standard_~0027840" xfId="845" xr:uid="{00000000-0005-0000-0000-000067090000}"/>
    <cellStyle name="static" xfId="846" xr:uid="{00000000-0005-0000-0000-000068090000}"/>
    <cellStyle name="static 2" xfId="847" xr:uid="{00000000-0005-0000-0000-000069090000}"/>
    <cellStyle name="static 2 2" xfId="2291" xr:uid="{00000000-0005-0000-0000-00006A090000}"/>
    <cellStyle name="static 2 3" xfId="2292" xr:uid="{00000000-0005-0000-0000-00006B090000}"/>
    <cellStyle name="static 2 4" xfId="2293" xr:uid="{00000000-0005-0000-0000-00006C090000}"/>
    <cellStyle name="static 2_BBV" xfId="2294" xr:uid="{00000000-0005-0000-0000-00006D090000}"/>
    <cellStyle name="static 3" xfId="2295" xr:uid="{00000000-0005-0000-0000-00006E090000}"/>
    <cellStyle name="static 3 2" xfId="2742" xr:uid="{00000000-0005-0000-0000-00006F090000}"/>
    <cellStyle name="static 4" xfId="2743" xr:uid="{00000000-0005-0000-0000-000070090000}"/>
    <cellStyle name="static 4 2" xfId="2744" xr:uid="{00000000-0005-0000-0000-000071090000}"/>
    <cellStyle name="static_AjustesPorColat" xfId="848" xr:uid="{00000000-0005-0000-0000-000072090000}"/>
    <cellStyle name="Std_%" xfId="849" xr:uid="{00000000-0005-0000-0000-000073090000}"/>
    <cellStyle name="Style 1" xfId="850" xr:uid="{00000000-0005-0000-0000-000074090000}"/>
    <cellStyle name="Style 1 2" xfId="2296" xr:uid="{00000000-0005-0000-0000-000075090000}"/>
    <cellStyle name="Style 1 2 2" xfId="2297" xr:uid="{00000000-0005-0000-0000-000076090000}"/>
    <cellStyle name="Style 1 2 3" xfId="2298" xr:uid="{00000000-0005-0000-0000-000077090000}"/>
    <cellStyle name="Style 1 3" xfId="2299" xr:uid="{00000000-0005-0000-0000-000078090000}"/>
    <cellStyle name="Style 1 3 2" xfId="2745" xr:uid="{00000000-0005-0000-0000-000079090000}"/>
    <cellStyle name="Style 1 3 3" xfId="2746" xr:uid="{00000000-0005-0000-0000-00007A090000}"/>
    <cellStyle name="Style 1 3 3 2" xfId="2747" xr:uid="{00000000-0005-0000-0000-00007B090000}"/>
    <cellStyle name="Style 1 4" xfId="2300" xr:uid="{00000000-0005-0000-0000-00007C090000}"/>
    <cellStyle name="Style 1 4 2" xfId="2748" xr:uid="{00000000-0005-0000-0000-00007D090000}"/>
    <cellStyle name="Style 1 5" xfId="2301" xr:uid="{00000000-0005-0000-0000-00007E090000}"/>
    <cellStyle name="Style 1 5 2" xfId="2749" xr:uid="{00000000-0005-0000-0000-00007F090000}"/>
    <cellStyle name="Style 1_BBV" xfId="2302" xr:uid="{00000000-0005-0000-0000-000080090000}"/>
    <cellStyle name="Style 10" xfId="851" xr:uid="{00000000-0005-0000-0000-000081090000}"/>
    <cellStyle name="Style 10 2" xfId="2303" xr:uid="{00000000-0005-0000-0000-000082090000}"/>
    <cellStyle name="Style 11" xfId="852" xr:uid="{00000000-0005-0000-0000-000083090000}"/>
    <cellStyle name="Style 11 2" xfId="2304" xr:uid="{00000000-0005-0000-0000-000084090000}"/>
    <cellStyle name="Style 12" xfId="853" xr:uid="{00000000-0005-0000-0000-000085090000}"/>
    <cellStyle name="Style 12 2" xfId="854" xr:uid="{00000000-0005-0000-0000-000086090000}"/>
    <cellStyle name="Style 12 2 2" xfId="2305" xr:uid="{00000000-0005-0000-0000-000087090000}"/>
    <cellStyle name="Style 12 3" xfId="2306" xr:uid="{00000000-0005-0000-0000-000088090000}"/>
    <cellStyle name="Style 12_BBGData" xfId="855" xr:uid="{00000000-0005-0000-0000-000089090000}"/>
    <cellStyle name="Style 13" xfId="856" xr:uid="{00000000-0005-0000-0000-00008A090000}"/>
    <cellStyle name="Style 13 2" xfId="857" xr:uid="{00000000-0005-0000-0000-00008B090000}"/>
    <cellStyle name="Style 13 2 2" xfId="2307" xr:uid="{00000000-0005-0000-0000-00008C090000}"/>
    <cellStyle name="Style 13 3" xfId="2308" xr:uid="{00000000-0005-0000-0000-00008D090000}"/>
    <cellStyle name="Style 13_BBGData" xfId="858" xr:uid="{00000000-0005-0000-0000-00008E090000}"/>
    <cellStyle name="Style 14" xfId="859" xr:uid="{00000000-0005-0000-0000-00008F090000}"/>
    <cellStyle name="Style 14 2" xfId="2309" xr:uid="{00000000-0005-0000-0000-000090090000}"/>
    <cellStyle name="Style 15" xfId="860" xr:uid="{00000000-0005-0000-0000-000091090000}"/>
    <cellStyle name="Style 15 2" xfId="861" xr:uid="{00000000-0005-0000-0000-000092090000}"/>
    <cellStyle name="Style 15 2 2" xfId="2310" xr:uid="{00000000-0005-0000-0000-000093090000}"/>
    <cellStyle name="Style 15 3" xfId="2311" xr:uid="{00000000-0005-0000-0000-000094090000}"/>
    <cellStyle name="Style 15_BBGData" xfId="862" xr:uid="{00000000-0005-0000-0000-000095090000}"/>
    <cellStyle name="Style 16" xfId="863" xr:uid="{00000000-0005-0000-0000-000096090000}"/>
    <cellStyle name="Style 16 2" xfId="864" xr:uid="{00000000-0005-0000-0000-000097090000}"/>
    <cellStyle name="Style 16 2 2" xfId="2312" xr:uid="{00000000-0005-0000-0000-000098090000}"/>
    <cellStyle name="Style 16 3" xfId="2313" xr:uid="{00000000-0005-0000-0000-000099090000}"/>
    <cellStyle name="Style 16_BBGData" xfId="865" xr:uid="{00000000-0005-0000-0000-00009A090000}"/>
    <cellStyle name="Style 2" xfId="866" xr:uid="{00000000-0005-0000-0000-00009B090000}"/>
    <cellStyle name="Style 3" xfId="867" xr:uid="{00000000-0005-0000-0000-00009C090000}"/>
    <cellStyle name="Style 3 2" xfId="2616" xr:uid="{00000000-0005-0000-0000-00009D090000}"/>
    <cellStyle name="Style 3 3" xfId="2314" xr:uid="{00000000-0005-0000-0000-00009E090000}"/>
    <cellStyle name="Style 4" xfId="868" xr:uid="{00000000-0005-0000-0000-00009F090000}"/>
    <cellStyle name="Style 4 2" xfId="2617" xr:uid="{00000000-0005-0000-0000-0000A0090000}"/>
    <cellStyle name="Style 4 3" xfId="2315" xr:uid="{00000000-0005-0000-0000-0000A1090000}"/>
    <cellStyle name="Style 5" xfId="869" xr:uid="{00000000-0005-0000-0000-0000A2090000}"/>
    <cellStyle name="Style 5 2" xfId="2618" xr:uid="{00000000-0005-0000-0000-0000A3090000}"/>
    <cellStyle name="Style 5 3" xfId="2316" xr:uid="{00000000-0005-0000-0000-0000A4090000}"/>
    <cellStyle name="Style 6" xfId="870" xr:uid="{00000000-0005-0000-0000-0000A5090000}"/>
    <cellStyle name="Style 7" xfId="871" xr:uid="{00000000-0005-0000-0000-0000A6090000}"/>
    <cellStyle name="Style 8" xfId="872" xr:uid="{00000000-0005-0000-0000-0000A7090000}"/>
    <cellStyle name="Style 8 2" xfId="2317" xr:uid="{00000000-0005-0000-0000-0000A8090000}"/>
    <cellStyle name="Style 9" xfId="873" xr:uid="{00000000-0005-0000-0000-0000A9090000}"/>
    <cellStyle name="Style 9 2" xfId="874" xr:uid="{00000000-0005-0000-0000-0000AA090000}"/>
    <cellStyle name="Style 9 2 2" xfId="2318" xr:uid="{00000000-0005-0000-0000-0000AB090000}"/>
    <cellStyle name="Style 9 3" xfId="2319" xr:uid="{00000000-0005-0000-0000-0000AC090000}"/>
    <cellStyle name="Style 9_BBGData" xfId="875" xr:uid="{00000000-0005-0000-0000-0000AD090000}"/>
    <cellStyle name="subhead" xfId="876" xr:uid="{00000000-0005-0000-0000-0000AE090000}"/>
    <cellStyle name="swpBody01" xfId="877" xr:uid="{00000000-0005-0000-0000-0000AF090000}"/>
    <cellStyle name="swpBodyClean" xfId="878" xr:uid="{00000000-0005-0000-0000-0000B0090000}"/>
    <cellStyle name="swpBodyClean 2" xfId="879" xr:uid="{00000000-0005-0000-0000-0000B1090000}"/>
    <cellStyle name="swpBodyClean 2 2" xfId="2619" xr:uid="{00000000-0005-0000-0000-0000B2090000}"/>
    <cellStyle name="swpBodyClean 3" xfId="880" xr:uid="{00000000-0005-0000-0000-0000B3090000}"/>
    <cellStyle name="swpBodyClean 3 2" xfId="2620" xr:uid="{00000000-0005-0000-0000-0000B4090000}"/>
    <cellStyle name="swpBodyClean 4" xfId="2621" xr:uid="{00000000-0005-0000-0000-0000B5090000}"/>
    <cellStyle name="swpBodyFirstCol" xfId="881" xr:uid="{00000000-0005-0000-0000-0000B6090000}"/>
    <cellStyle name="swpCaption" xfId="882" xr:uid="{00000000-0005-0000-0000-0000B7090000}"/>
    <cellStyle name="swpClear" xfId="883" xr:uid="{00000000-0005-0000-0000-0000B8090000}"/>
    <cellStyle name="swpClear 2" xfId="884" xr:uid="{00000000-0005-0000-0000-0000B9090000}"/>
    <cellStyle name="swpClear 2 2" xfId="2622" xr:uid="{00000000-0005-0000-0000-0000BA090000}"/>
    <cellStyle name="swpClear 3" xfId="885" xr:uid="{00000000-0005-0000-0000-0000BB090000}"/>
    <cellStyle name="swpClear 3 2" xfId="2623" xr:uid="{00000000-0005-0000-0000-0000BC090000}"/>
    <cellStyle name="swpClear 4" xfId="2624" xr:uid="{00000000-0005-0000-0000-0000BD090000}"/>
    <cellStyle name="swpDatum_english" xfId="886" xr:uid="{00000000-0005-0000-0000-0000BE090000}"/>
    <cellStyle name="swpHBBookTitle" xfId="887" xr:uid="{00000000-0005-0000-0000-0000BF090000}"/>
    <cellStyle name="swpHBChapterTitle" xfId="888" xr:uid="{00000000-0005-0000-0000-0000C0090000}"/>
    <cellStyle name="swpHead01" xfId="889" xr:uid="{00000000-0005-0000-0000-0000C1090000}"/>
    <cellStyle name="swpHead01R" xfId="890" xr:uid="{00000000-0005-0000-0000-0000C2090000}"/>
    <cellStyle name="swpHead02" xfId="891" xr:uid="{00000000-0005-0000-0000-0000C3090000}"/>
    <cellStyle name="swpHead02R" xfId="892" xr:uid="{00000000-0005-0000-0000-0000C4090000}"/>
    <cellStyle name="swpHead03" xfId="893" xr:uid="{00000000-0005-0000-0000-0000C5090000}"/>
    <cellStyle name="swpHead03R" xfId="894" xr:uid="{00000000-0005-0000-0000-0000C6090000}"/>
    <cellStyle name="swpHeadBraL" xfId="895" xr:uid="{00000000-0005-0000-0000-0000C7090000}"/>
    <cellStyle name="swpHeadBraL 2" xfId="896" xr:uid="{00000000-0005-0000-0000-0000C8090000}"/>
    <cellStyle name="swpHeadBraL 2 2" xfId="2625" xr:uid="{00000000-0005-0000-0000-0000C9090000}"/>
    <cellStyle name="swpHeadBraL 3" xfId="897" xr:uid="{00000000-0005-0000-0000-0000CA090000}"/>
    <cellStyle name="swpHeadBraL 3 2" xfId="2626" xr:uid="{00000000-0005-0000-0000-0000CB090000}"/>
    <cellStyle name="swpHeadBraL 4" xfId="2627" xr:uid="{00000000-0005-0000-0000-0000CC090000}"/>
    <cellStyle name="swpHeadBraM" xfId="898" xr:uid="{00000000-0005-0000-0000-0000CD090000}"/>
    <cellStyle name="swpHeadBraM 2" xfId="899" xr:uid="{00000000-0005-0000-0000-0000CE090000}"/>
    <cellStyle name="swpHeadBraM 2 2" xfId="2628" xr:uid="{00000000-0005-0000-0000-0000CF090000}"/>
    <cellStyle name="swpHeadBraM 3" xfId="900" xr:uid="{00000000-0005-0000-0000-0000D0090000}"/>
    <cellStyle name="swpHeadBraM 3 2" xfId="2629" xr:uid="{00000000-0005-0000-0000-0000D1090000}"/>
    <cellStyle name="swpHeadBraM 4" xfId="2630" xr:uid="{00000000-0005-0000-0000-0000D2090000}"/>
    <cellStyle name="swpHeadBraR" xfId="901" xr:uid="{00000000-0005-0000-0000-0000D3090000}"/>
    <cellStyle name="swpHeadBraR 2" xfId="902" xr:uid="{00000000-0005-0000-0000-0000D4090000}"/>
    <cellStyle name="swpHeadBraR 2 2" xfId="2631" xr:uid="{00000000-0005-0000-0000-0000D5090000}"/>
    <cellStyle name="swpHeadBraR 3" xfId="903" xr:uid="{00000000-0005-0000-0000-0000D6090000}"/>
    <cellStyle name="swpHeadBraR 3 2" xfId="2632" xr:uid="{00000000-0005-0000-0000-0000D7090000}"/>
    <cellStyle name="swpHeadBraR 4" xfId="2633" xr:uid="{00000000-0005-0000-0000-0000D8090000}"/>
    <cellStyle name="swpTag" xfId="904" xr:uid="{00000000-0005-0000-0000-0000D9090000}"/>
    <cellStyle name="swpTotals" xfId="905" xr:uid="{00000000-0005-0000-0000-0000DA090000}"/>
    <cellStyle name="swpTotalsNo" xfId="906" xr:uid="{00000000-0005-0000-0000-0000DB090000}"/>
    <cellStyle name="swpTotalsTotal" xfId="907" xr:uid="{00000000-0005-0000-0000-0000DC090000}"/>
    <cellStyle name="SYSTEM" xfId="908" xr:uid="{00000000-0005-0000-0000-0000DD090000}"/>
    <cellStyle name="T" xfId="909" xr:uid="{00000000-0005-0000-0000-0000DE090000}"/>
    <cellStyle name="T 2" xfId="2634" xr:uid="{00000000-0005-0000-0000-0000DF090000}"/>
    <cellStyle name="T 3" xfId="2320" xr:uid="{00000000-0005-0000-0000-0000E0090000}"/>
    <cellStyle name="T_Book1" xfId="910" xr:uid="{00000000-0005-0000-0000-0000E1090000}"/>
    <cellStyle name="T_Book1_1" xfId="911" xr:uid="{00000000-0005-0000-0000-0000E2090000}"/>
    <cellStyle name="T_Book1_1_CPK" xfId="912" xr:uid="{00000000-0005-0000-0000-0000E3090000}"/>
    <cellStyle name="T_Book1_1_CPK_REALTIME_EURUSD" xfId="913" xr:uid="{00000000-0005-0000-0000-0000E4090000}"/>
    <cellStyle name="T_Book1_1_CPK_REALTIME_EURUSD_1" xfId="914" xr:uid="{00000000-0005-0000-0000-0000E5090000}"/>
    <cellStyle name="T_Book1_1_CPK_REALTIME_USDEUR" xfId="915" xr:uid="{00000000-0005-0000-0000-0000E6090000}"/>
    <cellStyle name="T_Book1_1_CPK_REALTIME_USDMXN" xfId="916" xr:uid="{00000000-0005-0000-0000-0000E7090000}"/>
    <cellStyle name="T_Book1_1_REALTIME_EURUSD" xfId="917" xr:uid="{00000000-0005-0000-0000-0000E8090000}"/>
    <cellStyle name="T_Book1_1_REALTIME_EURUSD_1" xfId="918" xr:uid="{00000000-0005-0000-0000-0000E9090000}"/>
    <cellStyle name="T_Book1_1_REALTIME_USDEUR" xfId="919" xr:uid="{00000000-0005-0000-0000-0000EA090000}"/>
    <cellStyle name="T_Book1_1_REALTIME_USDMXN" xfId="920" xr:uid="{00000000-0005-0000-0000-0000EB090000}"/>
    <cellStyle name="T_Book1_1_Thiet bi" xfId="921" xr:uid="{00000000-0005-0000-0000-0000EC090000}"/>
    <cellStyle name="T_Book1_1_Thiet bi_REALTIME_EURUSD" xfId="922" xr:uid="{00000000-0005-0000-0000-0000ED090000}"/>
    <cellStyle name="T_Book1_1_Thiet bi_REALTIME_EURUSD_1" xfId="923" xr:uid="{00000000-0005-0000-0000-0000EE090000}"/>
    <cellStyle name="T_Book1_1_Thiet bi_REALTIME_USDEUR" xfId="924" xr:uid="{00000000-0005-0000-0000-0000EF090000}"/>
    <cellStyle name="T_Book1_1_Thiet bi_REALTIME_USDMXN" xfId="925" xr:uid="{00000000-0005-0000-0000-0000F0090000}"/>
    <cellStyle name="T_Book1_CPK" xfId="926" xr:uid="{00000000-0005-0000-0000-0000F1090000}"/>
    <cellStyle name="T_Book1_CPK_REALTIME_EURUSD" xfId="927" xr:uid="{00000000-0005-0000-0000-0000F2090000}"/>
    <cellStyle name="T_Book1_CPK_REALTIME_EURUSD_1" xfId="928" xr:uid="{00000000-0005-0000-0000-0000F3090000}"/>
    <cellStyle name="T_Book1_CPK_REALTIME_USDEUR" xfId="929" xr:uid="{00000000-0005-0000-0000-0000F4090000}"/>
    <cellStyle name="T_Book1_CPK_REALTIME_USDMXN" xfId="930" xr:uid="{00000000-0005-0000-0000-0000F5090000}"/>
    <cellStyle name="T_Book1_REALTIME_EURUSD" xfId="931" xr:uid="{00000000-0005-0000-0000-0000F6090000}"/>
    <cellStyle name="T_Book1_REALTIME_EURUSD_1" xfId="932" xr:uid="{00000000-0005-0000-0000-0000F7090000}"/>
    <cellStyle name="T_Book1_REALTIME_USDEUR" xfId="933" xr:uid="{00000000-0005-0000-0000-0000F8090000}"/>
    <cellStyle name="T_Book1_REALTIME_USDMXN" xfId="934" xr:uid="{00000000-0005-0000-0000-0000F9090000}"/>
    <cellStyle name="T_Book1_Thiet bi" xfId="935" xr:uid="{00000000-0005-0000-0000-0000FA090000}"/>
    <cellStyle name="T_Book1_Thiet bi_REALTIME_EURUSD" xfId="936" xr:uid="{00000000-0005-0000-0000-0000FB090000}"/>
    <cellStyle name="T_Book1_Thiet bi_REALTIME_EURUSD_1" xfId="937" xr:uid="{00000000-0005-0000-0000-0000FC090000}"/>
    <cellStyle name="T_Book1_Thiet bi_REALTIME_USDEUR" xfId="938" xr:uid="{00000000-0005-0000-0000-0000FD090000}"/>
    <cellStyle name="T_Book1_Thiet bi_REALTIME_USDMXN" xfId="939" xr:uid="{00000000-0005-0000-0000-0000FE090000}"/>
    <cellStyle name="T_CPK" xfId="940" xr:uid="{00000000-0005-0000-0000-0000FF090000}"/>
    <cellStyle name="T_CPK_REALTIME_EURUSD" xfId="941" xr:uid="{00000000-0005-0000-0000-0000000A0000}"/>
    <cellStyle name="T_CPK_REALTIME_EURUSD_1" xfId="942" xr:uid="{00000000-0005-0000-0000-0000010A0000}"/>
    <cellStyle name="T_CPK_REALTIME_USDEUR" xfId="943" xr:uid="{00000000-0005-0000-0000-0000020A0000}"/>
    <cellStyle name="T_CPK_REALTIME_USDMXN" xfId="944" xr:uid="{00000000-0005-0000-0000-0000030A0000}"/>
    <cellStyle name="T_REALTIME_EURUSD" xfId="945" xr:uid="{00000000-0005-0000-0000-0000040A0000}"/>
    <cellStyle name="T_REALTIME_EURUSD_1" xfId="946" xr:uid="{00000000-0005-0000-0000-0000050A0000}"/>
    <cellStyle name="T_REALTIME_USDEUR" xfId="947" xr:uid="{00000000-0005-0000-0000-0000060A0000}"/>
    <cellStyle name="T_REALTIME_USDMXN" xfId="948" xr:uid="{00000000-0005-0000-0000-0000070A0000}"/>
    <cellStyle name="T_Thiet bi" xfId="949" xr:uid="{00000000-0005-0000-0000-0000080A0000}"/>
    <cellStyle name="T_Thiet bi_REALTIME_EURUSD" xfId="950" xr:uid="{00000000-0005-0000-0000-0000090A0000}"/>
    <cellStyle name="T_Thiet bi_REALTIME_EURUSD_1" xfId="951" xr:uid="{00000000-0005-0000-0000-00000A0A0000}"/>
    <cellStyle name="T_Thiet bi_REALTIME_USDEUR" xfId="952" xr:uid="{00000000-0005-0000-0000-00000B0A0000}"/>
    <cellStyle name="T_Thiet bi_REALTIME_USDMXN" xfId="953" xr:uid="{00000000-0005-0000-0000-00000C0A0000}"/>
    <cellStyle name="T1" xfId="954" xr:uid="{00000000-0005-0000-0000-00000D0A0000}"/>
    <cellStyle name="text" xfId="955" xr:uid="{00000000-0005-0000-0000-00000E0A0000}"/>
    <cellStyle name="Texte explicatif" xfId="2750" xr:uid="{00000000-0005-0000-0000-00000F0A0000}"/>
    <cellStyle name="Texto de advertencia 2" xfId="956" xr:uid="{00000000-0005-0000-0000-0000100A0000}"/>
    <cellStyle name="Texto de advertencia 3" xfId="957" xr:uid="{00000000-0005-0000-0000-0000110A0000}"/>
    <cellStyle name="Texto explicativo 2" xfId="959" xr:uid="{00000000-0005-0000-0000-0000120A0000}"/>
    <cellStyle name="Texto explicativo 3" xfId="960" xr:uid="{00000000-0005-0000-0000-0000130A0000}"/>
    <cellStyle name="Texto explicativo 4" xfId="961" xr:uid="{00000000-0005-0000-0000-0000140A0000}"/>
    <cellStyle name="Texto explicativo 5" xfId="958" xr:uid="{00000000-0005-0000-0000-0000150A0000}"/>
    <cellStyle name="th" xfId="962" xr:uid="{00000000-0005-0000-0000-0000160A0000}"/>
    <cellStyle name="TIME Detail" xfId="963" xr:uid="{00000000-0005-0000-0000-0000170A0000}"/>
    <cellStyle name="TIME Period Start" xfId="964" xr:uid="{00000000-0005-0000-0000-0000180A0000}"/>
    <cellStyle name="Title" xfId="965" xr:uid="{00000000-0005-0000-0000-0000190A0000}"/>
    <cellStyle name="Title 2" xfId="2321" xr:uid="{00000000-0005-0000-0000-00001A0A0000}"/>
    <cellStyle name="Title 2 2" xfId="2322" xr:uid="{00000000-0005-0000-0000-00001B0A0000}"/>
    <cellStyle name="Title 3" xfId="2323" xr:uid="{00000000-0005-0000-0000-00001C0A0000}"/>
    <cellStyle name="Title 4" xfId="2324" xr:uid="{00000000-0005-0000-0000-00001D0A0000}"/>
    <cellStyle name="Title 5" xfId="2325" xr:uid="{00000000-0005-0000-0000-00001E0A0000}"/>
    <cellStyle name="Titre" xfId="2751" xr:uid="{00000000-0005-0000-0000-00001F0A0000}"/>
    <cellStyle name="Titre 1" xfId="2752" xr:uid="{00000000-0005-0000-0000-0000200A0000}"/>
    <cellStyle name="Titre 2" xfId="2753" xr:uid="{00000000-0005-0000-0000-0000210A0000}"/>
    <cellStyle name="Titre 3" xfId="2754" xr:uid="{00000000-0005-0000-0000-0000220A0000}"/>
    <cellStyle name="Titre 4" xfId="2755" xr:uid="{00000000-0005-0000-0000-0000230A0000}"/>
    <cellStyle name="TitreRub" xfId="966" xr:uid="{00000000-0005-0000-0000-0000240A0000}"/>
    <cellStyle name="TitreRub 2" xfId="2635" xr:uid="{00000000-0005-0000-0000-0000250A0000}"/>
    <cellStyle name="TitreTab" xfId="967" xr:uid="{00000000-0005-0000-0000-0000260A0000}"/>
    <cellStyle name="TitreTab 2" xfId="2636" xr:uid="{00000000-0005-0000-0000-0000270A0000}"/>
    <cellStyle name="Título 1 2" xfId="970" xr:uid="{00000000-0005-0000-0000-0000280A0000}"/>
    <cellStyle name="Título 1 3" xfId="971" xr:uid="{00000000-0005-0000-0000-0000290A0000}"/>
    <cellStyle name="Título 1 4" xfId="972" xr:uid="{00000000-0005-0000-0000-00002A0A0000}"/>
    <cellStyle name="Título 1 5" xfId="969" xr:uid="{00000000-0005-0000-0000-00002B0A0000}"/>
    <cellStyle name="Título 2 2" xfId="974" xr:uid="{00000000-0005-0000-0000-00002C0A0000}"/>
    <cellStyle name="Título 2 3" xfId="975" xr:uid="{00000000-0005-0000-0000-00002D0A0000}"/>
    <cellStyle name="Título 2 4" xfId="976" xr:uid="{00000000-0005-0000-0000-00002E0A0000}"/>
    <cellStyle name="Título 2 5" xfId="973" xr:uid="{00000000-0005-0000-0000-00002F0A0000}"/>
    <cellStyle name="Título 3 2" xfId="978" xr:uid="{00000000-0005-0000-0000-0000300A0000}"/>
    <cellStyle name="Título 3 3" xfId="979" xr:uid="{00000000-0005-0000-0000-0000310A0000}"/>
    <cellStyle name="Título 3 4" xfId="980" xr:uid="{00000000-0005-0000-0000-0000320A0000}"/>
    <cellStyle name="Título 3 5" xfId="977" xr:uid="{00000000-0005-0000-0000-0000330A0000}"/>
    <cellStyle name="Título 4" xfId="981" xr:uid="{00000000-0005-0000-0000-0000340A0000}"/>
    <cellStyle name="Título 5" xfId="982" xr:uid="{00000000-0005-0000-0000-0000350A0000}"/>
    <cellStyle name="Título 6" xfId="968" xr:uid="{00000000-0005-0000-0000-0000360A0000}"/>
    <cellStyle name="Topheader" xfId="983" xr:uid="{00000000-0005-0000-0000-0000370A0000}"/>
    <cellStyle name="Total 2" xfId="985" xr:uid="{00000000-0005-0000-0000-0000380A0000}"/>
    <cellStyle name="Total 2 2" xfId="2326" xr:uid="{00000000-0005-0000-0000-0000390A0000}"/>
    <cellStyle name="Total 3" xfId="984" xr:uid="{00000000-0005-0000-0000-00003A0A0000}"/>
    <cellStyle name="Total 3 2" xfId="2328" xr:uid="{00000000-0005-0000-0000-00003B0A0000}"/>
    <cellStyle name="Total 3 3" xfId="2327" xr:uid="{00000000-0005-0000-0000-00003C0A0000}"/>
    <cellStyle name="Total 4" xfId="2329" xr:uid="{00000000-0005-0000-0000-00003D0A0000}"/>
    <cellStyle name="Total 5" xfId="2330" xr:uid="{00000000-0005-0000-0000-00003E0A0000}"/>
    <cellStyle name="toto" xfId="2331" xr:uid="{00000000-0005-0000-0000-00003F0A0000}"/>
    <cellStyle name="toto 2" xfId="2332" xr:uid="{00000000-0005-0000-0000-0000400A0000}"/>
    <cellStyle name="toto 2 2" xfId="2333" xr:uid="{00000000-0005-0000-0000-0000410A0000}"/>
    <cellStyle name="toto 2 3" xfId="2334" xr:uid="{00000000-0005-0000-0000-0000420A0000}"/>
    <cellStyle name="toto 2 4" xfId="2335" xr:uid="{00000000-0005-0000-0000-0000430A0000}"/>
    <cellStyle name="toto 2_BBV" xfId="2336" xr:uid="{00000000-0005-0000-0000-0000440A0000}"/>
    <cellStyle name="toto 3" xfId="2337" xr:uid="{00000000-0005-0000-0000-0000450A0000}"/>
    <cellStyle name="toto 3 2" xfId="2338" xr:uid="{00000000-0005-0000-0000-0000460A0000}"/>
    <cellStyle name="toto 3 3" xfId="2339" xr:uid="{00000000-0005-0000-0000-0000470A0000}"/>
    <cellStyle name="toto 4" xfId="2340" xr:uid="{00000000-0005-0000-0000-0000480A0000}"/>
    <cellStyle name="toto 4 2" xfId="2341" xr:uid="{00000000-0005-0000-0000-0000490A0000}"/>
    <cellStyle name="toto 4 3" xfId="2342" xr:uid="{00000000-0005-0000-0000-00004A0A0000}"/>
    <cellStyle name="toto_BBV" xfId="2343" xr:uid="{00000000-0005-0000-0000-00004B0A0000}"/>
    <cellStyle name="tt1" xfId="986" xr:uid="{00000000-0005-0000-0000-00004C0A0000}"/>
    <cellStyle name="u.m. articolo" xfId="987" xr:uid="{00000000-0005-0000-0000-00004D0A0000}"/>
    <cellStyle name="Überschrift" xfId="988" xr:uid="{00000000-0005-0000-0000-00004E0A0000}"/>
    <cellStyle name="Überschrift 1" xfId="989" xr:uid="{00000000-0005-0000-0000-00004F0A0000}"/>
    <cellStyle name="Überschrift 2" xfId="990" xr:uid="{00000000-0005-0000-0000-0000500A0000}"/>
    <cellStyle name="Überschrift 3" xfId="991" xr:uid="{00000000-0005-0000-0000-0000510A0000}"/>
    <cellStyle name="Überschrift 4" xfId="992" xr:uid="{00000000-0005-0000-0000-0000520A0000}"/>
    <cellStyle name="unità di misura" xfId="993" xr:uid="{00000000-0005-0000-0000-0000530A0000}"/>
    <cellStyle name="unità di misura 2" xfId="2637" xr:uid="{00000000-0005-0000-0000-0000540A0000}"/>
    <cellStyle name="UserInput_WillContribute" xfId="994" xr:uid="{00000000-0005-0000-0000-0000550A0000}"/>
    <cellStyle name="ux_3_¼­¿ï-¾È»ê" xfId="995" xr:uid="{00000000-0005-0000-0000-0000560A0000}"/>
    <cellStyle name="Valuta (0)_analisi costi tecnologici e edili  NIGUARDA" xfId="996" xr:uid="{00000000-0005-0000-0000-0000570A0000}"/>
    <cellStyle name="Vérification" xfId="2756" xr:uid="{00000000-0005-0000-0000-0000580A0000}"/>
    <cellStyle name="Verknüpfte Zelle" xfId="997" xr:uid="{00000000-0005-0000-0000-0000590A0000}"/>
    <cellStyle name="viet" xfId="998" xr:uid="{00000000-0005-0000-0000-00005A0A0000}"/>
    <cellStyle name="viet 2" xfId="2638" xr:uid="{00000000-0005-0000-0000-00005B0A0000}"/>
    <cellStyle name="viet 3" xfId="2344" xr:uid="{00000000-0005-0000-0000-00005C0A0000}"/>
    <cellStyle name="viet2" xfId="999" xr:uid="{00000000-0005-0000-0000-00005D0A0000}"/>
    <cellStyle name="viet2 2" xfId="2639" xr:uid="{00000000-0005-0000-0000-00005E0A0000}"/>
    <cellStyle name="viet2 3" xfId="2345" xr:uid="{00000000-0005-0000-0000-00005F0A0000}"/>
    <cellStyle name="vnbo" xfId="1000" xr:uid="{00000000-0005-0000-0000-0000600A0000}"/>
    <cellStyle name="vnbo 2" xfId="2346" xr:uid="{00000000-0005-0000-0000-0000610A0000}"/>
    <cellStyle name="vnhead1" xfId="1001" xr:uid="{00000000-0005-0000-0000-0000620A0000}"/>
    <cellStyle name="vnhead2" xfId="1002" xr:uid="{00000000-0005-0000-0000-0000630A0000}"/>
    <cellStyle name="vnhead2 2" xfId="2347" xr:uid="{00000000-0005-0000-0000-0000640A0000}"/>
    <cellStyle name="vnhead3" xfId="1003" xr:uid="{00000000-0005-0000-0000-0000650A0000}"/>
    <cellStyle name="vnhead3 2" xfId="2348" xr:uid="{00000000-0005-0000-0000-0000660A0000}"/>
    <cellStyle name="vnhead4" xfId="1004" xr:uid="{00000000-0005-0000-0000-0000670A0000}"/>
    <cellStyle name="vntxt1" xfId="1005" xr:uid="{00000000-0005-0000-0000-0000680A0000}"/>
    <cellStyle name="vntxt1 2" xfId="2349" xr:uid="{00000000-0005-0000-0000-0000690A0000}"/>
    <cellStyle name="vntxt2" xfId="1006" xr:uid="{00000000-0005-0000-0000-00006A0A0000}"/>
    <cellStyle name="Währung [0]_35ERI8T2gbIEMixb4v26icuOo" xfId="1007" xr:uid="{00000000-0005-0000-0000-00006B0A0000}"/>
    <cellStyle name="Währung €" xfId="1008" xr:uid="{00000000-0005-0000-0000-00006C0A0000}"/>
    <cellStyle name="Währung € 2" xfId="2640" xr:uid="{00000000-0005-0000-0000-00006D0A0000}"/>
    <cellStyle name="Währung DM" xfId="1009" xr:uid="{00000000-0005-0000-0000-00006E0A0000}"/>
    <cellStyle name="Währung DM 2" xfId="2641" xr:uid="{00000000-0005-0000-0000-00006F0A0000}"/>
    <cellStyle name="Währung_35ERI8T2gbIEMixb4v26icuOo" xfId="1010" xr:uid="{00000000-0005-0000-0000-0000700A0000}"/>
    <cellStyle name="Walutowy [0]_Invoices2001Slovakia" xfId="1011" xr:uid="{00000000-0005-0000-0000-0000710A0000}"/>
    <cellStyle name="Walutowy_Invoices2001Slovakia" xfId="1012" xr:uid="{00000000-0005-0000-0000-0000720A0000}"/>
    <cellStyle name="Warnender Text" xfId="1013" xr:uid="{00000000-0005-0000-0000-0000730A0000}"/>
    <cellStyle name="Warning Text 2" xfId="2350" xr:uid="{00000000-0005-0000-0000-0000740A0000}"/>
    <cellStyle name="Warning Text 3" xfId="2351" xr:uid="{00000000-0005-0000-0000-0000750A0000}"/>
    <cellStyle name="Warning Text 4" xfId="2352" xr:uid="{00000000-0005-0000-0000-0000760A0000}"/>
    <cellStyle name="Warning Text 5" xfId="2353" xr:uid="{00000000-0005-0000-0000-0000770A0000}"/>
    <cellStyle name="x" xfId="2354" xr:uid="{00000000-0005-0000-0000-0000780A0000}"/>
    <cellStyle name="x 10" xfId="2355" xr:uid="{00000000-0005-0000-0000-0000790A0000}"/>
    <cellStyle name="x 2" xfId="2356" xr:uid="{00000000-0005-0000-0000-00007A0A0000}"/>
    <cellStyle name="x 2 2" xfId="2357" xr:uid="{00000000-0005-0000-0000-00007B0A0000}"/>
    <cellStyle name="x 2 3" xfId="2358" xr:uid="{00000000-0005-0000-0000-00007C0A0000}"/>
    <cellStyle name="x 2 4" xfId="2359" xr:uid="{00000000-0005-0000-0000-00007D0A0000}"/>
    <cellStyle name="x 3" xfId="2360" xr:uid="{00000000-0005-0000-0000-00007E0A0000}"/>
    <cellStyle name="x 3 2" xfId="2361" xr:uid="{00000000-0005-0000-0000-00007F0A0000}"/>
    <cellStyle name="x 3 3" xfId="2362" xr:uid="{00000000-0005-0000-0000-0000800A0000}"/>
    <cellStyle name="x 4" xfId="2363" xr:uid="{00000000-0005-0000-0000-0000810A0000}"/>
    <cellStyle name="x 4 2" xfId="2364" xr:uid="{00000000-0005-0000-0000-0000820A0000}"/>
    <cellStyle name="x 5" xfId="2365" xr:uid="{00000000-0005-0000-0000-0000830A0000}"/>
    <cellStyle name="x 6" xfId="2366" xr:uid="{00000000-0005-0000-0000-0000840A0000}"/>
    <cellStyle name="x 6 2" xfId="2367" xr:uid="{00000000-0005-0000-0000-0000850A0000}"/>
    <cellStyle name="x 6 3" xfId="2368" xr:uid="{00000000-0005-0000-0000-0000860A0000}"/>
    <cellStyle name="x 7" xfId="2369" xr:uid="{00000000-0005-0000-0000-0000870A0000}"/>
    <cellStyle name="x 7 2" xfId="2370" xr:uid="{00000000-0005-0000-0000-0000880A0000}"/>
    <cellStyle name="x 7 2 2" xfId="2371" xr:uid="{00000000-0005-0000-0000-0000890A0000}"/>
    <cellStyle name="x 8" xfId="2372" xr:uid="{00000000-0005-0000-0000-00008A0A0000}"/>
    <cellStyle name="x 8 2" xfId="2373" xr:uid="{00000000-0005-0000-0000-00008B0A0000}"/>
    <cellStyle name="x 9" xfId="2374" xr:uid="{00000000-0005-0000-0000-00008C0A0000}"/>
    <cellStyle name="x 9 2" xfId="2375" xr:uid="{00000000-0005-0000-0000-00008D0A0000}"/>
    <cellStyle name="xuan" xfId="1014" xr:uid="{00000000-0005-0000-0000-00008E0A0000}"/>
    <cellStyle name="Ý kh¸c_B¶ng 1 (2)" xfId="1015" xr:uid="{00000000-0005-0000-0000-00008F0A0000}"/>
    <cellStyle name="Záhlaví 1" xfId="1016" xr:uid="{00000000-0005-0000-0000-0000900A0000}"/>
    <cellStyle name="Záhlaví 2" xfId="1017" xr:uid="{00000000-0005-0000-0000-0000910A0000}"/>
    <cellStyle name="Zelle überprüfen" xfId="1018" xr:uid="{00000000-0005-0000-0000-0000920A0000}"/>
    <cellStyle name="Обычный_biadutoan" xfId="1019" xr:uid="{00000000-0005-0000-0000-0000930A0000}"/>
    <cellStyle name=" [0.00]_ Att. 1- Cover" xfId="1020" xr:uid="{00000000-0005-0000-0000-0000940A0000}"/>
    <cellStyle name="_ Att. 1- Cover" xfId="1021" xr:uid="{00000000-0005-0000-0000-0000950A0000}"/>
    <cellStyle name="?_ Att. 1- Cover" xfId="1022" xr:uid="{00000000-0005-0000-0000-0000960A0000}"/>
    <cellStyle name="강조색1" xfId="1023" xr:uid="{00000000-0005-0000-0000-0000970A0000}"/>
    <cellStyle name="강조색2" xfId="1024" xr:uid="{00000000-0005-0000-0000-0000980A0000}"/>
    <cellStyle name="강조색3" xfId="1025" xr:uid="{00000000-0005-0000-0000-0000990A0000}"/>
    <cellStyle name="강조색4" xfId="1026" xr:uid="{00000000-0005-0000-0000-00009A0A0000}"/>
    <cellStyle name="강조색5" xfId="1027" xr:uid="{00000000-0005-0000-0000-00009B0A0000}"/>
    <cellStyle name="강조색6" xfId="1028" xr:uid="{00000000-0005-0000-0000-00009C0A0000}"/>
    <cellStyle name="경고문" xfId="1029" xr:uid="{00000000-0005-0000-0000-00009D0A0000}"/>
    <cellStyle name="계산" xfId="1030" xr:uid="{00000000-0005-0000-0000-00009E0A0000}"/>
    <cellStyle name="나쁨" xfId="1031" xr:uid="{00000000-0005-0000-0000-00009F0A0000}"/>
    <cellStyle name="뒤에 오는 하이퍼링크" xfId="1032" xr:uid="{00000000-0005-0000-0000-0000A00A0000}"/>
    <cellStyle name="똿뗦먛귟 [0.00]_PRODUCT DETAIL Q1" xfId="1033" xr:uid="{00000000-0005-0000-0000-0000A10A0000}"/>
    <cellStyle name="똿뗦먛귟_PRODUCT DETAIL Q1" xfId="1034" xr:uid="{00000000-0005-0000-0000-0000A20A0000}"/>
    <cellStyle name="메모" xfId="1035" xr:uid="{00000000-0005-0000-0000-0000A30A0000}"/>
    <cellStyle name="믅됞 [0.00]_PRODUCT DETAIL Q1" xfId="1036" xr:uid="{00000000-0005-0000-0000-0000A40A0000}"/>
    <cellStyle name="믅됞_PRODUCT DETAIL Q1" xfId="1037" xr:uid="{00000000-0005-0000-0000-0000A50A0000}"/>
    <cellStyle name="백분율 2" xfId="1038" xr:uid="{00000000-0005-0000-0000-0000A60A0000}"/>
    <cellStyle name="버미" xfId="1039" xr:uid="{00000000-0005-0000-0000-0000A70A0000}"/>
    <cellStyle name="보통" xfId="1040" xr:uid="{00000000-0005-0000-0000-0000A80A0000}"/>
    <cellStyle name="뷭?_BOOKSHIP" xfId="1041" xr:uid="{00000000-0005-0000-0000-0000A90A0000}"/>
    <cellStyle name="설명 텍스트" xfId="1042" xr:uid="{00000000-0005-0000-0000-0000AA0A0000}"/>
    <cellStyle name="셀 확인" xfId="1043" xr:uid="{00000000-0005-0000-0000-0000AB0A0000}"/>
    <cellStyle name="쉼표 [0] 2" xfId="1044" xr:uid="{00000000-0005-0000-0000-0000AC0A0000}"/>
    <cellStyle name="쉼표 [0] 2 2" xfId="2642" xr:uid="{00000000-0005-0000-0000-0000AD0A0000}"/>
    <cellStyle name="쉼표 [0] 2 3" xfId="2376" xr:uid="{00000000-0005-0000-0000-0000AE0A0000}"/>
    <cellStyle name="스타일 1" xfId="1045" xr:uid="{00000000-0005-0000-0000-0000AF0A0000}"/>
    <cellStyle name="안건회계법인" xfId="1046" xr:uid="{00000000-0005-0000-0000-0000B00A0000}"/>
    <cellStyle name="연결된 셀" xfId="1047" xr:uid="{00000000-0005-0000-0000-0000B10A0000}"/>
    <cellStyle name="요약" xfId="1048" xr:uid="{00000000-0005-0000-0000-0000B20A0000}"/>
    <cellStyle name="입력" xfId="1049" xr:uid="{00000000-0005-0000-0000-0000B30A0000}"/>
    <cellStyle name="제목" xfId="1050" xr:uid="{00000000-0005-0000-0000-0000B40A0000}"/>
    <cellStyle name="제목 1" xfId="1051" xr:uid="{00000000-0005-0000-0000-0000B50A0000}"/>
    <cellStyle name="제목 2" xfId="1052" xr:uid="{00000000-0005-0000-0000-0000B60A0000}"/>
    <cellStyle name="제목 3" xfId="1053" xr:uid="{00000000-0005-0000-0000-0000B70A0000}"/>
    <cellStyle name="제목 4" xfId="1054" xr:uid="{00000000-0005-0000-0000-0000B80A0000}"/>
    <cellStyle name="좋음" xfId="1055" xr:uid="{00000000-0005-0000-0000-0000B90A0000}"/>
    <cellStyle name="출력" xfId="1056" xr:uid="{00000000-0005-0000-0000-0000BA0A0000}"/>
    <cellStyle name="콤마 [0]_1" xfId="1057" xr:uid="{00000000-0005-0000-0000-0000BB0A0000}"/>
    <cellStyle name="콤마[0]" xfId="1058" xr:uid="{00000000-0005-0000-0000-0000BC0A0000}"/>
    <cellStyle name="콤마_1" xfId="1059" xr:uid="{00000000-0005-0000-0000-0000BD0A0000}"/>
    <cellStyle name="표줠_Sheet1_1_총괄표 (수출입) (2)" xfId="1060" xr:uid="{00000000-0005-0000-0000-0000BE0A0000}"/>
    <cellStyle name="一般_00Q3902REV.1" xfId="1061" xr:uid="{00000000-0005-0000-0000-0000BF0A0000}"/>
    <cellStyle name="千分位[0]_00Q3902REV.1" xfId="1062" xr:uid="{00000000-0005-0000-0000-0000C00A0000}"/>
    <cellStyle name="千分位_00Q3902REV.1" xfId="1063" xr:uid="{00000000-0005-0000-0000-0000C10A0000}"/>
    <cellStyle name="標準_Akia(F）-8" xfId="1064" xr:uid="{00000000-0005-0000-0000-0000C20A0000}"/>
    <cellStyle name="貨幣 [0]_00Q3902REV.1" xfId="1065" xr:uid="{00000000-0005-0000-0000-0000C30A0000}"/>
    <cellStyle name="貨幣[0]_BRE" xfId="1066" xr:uid="{00000000-0005-0000-0000-0000C40A0000}"/>
    <cellStyle name="貨幣_00Q3902REV.1" xfId="1067" xr:uid="{00000000-0005-0000-0000-0000C50A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00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Tasa Par-Swap</a:t>
            </a:r>
            <a:r>
              <a:rPr lang="es-MX" baseline="0"/>
              <a:t> Interpolada</a:t>
            </a:r>
            <a:endParaRPr lang="es-MX"/>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2"/>
          <c:order val="0"/>
          <c:spPr>
            <a:ln w="28575" cap="rnd" cmpd="sng" algn="ctr">
              <a:solidFill>
                <a:schemeClr val="accent4">
                  <a:tint val="86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Tasas!$O$4:$O$134</c:f>
              <c:numCache>
                <c:formatCode>0.0000%</c:formatCode>
                <c:ptCount val="131"/>
                <c:pt idx="0">
                  <c:v>0.10189999999999999</c:v>
                </c:pt>
                <c:pt idx="1">
                  <c:v>0.10199999999999999</c:v>
                </c:pt>
                <c:pt idx="2">
                  <c:v>0.10326250000000001</c:v>
                </c:pt>
                <c:pt idx="3">
                  <c:v>0.10452500000000001</c:v>
                </c:pt>
                <c:pt idx="4">
                  <c:v>0.10531666666666667</c:v>
                </c:pt>
                <c:pt idx="5">
                  <c:v>0.10610833333333333</c:v>
                </c:pt>
                <c:pt idx="6">
                  <c:v>0.1069</c:v>
                </c:pt>
                <c:pt idx="7">
                  <c:v>0.10703333333333333</c:v>
                </c:pt>
                <c:pt idx="8">
                  <c:v>0.10716666666666667</c:v>
                </c:pt>
                <c:pt idx="9">
                  <c:v>0.10730000000000001</c:v>
                </c:pt>
                <c:pt idx="10">
                  <c:v>0.10702500000000001</c:v>
                </c:pt>
                <c:pt idx="11">
                  <c:v>0.10675</c:v>
                </c:pt>
                <c:pt idx="12">
                  <c:v>0.10647499999999999</c:v>
                </c:pt>
                <c:pt idx="13">
                  <c:v>0.10619999999999999</c:v>
                </c:pt>
                <c:pt idx="14">
                  <c:v>0.10542307692307691</c:v>
                </c:pt>
                <c:pt idx="15">
                  <c:v>0.10464615384615383</c:v>
                </c:pt>
                <c:pt idx="16">
                  <c:v>0.10386923076923076</c:v>
                </c:pt>
                <c:pt idx="17">
                  <c:v>0.10309230769230768</c:v>
                </c:pt>
                <c:pt idx="18">
                  <c:v>0.10237087912087911</c:v>
                </c:pt>
                <c:pt idx="19">
                  <c:v>0.10153846153846152</c:v>
                </c:pt>
                <c:pt idx="20">
                  <c:v>0.10076153846153846</c:v>
                </c:pt>
                <c:pt idx="21">
                  <c:v>9.998461538461538E-2</c:v>
                </c:pt>
                <c:pt idx="22">
                  <c:v>9.9207692307692302E-2</c:v>
                </c:pt>
                <c:pt idx="23">
                  <c:v>9.8430769230769224E-2</c:v>
                </c:pt>
                <c:pt idx="24">
                  <c:v>9.7653846153846147E-2</c:v>
                </c:pt>
                <c:pt idx="25">
                  <c:v>9.6876923076923069E-2</c:v>
                </c:pt>
                <c:pt idx="26">
                  <c:v>9.6099999999999991E-2</c:v>
                </c:pt>
                <c:pt idx="27">
                  <c:v>9.5588461538461525E-2</c:v>
                </c:pt>
                <c:pt idx="28">
                  <c:v>9.5076923076923073E-2</c:v>
                </c:pt>
                <c:pt idx="29">
                  <c:v>9.4565384615384607E-2</c:v>
                </c:pt>
                <c:pt idx="30">
                  <c:v>9.4053846153846155E-2</c:v>
                </c:pt>
                <c:pt idx="31">
                  <c:v>9.3542307692307688E-2</c:v>
                </c:pt>
                <c:pt idx="32">
                  <c:v>9.3030769230769222E-2</c:v>
                </c:pt>
                <c:pt idx="33">
                  <c:v>9.251923076923077E-2</c:v>
                </c:pt>
                <c:pt idx="34">
                  <c:v>9.2007692307692304E-2</c:v>
                </c:pt>
                <c:pt idx="35">
                  <c:v>9.1496153846153838E-2</c:v>
                </c:pt>
                <c:pt idx="36">
                  <c:v>9.0984615384615386E-2</c:v>
                </c:pt>
                <c:pt idx="37">
                  <c:v>9.047307692307692E-2</c:v>
                </c:pt>
                <c:pt idx="38">
                  <c:v>8.9961538461538468E-2</c:v>
                </c:pt>
                <c:pt idx="39">
                  <c:v>8.9450000000000002E-2</c:v>
                </c:pt>
                <c:pt idx="40">
                  <c:v>8.9223076923076919E-2</c:v>
                </c:pt>
                <c:pt idx="41">
                  <c:v>8.899615384615385E-2</c:v>
                </c:pt>
                <c:pt idx="42">
                  <c:v>8.8769230769230767E-2</c:v>
                </c:pt>
                <c:pt idx="43">
                  <c:v>8.8542307692307698E-2</c:v>
                </c:pt>
                <c:pt idx="44">
                  <c:v>8.8315384615384615E-2</c:v>
                </c:pt>
                <c:pt idx="45">
                  <c:v>8.8088461538461546E-2</c:v>
                </c:pt>
                <c:pt idx="46">
                  <c:v>8.7861538461538463E-2</c:v>
                </c:pt>
                <c:pt idx="47">
                  <c:v>8.7634615384615394E-2</c:v>
                </c:pt>
                <c:pt idx="48">
                  <c:v>8.7407692307692311E-2</c:v>
                </c:pt>
                <c:pt idx="49">
                  <c:v>8.7180769230769242E-2</c:v>
                </c:pt>
                <c:pt idx="50">
                  <c:v>8.6953846153846159E-2</c:v>
                </c:pt>
                <c:pt idx="51">
                  <c:v>8.672692307692309E-2</c:v>
                </c:pt>
                <c:pt idx="52">
                  <c:v>8.6500000000000007E-2</c:v>
                </c:pt>
                <c:pt idx="53">
                  <c:v>8.6436538461538467E-2</c:v>
                </c:pt>
                <c:pt idx="54">
                  <c:v>8.6375343406593419E-2</c:v>
                </c:pt>
                <c:pt idx="55">
                  <c:v>8.6309615384615387E-2</c:v>
                </c:pt>
                <c:pt idx="56">
                  <c:v>8.6246153846153861E-2</c:v>
                </c:pt>
                <c:pt idx="57">
                  <c:v>8.618722527472529E-2</c:v>
                </c:pt>
                <c:pt idx="58">
                  <c:v>8.6119230769230781E-2</c:v>
                </c:pt>
                <c:pt idx="59">
                  <c:v>8.6055769230769241E-2</c:v>
                </c:pt>
                <c:pt idx="60">
                  <c:v>8.5992307692307701E-2</c:v>
                </c:pt>
                <c:pt idx="61">
                  <c:v>8.5928846153846161E-2</c:v>
                </c:pt>
                <c:pt idx="62">
                  <c:v>8.5865384615384635E-2</c:v>
                </c:pt>
                <c:pt idx="63">
                  <c:v>8.5801923076923095E-2</c:v>
                </c:pt>
                <c:pt idx="64">
                  <c:v>8.5738461538461555E-2</c:v>
                </c:pt>
                <c:pt idx="65">
                  <c:v>8.5675000000000015E-2</c:v>
                </c:pt>
                <c:pt idx="66">
                  <c:v>8.5685591471801936E-2</c:v>
                </c:pt>
                <c:pt idx="67">
                  <c:v>8.5696182943603871E-2</c:v>
                </c:pt>
                <c:pt idx="68">
                  <c:v>8.5706774415405793E-2</c:v>
                </c:pt>
                <c:pt idx="69">
                  <c:v>8.5717365887207714E-2</c:v>
                </c:pt>
                <c:pt idx="70">
                  <c:v>8.5727957359009649E-2</c:v>
                </c:pt>
                <c:pt idx="71">
                  <c:v>8.573854883081157E-2</c:v>
                </c:pt>
                <c:pt idx="72">
                  <c:v>8.5749140302613491E-2</c:v>
                </c:pt>
                <c:pt idx="73">
                  <c:v>8.5759731774415426E-2</c:v>
                </c:pt>
                <c:pt idx="74">
                  <c:v>8.5770323246217348E-2</c:v>
                </c:pt>
                <c:pt idx="75">
                  <c:v>8.5780914718019269E-2</c:v>
                </c:pt>
                <c:pt idx="76">
                  <c:v>8.579150618982119E-2</c:v>
                </c:pt>
                <c:pt idx="77">
                  <c:v>8.5802097661623125E-2</c:v>
                </c:pt>
                <c:pt idx="78">
                  <c:v>8.5812689133425046E-2</c:v>
                </c:pt>
                <c:pt idx="79">
                  <c:v>8.5823280605226968E-2</c:v>
                </c:pt>
                <c:pt idx="80">
                  <c:v>8.5833872077028903E-2</c:v>
                </c:pt>
                <c:pt idx="81">
                  <c:v>8.5844463548830824E-2</c:v>
                </c:pt>
                <c:pt idx="82">
                  <c:v>8.5855055020632745E-2</c:v>
                </c:pt>
                <c:pt idx="83">
                  <c:v>8.586564649243468E-2</c:v>
                </c:pt>
                <c:pt idx="84">
                  <c:v>8.5876237964236601E-2</c:v>
                </c:pt>
                <c:pt idx="85">
                  <c:v>8.5886829436038523E-2</c:v>
                </c:pt>
                <c:pt idx="86">
                  <c:v>8.5897420907840458E-2</c:v>
                </c:pt>
                <c:pt idx="87">
                  <c:v>8.5908012379642379E-2</c:v>
                </c:pt>
                <c:pt idx="88">
                  <c:v>8.59186038514443E-2</c:v>
                </c:pt>
                <c:pt idx="89">
                  <c:v>8.5929195323246235E-2</c:v>
                </c:pt>
                <c:pt idx="90">
                  <c:v>8.5939786795048156E-2</c:v>
                </c:pt>
                <c:pt idx="91">
                  <c:v>8.5950000000000013E-2</c:v>
                </c:pt>
                <c:pt idx="92">
                  <c:v>8.598316559926808E-2</c:v>
                </c:pt>
                <c:pt idx="93">
                  <c:v>8.6015187557182085E-2</c:v>
                </c:pt>
                <c:pt idx="94">
                  <c:v>8.6047209515096076E-2</c:v>
                </c:pt>
                <c:pt idx="95">
                  <c:v>8.6079231473010082E-2</c:v>
                </c:pt>
                <c:pt idx="96">
                  <c:v>8.6111253430924073E-2</c:v>
                </c:pt>
                <c:pt idx="97">
                  <c:v>8.6140988106129926E-2</c:v>
                </c:pt>
                <c:pt idx="98">
                  <c:v>8.6175297346752069E-2</c:v>
                </c:pt>
                <c:pt idx="99">
                  <c:v>8.6207319304666075E-2</c:v>
                </c:pt>
                <c:pt idx="100">
                  <c:v>8.6239341262580066E-2</c:v>
                </c:pt>
                <c:pt idx="101">
                  <c:v>8.6271363220494071E-2</c:v>
                </c:pt>
                <c:pt idx="102">
                  <c:v>8.6303385178408062E-2</c:v>
                </c:pt>
                <c:pt idx="103">
                  <c:v>8.6335407136322068E-2</c:v>
                </c:pt>
                <c:pt idx="104">
                  <c:v>8.6367429094236059E-2</c:v>
                </c:pt>
                <c:pt idx="105">
                  <c:v>8.6399451052150064E-2</c:v>
                </c:pt>
                <c:pt idx="106">
                  <c:v>8.6431473010064055E-2</c:v>
                </c:pt>
                <c:pt idx="107">
                  <c:v>8.6463494967978061E-2</c:v>
                </c:pt>
                <c:pt idx="108">
                  <c:v>8.6495516925892052E-2</c:v>
                </c:pt>
                <c:pt idx="109">
                  <c:v>8.6527538883806057E-2</c:v>
                </c:pt>
                <c:pt idx="110">
                  <c:v>8.655727355901191E-2</c:v>
                </c:pt>
                <c:pt idx="111">
                  <c:v>8.6591582799634054E-2</c:v>
                </c:pt>
                <c:pt idx="112">
                  <c:v>8.6623604757548045E-2</c:v>
                </c:pt>
                <c:pt idx="113">
                  <c:v>8.665562671546205E-2</c:v>
                </c:pt>
                <c:pt idx="114">
                  <c:v>8.6687648673376042E-2</c:v>
                </c:pt>
                <c:pt idx="115">
                  <c:v>8.6719670631290047E-2</c:v>
                </c:pt>
                <c:pt idx="116">
                  <c:v>8.6751692589204038E-2</c:v>
                </c:pt>
                <c:pt idx="117">
                  <c:v>8.6783714547118043E-2</c:v>
                </c:pt>
                <c:pt idx="118">
                  <c:v>8.6815736505032035E-2</c:v>
                </c:pt>
                <c:pt idx="119">
                  <c:v>8.684775846294604E-2</c:v>
                </c:pt>
                <c:pt idx="120">
                  <c:v>8.6879780420860031E-2</c:v>
                </c:pt>
                <c:pt idx="121">
                  <c:v>8.6911802378774036E-2</c:v>
                </c:pt>
                <c:pt idx="122">
                  <c:v>8.6943824336688028E-2</c:v>
                </c:pt>
                <c:pt idx="123">
                  <c:v>8.6975846294602033E-2</c:v>
                </c:pt>
                <c:pt idx="124">
                  <c:v>8.7007868252516024E-2</c:v>
                </c:pt>
                <c:pt idx="125">
                  <c:v>8.7039890210430029E-2</c:v>
                </c:pt>
                <c:pt idx="126">
                  <c:v>8.7071912168344021E-2</c:v>
                </c:pt>
                <c:pt idx="127">
                  <c:v>8.7103934126258026E-2</c:v>
                </c:pt>
                <c:pt idx="128">
                  <c:v>8.7135956084172017E-2</c:v>
                </c:pt>
                <c:pt idx="129">
                  <c:v>8.7167978042086008E-2</c:v>
                </c:pt>
                <c:pt idx="130">
                  <c:v>8.7200000000000014E-2</c:v>
                </c:pt>
              </c:numCache>
            </c:numRef>
          </c:val>
          <c:smooth val="0"/>
          <c:extLst>
            <c:ext xmlns:c16="http://schemas.microsoft.com/office/drawing/2014/chart" uri="{C3380CC4-5D6E-409C-BE32-E72D297353CC}">
              <c16:uniqueId val="{00000007-2320-449A-A9C8-D2FD1A3096DD}"/>
            </c:ext>
          </c:extLst>
        </c:ser>
        <c:ser>
          <c:idx val="3"/>
          <c:order val="1"/>
          <c:spPr>
            <a:ln w="28575" cap="rnd" cmpd="sng" algn="ctr">
              <a:solidFill>
                <a:schemeClr val="accent4">
                  <a:tint val="58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Tasas!$O$4:$O$134</c:f>
              <c:numCache>
                <c:formatCode>0.0000%</c:formatCode>
                <c:ptCount val="131"/>
                <c:pt idx="0">
                  <c:v>0.10189999999999999</c:v>
                </c:pt>
                <c:pt idx="1">
                  <c:v>0.10199999999999999</c:v>
                </c:pt>
                <c:pt idx="2">
                  <c:v>0.10326250000000001</c:v>
                </c:pt>
                <c:pt idx="3">
                  <c:v>0.10452500000000001</c:v>
                </c:pt>
                <c:pt idx="4">
                  <c:v>0.10531666666666667</c:v>
                </c:pt>
                <c:pt idx="5">
                  <c:v>0.10610833333333333</c:v>
                </c:pt>
                <c:pt idx="6">
                  <c:v>0.1069</c:v>
                </c:pt>
                <c:pt idx="7">
                  <c:v>0.10703333333333333</c:v>
                </c:pt>
                <c:pt idx="8">
                  <c:v>0.10716666666666667</c:v>
                </c:pt>
                <c:pt idx="9">
                  <c:v>0.10730000000000001</c:v>
                </c:pt>
                <c:pt idx="10">
                  <c:v>0.10702500000000001</c:v>
                </c:pt>
                <c:pt idx="11">
                  <c:v>0.10675</c:v>
                </c:pt>
                <c:pt idx="12">
                  <c:v>0.10647499999999999</c:v>
                </c:pt>
                <c:pt idx="13">
                  <c:v>0.10619999999999999</c:v>
                </c:pt>
                <c:pt idx="14">
                  <c:v>0.10542307692307691</c:v>
                </c:pt>
                <c:pt idx="15">
                  <c:v>0.10464615384615383</c:v>
                </c:pt>
                <c:pt idx="16">
                  <c:v>0.10386923076923076</c:v>
                </c:pt>
                <c:pt idx="17">
                  <c:v>0.10309230769230768</c:v>
                </c:pt>
                <c:pt idx="18">
                  <c:v>0.10237087912087911</c:v>
                </c:pt>
                <c:pt idx="19">
                  <c:v>0.10153846153846152</c:v>
                </c:pt>
                <c:pt idx="20">
                  <c:v>0.10076153846153846</c:v>
                </c:pt>
                <c:pt idx="21">
                  <c:v>9.998461538461538E-2</c:v>
                </c:pt>
                <c:pt idx="22">
                  <c:v>9.9207692307692302E-2</c:v>
                </c:pt>
                <c:pt idx="23">
                  <c:v>9.8430769230769224E-2</c:v>
                </c:pt>
                <c:pt idx="24">
                  <c:v>9.7653846153846147E-2</c:v>
                </c:pt>
                <c:pt idx="25">
                  <c:v>9.6876923076923069E-2</c:v>
                </c:pt>
                <c:pt idx="26">
                  <c:v>9.6099999999999991E-2</c:v>
                </c:pt>
                <c:pt idx="27">
                  <c:v>9.5588461538461525E-2</c:v>
                </c:pt>
                <c:pt idx="28">
                  <c:v>9.5076923076923073E-2</c:v>
                </c:pt>
                <c:pt idx="29">
                  <c:v>9.4565384615384607E-2</c:v>
                </c:pt>
                <c:pt idx="30">
                  <c:v>9.4053846153846155E-2</c:v>
                </c:pt>
                <c:pt idx="31">
                  <c:v>9.3542307692307688E-2</c:v>
                </c:pt>
                <c:pt idx="32">
                  <c:v>9.3030769230769222E-2</c:v>
                </c:pt>
                <c:pt idx="33">
                  <c:v>9.251923076923077E-2</c:v>
                </c:pt>
                <c:pt idx="34">
                  <c:v>9.2007692307692304E-2</c:v>
                </c:pt>
                <c:pt idx="35">
                  <c:v>9.1496153846153838E-2</c:v>
                </c:pt>
                <c:pt idx="36">
                  <c:v>9.0984615384615386E-2</c:v>
                </c:pt>
                <c:pt idx="37">
                  <c:v>9.047307692307692E-2</c:v>
                </c:pt>
                <c:pt idx="38">
                  <c:v>8.9961538461538468E-2</c:v>
                </c:pt>
                <c:pt idx="39">
                  <c:v>8.9450000000000002E-2</c:v>
                </c:pt>
                <c:pt idx="40">
                  <c:v>8.9223076923076919E-2</c:v>
                </c:pt>
                <c:pt idx="41">
                  <c:v>8.899615384615385E-2</c:v>
                </c:pt>
                <c:pt idx="42">
                  <c:v>8.8769230769230767E-2</c:v>
                </c:pt>
                <c:pt idx="43">
                  <c:v>8.8542307692307698E-2</c:v>
                </c:pt>
                <c:pt idx="44">
                  <c:v>8.8315384615384615E-2</c:v>
                </c:pt>
                <c:pt idx="45">
                  <c:v>8.8088461538461546E-2</c:v>
                </c:pt>
                <c:pt idx="46">
                  <c:v>8.7861538461538463E-2</c:v>
                </c:pt>
                <c:pt idx="47">
                  <c:v>8.7634615384615394E-2</c:v>
                </c:pt>
                <c:pt idx="48">
                  <c:v>8.7407692307692311E-2</c:v>
                </c:pt>
                <c:pt idx="49">
                  <c:v>8.7180769230769242E-2</c:v>
                </c:pt>
                <c:pt idx="50">
                  <c:v>8.6953846153846159E-2</c:v>
                </c:pt>
                <c:pt idx="51">
                  <c:v>8.672692307692309E-2</c:v>
                </c:pt>
                <c:pt idx="52">
                  <c:v>8.6500000000000007E-2</c:v>
                </c:pt>
                <c:pt idx="53">
                  <c:v>8.6436538461538467E-2</c:v>
                </c:pt>
                <c:pt idx="54">
                  <c:v>8.6375343406593419E-2</c:v>
                </c:pt>
                <c:pt idx="55">
                  <c:v>8.6309615384615387E-2</c:v>
                </c:pt>
                <c:pt idx="56">
                  <c:v>8.6246153846153861E-2</c:v>
                </c:pt>
                <c:pt idx="57">
                  <c:v>8.618722527472529E-2</c:v>
                </c:pt>
                <c:pt idx="58">
                  <c:v>8.6119230769230781E-2</c:v>
                </c:pt>
                <c:pt idx="59">
                  <c:v>8.6055769230769241E-2</c:v>
                </c:pt>
                <c:pt idx="60">
                  <c:v>8.5992307692307701E-2</c:v>
                </c:pt>
                <c:pt idx="61">
                  <c:v>8.5928846153846161E-2</c:v>
                </c:pt>
                <c:pt idx="62">
                  <c:v>8.5865384615384635E-2</c:v>
                </c:pt>
                <c:pt idx="63">
                  <c:v>8.5801923076923095E-2</c:v>
                </c:pt>
                <c:pt idx="64">
                  <c:v>8.5738461538461555E-2</c:v>
                </c:pt>
                <c:pt idx="65">
                  <c:v>8.5675000000000015E-2</c:v>
                </c:pt>
                <c:pt idx="66">
                  <c:v>8.5685591471801936E-2</c:v>
                </c:pt>
                <c:pt idx="67">
                  <c:v>8.5696182943603871E-2</c:v>
                </c:pt>
                <c:pt idx="68">
                  <c:v>8.5706774415405793E-2</c:v>
                </c:pt>
                <c:pt idx="69">
                  <c:v>8.5717365887207714E-2</c:v>
                </c:pt>
                <c:pt idx="70">
                  <c:v>8.5727957359009649E-2</c:v>
                </c:pt>
                <c:pt idx="71">
                  <c:v>8.573854883081157E-2</c:v>
                </c:pt>
                <c:pt idx="72">
                  <c:v>8.5749140302613491E-2</c:v>
                </c:pt>
                <c:pt idx="73">
                  <c:v>8.5759731774415426E-2</c:v>
                </c:pt>
                <c:pt idx="74">
                  <c:v>8.5770323246217348E-2</c:v>
                </c:pt>
                <c:pt idx="75">
                  <c:v>8.5780914718019269E-2</c:v>
                </c:pt>
                <c:pt idx="76">
                  <c:v>8.579150618982119E-2</c:v>
                </c:pt>
                <c:pt idx="77">
                  <c:v>8.5802097661623125E-2</c:v>
                </c:pt>
                <c:pt idx="78">
                  <c:v>8.5812689133425046E-2</c:v>
                </c:pt>
                <c:pt idx="79">
                  <c:v>8.5823280605226968E-2</c:v>
                </c:pt>
                <c:pt idx="80">
                  <c:v>8.5833872077028903E-2</c:v>
                </c:pt>
                <c:pt idx="81">
                  <c:v>8.5844463548830824E-2</c:v>
                </c:pt>
                <c:pt idx="82">
                  <c:v>8.5855055020632745E-2</c:v>
                </c:pt>
                <c:pt idx="83">
                  <c:v>8.586564649243468E-2</c:v>
                </c:pt>
                <c:pt idx="84">
                  <c:v>8.5876237964236601E-2</c:v>
                </c:pt>
                <c:pt idx="85">
                  <c:v>8.5886829436038523E-2</c:v>
                </c:pt>
                <c:pt idx="86">
                  <c:v>8.5897420907840458E-2</c:v>
                </c:pt>
                <c:pt idx="87">
                  <c:v>8.5908012379642379E-2</c:v>
                </c:pt>
                <c:pt idx="88">
                  <c:v>8.59186038514443E-2</c:v>
                </c:pt>
                <c:pt idx="89">
                  <c:v>8.5929195323246235E-2</c:v>
                </c:pt>
                <c:pt idx="90">
                  <c:v>8.5939786795048156E-2</c:v>
                </c:pt>
                <c:pt idx="91">
                  <c:v>8.5950000000000013E-2</c:v>
                </c:pt>
                <c:pt idx="92">
                  <c:v>8.598316559926808E-2</c:v>
                </c:pt>
                <c:pt idx="93">
                  <c:v>8.6015187557182085E-2</c:v>
                </c:pt>
                <c:pt idx="94">
                  <c:v>8.6047209515096076E-2</c:v>
                </c:pt>
                <c:pt idx="95">
                  <c:v>8.6079231473010082E-2</c:v>
                </c:pt>
                <c:pt idx="96">
                  <c:v>8.6111253430924073E-2</c:v>
                </c:pt>
                <c:pt idx="97">
                  <c:v>8.6140988106129926E-2</c:v>
                </c:pt>
                <c:pt idx="98">
                  <c:v>8.6175297346752069E-2</c:v>
                </c:pt>
                <c:pt idx="99">
                  <c:v>8.6207319304666075E-2</c:v>
                </c:pt>
                <c:pt idx="100">
                  <c:v>8.6239341262580066E-2</c:v>
                </c:pt>
                <c:pt idx="101">
                  <c:v>8.6271363220494071E-2</c:v>
                </c:pt>
                <c:pt idx="102">
                  <c:v>8.6303385178408062E-2</c:v>
                </c:pt>
                <c:pt idx="103">
                  <c:v>8.6335407136322068E-2</c:v>
                </c:pt>
                <c:pt idx="104">
                  <c:v>8.6367429094236059E-2</c:v>
                </c:pt>
                <c:pt idx="105">
                  <c:v>8.6399451052150064E-2</c:v>
                </c:pt>
                <c:pt idx="106">
                  <c:v>8.6431473010064055E-2</c:v>
                </c:pt>
                <c:pt idx="107">
                  <c:v>8.6463494967978061E-2</c:v>
                </c:pt>
                <c:pt idx="108">
                  <c:v>8.6495516925892052E-2</c:v>
                </c:pt>
                <c:pt idx="109">
                  <c:v>8.6527538883806057E-2</c:v>
                </c:pt>
                <c:pt idx="110">
                  <c:v>8.655727355901191E-2</c:v>
                </c:pt>
                <c:pt idx="111">
                  <c:v>8.6591582799634054E-2</c:v>
                </c:pt>
                <c:pt idx="112">
                  <c:v>8.6623604757548045E-2</c:v>
                </c:pt>
                <c:pt idx="113">
                  <c:v>8.665562671546205E-2</c:v>
                </c:pt>
                <c:pt idx="114">
                  <c:v>8.6687648673376042E-2</c:v>
                </c:pt>
                <c:pt idx="115">
                  <c:v>8.6719670631290047E-2</c:v>
                </c:pt>
                <c:pt idx="116">
                  <c:v>8.6751692589204038E-2</c:v>
                </c:pt>
                <c:pt idx="117">
                  <c:v>8.6783714547118043E-2</c:v>
                </c:pt>
                <c:pt idx="118">
                  <c:v>8.6815736505032035E-2</c:v>
                </c:pt>
                <c:pt idx="119">
                  <c:v>8.684775846294604E-2</c:v>
                </c:pt>
                <c:pt idx="120">
                  <c:v>8.6879780420860031E-2</c:v>
                </c:pt>
                <c:pt idx="121">
                  <c:v>8.6911802378774036E-2</c:v>
                </c:pt>
                <c:pt idx="122">
                  <c:v>8.6943824336688028E-2</c:v>
                </c:pt>
                <c:pt idx="123">
                  <c:v>8.6975846294602033E-2</c:v>
                </c:pt>
                <c:pt idx="124">
                  <c:v>8.7007868252516024E-2</c:v>
                </c:pt>
                <c:pt idx="125">
                  <c:v>8.7039890210430029E-2</c:v>
                </c:pt>
                <c:pt idx="126">
                  <c:v>8.7071912168344021E-2</c:v>
                </c:pt>
                <c:pt idx="127">
                  <c:v>8.7103934126258026E-2</c:v>
                </c:pt>
                <c:pt idx="128">
                  <c:v>8.7135956084172017E-2</c:v>
                </c:pt>
                <c:pt idx="129">
                  <c:v>8.7167978042086008E-2</c:v>
                </c:pt>
                <c:pt idx="130">
                  <c:v>8.7200000000000014E-2</c:v>
                </c:pt>
              </c:numCache>
            </c:numRef>
          </c:val>
          <c:smooth val="0"/>
          <c:extLst>
            <c:ext xmlns:c16="http://schemas.microsoft.com/office/drawing/2014/chart" uri="{C3380CC4-5D6E-409C-BE32-E72D297353CC}">
              <c16:uniqueId val="{00000008-2320-449A-A9C8-D2FD1A3096DD}"/>
            </c:ext>
          </c:extLst>
        </c:ser>
        <c:ser>
          <c:idx val="1"/>
          <c:order val="2"/>
          <c:spPr>
            <a:ln w="28575" cap="rnd" cmpd="sng" algn="ctr">
              <a:solidFill>
                <a:schemeClr val="accent4">
                  <a:shade val="86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Tasas!$O$4:$O$134</c:f>
              <c:numCache>
                <c:formatCode>0.0000%</c:formatCode>
                <c:ptCount val="131"/>
                <c:pt idx="0">
                  <c:v>0.10189999999999999</c:v>
                </c:pt>
                <c:pt idx="1">
                  <c:v>0.10199999999999999</c:v>
                </c:pt>
                <c:pt idx="2">
                  <c:v>0.10326250000000001</c:v>
                </c:pt>
                <c:pt idx="3">
                  <c:v>0.10452500000000001</c:v>
                </c:pt>
                <c:pt idx="4">
                  <c:v>0.10531666666666667</c:v>
                </c:pt>
                <c:pt idx="5">
                  <c:v>0.10610833333333333</c:v>
                </c:pt>
                <c:pt idx="6">
                  <c:v>0.1069</c:v>
                </c:pt>
                <c:pt idx="7">
                  <c:v>0.10703333333333333</c:v>
                </c:pt>
                <c:pt idx="8">
                  <c:v>0.10716666666666667</c:v>
                </c:pt>
                <c:pt idx="9">
                  <c:v>0.10730000000000001</c:v>
                </c:pt>
                <c:pt idx="10">
                  <c:v>0.10702500000000001</c:v>
                </c:pt>
                <c:pt idx="11">
                  <c:v>0.10675</c:v>
                </c:pt>
                <c:pt idx="12">
                  <c:v>0.10647499999999999</c:v>
                </c:pt>
                <c:pt idx="13">
                  <c:v>0.10619999999999999</c:v>
                </c:pt>
                <c:pt idx="14">
                  <c:v>0.10542307692307691</c:v>
                </c:pt>
                <c:pt idx="15">
                  <c:v>0.10464615384615383</c:v>
                </c:pt>
                <c:pt idx="16">
                  <c:v>0.10386923076923076</c:v>
                </c:pt>
                <c:pt idx="17">
                  <c:v>0.10309230769230768</c:v>
                </c:pt>
                <c:pt idx="18">
                  <c:v>0.10237087912087911</c:v>
                </c:pt>
                <c:pt idx="19">
                  <c:v>0.10153846153846152</c:v>
                </c:pt>
                <c:pt idx="20">
                  <c:v>0.10076153846153846</c:v>
                </c:pt>
                <c:pt idx="21">
                  <c:v>9.998461538461538E-2</c:v>
                </c:pt>
                <c:pt idx="22">
                  <c:v>9.9207692307692302E-2</c:v>
                </c:pt>
                <c:pt idx="23">
                  <c:v>9.8430769230769224E-2</c:v>
                </c:pt>
                <c:pt idx="24">
                  <c:v>9.7653846153846147E-2</c:v>
                </c:pt>
                <c:pt idx="25">
                  <c:v>9.6876923076923069E-2</c:v>
                </c:pt>
                <c:pt idx="26">
                  <c:v>9.6099999999999991E-2</c:v>
                </c:pt>
                <c:pt idx="27">
                  <c:v>9.5588461538461525E-2</c:v>
                </c:pt>
                <c:pt idx="28">
                  <c:v>9.5076923076923073E-2</c:v>
                </c:pt>
                <c:pt idx="29">
                  <c:v>9.4565384615384607E-2</c:v>
                </c:pt>
                <c:pt idx="30">
                  <c:v>9.4053846153846155E-2</c:v>
                </c:pt>
                <c:pt idx="31">
                  <c:v>9.3542307692307688E-2</c:v>
                </c:pt>
                <c:pt idx="32">
                  <c:v>9.3030769230769222E-2</c:v>
                </c:pt>
                <c:pt idx="33">
                  <c:v>9.251923076923077E-2</c:v>
                </c:pt>
                <c:pt idx="34">
                  <c:v>9.2007692307692304E-2</c:v>
                </c:pt>
                <c:pt idx="35">
                  <c:v>9.1496153846153838E-2</c:v>
                </c:pt>
                <c:pt idx="36">
                  <c:v>9.0984615384615386E-2</c:v>
                </c:pt>
                <c:pt idx="37">
                  <c:v>9.047307692307692E-2</c:v>
                </c:pt>
                <c:pt idx="38">
                  <c:v>8.9961538461538468E-2</c:v>
                </c:pt>
                <c:pt idx="39">
                  <c:v>8.9450000000000002E-2</c:v>
                </c:pt>
                <c:pt idx="40">
                  <c:v>8.9223076923076919E-2</c:v>
                </c:pt>
                <c:pt idx="41">
                  <c:v>8.899615384615385E-2</c:v>
                </c:pt>
                <c:pt idx="42">
                  <c:v>8.8769230769230767E-2</c:v>
                </c:pt>
                <c:pt idx="43">
                  <c:v>8.8542307692307698E-2</c:v>
                </c:pt>
                <c:pt idx="44">
                  <c:v>8.8315384615384615E-2</c:v>
                </c:pt>
                <c:pt idx="45">
                  <c:v>8.8088461538461546E-2</c:v>
                </c:pt>
                <c:pt idx="46">
                  <c:v>8.7861538461538463E-2</c:v>
                </c:pt>
                <c:pt idx="47">
                  <c:v>8.7634615384615394E-2</c:v>
                </c:pt>
                <c:pt idx="48">
                  <c:v>8.7407692307692311E-2</c:v>
                </c:pt>
                <c:pt idx="49">
                  <c:v>8.7180769230769242E-2</c:v>
                </c:pt>
                <c:pt idx="50">
                  <c:v>8.6953846153846159E-2</c:v>
                </c:pt>
                <c:pt idx="51">
                  <c:v>8.672692307692309E-2</c:v>
                </c:pt>
                <c:pt idx="52">
                  <c:v>8.6500000000000007E-2</c:v>
                </c:pt>
                <c:pt idx="53">
                  <c:v>8.6436538461538467E-2</c:v>
                </c:pt>
                <c:pt idx="54">
                  <c:v>8.6375343406593419E-2</c:v>
                </c:pt>
                <c:pt idx="55">
                  <c:v>8.6309615384615387E-2</c:v>
                </c:pt>
                <c:pt idx="56">
                  <c:v>8.6246153846153861E-2</c:v>
                </c:pt>
                <c:pt idx="57">
                  <c:v>8.618722527472529E-2</c:v>
                </c:pt>
                <c:pt idx="58">
                  <c:v>8.6119230769230781E-2</c:v>
                </c:pt>
                <c:pt idx="59">
                  <c:v>8.6055769230769241E-2</c:v>
                </c:pt>
                <c:pt idx="60">
                  <c:v>8.5992307692307701E-2</c:v>
                </c:pt>
                <c:pt idx="61">
                  <c:v>8.5928846153846161E-2</c:v>
                </c:pt>
                <c:pt idx="62">
                  <c:v>8.5865384615384635E-2</c:v>
                </c:pt>
                <c:pt idx="63">
                  <c:v>8.5801923076923095E-2</c:v>
                </c:pt>
                <c:pt idx="64">
                  <c:v>8.5738461538461555E-2</c:v>
                </c:pt>
                <c:pt idx="65">
                  <c:v>8.5675000000000015E-2</c:v>
                </c:pt>
                <c:pt idx="66">
                  <c:v>8.5685591471801936E-2</c:v>
                </c:pt>
                <c:pt idx="67">
                  <c:v>8.5696182943603871E-2</c:v>
                </c:pt>
                <c:pt idx="68">
                  <c:v>8.5706774415405793E-2</c:v>
                </c:pt>
                <c:pt idx="69">
                  <c:v>8.5717365887207714E-2</c:v>
                </c:pt>
                <c:pt idx="70">
                  <c:v>8.5727957359009649E-2</c:v>
                </c:pt>
                <c:pt idx="71">
                  <c:v>8.573854883081157E-2</c:v>
                </c:pt>
                <c:pt idx="72">
                  <c:v>8.5749140302613491E-2</c:v>
                </c:pt>
                <c:pt idx="73">
                  <c:v>8.5759731774415426E-2</c:v>
                </c:pt>
                <c:pt idx="74">
                  <c:v>8.5770323246217348E-2</c:v>
                </c:pt>
                <c:pt idx="75">
                  <c:v>8.5780914718019269E-2</c:v>
                </c:pt>
                <c:pt idx="76">
                  <c:v>8.579150618982119E-2</c:v>
                </c:pt>
                <c:pt idx="77">
                  <c:v>8.5802097661623125E-2</c:v>
                </c:pt>
                <c:pt idx="78">
                  <c:v>8.5812689133425046E-2</c:v>
                </c:pt>
                <c:pt idx="79">
                  <c:v>8.5823280605226968E-2</c:v>
                </c:pt>
                <c:pt idx="80">
                  <c:v>8.5833872077028903E-2</c:v>
                </c:pt>
                <c:pt idx="81">
                  <c:v>8.5844463548830824E-2</c:v>
                </c:pt>
                <c:pt idx="82">
                  <c:v>8.5855055020632745E-2</c:v>
                </c:pt>
                <c:pt idx="83">
                  <c:v>8.586564649243468E-2</c:v>
                </c:pt>
                <c:pt idx="84">
                  <c:v>8.5876237964236601E-2</c:v>
                </c:pt>
                <c:pt idx="85">
                  <c:v>8.5886829436038523E-2</c:v>
                </c:pt>
                <c:pt idx="86">
                  <c:v>8.5897420907840458E-2</c:v>
                </c:pt>
                <c:pt idx="87">
                  <c:v>8.5908012379642379E-2</c:v>
                </c:pt>
                <c:pt idx="88">
                  <c:v>8.59186038514443E-2</c:v>
                </c:pt>
                <c:pt idx="89">
                  <c:v>8.5929195323246235E-2</c:v>
                </c:pt>
                <c:pt idx="90">
                  <c:v>8.5939786795048156E-2</c:v>
                </c:pt>
                <c:pt idx="91">
                  <c:v>8.5950000000000013E-2</c:v>
                </c:pt>
                <c:pt idx="92">
                  <c:v>8.598316559926808E-2</c:v>
                </c:pt>
                <c:pt idx="93">
                  <c:v>8.6015187557182085E-2</c:v>
                </c:pt>
                <c:pt idx="94">
                  <c:v>8.6047209515096076E-2</c:v>
                </c:pt>
                <c:pt idx="95">
                  <c:v>8.6079231473010082E-2</c:v>
                </c:pt>
                <c:pt idx="96">
                  <c:v>8.6111253430924073E-2</c:v>
                </c:pt>
                <c:pt idx="97">
                  <c:v>8.6140988106129926E-2</c:v>
                </c:pt>
                <c:pt idx="98">
                  <c:v>8.6175297346752069E-2</c:v>
                </c:pt>
                <c:pt idx="99">
                  <c:v>8.6207319304666075E-2</c:v>
                </c:pt>
                <c:pt idx="100">
                  <c:v>8.6239341262580066E-2</c:v>
                </c:pt>
                <c:pt idx="101">
                  <c:v>8.6271363220494071E-2</c:v>
                </c:pt>
                <c:pt idx="102">
                  <c:v>8.6303385178408062E-2</c:v>
                </c:pt>
                <c:pt idx="103">
                  <c:v>8.6335407136322068E-2</c:v>
                </c:pt>
                <c:pt idx="104">
                  <c:v>8.6367429094236059E-2</c:v>
                </c:pt>
                <c:pt idx="105">
                  <c:v>8.6399451052150064E-2</c:v>
                </c:pt>
                <c:pt idx="106">
                  <c:v>8.6431473010064055E-2</c:v>
                </c:pt>
                <c:pt idx="107">
                  <c:v>8.6463494967978061E-2</c:v>
                </c:pt>
                <c:pt idx="108">
                  <c:v>8.6495516925892052E-2</c:v>
                </c:pt>
                <c:pt idx="109">
                  <c:v>8.6527538883806057E-2</c:v>
                </c:pt>
                <c:pt idx="110">
                  <c:v>8.655727355901191E-2</c:v>
                </c:pt>
                <c:pt idx="111">
                  <c:v>8.6591582799634054E-2</c:v>
                </c:pt>
                <c:pt idx="112">
                  <c:v>8.6623604757548045E-2</c:v>
                </c:pt>
                <c:pt idx="113">
                  <c:v>8.665562671546205E-2</c:v>
                </c:pt>
                <c:pt idx="114">
                  <c:v>8.6687648673376042E-2</c:v>
                </c:pt>
                <c:pt idx="115">
                  <c:v>8.6719670631290047E-2</c:v>
                </c:pt>
                <c:pt idx="116">
                  <c:v>8.6751692589204038E-2</c:v>
                </c:pt>
                <c:pt idx="117">
                  <c:v>8.6783714547118043E-2</c:v>
                </c:pt>
                <c:pt idx="118">
                  <c:v>8.6815736505032035E-2</c:v>
                </c:pt>
                <c:pt idx="119">
                  <c:v>8.684775846294604E-2</c:v>
                </c:pt>
                <c:pt idx="120">
                  <c:v>8.6879780420860031E-2</c:v>
                </c:pt>
                <c:pt idx="121">
                  <c:v>8.6911802378774036E-2</c:v>
                </c:pt>
                <c:pt idx="122">
                  <c:v>8.6943824336688028E-2</c:v>
                </c:pt>
                <c:pt idx="123">
                  <c:v>8.6975846294602033E-2</c:v>
                </c:pt>
                <c:pt idx="124">
                  <c:v>8.7007868252516024E-2</c:v>
                </c:pt>
                <c:pt idx="125">
                  <c:v>8.7039890210430029E-2</c:v>
                </c:pt>
                <c:pt idx="126">
                  <c:v>8.7071912168344021E-2</c:v>
                </c:pt>
                <c:pt idx="127">
                  <c:v>8.7103934126258026E-2</c:v>
                </c:pt>
                <c:pt idx="128">
                  <c:v>8.7135956084172017E-2</c:v>
                </c:pt>
                <c:pt idx="129">
                  <c:v>8.7167978042086008E-2</c:v>
                </c:pt>
                <c:pt idx="130">
                  <c:v>8.7200000000000014E-2</c:v>
                </c:pt>
              </c:numCache>
            </c:numRef>
          </c:val>
          <c:smooth val="0"/>
          <c:extLst>
            <c:ext xmlns:c16="http://schemas.microsoft.com/office/drawing/2014/chart" uri="{C3380CC4-5D6E-409C-BE32-E72D297353CC}">
              <c16:uniqueId val="{00000004-2320-449A-A9C8-D2FD1A3096DD}"/>
            </c:ext>
          </c:extLst>
        </c:ser>
        <c:ser>
          <c:idx val="0"/>
          <c:order val="3"/>
          <c:spPr>
            <a:ln w="28575" cap="rnd" cmpd="sng" algn="ctr">
              <a:solidFill>
                <a:schemeClr val="accent4">
                  <a:shade val="58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Tasas!$O$4:$O$134</c:f>
              <c:numCache>
                <c:formatCode>0.0000%</c:formatCode>
                <c:ptCount val="131"/>
                <c:pt idx="0">
                  <c:v>0.10189999999999999</c:v>
                </c:pt>
                <c:pt idx="1">
                  <c:v>0.10199999999999999</c:v>
                </c:pt>
                <c:pt idx="2">
                  <c:v>0.10326250000000001</c:v>
                </c:pt>
                <c:pt idx="3">
                  <c:v>0.10452500000000001</c:v>
                </c:pt>
                <c:pt idx="4">
                  <c:v>0.10531666666666667</c:v>
                </c:pt>
                <c:pt idx="5">
                  <c:v>0.10610833333333333</c:v>
                </c:pt>
                <c:pt idx="6">
                  <c:v>0.1069</c:v>
                </c:pt>
                <c:pt idx="7">
                  <c:v>0.10703333333333333</c:v>
                </c:pt>
                <c:pt idx="8">
                  <c:v>0.10716666666666667</c:v>
                </c:pt>
                <c:pt idx="9">
                  <c:v>0.10730000000000001</c:v>
                </c:pt>
                <c:pt idx="10">
                  <c:v>0.10702500000000001</c:v>
                </c:pt>
                <c:pt idx="11">
                  <c:v>0.10675</c:v>
                </c:pt>
                <c:pt idx="12">
                  <c:v>0.10647499999999999</c:v>
                </c:pt>
                <c:pt idx="13">
                  <c:v>0.10619999999999999</c:v>
                </c:pt>
                <c:pt idx="14">
                  <c:v>0.10542307692307691</c:v>
                </c:pt>
                <c:pt idx="15">
                  <c:v>0.10464615384615383</c:v>
                </c:pt>
                <c:pt idx="16">
                  <c:v>0.10386923076923076</c:v>
                </c:pt>
                <c:pt idx="17">
                  <c:v>0.10309230769230768</c:v>
                </c:pt>
                <c:pt idx="18">
                  <c:v>0.10237087912087911</c:v>
                </c:pt>
                <c:pt idx="19">
                  <c:v>0.10153846153846152</c:v>
                </c:pt>
                <c:pt idx="20">
                  <c:v>0.10076153846153846</c:v>
                </c:pt>
                <c:pt idx="21">
                  <c:v>9.998461538461538E-2</c:v>
                </c:pt>
                <c:pt idx="22">
                  <c:v>9.9207692307692302E-2</c:v>
                </c:pt>
                <c:pt idx="23">
                  <c:v>9.8430769230769224E-2</c:v>
                </c:pt>
                <c:pt idx="24">
                  <c:v>9.7653846153846147E-2</c:v>
                </c:pt>
                <c:pt idx="25">
                  <c:v>9.6876923076923069E-2</c:v>
                </c:pt>
                <c:pt idx="26">
                  <c:v>9.6099999999999991E-2</c:v>
                </c:pt>
                <c:pt idx="27">
                  <c:v>9.5588461538461525E-2</c:v>
                </c:pt>
                <c:pt idx="28">
                  <c:v>9.5076923076923073E-2</c:v>
                </c:pt>
                <c:pt idx="29">
                  <c:v>9.4565384615384607E-2</c:v>
                </c:pt>
                <c:pt idx="30">
                  <c:v>9.4053846153846155E-2</c:v>
                </c:pt>
                <c:pt idx="31">
                  <c:v>9.3542307692307688E-2</c:v>
                </c:pt>
                <c:pt idx="32">
                  <c:v>9.3030769230769222E-2</c:v>
                </c:pt>
                <c:pt idx="33">
                  <c:v>9.251923076923077E-2</c:v>
                </c:pt>
                <c:pt idx="34">
                  <c:v>9.2007692307692304E-2</c:v>
                </c:pt>
                <c:pt idx="35">
                  <c:v>9.1496153846153838E-2</c:v>
                </c:pt>
                <c:pt idx="36">
                  <c:v>9.0984615384615386E-2</c:v>
                </c:pt>
                <c:pt idx="37">
                  <c:v>9.047307692307692E-2</c:v>
                </c:pt>
                <c:pt idx="38">
                  <c:v>8.9961538461538468E-2</c:v>
                </c:pt>
                <c:pt idx="39">
                  <c:v>8.9450000000000002E-2</c:v>
                </c:pt>
                <c:pt idx="40">
                  <c:v>8.9223076923076919E-2</c:v>
                </c:pt>
                <c:pt idx="41">
                  <c:v>8.899615384615385E-2</c:v>
                </c:pt>
                <c:pt idx="42">
                  <c:v>8.8769230769230767E-2</c:v>
                </c:pt>
                <c:pt idx="43">
                  <c:v>8.8542307692307698E-2</c:v>
                </c:pt>
                <c:pt idx="44">
                  <c:v>8.8315384615384615E-2</c:v>
                </c:pt>
                <c:pt idx="45">
                  <c:v>8.8088461538461546E-2</c:v>
                </c:pt>
                <c:pt idx="46">
                  <c:v>8.7861538461538463E-2</c:v>
                </c:pt>
                <c:pt idx="47">
                  <c:v>8.7634615384615394E-2</c:v>
                </c:pt>
                <c:pt idx="48">
                  <c:v>8.7407692307692311E-2</c:v>
                </c:pt>
                <c:pt idx="49">
                  <c:v>8.7180769230769242E-2</c:v>
                </c:pt>
                <c:pt idx="50">
                  <c:v>8.6953846153846159E-2</c:v>
                </c:pt>
                <c:pt idx="51">
                  <c:v>8.672692307692309E-2</c:v>
                </c:pt>
                <c:pt idx="52">
                  <c:v>8.6500000000000007E-2</c:v>
                </c:pt>
                <c:pt idx="53">
                  <c:v>8.6436538461538467E-2</c:v>
                </c:pt>
                <c:pt idx="54">
                  <c:v>8.6375343406593419E-2</c:v>
                </c:pt>
                <c:pt idx="55">
                  <c:v>8.6309615384615387E-2</c:v>
                </c:pt>
                <c:pt idx="56">
                  <c:v>8.6246153846153861E-2</c:v>
                </c:pt>
                <c:pt idx="57">
                  <c:v>8.618722527472529E-2</c:v>
                </c:pt>
                <c:pt idx="58">
                  <c:v>8.6119230769230781E-2</c:v>
                </c:pt>
                <c:pt idx="59">
                  <c:v>8.6055769230769241E-2</c:v>
                </c:pt>
                <c:pt idx="60">
                  <c:v>8.5992307692307701E-2</c:v>
                </c:pt>
                <c:pt idx="61">
                  <c:v>8.5928846153846161E-2</c:v>
                </c:pt>
                <c:pt idx="62">
                  <c:v>8.5865384615384635E-2</c:v>
                </c:pt>
                <c:pt idx="63">
                  <c:v>8.5801923076923095E-2</c:v>
                </c:pt>
                <c:pt idx="64">
                  <c:v>8.5738461538461555E-2</c:v>
                </c:pt>
                <c:pt idx="65">
                  <c:v>8.5675000000000015E-2</c:v>
                </c:pt>
                <c:pt idx="66">
                  <c:v>8.5685591471801936E-2</c:v>
                </c:pt>
                <c:pt idx="67">
                  <c:v>8.5696182943603871E-2</c:v>
                </c:pt>
                <c:pt idx="68">
                  <c:v>8.5706774415405793E-2</c:v>
                </c:pt>
                <c:pt idx="69">
                  <c:v>8.5717365887207714E-2</c:v>
                </c:pt>
                <c:pt idx="70">
                  <c:v>8.5727957359009649E-2</c:v>
                </c:pt>
                <c:pt idx="71">
                  <c:v>8.573854883081157E-2</c:v>
                </c:pt>
                <c:pt idx="72">
                  <c:v>8.5749140302613491E-2</c:v>
                </c:pt>
                <c:pt idx="73">
                  <c:v>8.5759731774415426E-2</c:v>
                </c:pt>
                <c:pt idx="74">
                  <c:v>8.5770323246217348E-2</c:v>
                </c:pt>
                <c:pt idx="75">
                  <c:v>8.5780914718019269E-2</c:v>
                </c:pt>
                <c:pt idx="76">
                  <c:v>8.579150618982119E-2</c:v>
                </c:pt>
                <c:pt idx="77">
                  <c:v>8.5802097661623125E-2</c:v>
                </c:pt>
                <c:pt idx="78">
                  <c:v>8.5812689133425046E-2</c:v>
                </c:pt>
                <c:pt idx="79">
                  <c:v>8.5823280605226968E-2</c:v>
                </c:pt>
                <c:pt idx="80">
                  <c:v>8.5833872077028903E-2</c:v>
                </c:pt>
                <c:pt idx="81">
                  <c:v>8.5844463548830824E-2</c:v>
                </c:pt>
                <c:pt idx="82">
                  <c:v>8.5855055020632745E-2</c:v>
                </c:pt>
                <c:pt idx="83">
                  <c:v>8.586564649243468E-2</c:v>
                </c:pt>
                <c:pt idx="84">
                  <c:v>8.5876237964236601E-2</c:v>
                </c:pt>
                <c:pt idx="85">
                  <c:v>8.5886829436038523E-2</c:v>
                </c:pt>
                <c:pt idx="86">
                  <c:v>8.5897420907840458E-2</c:v>
                </c:pt>
                <c:pt idx="87">
                  <c:v>8.5908012379642379E-2</c:v>
                </c:pt>
                <c:pt idx="88">
                  <c:v>8.59186038514443E-2</c:v>
                </c:pt>
                <c:pt idx="89">
                  <c:v>8.5929195323246235E-2</c:v>
                </c:pt>
                <c:pt idx="90">
                  <c:v>8.5939786795048156E-2</c:v>
                </c:pt>
                <c:pt idx="91">
                  <c:v>8.5950000000000013E-2</c:v>
                </c:pt>
                <c:pt idx="92">
                  <c:v>8.598316559926808E-2</c:v>
                </c:pt>
                <c:pt idx="93">
                  <c:v>8.6015187557182085E-2</c:v>
                </c:pt>
                <c:pt idx="94">
                  <c:v>8.6047209515096076E-2</c:v>
                </c:pt>
                <c:pt idx="95">
                  <c:v>8.6079231473010082E-2</c:v>
                </c:pt>
                <c:pt idx="96">
                  <c:v>8.6111253430924073E-2</c:v>
                </c:pt>
                <c:pt idx="97">
                  <c:v>8.6140988106129926E-2</c:v>
                </c:pt>
                <c:pt idx="98">
                  <c:v>8.6175297346752069E-2</c:v>
                </c:pt>
                <c:pt idx="99">
                  <c:v>8.6207319304666075E-2</c:v>
                </c:pt>
                <c:pt idx="100">
                  <c:v>8.6239341262580066E-2</c:v>
                </c:pt>
                <c:pt idx="101">
                  <c:v>8.6271363220494071E-2</c:v>
                </c:pt>
                <c:pt idx="102">
                  <c:v>8.6303385178408062E-2</c:v>
                </c:pt>
                <c:pt idx="103">
                  <c:v>8.6335407136322068E-2</c:v>
                </c:pt>
                <c:pt idx="104">
                  <c:v>8.6367429094236059E-2</c:v>
                </c:pt>
                <c:pt idx="105">
                  <c:v>8.6399451052150064E-2</c:v>
                </c:pt>
                <c:pt idx="106">
                  <c:v>8.6431473010064055E-2</c:v>
                </c:pt>
                <c:pt idx="107">
                  <c:v>8.6463494967978061E-2</c:v>
                </c:pt>
                <c:pt idx="108">
                  <c:v>8.6495516925892052E-2</c:v>
                </c:pt>
                <c:pt idx="109">
                  <c:v>8.6527538883806057E-2</c:v>
                </c:pt>
                <c:pt idx="110">
                  <c:v>8.655727355901191E-2</c:v>
                </c:pt>
                <c:pt idx="111">
                  <c:v>8.6591582799634054E-2</c:v>
                </c:pt>
                <c:pt idx="112">
                  <c:v>8.6623604757548045E-2</c:v>
                </c:pt>
                <c:pt idx="113">
                  <c:v>8.665562671546205E-2</c:v>
                </c:pt>
                <c:pt idx="114">
                  <c:v>8.6687648673376042E-2</c:v>
                </c:pt>
                <c:pt idx="115">
                  <c:v>8.6719670631290047E-2</c:v>
                </c:pt>
                <c:pt idx="116">
                  <c:v>8.6751692589204038E-2</c:v>
                </c:pt>
                <c:pt idx="117">
                  <c:v>8.6783714547118043E-2</c:v>
                </c:pt>
                <c:pt idx="118">
                  <c:v>8.6815736505032035E-2</c:v>
                </c:pt>
                <c:pt idx="119">
                  <c:v>8.684775846294604E-2</c:v>
                </c:pt>
                <c:pt idx="120">
                  <c:v>8.6879780420860031E-2</c:v>
                </c:pt>
                <c:pt idx="121">
                  <c:v>8.6911802378774036E-2</c:v>
                </c:pt>
                <c:pt idx="122">
                  <c:v>8.6943824336688028E-2</c:v>
                </c:pt>
                <c:pt idx="123">
                  <c:v>8.6975846294602033E-2</c:v>
                </c:pt>
                <c:pt idx="124">
                  <c:v>8.7007868252516024E-2</c:v>
                </c:pt>
                <c:pt idx="125">
                  <c:v>8.7039890210430029E-2</c:v>
                </c:pt>
                <c:pt idx="126">
                  <c:v>8.7071912168344021E-2</c:v>
                </c:pt>
                <c:pt idx="127">
                  <c:v>8.7103934126258026E-2</c:v>
                </c:pt>
                <c:pt idx="128">
                  <c:v>8.7135956084172017E-2</c:v>
                </c:pt>
                <c:pt idx="129">
                  <c:v>8.7167978042086008E-2</c:v>
                </c:pt>
                <c:pt idx="130">
                  <c:v>8.7200000000000014E-2</c:v>
                </c:pt>
              </c:numCache>
            </c:numRef>
          </c:val>
          <c:smooth val="0"/>
          <c:extLst>
            <c:ext xmlns:c16="http://schemas.microsoft.com/office/drawing/2014/chart" uri="{C3380CC4-5D6E-409C-BE32-E72D297353CC}">
              <c16:uniqueId val="{00000006-2320-449A-A9C8-D2FD1A3096DD}"/>
            </c:ext>
          </c:extLst>
        </c:ser>
        <c:dLbls>
          <c:showLegendKey val="0"/>
          <c:showVal val="0"/>
          <c:showCatName val="0"/>
          <c:showSerName val="0"/>
          <c:showPercent val="0"/>
          <c:showBubbleSize val="0"/>
        </c:dLbls>
        <c:smooth val="0"/>
        <c:axId val="307159087"/>
        <c:axId val="307144111"/>
      </c:lineChart>
      <c:catAx>
        <c:axId val="30715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44111"/>
        <c:crosses val="autoZero"/>
        <c:auto val="1"/>
        <c:lblAlgn val="ctr"/>
        <c:lblOffset val="100"/>
        <c:noMultiLvlLbl val="0"/>
      </c:catAx>
      <c:valAx>
        <c:axId val="307144111"/>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00%" sourceLinked="1"/>
        <c:majorTickMark val="none"/>
        <c:minorTickMark val="none"/>
        <c:tickLblPos val="nextTo"/>
        <c:spPr>
          <a:noFill/>
          <a:ln w="9525"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59087"/>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solidFill>
        <a:srgbClr val="FF00FF"/>
      </a:solidFill>
      <a:prstDash val="solid"/>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Descuento Contínuo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spPr>
            <a:ln w="28575" cap="rnd" cmpd="sng" algn="ctr">
              <a:solidFill>
                <a:schemeClr val="accent5">
                  <a:tint val="77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Tasas!$P$4:$P$134</c:f>
              <c:numCache>
                <c:formatCode>#,##0.00000</c:formatCode>
                <c:ptCount val="131"/>
                <c:pt idx="0">
                  <c:v>0.99971698450088875</c:v>
                </c:pt>
                <c:pt idx="1">
                  <c:v>0.99184832115307431</c:v>
                </c:pt>
                <c:pt idx="2">
                  <c:v>0.98356562645163537</c:v>
                </c:pt>
                <c:pt idx="3">
                  <c:v>0.97572504434744622</c:v>
                </c:pt>
                <c:pt idx="4">
                  <c:v>0.96761666275467029</c:v>
                </c:pt>
                <c:pt idx="5">
                  <c:v>0.95945691870439043</c:v>
                </c:pt>
                <c:pt idx="6">
                  <c:v>0.95124825628959553</c:v>
                </c:pt>
                <c:pt idx="7">
                  <c:v>0.94333440736216156</c:v>
                </c:pt>
                <c:pt idx="8">
                  <c:v>0.93546685405585495</c:v>
                </c:pt>
                <c:pt idx="9">
                  <c:v>0.92764553760761337</c:v>
                </c:pt>
                <c:pt idx="10">
                  <c:v>0.92017080328764478</c:v>
                </c:pt>
                <c:pt idx="11">
                  <c:v>0.91279662567344144</c:v>
                </c:pt>
                <c:pt idx="12">
                  <c:v>0.90552154991405887</c:v>
                </c:pt>
                <c:pt idx="13">
                  <c:v>0.89834414586883249</c:v>
                </c:pt>
                <c:pt idx="14">
                  <c:v>0.89177882528473451</c:v>
                </c:pt>
                <c:pt idx="15">
                  <c:v>0.88537358900312013</c:v>
                </c:pt>
                <c:pt idx="16">
                  <c:v>0.87912567080947701</c:v>
                </c:pt>
                <c:pt idx="17">
                  <c:v>0.87303238373707426</c:v>
                </c:pt>
                <c:pt idx="18">
                  <c:v>0.86751050718702882</c:v>
                </c:pt>
                <c:pt idx="19">
                  <c:v>0.86129933989699003</c:v>
                </c:pt>
                <c:pt idx="20">
                  <c:v>0.85565458850411802</c:v>
                </c:pt>
                <c:pt idx="21">
                  <c:v>0.85015447545473843</c:v>
                </c:pt>
                <c:pt idx="22">
                  <c:v>0.84479668250481788</c:v>
                </c:pt>
                <c:pt idx="23">
                  <c:v>0.83957896006210686</c:v>
                </c:pt>
                <c:pt idx="24">
                  <c:v>0.83449912561753647</c:v>
                </c:pt>
                <c:pt idx="25">
                  <c:v>0.82955506222874686</c:v>
                </c:pt>
                <c:pt idx="26">
                  <c:v>0.82474471705427643</c:v>
                </c:pt>
                <c:pt idx="27">
                  <c:v>0.81959610496969859</c:v>
                </c:pt>
                <c:pt idx="28">
                  <c:v>0.81454822884932787</c:v>
                </c:pt>
                <c:pt idx="29">
                  <c:v>0.80959962062409419</c:v>
                </c:pt>
                <c:pt idx="30">
                  <c:v>0.80474884620967146</c:v>
                </c:pt>
                <c:pt idx="31">
                  <c:v>0.79999450481835477</c:v>
                </c:pt>
                <c:pt idx="32">
                  <c:v>0.79533522828906689</c:v>
                </c:pt>
                <c:pt idx="33">
                  <c:v>0.79076968043505158</c:v>
                </c:pt>
                <c:pt idx="34">
                  <c:v>0.78629655640881724</c:v>
                </c:pt>
                <c:pt idx="35">
                  <c:v>0.78191458208391207</c:v>
                </c:pt>
                <c:pt idx="36">
                  <c:v>0.77762251345312328</c:v>
                </c:pt>
                <c:pt idx="37">
                  <c:v>0.77341913604270218</c:v>
                </c:pt>
                <c:pt idx="38">
                  <c:v>0.76930326434223262</c:v>
                </c:pt>
                <c:pt idx="39">
                  <c:v>0.76527374124976844</c:v>
                </c:pt>
                <c:pt idx="40">
                  <c:v>0.76060636270205739</c:v>
                </c:pt>
                <c:pt idx="41">
                  <c:v>0.75599523104223065</c:v>
                </c:pt>
                <c:pt idx="42">
                  <c:v>0.7514396673993412</c:v>
                </c:pt>
                <c:pt idx="43">
                  <c:v>0.74693900311331485</c:v>
                </c:pt>
                <c:pt idx="44">
                  <c:v>0.74249257957542569</c:v>
                </c:pt>
                <c:pt idx="45">
                  <c:v>0.73809974807157186</c:v>
                </c:pt>
                <c:pt idx="46">
                  <c:v>0.73375986962829942</c:v>
                </c:pt>
                <c:pt idx="47">
                  <c:v>0.72947231486152464</c:v>
                </c:pt>
                <c:pt idx="48">
                  <c:v>0.72523646382790519</c:v>
                </c:pt>
                <c:pt idx="49">
                  <c:v>0.72105170587881284</c:v>
                </c:pt>
                <c:pt idx="50">
                  <c:v>0.71691743951685838</c:v>
                </c:pt>
                <c:pt idx="51">
                  <c:v>0.71283307225492509</c:v>
                </c:pt>
                <c:pt idx="52">
                  <c:v>0.70879802047766272</c:v>
                </c:pt>
                <c:pt idx="53">
                  <c:v>0.70428967280252464</c:v>
                </c:pt>
                <c:pt idx="54">
                  <c:v>0.69997533518690014</c:v>
                </c:pt>
                <c:pt idx="55">
                  <c:v>0.69537719275659604</c:v>
                </c:pt>
                <c:pt idx="56">
                  <c:v>0.69097246354432029</c:v>
                </c:pt>
                <c:pt idx="57">
                  <c:v>0.6869127607715142</c:v>
                </c:pt>
                <c:pt idx="58">
                  <c:v>0.68226455556347509</c:v>
                </c:pt>
                <c:pt idx="59">
                  <c:v>0.67796079657678032</c:v>
                </c:pt>
                <c:pt idx="60">
                  <c:v>0.67369011863445205</c:v>
                </c:pt>
                <c:pt idx="61">
                  <c:v>0.66945223836760059</c:v>
                </c:pt>
                <c:pt idx="62">
                  <c:v>0.665246875054883</c:v>
                </c:pt>
                <c:pt idx="63">
                  <c:v>0.66107375059599016</c:v>
                </c:pt>
                <c:pt idx="64">
                  <c:v>0.656932589485417</c:v>
                </c:pt>
                <c:pt idx="65">
                  <c:v>0.65282311878651023</c:v>
                </c:pt>
                <c:pt idx="66">
                  <c:v>0.64847247820702947</c:v>
                </c:pt>
                <c:pt idx="67">
                  <c:v>0.64414830533690426</c:v>
                </c:pt>
                <c:pt idx="68">
                  <c:v>0.63985045749024305</c:v>
                </c:pt>
                <c:pt idx="69">
                  <c:v>0.6355787926241756</c:v>
                </c:pt>
                <c:pt idx="70">
                  <c:v>0.63133316933678363</c:v>
                </c:pt>
                <c:pt idx="71">
                  <c:v>0.62711344686503312</c:v>
                </c:pt>
                <c:pt idx="72">
                  <c:v>0.62291948508270756</c:v>
                </c:pt>
                <c:pt idx="73">
                  <c:v>0.61875114449834234</c:v>
                </c:pt>
                <c:pt idx="74">
                  <c:v>0.614608286253161</c:v>
                </c:pt>
                <c:pt idx="75">
                  <c:v>0.61049077211901281</c:v>
                </c:pt>
                <c:pt idx="76">
                  <c:v>0.60639846449631185</c:v>
                </c:pt>
                <c:pt idx="77">
                  <c:v>0.60233122641197678</c:v>
                </c:pt>
                <c:pt idx="78">
                  <c:v>0.59828892151737423</c:v>
                </c:pt>
                <c:pt idx="79">
                  <c:v>0.59427141408626116</c:v>
                </c:pt>
                <c:pt idx="80">
                  <c:v>0.59027856901273112</c:v>
                </c:pt>
                <c:pt idx="81">
                  <c:v>0.58631025180916052</c:v>
                </c:pt>
                <c:pt idx="82">
                  <c:v>0.5823663286041576</c:v>
                </c:pt>
                <c:pt idx="83">
                  <c:v>0.5784466661405131</c:v>
                </c:pt>
                <c:pt idx="84">
                  <c:v>0.57455113177315176</c:v>
                </c:pt>
                <c:pt idx="85">
                  <c:v>0.57067959346708708</c:v>
                </c:pt>
                <c:pt idx="86">
                  <c:v>0.56683191979537662</c:v>
                </c:pt>
                <c:pt idx="87">
                  <c:v>0.56300797993708018</c:v>
                </c:pt>
                <c:pt idx="88">
                  <c:v>0.55920764367521891</c:v>
                </c:pt>
                <c:pt idx="89">
                  <c:v>0.55543078139473745</c:v>
                </c:pt>
                <c:pt idx="90">
                  <c:v>0.55167726408046747</c:v>
                </c:pt>
                <c:pt idx="91">
                  <c:v>0.54807979001054186</c:v>
                </c:pt>
                <c:pt idx="92">
                  <c:v>0.54413868809812305</c:v>
                </c:pt>
                <c:pt idx="93">
                  <c:v>0.54035607860559065</c:v>
                </c:pt>
                <c:pt idx="94">
                  <c:v>0.53659556862916058</c:v>
                </c:pt>
                <c:pt idx="95">
                  <c:v>0.53285706297104229</c:v>
                </c:pt>
                <c:pt idx="96">
                  <c:v>0.52914046658199121</c:v>
                </c:pt>
                <c:pt idx="97">
                  <c:v>0.52570887614962314</c:v>
                </c:pt>
                <c:pt idx="98">
                  <c:v>0.52177262216838416</c:v>
                </c:pt>
                <c:pt idx="99">
                  <c:v>0.51812118480531688</c:v>
                </c:pt>
                <c:pt idx="100">
                  <c:v>0.51449127803805206</c:v>
                </c:pt>
                <c:pt idx="101">
                  <c:v>0.51088280758859805</c:v>
                </c:pt>
                <c:pt idx="102">
                  <c:v>0.50729567933878472</c:v>
                </c:pt>
                <c:pt idx="103">
                  <c:v>0.50372979933207462</c:v>
                </c:pt>
                <c:pt idx="104">
                  <c:v>0.50018507377535792</c:v>
                </c:pt>
                <c:pt idx="105">
                  <c:v>0.49666140904072492</c:v>
                </c:pt>
                <c:pt idx="106">
                  <c:v>0.49315871166722242</c:v>
                </c:pt>
                <c:pt idx="107">
                  <c:v>0.4896768883625901</c:v>
                </c:pt>
                <c:pt idx="108">
                  <c:v>0.48621584600497786</c:v>
                </c:pt>
                <c:pt idx="109">
                  <c:v>0.48277549164464506</c:v>
                </c:pt>
                <c:pt idx="110">
                  <c:v>0.47959931998596061</c:v>
                </c:pt>
                <c:pt idx="111">
                  <c:v>0.47595647598746499</c:v>
                </c:pt>
                <c:pt idx="112">
                  <c:v>0.47257762966671185</c:v>
                </c:pt>
                <c:pt idx="113">
                  <c:v>0.46921910129869404</c:v>
                </c:pt>
                <c:pt idx="114">
                  <c:v>0.46588079881904876</c:v>
                </c:pt>
                <c:pt idx="115">
                  <c:v>0.46256263034532519</c:v>
                </c:pt>
                <c:pt idx="116">
                  <c:v>0.4592645041785533</c:v>
                </c:pt>
                <c:pt idx="117">
                  <c:v>0.45598632880479545</c:v>
                </c:pt>
                <c:pt idx="118">
                  <c:v>0.45272801289667808</c:v>
                </c:pt>
                <c:pt idx="119">
                  <c:v>0.44948946531490652</c:v>
                </c:pt>
                <c:pt idx="120">
                  <c:v>0.4462705951097613</c:v>
                </c:pt>
                <c:pt idx="121">
                  <c:v>0.44307131152257584</c:v>
                </c:pt>
                <c:pt idx="122">
                  <c:v>0.43989152398719694</c:v>
                </c:pt>
                <c:pt idx="123">
                  <c:v>0.43673114213142689</c:v>
                </c:pt>
                <c:pt idx="124">
                  <c:v>0.43359007577844755</c:v>
                </c:pt>
                <c:pt idx="125">
                  <c:v>0.43046823494822678</c:v>
                </c:pt>
                <c:pt idx="126">
                  <c:v>0.42736552985890719</c:v>
                </c:pt>
                <c:pt idx="127">
                  <c:v>0.4242818709281771</c:v>
                </c:pt>
                <c:pt idx="128">
                  <c:v>0.42121716877462356</c:v>
                </c:pt>
                <c:pt idx="129">
                  <c:v>0.41817133421906832</c:v>
                </c:pt>
                <c:pt idx="130">
                  <c:v>0.41514427828588601</c:v>
                </c:pt>
              </c:numCache>
            </c:numRef>
          </c:val>
          <c:smooth val="0"/>
          <c:extLst>
            <c:ext xmlns:c16="http://schemas.microsoft.com/office/drawing/2014/chart" uri="{C3380CC4-5D6E-409C-BE32-E72D297353CC}">
              <c16:uniqueId val="{00000002-0FE4-4917-AA72-6B0A104AEEF4}"/>
            </c:ext>
          </c:extLst>
        </c:ser>
        <c:dLbls>
          <c:showLegendKey val="0"/>
          <c:showVal val="0"/>
          <c:showCatName val="0"/>
          <c:showSerName val="0"/>
          <c:showPercent val="0"/>
          <c:showBubbleSize val="0"/>
        </c:dLbls>
        <c:smooth val="0"/>
        <c:axId val="307159087"/>
        <c:axId val="307144111"/>
        <c:extLst>
          <c:ext xmlns:c15="http://schemas.microsoft.com/office/drawing/2012/chart" uri="{02D57815-91ED-43cb-92C2-25804820EDAC}">
            <c15:filteredLineSeries>
              <c15:ser>
                <c:idx val="0"/>
                <c:order val="1"/>
                <c:spPr>
                  <a:ln w="28575" cap="rnd" cmpd="sng" algn="ctr">
                    <a:solidFill>
                      <a:schemeClr val="accent5">
                        <a:shade val="76000"/>
                        <a:shade val="95000"/>
                        <a:satMod val="105000"/>
                      </a:schemeClr>
                    </a:solidFill>
                    <a:prstDash val="solid"/>
                    <a:round/>
                  </a:ln>
                  <a:effectLst/>
                </c:spPr>
                <c:marker>
                  <c:symbol val="none"/>
                </c:marker>
                <c:cat>
                  <c:numRef>
                    <c:extLst>
                      <c:ext uri="{02D57815-91ED-43cb-92C2-25804820EDAC}">
                        <c15:formulaRef>
                          <c15:sqref>Tasas!$G$4:$G$134</c15:sqref>
                        </c15:formulaRef>
                      </c:ext>
                    </c:extLst>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extLst>
                      <c:ext uri="{02D57815-91ED-43cb-92C2-25804820EDAC}">
                        <c15:formulaRef>
                          <c15:sqref>Tasas!$P$4:$P$134</c15:sqref>
                        </c15:formulaRef>
                      </c:ext>
                    </c:extLst>
                    <c:numCache>
                      <c:formatCode>#,##0.00000</c:formatCode>
                      <c:ptCount val="131"/>
                      <c:pt idx="0">
                        <c:v>0.99971698450088875</c:v>
                      </c:pt>
                      <c:pt idx="1">
                        <c:v>0.99184832115307431</c:v>
                      </c:pt>
                      <c:pt idx="2">
                        <c:v>0.98356562645163537</c:v>
                      </c:pt>
                      <c:pt idx="3">
                        <c:v>0.97572504434744622</c:v>
                      </c:pt>
                      <c:pt idx="4">
                        <c:v>0.96761666275467029</c:v>
                      </c:pt>
                      <c:pt idx="5">
                        <c:v>0.95945691870439043</c:v>
                      </c:pt>
                      <c:pt idx="6">
                        <c:v>0.95124825628959553</c:v>
                      </c:pt>
                      <c:pt idx="7">
                        <c:v>0.94333440736216156</c:v>
                      </c:pt>
                      <c:pt idx="8">
                        <c:v>0.93546685405585495</c:v>
                      </c:pt>
                      <c:pt idx="9">
                        <c:v>0.92764553760761337</c:v>
                      </c:pt>
                      <c:pt idx="10">
                        <c:v>0.92017080328764478</c:v>
                      </c:pt>
                      <c:pt idx="11">
                        <c:v>0.91279662567344144</c:v>
                      </c:pt>
                      <c:pt idx="12">
                        <c:v>0.90552154991405887</c:v>
                      </c:pt>
                      <c:pt idx="13">
                        <c:v>0.89834414586883249</c:v>
                      </c:pt>
                      <c:pt idx="14">
                        <c:v>0.89177882528473451</c:v>
                      </c:pt>
                      <c:pt idx="15">
                        <c:v>0.88537358900312013</c:v>
                      </c:pt>
                      <c:pt idx="16">
                        <c:v>0.87912567080947701</c:v>
                      </c:pt>
                      <c:pt idx="17">
                        <c:v>0.87303238373707426</c:v>
                      </c:pt>
                      <c:pt idx="18">
                        <c:v>0.86751050718702882</c:v>
                      </c:pt>
                      <c:pt idx="19">
                        <c:v>0.86129933989699003</c:v>
                      </c:pt>
                      <c:pt idx="20">
                        <c:v>0.85565458850411802</c:v>
                      </c:pt>
                      <c:pt idx="21">
                        <c:v>0.85015447545473843</c:v>
                      </c:pt>
                      <c:pt idx="22">
                        <c:v>0.84479668250481788</c:v>
                      </c:pt>
                      <c:pt idx="23">
                        <c:v>0.83957896006210686</c:v>
                      </c:pt>
                      <c:pt idx="24">
                        <c:v>0.83449912561753647</c:v>
                      </c:pt>
                      <c:pt idx="25">
                        <c:v>0.82955506222874686</c:v>
                      </c:pt>
                      <c:pt idx="26">
                        <c:v>0.82474471705427643</c:v>
                      </c:pt>
                      <c:pt idx="27">
                        <c:v>0.81959610496969859</c:v>
                      </c:pt>
                      <c:pt idx="28">
                        <c:v>0.81454822884932787</c:v>
                      </c:pt>
                      <c:pt idx="29">
                        <c:v>0.80959962062409419</c:v>
                      </c:pt>
                      <c:pt idx="30">
                        <c:v>0.80474884620967146</c:v>
                      </c:pt>
                      <c:pt idx="31">
                        <c:v>0.79999450481835477</c:v>
                      </c:pt>
                      <c:pt idx="32">
                        <c:v>0.79533522828906689</c:v>
                      </c:pt>
                      <c:pt idx="33">
                        <c:v>0.79076968043505158</c:v>
                      </c:pt>
                      <c:pt idx="34">
                        <c:v>0.78629655640881724</c:v>
                      </c:pt>
                      <c:pt idx="35">
                        <c:v>0.78191458208391207</c:v>
                      </c:pt>
                      <c:pt idx="36">
                        <c:v>0.77762251345312328</c:v>
                      </c:pt>
                      <c:pt idx="37">
                        <c:v>0.77341913604270218</c:v>
                      </c:pt>
                      <c:pt idx="38">
                        <c:v>0.76930326434223262</c:v>
                      </c:pt>
                      <c:pt idx="39">
                        <c:v>0.76527374124976844</c:v>
                      </c:pt>
                      <c:pt idx="40">
                        <c:v>0.76060636270205739</c:v>
                      </c:pt>
                      <c:pt idx="41">
                        <c:v>0.75599523104223065</c:v>
                      </c:pt>
                      <c:pt idx="42">
                        <c:v>0.7514396673993412</c:v>
                      </c:pt>
                      <c:pt idx="43">
                        <c:v>0.74693900311331485</c:v>
                      </c:pt>
                      <c:pt idx="44">
                        <c:v>0.74249257957542569</c:v>
                      </c:pt>
                      <c:pt idx="45">
                        <c:v>0.73809974807157186</c:v>
                      </c:pt>
                      <c:pt idx="46">
                        <c:v>0.73375986962829942</c:v>
                      </c:pt>
                      <c:pt idx="47">
                        <c:v>0.72947231486152464</c:v>
                      </c:pt>
                      <c:pt idx="48">
                        <c:v>0.72523646382790519</c:v>
                      </c:pt>
                      <c:pt idx="49">
                        <c:v>0.72105170587881284</c:v>
                      </c:pt>
                      <c:pt idx="50">
                        <c:v>0.71691743951685838</c:v>
                      </c:pt>
                      <c:pt idx="51">
                        <c:v>0.71283307225492509</c:v>
                      </c:pt>
                      <c:pt idx="52">
                        <c:v>0.70879802047766272</c:v>
                      </c:pt>
                      <c:pt idx="53">
                        <c:v>0.70428967280252464</c:v>
                      </c:pt>
                      <c:pt idx="54">
                        <c:v>0.69997533518690014</c:v>
                      </c:pt>
                      <c:pt idx="55">
                        <c:v>0.69537719275659604</c:v>
                      </c:pt>
                      <c:pt idx="56">
                        <c:v>0.69097246354432029</c:v>
                      </c:pt>
                      <c:pt idx="57">
                        <c:v>0.6869127607715142</c:v>
                      </c:pt>
                      <c:pt idx="58">
                        <c:v>0.68226455556347509</c:v>
                      </c:pt>
                      <c:pt idx="59">
                        <c:v>0.67796079657678032</c:v>
                      </c:pt>
                      <c:pt idx="60">
                        <c:v>0.67369011863445205</c:v>
                      </c:pt>
                      <c:pt idx="61">
                        <c:v>0.66945223836760059</c:v>
                      </c:pt>
                      <c:pt idx="62">
                        <c:v>0.665246875054883</c:v>
                      </c:pt>
                      <c:pt idx="63">
                        <c:v>0.66107375059599016</c:v>
                      </c:pt>
                      <c:pt idx="64">
                        <c:v>0.656932589485417</c:v>
                      </c:pt>
                      <c:pt idx="65">
                        <c:v>0.65282311878651023</c:v>
                      </c:pt>
                      <c:pt idx="66">
                        <c:v>0.64847247820702947</c:v>
                      </c:pt>
                      <c:pt idx="67">
                        <c:v>0.64414830533690426</c:v>
                      </c:pt>
                      <c:pt idx="68">
                        <c:v>0.63985045749024305</c:v>
                      </c:pt>
                      <c:pt idx="69">
                        <c:v>0.6355787926241756</c:v>
                      </c:pt>
                      <c:pt idx="70">
                        <c:v>0.63133316933678363</c:v>
                      </c:pt>
                      <c:pt idx="71">
                        <c:v>0.62711344686503312</c:v>
                      </c:pt>
                      <c:pt idx="72">
                        <c:v>0.62291948508270756</c:v>
                      </c:pt>
                      <c:pt idx="73">
                        <c:v>0.61875114449834234</c:v>
                      </c:pt>
                      <c:pt idx="74">
                        <c:v>0.614608286253161</c:v>
                      </c:pt>
                      <c:pt idx="75">
                        <c:v>0.61049077211901281</c:v>
                      </c:pt>
                      <c:pt idx="76">
                        <c:v>0.60639846449631185</c:v>
                      </c:pt>
                      <c:pt idx="77">
                        <c:v>0.60233122641197678</c:v>
                      </c:pt>
                      <c:pt idx="78">
                        <c:v>0.59828892151737423</c:v>
                      </c:pt>
                      <c:pt idx="79">
                        <c:v>0.59427141408626116</c:v>
                      </c:pt>
                      <c:pt idx="80">
                        <c:v>0.59027856901273112</c:v>
                      </c:pt>
                      <c:pt idx="81">
                        <c:v>0.58631025180916052</c:v>
                      </c:pt>
                      <c:pt idx="82">
                        <c:v>0.5823663286041576</c:v>
                      </c:pt>
                      <c:pt idx="83">
                        <c:v>0.5784466661405131</c:v>
                      </c:pt>
                      <c:pt idx="84">
                        <c:v>0.57455113177315176</c:v>
                      </c:pt>
                      <c:pt idx="85">
                        <c:v>0.57067959346708708</c:v>
                      </c:pt>
                      <c:pt idx="86">
                        <c:v>0.56683191979537662</c:v>
                      </c:pt>
                      <c:pt idx="87">
                        <c:v>0.56300797993708018</c:v>
                      </c:pt>
                      <c:pt idx="88">
                        <c:v>0.55920764367521891</c:v>
                      </c:pt>
                      <c:pt idx="89">
                        <c:v>0.55543078139473745</c:v>
                      </c:pt>
                      <c:pt idx="90">
                        <c:v>0.55167726408046747</c:v>
                      </c:pt>
                      <c:pt idx="91">
                        <c:v>0.54807979001054186</c:v>
                      </c:pt>
                      <c:pt idx="92">
                        <c:v>0.54413868809812305</c:v>
                      </c:pt>
                      <c:pt idx="93">
                        <c:v>0.54035607860559065</c:v>
                      </c:pt>
                      <c:pt idx="94">
                        <c:v>0.53659556862916058</c:v>
                      </c:pt>
                      <c:pt idx="95">
                        <c:v>0.53285706297104229</c:v>
                      </c:pt>
                      <c:pt idx="96">
                        <c:v>0.52914046658199121</c:v>
                      </c:pt>
                      <c:pt idx="97">
                        <c:v>0.52570887614962314</c:v>
                      </c:pt>
                      <c:pt idx="98">
                        <c:v>0.52177262216838416</c:v>
                      </c:pt>
                      <c:pt idx="99">
                        <c:v>0.51812118480531688</c:v>
                      </c:pt>
                      <c:pt idx="100">
                        <c:v>0.51449127803805206</c:v>
                      </c:pt>
                      <c:pt idx="101">
                        <c:v>0.51088280758859805</c:v>
                      </c:pt>
                      <c:pt idx="102">
                        <c:v>0.50729567933878472</c:v>
                      </c:pt>
                      <c:pt idx="103">
                        <c:v>0.50372979933207462</c:v>
                      </c:pt>
                      <c:pt idx="104">
                        <c:v>0.50018507377535792</c:v>
                      </c:pt>
                      <c:pt idx="105">
                        <c:v>0.49666140904072492</c:v>
                      </c:pt>
                      <c:pt idx="106">
                        <c:v>0.49315871166722242</c:v>
                      </c:pt>
                      <c:pt idx="107">
                        <c:v>0.4896768883625901</c:v>
                      </c:pt>
                      <c:pt idx="108">
                        <c:v>0.48621584600497786</c:v>
                      </c:pt>
                      <c:pt idx="109">
                        <c:v>0.48277549164464506</c:v>
                      </c:pt>
                      <c:pt idx="110">
                        <c:v>0.47959931998596061</c:v>
                      </c:pt>
                      <c:pt idx="111">
                        <c:v>0.47595647598746499</c:v>
                      </c:pt>
                      <c:pt idx="112">
                        <c:v>0.47257762966671185</c:v>
                      </c:pt>
                      <c:pt idx="113">
                        <c:v>0.46921910129869404</c:v>
                      </c:pt>
                      <c:pt idx="114">
                        <c:v>0.46588079881904876</c:v>
                      </c:pt>
                      <c:pt idx="115">
                        <c:v>0.46256263034532519</c:v>
                      </c:pt>
                      <c:pt idx="116">
                        <c:v>0.4592645041785533</c:v>
                      </c:pt>
                      <c:pt idx="117">
                        <c:v>0.45598632880479545</c:v>
                      </c:pt>
                      <c:pt idx="118">
                        <c:v>0.45272801289667808</c:v>
                      </c:pt>
                      <c:pt idx="119">
                        <c:v>0.44948946531490652</c:v>
                      </c:pt>
                      <c:pt idx="120">
                        <c:v>0.4462705951097613</c:v>
                      </c:pt>
                      <c:pt idx="121">
                        <c:v>0.44307131152257584</c:v>
                      </c:pt>
                      <c:pt idx="122">
                        <c:v>0.43989152398719694</c:v>
                      </c:pt>
                      <c:pt idx="123">
                        <c:v>0.43673114213142689</c:v>
                      </c:pt>
                      <c:pt idx="124">
                        <c:v>0.43359007577844755</c:v>
                      </c:pt>
                      <c:pt idx="125">
                        <c:v>0.43046823494822678</c:v>
                      </c:pt>
                      <c:pt idx="126">
                        <c:v>0.42736552985890719</c:v>
                      </c:pt>
                      <c:pt idx="127">
                        <c:v>0.4242818709281771</c:v>
                      </c:pt>
                      <c:pt idx="128">
                        <c:v>0.42121716877462356</c:v>
                      </c:pt>
                      <c:pt idx="129">
                        <c:v>0.41817133421906832</c:v>
                      </c:pt>
                      <c:pt idx="130">
                        <c:v>0.41514427828588601</c:v>
                      </c:pt>
                    </c:numCache>
                  </c:numRef>
                </c:val>
                <c:smooth val="0"/>
                <c:extLst>
                  <c:ext xmlns:c16="http://schemas.microsoft.com/office/drawing/2014/chart" uri="{C3380CC4-5D6E-409C-BE32-E72D297353CC}">
                    <c16:uniqueId val="{00000004-0FE4-4917-AA72-6B0A104AEEF4}"/>
                  </c:ext>
                </c:extLst>
              </c15:ser>
            </c15:filteredLineSeries>
          </c:ext>
        </c:extLst>
      </c:lineChart>
      <c:catAx>
        <c:axId val="30715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44111"/>
        <c:crosses val="autoZero"/>
        <c:auto val="1"/>
        <c:lblAlgn val="ctr"/>
        <c:lblOffset val="100"/>
        <c:noMultiLvlLbl val="0"/>
      </c:catAx>
      <c:valAx>
        <c:axId val="307144111"/>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000" sourceLinked="1"/>
        <c:majorTickMark val="none"/>
        <c:minorTickMark val="none"/>
        <c:tickLblPos val="nextTo"/>
        <c:spPr>
          <a:noFill/>
          <a:ln w="9525"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59087"/>
        <c:crosses val="autoZero"/>
        <c:crossBetween val="between"/>
      </c:valAx>
      <c:spPr>
        <a:solidFill>
          <a:schemeClr val="bg1"/>
        </a:solidFill>
        <a:ln>
          <a:noFill/>
        </a:ln>
        <a:effectLst/>
      </c:spPr>
    </c:plotArea>
    <c:plotVisOnly val="1"/>
    <c:dispBlanksAs val="gap"/>
    <c:showDLblsOverMax val="0"/>
  </c:chart>
  <c:spPr>
    <a:noFill/>
    <a:ln w="9525" cap="flat" cmpd="sng" algn="ctr">
      <a:solidFill>
        <a:srgbClr val="00FFFF"/>
      </a:solidFill>
      <a:prstDash val="solid"/>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Descuento Lineal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spPr>
            <a:ln w="28575" cap="rnd" cmpd="sng" algn="ctr">
              <a:solidFill>
                <a:schemeClr val="accent4">
                  <a:tint val="77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Tasas!$N$4:$N$134</c:f>
              <c:numCache>
                <c:formatCode>#,##0.00000</c:formatCode>
                <c:ptCount val="131"/>
                <c:pt idx="0">
                  <c:v>0.99971702454221989</c:v>
                </c:pt>
                <c:pt idx="1">
                  <c:v>0.99184836087924455</c:v>
                </c:pt>
                <c:pt idx="2">
                  <c:v>0.98384915506244763</c:v>
                </c:pt>
                <c:pt idx="3">
                  <c:v>0.97572279723506861</c:v>
                </c:pt>
                <c:pt idx="4">
                  <c:v>0.96761504472994453</c:v>
                </c:pt>
                <c:pt idx="5">
                  <c:v>0.95945547211897741</c:v>
                </c:pt>
                <c:pt idx="6">
                  <c:v>0.9512460015305142</c:v>
                </c:pt>
                <c:pt idx="7">
                  <c:v>0.94333247682206511</c:v>
                </c:pt>
                <c:pt idx="8">
                  <c:v>0.93546496387662859</c:v>
                </c:pt>
                <c:pt idx="9">
                  <c:v>0.92764332461985732</c:v>
                </c:pt>
                <c:pt idx="10">
                  <c:v>0.92016840767600527</c:v>
                </c:pt>
                <c:pt idx="11">
                  <c:v>0.9127940808883932</c:v>
                </c:pt>
                <c:pt idx="12">
                  <c:v>0.90551904877325495</c:v>
                </c:pt>
                <c:pt idx="13">
                  <c:v>0.89834203488547149</c:v>
                </c:pt>
                <c:pt idx="14">
                  <c:v>0.89177151450788494</c:v>
                </c:pt>
                <c:pt idx="15">
                  <c:v>0.88536094546282307</c:v>
                </c:pt>
                <c:pt idx="16">
                  <c:v>0.87910789309636084</c:v>
                </c:pt>
                <c:pt idx="17">
                  <c:v>0.87300997989145757</c:v>
                </c:pt>
                <c:pt idx="18">
                  <c:v>0.86748296776781653</c:v>
                </c:pt>
                <c:pt idx="19">
                  <c:v>0.86127054070001552</c:v>
                </c:pt>
                <c:pt idx="20">
                  <c:v>0.85562433087471457</c:v>
                </c:pt>
                <c:pt idx="21">
                  <c:v>0.85012429871861128</c:v>
                </c:pt>
                <c:pt idx="22">
                  <c:v>0.84476833551638142</c:v>
                </c:pt>
                <c:pt idx="23">
                  <c:v>0.83955438313204833</c:v>
                </c:pt>
                <c:pt idx="24">
                  <c:v>0.83448043301056085</c:v>
                </c:pt>
                <c:pt idx="25">
                  <c:v>0.8295445252046828</c:v>
                </c:pt>
                <c:pt idx="26">
                  <c:v>0.82474474742659187</c:v>
                </c:pt>
                <c:pt idx="27">
                  <c:v>0.81958280356507662</c:v>
                </c:pt>
                <c:pt idx="28">
                  <c:v>0.81452348906091343</c:v>
                </c:pt>
                <c:pt idx="29">
                  <c:v>0.8095654551123691</c:v>
                </c:pt>
                <c:pt idx="30">
                  <c:v>0.80470737871421383</c:v>
                </c:pt>
                <c:pt idx="31">
                  <c:v>0.79994796221010722</c:v>
                </c:pt>
                <c:pt idx="32">
                  <c:v>0.79528593285420834</c:v>
                </c:pt>
                <c:pt idx="33">
                  <c:v>0.79072004238182081</c:v>
                </c:pt>
                <c:pt idx="34">
                  <c:v>0.7862490665888926</c:v>
                </c:pt>
                <c:pt idx="35">
                  <c:v>0.7818718049201886</c:v>
                </c:pt>
                <c:pt idx="36">
                  <c:v>0.77758708006596389</c:v>
                </c:pt>
                <c:pt idx="37">
                  <c:v>0.77339373756696628</c:v>
                </c:pt>
                <c:pt idx="38">
                  <c:v>0.76929064542759806</c:v>
                </c:pt>
                <c:pt idx="39">
                  <c:v>0.76527669373707818</c:v>
                </c:pt>
                <c:pt idx="40">
                  <c:v>0.76059324643394399</c:v>
                </c:pt>
                <c:pt idx="41">
                  <c:v>0.75596865846451611</c:v>
                </c:pt>
                <c:pt idx="42">
                  <c:v>0.75140228304740786</c:v>
                </c:pt>
                <c:pt idx="43">
                  <c:v>0.74689348190650684</c:v>
                </c:pt>
                <c:pt idx="44">
                  <c:v>0.74244162515700873</c:v>
                </c:pt>
                <c:pt idx="45">
                  <c:v>0.73804609119310904</c:v>
                </c:pt>
                <c:pt idx="46">
                  <c:v>0.73370626657732874</c:v>
                </c:pt>
                <c:pt idx="47">
                  <c:v>0.72942154593144604</c:v>
                </c:pt>
                <c:pt idx="48">
                  <c:v>0.72519133182901552</c:v>
                </c:pt>
                <c:pt idx="49">
                  <c:v>0.72101503468944528</c:v>
                </c:pt>
                <c:pt idx="50">
                  <c:v>0.71689207267361144</c:v>
                </c:pt>
                <c:pt idx="51">
                  <c:v>0.71282187158098664</c:v>
                </c:pt>
                <c:pt idx="52">
                  <c:v>0.70880386474825929</c:v>
                </c:pt>
                <c:pt idx="53">
                  <c:v>0.70428251593005464</c:v>
                </c:pt>
                <c:pt idx="54">
                  <c:v>0.69995724810184878</c:v>
                </c:pt>
                <c:pt idx="55">
                  <c:v>0.69535077419703706</c:v>
                </c:pt>
                <c:pt idx="56">
                  <c:v>0.69093972065600362</c:v>
                </c:pt>
                <c:pt idx="57">
                  <c:v>0.68687515024038515</c:v>
                </c:pt>
                <c:pt idx="58">
                  <c:v>0.68222589220207353</c:v>
                </c:pt>
                <c:pt idx="59">
                  <c:v>0.67792236450766208</c:v>
                </c:pt>
                <c:pt idx="60">
                  <c:v>0.67365407667316635</c:v>
                </c:pt>
                <c:pt idx="61">
                  <c:v>0.66942073195783358</c:v>
                </c:pt>
                <c:pt idx="62">
                  <c:v>0.66522203627484877</c:v>
                </c:pt>
                <c:pt idx="63">
                  <c:v>0.66105769816653082</c:v>
                </c:pt>
                <c:pt idx="64">
                  <c:v>0.65692742877977106</c:v>
                </c:pt>
                <c:pt idx="65">
                  <c:v>0.65283094184171087</c:v>
                </c:pt>
                <c:pt idx="66">
                  <c:v>0.64846639637645531</c:v>
                </c:pt>
                <c:pt idx="67">
                  <c:v>0.64412968780683255</c:v>
                </c:pt>
                <c:pt idx="68">
                  <c:v>0.63982064244511427</c:v>
                </c:pt>
                <c:pt idx="69">
                  <c:v>0.63553908766331224</c:v>
                </c:pt>
                <c:pt idx="70">
                  <c:v>0.631284851886867</c:v>
                </c:pt>
                <c:pt idx="71">
                  <c:v>0.62705776458837026</c:v>
                </c:pt>
                <c:pt idx="72">
                  <c:v>0.62285765628132606</c:v>
                </c:pt>
                <c:pt idx="73">
                  <c:v>0.61868435851394576</c:v>
                </c:pt>
                <c:pt idx="74">
                  <c:v>0.61453770386298223</c:v>
                </c:pt>
                <c:pt idx="75">
                  <c:v>0.61041752592759668</c:v>
                </c:pt>
                <c:pt idx="76">
                  <c:v>0.60632365932326338</c:v>
                </c:pt>
                <c:pt idx="77">
                  <c:v>0.60225593967570834</c:v>
                </c:pt>
                <c:pt idx="78">
                  <c:v>0.59821420361488442</c:v>
                </c:pt>
                <c:pt idx="79">
                  <c:v>0.59419828876898018</c:v>
                </c:pt>
                <c:pt idx="80">
                  <c:v>0.59020803375846487</c:v>
                </c:pt>
                <c:pt idx="81">
                  <c:v>0.58624327819016731</c:v>
                </c:pt>
                <c:pt idx="82">
                  <c:v>0.58230386265138867</c:v>
                </c:pt>
                <c:pt idx="83">
                  <c:v>0.57838962870405097</c:v>
                </c:pt>
                <c:pt idx="84">
                  <c:v>0.57450041887887893</c:v>
                </c:pt>
                <c:pt idx="85">
                  <c:v>0.57063607666961391</c:v>
                </c:pt>
                <c:pt idx="86">
                  <c:v>0.56679644652726513</c:v>
                </c:pt>
                <c:pt idx="87">
                  <c:v>0.56298137385439118</c:v>
                </c:pt>
                <c:pt idx="88">
                  <c:v>0.5591907049994167</c:v>
                </c:pt>
                <c:pt idx="89">
                  <c:v>0.55542428725098048</c:v>
                </c:pt>
                <c:pt idx="90">
                  <c:v>0.55168196883231801</c:v>
                </c:pt>
                <c:pt idx="91">
                  <c:v>0.54809556269607207</c:v>
                </c:pt>
                <c:pt idx="92">
                  <c:v>0.54415226708394038</c:v>
                </c:pt>
                <c:pt idx="93">
                  <c:v>0.54036750855263105</c:v>
                </c:pt>
                <c:pt idx="94">
                  <c:v>0.53660523757327572</c:v>
                </c:pt>
                <c:pt idx="95">
                  <c:v>0.53286533251577861</c:v>
                </c:pt>
                <c:pt idx="96">
                  <c:v>0.52914767233791138</c:v>
                </c:pt>
                <c:pt idx="97">
                  <c:v>0.52571455762502173</c:v>
                </c:pt>
                <c:pt idx="98">
                  <c:v>0.52177872994300178</c:v>
                </c:pt>
                <c:pt idx="99">
                  <c:v>0.51812708320947121</c:v>
                </c:pt>
                <c:pt idx="100">
                  <c:v>0.51449720302174751</c:v>
                </c:pt>
                <c:pt idx="101">
                  <c:v>0.51088897124083399</c:v>
                </c:pt>
                <c:pt idx="102">
                  <c:v>0.50730227030122166</c:v>
                </c:pt>
                <c:pt idx="103">
                  <c:v>0.50373698320851645</c:v>
                </c:pt>
                <c:pt idx="104">
                  <c:v>0.50019299353707747</c:v>
                </c:pt>
                <c:pt idx="105">
                  <c:v>0.49667018542765923</c:v>
                </c:pt>
                <c:pt idx="106">
                  <c:v>0.49316844358506384</c:v>
                </c:pt>
                <c:pt idx="107">
                  <c:v>0.48968765327579827</c:v>
                </c:pt>
                <c:pt idx="108">
                  <c:v>0.48622770032574103</c:v>
                </c:pt>
                <c:pt idx="109">
                  <c:v>0.48278847111781426</c:v>
                </c:pt>
                <c:pt idx="110">
                  <c:v>0.47961260130647138</c:v>
                </c:pt>
                <c:pt idx="111">
                  <c:v>0.47597184799973274</c:v>
                </c:pt>
                <c:pt idx="112">
                  <c:v>0.47259411311918609</c:v>
                </c:pt>
                <c:pt idx="113">
                  <c:v>0.46923665304094547</c:v>
                </c:pt>
                <c:pt idx="114">
                  <c:v>0.46589935689847889</c:v>
                </c:pt>
                <c:pt idx="115">
                  <c:v>0.46258211436848823</c:v>
                </c:pt>
                <c:pt idx="116">
                  <c:v>0.45928481566863461</c:v>
                </c:pt>
                <c:pt idx="117">
                  <c:v>0.45600735155526806</c:v>
                </c:pt>
                <c:pt idx="118">
                  <c:v>0.45274961332116659</c:v>
                </c:pt>
                <c:pt idx="119">
                  <c:v>0.4495114927932814</c:v>
                </c:pt>
                <c:pt idx="120">
                  <c:v>0.4462928823304898</c:v>
                </c:pt>
                <c:pt idx="121">
                  <c:v>0.44309367482135464</c:v>
                </c:pt>
                <c:pt idx="122">
                  <c:v>0.43991376368189183</c:v>
                </c:pt>
                <c:pt idx="123">
                  <c:v>0.43675304285334421</c:v>
                </c:pt>
                <c:pt idx="124">
                  <c:v>0.43361140679996357</c:v>
                </c:pt>
                <c:pt idx="125">
                  <c:v>0.43048875050679825</c:v>
                </c:pt>
                <c:pt idx="126">
                  <c:v>0.42738496947748966</c:v>
                </c:pt>
                <c:pt idx="127">
                  <c:v>0.42429995973207446</c:v>
                </c:pt>
                <c:pt idx="128">
                  <c:v>0.42123361780479562</c:v>
                </c:pt>
                <c:pt idx="129">
                  <c:v>0.41818584074191806</c:v>
                </c:pt>
                <c:pt idx="130">
                  <c:v>0.41515652609955384</c:v>
                </c:pt>
              </c:numCache>
            </c:numRef>
          </c:val>
          <c:smooth val="0"/>
          <c:extLst>
            <c:ext xmlns:c16="http://schemas.microsoft.com/office/drawing/2014/chart" uri="{C3380CC4-5D6E-409C-BE32-E72D297353CC}">
              <c16:uniqueId val="{00000000-DE92-4C9F-B699-CE8EBF901E56}"/>
            </c:ext>
          </c:extLst>
        </c:ser>
        <c:ser>
          <c:idx val="0"/>
          <c:order val="1"/>
          <c:spPr>
            <a:ln w="28575" cap="rnd" cmpd="sng" algn="ctr">
              <a:solidFill>
                <a:schemeClr val="accent4">
                  <a:shade val="76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Tasas!$N$4:$N$134</c:f>
              <c:numCache>
                <c:formatCode>#,##0.00000</c:formatCode>
                <c:ptCount val="131"/>
                <c:pt idx="0">
                  <c:v>0.99971702454221989</c:v>
                </c:pt>
                <c:pt idx="1">
                  <c:v>0.99184836087924455</c:v>
                </c:pt>
                <c:pt idx="2">
                  <c:v>0.98384915506244763</c:v>
                </c:pt>
                <c:pt idx="3">
                  <c:v>0.97572279723506861</c:v>
                </c:pt>
                <c:pt idx="4">
                  <c:v>0.96761504472994453</c:v>
                </c:pt>
                <c:pt idx="5">
                  <c:v>0.95945547211897741</c:v>
                </c:pt>
                <c:pt idx="6">
                  <c:v>0.9512460015305142</c:v>
                </c:pt>
                <c:pt idx="7">
                  <c:v>0.94333247682206511</c:v>
                </c:pt>
                <c:pt idx="8">
                  <c:v>0.93546496387662859</c:v>
                </c:pt>
                <c:pt idx="9">
                  <c:v>0.92764332461985732</c:v>
                </c:pt>
                <c:pt idx="10">
                  <c:v>0.92016840767600527</c:v>
                </c:pt>
                <c:pt idx="11">
                  <c:v>0.9127940808883932</c:v>
                </c:pt>
                <c:pt idx="12">
                  <c:v>0.90551904877325495</c:v>
                </c:pt>
                <c:pt idx="13">
                  <c:v>0.89834203488547149</c:v>
                </c:pt>
                <c:pt idx="14">
                  <c:v>0.89177151450788494</c:v>
                </c:pt>
                <c:pt idx="15">
                  <c:v>0.88536094546282307</c:v>
                </c:pt>
                <c:pt idx="16">
                  <c:v>0.87910789309636084</c:v>
                </c:pt>
                <c:pt idx="17">
                  <c:v>0.87300997989145757</c:v>
                </c:pt>
                <c:pt idx="18">
                  <c:v>0.86748296776781653</c:v>
                </c:pt>
                <c:pt idx="19">
                  <c:v>0.86127054070001552</c:v>
                </c:pt>
                <c:pt idx="20">
                  <c:v>0.85562433087471457</c:v>
                </c:pt>
                <c:pt idx="21">
                  <c:v>0.85012429871861128</c:v>
                </c:pt>
                <c:pt idx="22">
                  <c:v>0.84476833551638142</c:v>
                </c:pt>
                <c:pt idx="23">
                  <c:v>0.83955438313204833</c:v>
                </c:pt>
                <c:pt idx="24">
                  <c:v>0.83448043301056085</c:v>
                </c:pt>
                <c:pt idx="25">
                  <c:v>0.8295445252046828</c:v>
                </c:pt>
                <c:pt idx="26">
                  <c:v>0.82474474742659187</c:v>
                </c:pt>
                <c:pt idx="27">
                  <c:v>0.81958280356507662</c:v>
                </c:pt>
                <c:pt idx="28">
                  <c:v>0.81452348906091343</c:v>
                </c:pt>
                <c:pt idx="29">
                  <c:v>0.8095654551123691</c:v>
                </c:pt>
                <c:pt idx="30">
                  <c:v>0.80470737871421383</c:v>
                </c:pt>
                <c:pt idx="31">
                  <c:v>0.79994796221010722</c:v>
                </c:pt>
                <c:pt idx="32">
                  <c:v>0.79528593285420834</c:v>
                </c:pt>
                <c:pt idx="33">
                  <c:v>0.79072004238182081</c:v>
                </c:pt>
                <c:pt idx="34">
                  <c:v>0.7862490665888926</c:v>
                </c:pt>
                <c:pt idx="35">
                  <c:v>0.7818718049201886</c:v>
                </c:pt>
                <c:pt idx="36">
                  <c:v>0.77758708006596389</c:v>
                </c:pt>
                <c:pt idx="37">
                  <c:v>0.77339373756696628</c:v>
                </c:pt>
                <c:pt idx="38">
                  <c:v>0.76929064542759806</c:v>
                </c:pt>
                <c:pt idx="39">
                  <c:v>0.76527669373707818</c:v>
                </c:pt>
                <c:pt idx="40">
                  <c:v>0.76059324643394399</c:v>
                </c:pt>
                <c:pt idx="41">
                  <c:v>0.75596865846451611</c:v>
                </c:pt>
                <c:pt idx="42">
                  <c:v>0.75140228304740786</c:v>
                </c:pt>
                <c:pt idx="43">
                  <c:v>0.74689348190650684</c:v>
                </c:pt>
                <c:pt idx="44">
                  <c:v>0.74244162515700873</c:v>
                </c:pt>
                <c:pt idx="45">
                  <c:v>0.73804609119310904</c:v>
                </c:pt>
                <c:pt idx="46">
                  <c:v>0.73370626657732874</c:v>
                </c:pt>
                <c:pt idx="47">
                  <c:v>0.72942154593144604</c:v>
                </c:pt>
                <c:pt idx="48">
                  <c:v>0.72519133182901552</c:v>
                </c:pt>
                <c:pt idx="49">
                  <c:v>0.72101503468944528</c:v>
                </c:pt>
                <c:pt idx="50">
                  <c:v>0.71689207267361144</c:v>
                </c:pt>
                <c:pt idx="51">
                  <c:v>0.71282187158098664</c:v>
                </c:pt>
                <c:pt idx="52">
                  <c:v>0.70880386474825929</c:v>
                </c:pt>
                <c:pt idx="53">
                  <c:v>0.70428251593005464</c:v>
                </c:pt>
                <c:pt idx="54">
                  <c:v>0.69995724810184878</c:v>
                </c:pt>
                <c:pt idx="55">
                  <c:v>0.69535077419703706</c:v>
                </c:pt>
                <c:pt idx="56">
                  <c:v>0.69093972065600362</c:v>
                </c:pt>
                <c:pt idx="57">
                  <c:v>0.68687515024038515</c:v>
                </c:pt>
                <c:pt idx="58">
                  <c:v>0.68222589220207353</c:v>
                </c:pt>
                <c:pt idx="59">
                  <c:v>0.67792236450766208</c:v>
                </c:pt>
                <c:pt idx="60">
                  <c:v>0.67365407667316635</c:v>
                </c:pt>
                <c:pt idx="61">
                  <c:v>0.66942073195783358</c:v>
                </c:pt>
                <c:pt idx="62">
                  <c:v>0.66522203627484877</c:v>
                </c:pt>
                <c:pt idx="63">
                  <c:v>0.66105769816653082</c:v>
                </c:pt>
                <c:pt idx="64">
                  <c:v>0.65692742877977106</c:v>
                </c:pt>
                <c:pt idx="65">
                  <c:v>0.65283094184171087</c:v>
                </c:pt>
                <c:pt idx="66">
                  <c:v>0.64846639637645531</c:v>
                </c:pt>
                <c:pt idx="67">
                  <c:v>0.64412968780683255</c:v>
                </c:pt>
                <c:pt idx="68">
                  <c:v>0.63982064244511427</c:v>
                </c:pt>
                <c:pt idx="69">
                  <c:v>0.63553908766331224</c:v>
                </c:pt>
                <c:pt idx="70">
                  <c:v>0.631284851886867</c:v>
                </c:pt>
                <c:pt idx="71">
                  <c:v>0.62705776458837026</c:v>
                </c:pt>
                <c:pt idx="72">
                  <c:v>0.62285765628132606</c:v>
                </c:pt>
                <c:pt idx="73">
                  <c:v>0.61868435851394576</c:v>
                </c:pt>
                <c:pt idx="74">
                  <c:v>0.61453770386298223</c:v>
                </c:pt>
                <c:pt idx="75">
                  <c:v>0.61041752592759668</c:v>
                </c:pt>
                <c:pt idx="76">
                  <c:v>0.60632365932326338</c:v>
                </c:pt>
                <c:pt idx="77">
                  <c:v>0.60225593967570834</c:v>
                </c:pt>
                <c:pt idx="78">
                  <c:v>0.59821420361488442</c:v>
                </c:pt>
                <c:pt idx="79">
                  <c:v>0.59419828876898018</c:v>
                </c:pt>
                <c:pt idx="80">
                  <c:v>0.59020803375846487</c:v>
                </c:pt>
                <c:pt idx="81">
                  <c:v>0.58624327819016731</c:v>
                </c:pt>
                <c:pt idx="82">
                  <c:v>0.58230386265138867</c:v>
                </c:pt>
                <c:pt idx="83">
                  <c:v>0.57838962870405097</c:v>
                </c:pt>
                <c:pt idx="84">
                  <c:v>0.57450041887887893</c:v>
                </c:pt>
                <c:pt idx="85">
                  <c:v>0.57063607666961391</c:v>
                </c:pt>
                <c:pt idx="86">
                  <c:v>0.56679644652726513</c:v>
                </c:pt>
                <c:pt idx="87">
                  <c:v>0.56298137385439118</c:v>
                </c:pt>
                <c:pt idx="88">
                  <c:v>0.5591907049994167</c:v>
                </c:pt>
                <c:pt idx="89">
                  <c:v>0.55542428725098048</c:v>
                </c:pt>
                <c:pt idx="90">
                  <c:v>0.55168196883231801</c:v>
                </c:pt>
                <c:pt idx="91">
                  <c:v>0.54809556269607207</c:v>
                </c:pt>
                <c:pt idx="92">
                  <c:v>0.54415226708394038</c:v>
                </c:pt>
                <c:pt idx="93">
                  <c:v>0.54036750855263105</c:v>
                </c:pt>
                <c:pt idx="94">
                  <c:v>0.53660523757327572</c:v>
                </c:pt>
                <c:pt idx="95">
                  <c:v>0.53286533251577861</c:v>
                </c:pt>
                <c:pt idx="96">
                  <c:v>0.52914767233791138</c:v>
                </c:pt>
                <c:pt idx="97">
                  <c:v>0.52571455762502173</c:v>
                </c:pt>
                <c:pt idx="98">
                  <c:v>0.52177872994300178</c:v>
                </c:pt>
                <c:pt idx="99">
                  <c:v>0.51812708320947121</c:v>
                </c:pt>
                <c:pt idx="100">
                  <c:v>0.51449720302174751</c:v>
                </c:pt>
                <c:pt idx="101">
                  <c:v>0.51088897124083399</c:v>
                </c:pt>
                <c:pt idx="102">
                  <c:v>0.50730227030122166</c:v>
                </c:pt>
                <c:pt idx="103">
                  <c:v>0.50373698320851645</c:v>
                </c:pt>
                <c:pt idx="104">
                  <c:v>0.50019299353707747</c:v>
                </c:pt>
                <c:pt idx="105">
                  <c:v>0.49667018542765923</c:v>
                </c:pt>
                <c:pt idx="106">
                  <c:v>0.49316844358506384</c:v>
                </c:pt>
                <c:pt idx="107">
                  <c:v>0.48968765327579827</c:v>
                </c:pt>
                <c:pt idx="108">
                  <c:v>0.48622770032574103</c:v>
                </c:pt>
                <c:pt idx="109">
                  <c:v>0.48278847111781426</c:v>
                </c:pt>
                <c:pt idx="110">
                  <c:v>0.47961260130647138</c:v>
                </c:pt>
                <c:pt idx="111">
                  <c:v>0.47597184799973274</c:v>
                </c:pt>
                <c:pt idx="112">
                  <c:v>0.47259411311918609</c:v>
                </c:pt>
                <c:pt idx="113">
                  <c:v>0.46923665304094547</c:v>
                </c:pt>
                <c:pt idx="114">
                  <c:v>0.46589935689847889</c:v>
                </c:pt>
                <c:pt idx="115">
                  <c:v>0.46258211436848823</c:v>
                </c:pt>
                <c:pt idx="116">
                  <c:v>0.45928481566863461</c:v>
                </c:pt>
                <c:pt idx="117">
                  <c:v>0.45600735155526806</c:v>
                </c:pt>
                <c:pt idx="118">
                  <c:v>0.45274961332116659</c:v>
                </c:pt>
                <c:pt idx="119">
                  <c:v>0.4495114927932814</c:v>
                </c:pt>
                <c:pt idx="120">
                  <c:v>0.4462928823304898</c:v>
                </c:pt>
                <c:pt idx="121">
                  <c:v>0.44309367482135464</c:v>
                </c:pt>
                <c:pt idx="122">
                  <c:v>0.43991376368189183</c:v>
                </c:pt>
                <c:pt idx="123">
                  <c:v>0.43675304285334421</c:v>
                </c:pt>
                <c:pt idx="124">
                  <c:v>0.43361140679996357</c:v>
                </c:pt>
                <c:pt idx="125">
                  <c:v>0.43048875050679825</c:v>
                </c:pt>
                <c:pt idx="126">
                  <c:v>0.42738496947748966</c:v>
                </c:pt>
                <c:pt idx="127">
                  <c:v>0.42429995973207446</c:v>
                </c:pt>
                <c:pt idx="128">
                  <c:v>0.42123361780479562</c:v>
                </c:pt>
                <c:pt idx="129">
                  <c:v>0.41818584074191806</c:v>
                </c:pt>
                <c:pt idx="130">
                  <c:v>0.41515652609955384</c:v>
                </c:pt>
              </c:numCache>
            </c:numRef>
          </c:val>
          <c:smooth val="0"/>
          <c:extLst xmlns:c15="http://schemas.microsoft.com/office/drawing/2012/chart">
            <c:ext xmlns:c16="http://schemas.microsoft.com/office/drawing/2014/chart" uri="{C3380CC4-5D6E-409C-BE32-E72D297353CC}">
              <c16:uniqueId val="{00000001-DE92-4C9F-B699-CE8EBF901E56}"/>
            </c:ext>
          </c:extLst>
        </c:ser>
        <c:dLbls>
          <c:showLegendKey val="0"/>
          <c:showVal val="0"/>
          <c:showCatName val="0"/>
          <c:showSerName val="0"/>
          <c:showPercent val="0"/>
          <c:showBubbleSize val="0"/>
        </c:dLbls>
        <c:smooth val="0"/>
        <c:axId val="307159087"/>
        <c:axId val="307144111"/>
        <c:extLst/>
      </c:lineChart>
      <c:catAx>
        <c:axId val="30715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44111"/>
        <c:crosses val="autoZero"/>
        <c:auto val="1"/>
        <c:lblAlgn val="ctr"/>
        <c:lblOffset val="100"/>
        <c:noMultiLvlLbl val="0"/>
      </c:catAx>
      <c:valAx>
        <c:axId val="307144111"/>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000" sourceLinked="1"/>
        <c:majorTickMark val="none"/>
        <c:minorTickMark val="none"/>
        <c:tickLblPos val="nextTo"/>
        <c:spPr>
          <a:noFill/>
          <a:ln w="9525"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59087"/>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solidFill>
        <a:srgbClr val="FF00FF"/>
      </a:solidFill>
      <a:prstDash val="solid"/>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Tasa Contínua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spPr>
            <a:ln w="28575" cap="rnd" cmpd="sng" algn="ctr">
              <a:solidFill>
                <a:schemeClr val="accent5">
                  <a:tint val="77000"/>
                  <a:shade val="95000"/>
                  <a:satMod val="105000"/>
                </a:schemeClr>
              </a:solidFill>
              <a:prstDash val="solid"/>
              <a:round/>
            </a:ln>
            <a:effectLst/>
          </c:spPr>
          <c:marker>
            <c:symbol val="none"/>
          </c:marker>
          <c:cat>
            <c:numRef>
              <c:f>Tasas!$G$4:$G$134</c:f>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f>Tasas!$Q$4:$Q$134</c:f>
              <c:numCache>
                <c:formatCode>0.0000%</c:formatCode>
                <c:ptCount val="131"/>
                <c:pt idx="0">
                  <c:v>0.10189999999999999</c:v>
                </c:pt>
                <c:pt idx="1">
                  <c:v>0.10523681294669512</c:v>
                </c:pt>
                <c:pt idx="2">
                  <c:v>0.104658416365667</c:v>
                </c:pt>
                <c:pt idx="3">
                  <c:v>0.10408001978463889</c:v>
                </c:pt>
                <c:pt idx="4">
                  <c:v>0.10487558131012063</c:v>
                </c:pt>
                <c:pt idx="5">
                  <c:v>0.10567114283560237</c:v>
                </c:pt>
                <c:pt idx="6">
                  <c:v>0.10646670436108412</c:v>
                </c:pt>
                <c:pt idx="7">
                  <c:v>0.1066010043054527</c:v>
                </c:pt>
                <c:pt idx="8">
                  <c:v>0.10673530424982128</c:v>
                </c:pt>
                <c:pt idx="9">
                  <c:v>0.10686960419418987</c:v>
                </c:pt>
                <c:pt idx="10">
                  <c:v>0.10658558488420777</c:v>
                </c:pt>
                <c:pt idx="11">
                  <c:v>0.1063015655742257</c:v>
                </c:pt>
                <c:pt idx="12">
                  <c:v>0.10601754626424362</c:v>
                </c:pt>
                <c:pt idx="13">
                  <c:v>0.10573352695426153</c:v>
                </c:pt>
                <c:pt idx="14">
                  <c:v>0.10491950918876182</c:v>
                </c:pt>
                <c:pt idx="15">
                  <c:v>0.10410549142326211</c:v>
                </c:pt>
                <c:pt idx="16">
                  <c:v>0.10329147365776242</c:v>
                </c:pt>
                <c:pt idx="17">
                  <c:v>0.10247745589226272</c:v>
                </c:pt>
                <c:pt idx="18">
                  <c:v>0.10172158225287013</c:v>
                </c:pt>
                <c:pt idx="19">
                  <c:v>0.10084942036126331</c:v>
                </c:pt>
                <c:pt idx="20">
                  <c:v>0.10003540259576361</c:v>
                </c:pt>
                <c:pt idx="21">
                  <c:v>9.9221384830263909E-2</c:v>
                </c:pt>
                <c:pt idx="22">
                  <c:v>9.8407367064764203E-2</c:v>
                </c:pt>
                <c:pt idx="23">
                  <c:v>9.7593349299264498E-2</c:v>
                </c:pt>
                <c:pt idx="24">
                  <c:v>9.6779331533764806E-2</c:v>
                </c:pt>
                <c:pt idx="25">
                  <c:v>9.5965313768265101E-2</c:v>
                </c:pt>
                <c:pt idx="26">
                  <c:v>9.5151296002765395E-2</c:v>
                </c:pt>
                <c:pt idx="27">
                  <c:v>9.4609909371452555E-2</c:v>
                </c:pt>
                <c:pt idx="28">
                  <c:v>9.4068522740139715E-2</c:v>
                </c:pt>
                <c:pt idx="29">
                  <c:v>9.3527136108826875E-2</c:v>
                </c:pt>
                <c:pt idx="30">
                  <c:v>9.2985749477514035E-2</c:v>
                </c:pt>
                <c:pt idx="31">
                  <c:v>9.2444362846201195E-2</c:v>
                </c:pt>
                <c:pt idx="32">
                  <c:v>9.1902976214888354E-2</c:v>
                </c:pt>
                <c:pt idx="33">
                  <c:v>9.1361589583575528E-2</c:v>
                </c:pt>
                <c:pt idx="34">
                  <c:v>9.0820202952262688E-2</c:v>
                </c:pt>
                <c:pt idx="35">
                  <c:v>9.0278816320949848E-2</c:v>
                </c:pt>
                <c:pt idx="36">
                  <c:v>8.9737429689637008E-2</c:v>
                </c:pt>
                <c:pt idx="37">
                  <c:v>8.9196043058324168E-2</c:v>
                </c:pt>
                <c:pt idx="38">
                  <c:v>8.8654656427011327E-2</c:v>
                </c:pt>
                <c:pt idx="39">
                  <c:v>8.8113269795698487E-2</c:v>
                </c:pt>
                <c:pt idx="40">
                  <c:v>8.7877033482867198E-2</c:v>
                </c:pt>
                <c:pt idx="41">
                  <c:v>8.7640797170035908E-2</c:v>
                </c:pt>
                <c:pt idx="42">
                  <c:v>8.7404560857204605E-2</c:v>
                </c:pt>
                <c:pt idx="43">
                  <c:v>8.7168324544373316E-2</c:v>
                </c:pt>
                <c:pt idx="44">
                  <c:v>8.6932088231542026E-2</c:v>
                </c:pt>
                <c:pt idx="45">
                  <c:v>8.6695851918710737E-2</c:v>
                </c:pt>
                <c:pt idx="46">
                  <c:v>8.6459615605879434E-2</c:v>
                </c:pt>
                <c:pt idx="47">
                  <c:v>8.6223379293048144E-2</c:v>
                </c:pt>
                <c:pt idx="48">
                  <c:v>8.5987142980216855E-2</c:v>
                </c:pt>
                <c:pt idx="49">
                  <c:v>8.5750906667385565E-2</c:v>
                </c:pt>
                <c:pt idx="50">
                  <c:v>8.5514670354554262E-2</c:v>
                </c:pt>
                <c:pt idx="51">
                  <c:v>8.5278434041722972E-2</c:v>
                </c:pt>
                <c:pt idx="52">
                  <c:v>8.5042197728891683E-2</c:v>
                </c:pt>
                <c:pt idx="53">
                  <c:v>8.4985585552583259E-2</c:v>
                </c:pt>
                <c:pt idx="54">
                  <c:v>8.4930995239714424E-2</c:v>
                </c:pt>
                <c:pt idx="55">
                  <c:v>8.4872361199966412E-2</c:v>
                </c:pt>
                <c:pt idx="56">
                  <c:v>8.4815749023657988E-2</c:v>
                </c:pt>
                <c:pt idx="57">
                  <c:v>8.4763180574228741E-2</c:v>
                </c:pt>
                <c:pt idx="58">
                  <c:v>8.4702524671041141E-2</c:v>
                </c:pt>
                <c:pt idx="59">
                  <c:v>8.4645912494732731E-2</c:v>
                </c:pt>
                <c:pt idx="60">
                  <c:v>8.4589300318424307E-2</c:v>
                </c:pt>
                <c:pt idx="61">
                  <c:v>8.4532688142115883E-2</c:v>
                </c:pt>
                <c:pt idx="62">
                  <c:v>8.4476075965807459E-2</c:v>
                </c:pt>
                <c:pt idx="63">
                  <c:v>8.4419463789499036E-2</c:v>
                </c:pt>
                <c:pt idx="64">
                  <c:v>8.4362851613190612E-2</c:v>
                </c:pt>
                <c:pt idx="65">
                  <c:v>8.4306239436882188E-2</c:v>
                </c:pt>
                <c:pt idx="66">
                  <c:v>8.4331453489325497E-2</c:v>
                </c:pt>
                <c:pt idx="67">
                  <c:v>8.4356667541768807E-2</c:v>
                </c:pt>
                <c:pt idx="68">
                  <c:v>8.4381881594212116E-2</c:v>
                </c:pt>
                <c:pt idx="69">
                  <c:v>8.4407095646655411E-2</c:v>
                </c:pt>
                <c:pt idx="70">
                  <c:v>8.443230969909872E-2</c:v>
                </c:pt>
                <c:pt idx="71">
                  <c:v>8.445752375154203E-2</c:v>
                </c:pt>
                <c:pt idx="72">
                  <c:v>8.4482737803985339E-2</c:v>
                </c:pt>
                <c:pt idx="73">
                  <c:v>8.4507951856428648E-2</c:v>
                </c:pt>
                <c:pt idx="74">
                  <c:v>8.4533165908871957E-2</c:v>
                </c:pt>
                <c:pt idx="75">
                  <c:v>8.4558379961315266E-2</c:v>
                </c:pt>
                <c:pt idx="76">
                  <c:v>8.4583594013758562E-2</c:v>
                </c:pt>
                <c:pt idx="77">
                  <c:v>8.4608808066201871E-2</c:v>
                </c:pt>
                <c:pt idx="78">
                  <c:v>8.463402211864518E-2</c:v>
                </c:pt>
                <c:pt idx="79">
                  <c:v>8.4659236171088489E-2</c:v>
                </c:pt>
                <c:pt idx="80">
                  <c:v>8.4684450223531799E-2</c:v>
                </c:pt>
                <c:pt idx="81">
                  <c:v>8.4709664275975108E-2</c:v>
                </c:pt>
                <c:pt idx="82">
                  <c:v>8.4734878328418417E-2</c:v>
                </c:pt>
                <c:pt idx="83">
                  <c:v>8.4760092380861712E-2</c:v>
                </c:pt>
                <c:pt idx="84">
                  <c:v>8.4785306433305022E-2</c:v>
                </c:pt>
                <c:pt idx="85">
                  <c:v>8.4810520485748331E-2</c:v>
                </c:pt>
                <c:pt idx="86">
                  <c:v>8.483573453819164E-2</c:v>
                </c:pt>
                <c:pt idx="87">
                  <c:v>8.4860948590634949E-2</c:v>
                </c:pt>
                <c:pt idx="88">
                  <c:v>8.4886162643078258E-2</c:v>
                </c:pt>
                <c:pt idx="89">
                  <c:v>8.4911376695521568E-2</c:v>
                </c:pt>
                <c:pt idx="90">
                  <c:v>8.4936590747964863E-2</c:v>
                </c:pt>
                <c:pt idx="91">
                  <c:v>8.49609042985352E-2</c:v>
                </c:pt>
                <c:pt idx="92">
                  <c:v>8.501296250449962E-2</c:v>
                </c:pt>
                <c:pt idx="93">
                  <c:v>8.5063225599913556E-2</c:v>
                </c:pt>
                <c:pt idx="94">
                  <c:v>8.5113488695327477E-2</c:v>
                </c:pt>
                <c:pt idx="95">
                  <c:v>8.5163751790741399E-2</c:v>
                </c:pt>
                <c:pt idx="96">
                  <c:v>8.521401488615532E-2</c:v>
                </c:pt>
                <c:pt idx="97">
                  <c:v>8.5260687760468259E-2</c:v>
                </c:pt>
                <c:pt idx="98">
                  <c:v>8.5314541076983177E-2</c:v>
                </c:pt>
                <c:pt idx="99">
                  <c:v>8.5364804172397099E-2</c:v>
                </c:pt>
                <c:pt idx="100">
                  <c:v>8.5415067267811035E-2</c:v>
                </c:pt>
                <c:pt idx="101">
                  <c:v>8.5465330363224956E-2</c:v>
                </c:pt>
                <c:pt idx="102">
                  <c:v>8.5515593458638878E-2</c:v>
                </c:pt>
                <c:pt idx="103">
                  <c:v>8.5565856554052813E-2</c:v>
                </c:pt>
                <c:pt idx="104">
                  <c:v>8.5616119649466735E-2</c:v>
                </c:pt>
                <c:pt idx="105">
                  <c:v>8.5666382744880656E-2</c:v>
                </c:pt>
                <c:pt idx="106">
                  <c:v>8.5716645840294592E-2</c:v>
                </c:pt>
                <c:pt idx="107">
                  <c:v>8.5766908935708513E-2</c:v>
                </c:pt>
                <c:pt idx="108">
                  <c:v>8.5817172031122435E-2</c:v>
                </c:pt>
                <c:pt idx="109">
                  <c:v>8.5867435126536371E-2</c:v>
                </c:pt>
                <c:pt idx="110">
                  <c:v>8.5914108000849296E-2</c:v>
                </c:pt>
                <c:pt idx="111">
                  <c:v>8.5967961317364214E-2</c:v>
                </c:pt>
                <c:pt idx="112">
                  <c:v>8.6018224412778135E-2</c:v>
                </c:pt>
                <c:pt idx="113">
                  <c:v>8.6068487508192071E-2</c:v>
                </c:pt>
                <c:pt idx="114">
                  <c:v>8.6118750603605992E-2</c:v>
                </c:pt>
                <c:pt idx="115">
                  <c:v>8.6169013699019914E-2</c:v>
                </c:pt>
                <c:pt idx="116">
                  <c:v>8.621927679443385E-2</c:v>
                </c:pt>
                <c:pt idx="117">
                  <c:v>8.6269539889847771E-2</c:v>
                </c:pt>
                <c:pt idx="118">
                  <c:v>8.6319802985261693E-2</c:v>
                </c:pt>
                <c:pt idx="119">
                  <c:v>8.6370066080675628E-2</c:v>
                </c:pt>
                <c:pt idx="120">
                  <c:v>8.642032917608955E-2</c:v>
                </c:pt>
                <c:pt idx="121">
                  <c:v>8.6470592271503471E-2</c:v>
                </c:pt>
                <c:pt idx="122">
                  <c:v>8.6520855366917407E-2</c:v>
                </c:pt>
                <c:pt idx="123">
                  <c:v>8.6571118462331328E-2</c:v>
                </c:pt>
                <c:pt idx="124">
                  <c:v>8.662138155774525E-2</c:v>
                </c:pt>
                <c:pt idx="125">
                  <c:v>8.6671644653159172E-2</c:v>
                </c:pt>
                <c:pt idx="126">
                  <c:v>8.6721907748573107E-2</c:v>
                </c:pt>
                <c:pt idx="127">
                  <c:v>8.6772170843987029E-2</c:v>
                </c:pt>
                <c:pt idx="128">
                  <c:v>8.682243393940095E-2</c:v>
                </c:pt>
                <c:pt idx="129">
                  <c:v>8.6872697034814886E-2</c:v>
                </c:pt>
                <c:pt idx="130">
                  <c:v>8.6922960130228807E-2</c:v>
                </c:pt>
              </c:numCache>
            </c:numRef>
          </c:val>
          <c:smooth val="0"/>
          <c:extLst>
            <c:ext xmlns:c16="http://schemas.microsoft.com/office/drawing/2014/chart" uri="{C3380CC4-5D6E-409C-BE32-E72D297353CC}">
              <c16:uniqueId val="{00000000-4125-4FEE-8C9D-9FBB7877E487}"/>
            </c:ext>
          </c:extLst>
        </c:ser>
        <c:dLbls>
          <c:showLegendKey val="0"/>
          <c:showVal val="0"/>
          <c:showCatName val="0"/>
          <c:showSerName val="0"/>
          <c:showPercent val="0"/>
          <c:showBubbleSize val="0"/>
        </c:dLbls>
        <c:smooth val="0"/>
        <c:axId val="307159087"/>
        <c:axId val="307144111"/>
        <c:extLst>
          <c:ext xmlns:c15="http://schemas.microsoft.com/office/drawing/2012/chart" uri="{02D57815-91ED-43cb-92C2-25804820EDAC}">
            <c15:filteredLineSeries>
              <c15:ser>
                <c:idx val="0"/>
                <c:order val="1"/>
                <c:spPr>
                  <a:ln w="28575" cap="rnd" cmpd="sng" algn="ctr">
                    <a:solidFill>
                      <a:schemeClr val="accent5">
                        <a:shade val="76000"/>
                        <a:shade val="95000"/>
                        <a:satMod val="105000"/>
                      </a:schemeClr>
                    </a:solidFill>
                    <a:prstDash val="solid"/>
                    <a:round/>
                  </a:ln>
                  <a:effectLst/>
                </c:spPr>
                <c:marker>
                  <c:symbol val="none"/>
                </c:marker>
                <c:cat>
                  <c:numRef>
                    <c:extLst>
                      <c:ext uri="{02D57815-91ED-43cb-92C2-25804820EDAC}">
                        <c15:formulaRef>
                          <c15:sqref>Tasas!$G$4:$G$134</c15:sqref>
                        </c15:formulaRef>
                      </c:ext>
                    </c:extLst>
                    <c:numCache>
                      <c:formatCode>General</c:formatCode>
                      <c:ptCount val="131"/>
                      <c:pt idx="0">
                        <c:v>0</c:v>
                      </c:pt>
                      <c:pt idx="1">
                        <c:v>28</c:v>
                      </c:pt>
                      <c:pt idx="2">
                        <c:v>56</c:v>
                      </c:pt>
                      <c:pt idx="3">
                        <c:v>84</c:v>
                      </c:pt>
                      <c:pt idx="4">
                        <c:v>112</c:v>
                      </c:pt>
                      <c:pt idx="5">
                        <c:v>140</c:v>
                      </c:pt>
                      <c:pt idx="6">
                        <c:v>168</c:v>
                      </c:pt>
                      <c:pt idx="7">
                        <c:v>196</c:v>
                      </c:pt>
                      <c:pt idx="8">
                        <c:v>224</c:v>
                      </c:pt>
                      <c:pt idx="9">
                        <c:v>252</c:v>
                      </c:pt>
                      <c:pt idx="10">
                        <c:v>280</c:v>
                      </c:pt>
                      <c:pt idx="11">
                        <c:v>308</c:v>
                      </c:pt>
                      <c:pt idx="12">
                        <c:v>336</c:v>
                      </c:pt>
                      <c:pt idx="13">
                        <c:v>364</c:v>
                      </c:pt>
                      <c:pt idx="14">
                        <c:v>392</c:v>
                      </c:pt>
                      <c:pt idx="15">
                        <c:v>420</c:v>
                      </c:pt>
                      <c:pt idx="16">
                        <c:v>448</c:v>
                      </c:pt>
                      <c:pt idx="17">
                        <c:v>476</c:v>
                      </c:pt>
                      <c:pt idx="18">
                        <c:v>502</c:v>
                      </c:pt>
                      <c:pt idx="19">
                        <c:v>532</c:v>
                      </c:pt>
                      <c:pt idx="20">
                        <c:v>560</c:v>
                      </c:pt>
                      <c:pt idx="21">
                        <c:v>588</c:v>
                      </c:pt>
                      <c:pt idx="22">
                        <c:v>616</c:v>
                      </c:pt>
                      <c:pt idx="23">
                        <c:v>644</c:v>
                      </c:pt>
                      <c:pt idx="24">
                        <c:v>672</c:v>
                      </c:pt>
                      <c:pt idx="25">
                        <c:v>700</c:v>
                      </c:pt>
                      <c:pt idx="26">
                        <c:v>728</c:v>
                      </c:pt>
                      <c:pt idx="27">
                        <c:v>756</c:v>
                      </c:pt>
                      <c:pt idx="28">
                        <c:v>784</c:v>
                      </c:pt>
                      <c:pt idx="29">
                        <c:v>812</c:v>
                      </c:pt>
                      <c:pt idx="30">
                        <c:v>840</c:v>
                      </c:pt>
                      <c:pt idx="31">
                        <c:v>868</c:v>
                      </c:pt>
                      <c:pt idx="32">
                        <c:v>896</c:v>
                      </c:pt>
                      <c:pt idx="33">
                        <c:v>924</c:v>
                      </c:pt>
                      <c:pt idx="34">
                        <c:v>952</c:v>
                      </c:pt>
                      <c:pt idx="35">
                        <c:v>980</c:v>
                      </c:pt>
                      <c:pt idx="36">
                        <c:v>1008</c:v>
                      </c:pt>
                      <c:pt idx="37">
                        <c:v>1036</c:v>
                      </c:pt>
                      <c:pt idx="38">
                        <c:v>1064</c:v>
                      </c:pt>
                      <c:pt idx="39">
                        <c:v>1092</c:v>
                      </c:pt>
                      <c:pt idx="40">
                        <c:v>1120</c:v>
                      </c:pt>
                      <c:pt idx="41">
                        <c:v>1148</c:v>
                      </c:pt>
                      <c:pt idx="42">
                        <c:v>1176</c:v>
                      </c:pt>
                      <c:pt idx="43">
                        <c:v>1204</c:v>
                      </c:pt>
                      <c:pt idx="44">
                        <c:v>1232</c:v>
                      </c:pt>
                      <c:pt idx="45">
                        <c:v>1260</c:v>
                      </c:pt>
                      <c:pt idx="46">
                        <c:v>1288</c:v>
                      </c:pt>
                      <c:pt idx="47">
                        <c:v>1316</c:v>
                      </c:pt>
                      <c:pt idx="48">
                        <c:v>1344</c:v>
                      </c:pt>
                      <c:pt idx="49">
                        <c:v>1372</c:v>
                      </c:pt>
                      <c:pt idx="50">
                        <c:v>1400</c:v>
                      </c:pt>
                      <c:pt idx="51">
                        <c:v>1428</c:v>
                      </c:pt>
                      <c:pt idx="52">
                        <c:v>1456</c:v>
                      </c:pt>
                      <c:pt idx="53">
                        <c:v>1484</c:v>
                      </c:pt>
                      <c:pt idx="54">
                        <c:v>1511</c:v>
                      </c:pt>
                      <c:pt idx="55">
                        <c:v>1540</c:v>
                      </c:pt>
                      <c:pt idx="56">
                        <c:v>1568</c:v>
                      </c:pt>
                      <c:pt idx="57">
                        <c:v>1594</c:v>
                      </c:pt>
                      <c:pt idx="58">
                        <c:v>1624</c:v>
                      </c:pt>
                      <c:pt idx="59">
                        <c:v>1652</c:v>
                      </c:pt>
                      <c:pt idx="60">
                        <c:v>1680</c:v>
                      </c:pt>
                      <c:pt idx="61">
                        <c:v>1708</c:v>
                      </c:pt>
                      <c:pt idx="62">
                        <c:v>1736</c:v>
                      </c:pt>
                      <c:pt idx="63">
                        <c:v>1764</c:v>
                      </c:pt>
                      <c:pt idx="64">
                        <c:v>1792</c:v>
                      </c:pt>
                      <c:pt idx="65">
                        <c:v>1820</c:v>
                      </c:pt>
                      <c:pt idx="66">
                        <c:v>1848</c:v>
                      </c:pt>
                      <c:pt idx="67">
                        <c:v>1876</c:v>
                      </c:pt>
                      <c:pt idx="68">
                        <c:v>1904</c:v>
                      </c:pt>
                      <c:pt idx="69">
                        <c:v>1932</c:v>
                      </c:pt>
                      <c:pt idx="70">
                        <c:v>1960</c:v>
                      </c:pt>
                      <c:pt idx="71">
                        <c:v>1988</c:v>
                      </c:pt>
                      <c:pt idx="72">
                        <c:v>2016</c:v>
                      </c:pt>
                      <c:pt idx="73">
                        <c:v>2044</c:v>
                      </c:pt>
                      <c:pt idx="74">
                        <c:v>2072</c:v>
                      </c:pt>
                      <c:pt idx="75">
                        <c:v>2100</c:v>
                      </c:pt>
                      <c:pt idx="76">
                        <c:v>2128</c:v>
                      </c:pt>
                      <c:pt idx="77">
                        <c:v>2156</c:v>
                      </c:pt>
                      <c:pt idx="78">
                        <c:v>2184</c:v>
                      </c:pt>
                      <c:pt idx="79">
                        <c:v>2212</c:v>
                      </c:pt>
                      <c:pt idx="80">
                        <c:v>2240</c:v>
                      </c:pt>
                      <c:pt idx="81">
                        <c:v>2268</c:v>
                      </c:pt>
                      <c:pt idx="82">
                        <c:v>2296</c:v>
                      </c:pt>
                      <c:pt idx="83">
                        <c:v>2324</c:v>
                      </c:pt>
                      <c:pt idx="84">
                        <c:v>2352</c:v>
                      </c:pt>
                      <c:pt idx="85">
                        <c:v>2380</c:v>
                      </c:pt>
                      <c:pt idx="86">
                        <c:v>2408</c:v>
                      </c:pt>
                      <c:pt idx="87">
                        <c:v>2436</c:v>
                      </c:pt>
                      <c:pt idx="88">
                        <c:v>2464</c:v>
                      </c:pt>
                      <c:pt idx="89">
                        <c:v>2492</c:v>
                      </c:pt>
                      <c:pt idx="90">
                        <c:v>2520</c:v>
                      </c:pt>
                      <c:pt idx="91">
                        <c:v>2547</c:v>
                      </c:pt>
                      <c:pt idx="92">
                        <c:v>2576</c:v>
                      </c:pt>
                      <c:pt idx="93">
                        <c:v>2604</c:v>
                      </c:pt>
                      <c:pt idx="94">
                        <c:v>2632</c:v>
                      </c:pt>
                      <c:pt idx="95">
                        <c:v>2660</c:v>
                      </c:pt>
                      <c:pt idx="96">
                        <c:v>2688</c:v>
                      </c:pt>
                      <c:pt idx="97">
                        <c:v>2714</c:v>
                      </c:pt>
                      <c:pt idx="98">
                        <c:v>2744</c:v>
                      </c:pt>
                      <c:pt idx="99">
                        <c:v>2772</c:v>
                      </c:pt>
                      <c:pt idx="100">
                        <c:v>2800</c:v>
                      </c:pt>
                      <c:pt idx="101">
                        <c:v>2828</c:v>
                      </c:pt>
                      <c:pt idx="102">
                        <c:v>2856</c:v>
                      </c:pt>
                      <c:pt idx="103">
                        <c:v>2884</c:v>
                      </c:pt>
                      <c:pt idx="104">
                        <c:v>2912</c:v>
                      </c:pt>
                      <c:pt idx="105">
                        <c:v>2940</c:v>
                      </c:pt>
                      <c:pt idx="106">
                        <c:v>2968</c:v>
                      </c:pt>
                      <c:pt idx="107">
                        <c:v>2996</c:v>
                      </c:pt>
                      <c:pt idx="108">
                        <c:v>3024</c:v>
                      </c:pt>
                      <c:pt idx="109">
                        <c:v>3052</c:v>
                      </c:pt>
                      <c:pt idx="110">
                        <c:v>3078</c:v>
                      </c:pt>
                      <c:pt idx="111">
                        <c:v>3108</c:v>
                      </c:pt>
                      <c:pt idx="112">
                        <c:v>3136</c:v>
                      </c:pt>
                      <c:pt idx="113">
                        <c:v>3164</c:v>
                      </c:pt>
                      <c:pt idx="114">
                        <c:v>3192</c:v>
                      </c:pt>
                      <c:pt idx="115">
                        <c:v>3220</c:v>
                      </c:pt>
                      <c:pt idx="116">
                        <c:v>3248</c:v>
                      </c:pt>
                      <c:pt idx="117">
                        <c:v>3276</c:v>
                      </c:pt>
                      <c:pt idx="118">
                        <c:v>3304</c:v>
                      </c:pt>
                      <c:pt idx="119">
                        <c:v>3332</c:v>
                      </c:pt>
                      <c:pt idx="120">
                        <c:v>3360</c:v>
                      </c:pt>
                      <c:pt idx="121">
                        <c:v>3388</c:v>
                      </c:pt>
                      <c:pt idx="122">
                        <c:v>3416</c:v>
                      </c:pt>
                      <c:pt idx="123">
                        <c:v>3444</c:v>
                      </c:pt>
                      <c:pt idx="124">
                        <c:v>3472</c:v>
                      </c:pt>
                      <c:pt idx="125">
                        <c:v>3500</c:v>
                      </c:pt>
                      <c:pt idx="126">
                        <c:v>3528</c:v>
                      </c:pt>
                      <c:pt idx="127">
                        <c:v>3556</c:v>
                      </c:pt>
                      <c:pt idx="128">
                        <c:v>3584</c:v>
                      </c:pt>
                      <c:pt idx="129">
                        <c:v>3612</c:v>
                      </c:pt>
                      <c:pt idx="130">
                        <c:v>3640</c:v>
                      </c:pt>
                    </c:numCache>
                  </c:numRef>
                </c:cat>
                <c:val>
                  <c:numRef>
                    <c:extLst>
                      <c:ext uri="{02D57815-91ED-43cb-92C2-25804820EDAC}">
                        <c15:formulaRef>
                          <c15:sqref>Tasas!$P$4:$P$134</c15:sqref>
                        </c15:formulaRef>
                      </c:ext>
                    </c:extLst>
                    <c:numCache>
                      <c:formatCode>#,##0.00000</c:formatCode>
                      <c:ptCount val="131"/>
                      <c:pt idx="0">
                        <c:v>0.99971698450088875</c:v>
                      </c:pt>
                      <c:pt idx="1">
                        <c:v>0.99184832115307431</c:v>
                      </c:pt>
                      <c:pt idx="2">
                        <c:v>0.98356562645163537</c:v>
                      </c:pt>
                      <c:pt idx="3">
                        <c:v>0.97572504434744622</c:v>
                      </c:pt>
                      <c:pt idx="4">
                        <c:v>0.96761666275467029</c:v>
                      </c:pt>
                      <c:pt idx="5">
                        <c:v>0.95945691870439043</c:v>
                      </c:pt>
                      <c:pt idx="6">
                        <c:v>0.95124825628959553</c:v>
                      </c:pt>
                      <c:pt idx="7">
                        <c:v>0.94333440736216156</c:v>
                      </c:pt>
                      <c:pt idx="8">
                        <c:v>0.93546685405585495</c:v>
                      </c:pt>
                      <c:pt idx="9">
                        <c:v>0.92764553760761337</c:v>
                      </c:pt>
                      <c:pt idx="10">
                        <c:v>0.92017080328764478</c:v>
                      </c:pt>
                      <c:pt idx="11">
                        <c:v>0.91279662567344144</c:v>
                      </c:pt>
                      <c:pt idx="12">
                        <c:v>0.90552154991405887</c:v>
                      </c:pt>
                      <c:pt idx="13">
                        <c:v>0.89834414586883249</c:v>
                      </c:pt>
                      <c:pt idx="14">
                        <c:v>0.89177882528473451</c:v>
                      </c:pt>
                      <c:pt idx="15">
                        <c:v>0.88537358900312013</c:v>
                      </c:pt>
                      <c:pt idx="16">
                        <c:v>0.87912567080947701</c:v>
                      </c:pt>
                      <c:pt idx="17">
                        <c:v>0.87303238373707426</c:v>
                      </c:pt>
                      <c:pt idx="18">
                        <c:v>0.86751050718702882</c:v>
                      </c:pt>
                      <c:pt idx="19">
                        <c:v>0.86129933989699003</c:v>
                      </c:pt>
                      <c:pt idx="20">
                        <c:v>0.85565458850411802</c:v>
                      </c:pt>
                      <c:pt idx="21">
                        <c:v>0.85015447545473843</c:v>
                      </c:pt>
                      <c:pt idx="22">
                        <c:v>0.84479668250481788</c:v>
                      </c:pt>
                      <c:pt idx="23">
                        <c:v>0.83957896006210686</c:v>
                      </c:pt>
                      <c:pt idx="24">
                        <c:v>0.83449912561753647</c:v>
                      </c:pt>
                      <c:pt idx="25">
                        <c:v>0.82955506222874686</c:v>
                      </c:pt>
                      <c:pt idx="26">
                        <c:v>0.82474471705427643</c:v>
                      </c:pt>
                      <c:pt idx="27">
                        <c:v>0.81959610496969859</c:v>
                      </c:pt>
                      <c:pt idx="28">
                        <c:v>0.81454822884932787</c:v>
                      </c:pt>
                      <c:pt idx="29">
                        <c:v>0.80959962062409419</c:v>
                      </c:pt>
                      <c:pt idx="30">
                        <c:v>0.80474884620967146</c:v>
                      </c:pt>
                      <c:pt idx="31">
                        <c:v>0.79999450481835477</c:v>
                      </c:pt>
                      <c:pt idx="32">
                        <c:v>0.79533522828906689</c:v>
                      </c:pt>
                      <c:pt idx="33">
                        <c:v>0.79076968043505158</c:v>
                      </c:pt>
                      <c:pt idx="34">
                        <c:v>0.78629655640881724</c:v>
                      </c:pt>
                      <c:pt idx="35">
                        <c:v>0.78191458208391207</c:v>
                      </c:pt>
                      <c:pt idx="36">
                        <c:v>0.77762251345312328</c:v>
                      </c:pt>
                      <c:pt idx="37">
                        <c:v>0.77341913604270218</c:v>
                      </c:pt>
                      <c:pt idx="38">
                        <c:v>0.76930326434223262</c:v>
                      </c:pt>
                      <c:pt idx="39">
                        <c:v>0.76527374124976844</c:v>
                      </c:pt>
                      <c:pt idx="40">
                        <c:v>0.76060636270205739</c:v>
                      </c:pt>
                      <c:pt idx="41">
                        <c:v>0.75599523104223065</c:v>
                      </c:pt>
                      <c:pt idx="42">
                        <c:v>0.7514396673993412</c:v>
                      </c:pt>
                      <c:pt idx="43">
                        <c:v>0.74693900311331485</c:v>
                      </c:pt>
                      <c:pt idx="44">
                        <c:v>0.74249257957542569</c:v>
                      </c:pt>
                      <c:pt idx="45">
                        <c:v>0.73809974807157186</c:v>
                      </c:pt>
                      <c:pt idx="46">
                        <c:v>0.73375986962829942</c:v>
                      </c:pt>
                      <c:pt idx="47">
                        <c:v>0.72947231486152464</c:v>
                      </c:pt>
                      <c:pt idx="48">
                        <c:v>0.72523646382790519</c:v>
                      </c:pt>
                      <c:pt idx="49">
                        <c:v>0.72105170587881284</c:v>
                      </c:pt>
                      <c:pt idx="50">
                        <c:v>0.71691743951685838</c:v>
                      </c:pt>
                      <c:pt idx="51">
                        <c:v>0.71283307225492509</c:v>
                      </c:pt>
                      <c:pt idx="52">
                        <c:v>0.70879802047766272</c:v>
                      </c:pt>
                      <c:pt idx="53">
                        <c:v>0.70428967280252464</c:v>
                      </c:pt>
                      <c:pt idx="54">
                        <c:v>0.69997533518690014</c:v>
                      </c:pt>
                      <c:pt idx="55">
                        <c:v>0.69537719275659604</c:v>
                      </c:pt>
                      <c:pt idx="56">
                        <c:v>0.69097246354432029</c:v>
                      </c:pt>
                      <c:pt idx="57">
                        <c:v>0.6869127607715142</c:v>
                      </c:pt>
                      <c:pt idx="58">
                        <c:v>0.68226455556347509</c:v>
                      </c:pt>
                      <c:pt idx="59">
                        <c:v>0.67796079657678032</c:v>
                      </c:pt>
                      <c:pt idx="60">
                        <c:v>0.67369011863445205</c:v>
                      </c:pt>
                      <c:pt idx="61">
                        <c:v>0.66945223836760059</c:v>
                      </c:pt>
                      <c:pt idx="62">
                        <c:v>0.665246875054883</c:v>
                      </c:pt>
                      <c:pt idx="63">
                        <c:v>0.66107375059599016</c:v>
                      </c:pt>
                      <c:pt idx="64">
                        <c:v>0.656932589485417</c:v>
                      </c:pt>
                      <c:pt idx="65">
                        <c:v>0.65282311878651023</c:v>
                      </c:pt>
                      <c:pt idx="66">
                        <c:v>0.64847247820702947</c:v>
                      </c:pt>
                      <c:pt idx="67">
                        <c:v>0.64414830533690426</c:v>
                      </c:pt>
                      <c:pt idx="68">
                        <c:v>0.63985045749024305</c:v>
                      </c:pt>
                      <c:pt idx="69">
                        <c:v>0.6355787926241756</c:v>
                      </c:pt>
                      <c:pt idx="70">
                        <c:v>0.63133316933678363</c:v>
                      </c:pt>
                      <c:pt idx="71">
                        <c:v>0.62711344686503312</c:v>
                      </c:pt>
                      <c:pt idx="72">
                        <c:v>0.62291948508270756</c:v>
                      </c:pt>
                      <c:pt idx="73">
                        <c:v>0.61875114449834234</c:v>
                      </c:pt>
                      <c:pt idx="74">
                        <c:v>0.614608286253161</c:v>
                      </c:pt>
                      <c:pt idx="75">
                        <c:v>0.61049077211901281</c:v>
                      </c:pt>
                      <c:pt idx="76">
                        <c:v>0.60639846449631185</c:v>
                      </c:pt>
                      <c:pt idx="77">
                        <c:v>0.60233122641197678</c:v>
                      </c:pt>
                      <c:pt idx="78">
                        <c:v>0.59828892151737423</c:v>
                      </c:pt>
                      <c:pt idx="79">
                        <c:v>0.59427141408626116</c:v>
                      </c:pt>
                      <c:pt idx="80">
                        <c:v>0.59027856901273112</c:v>
                      </c:pt>
                      <c:pt idx="81">
                        <c:v>0.58631025180916052</c:v>
                      </c:pt>
                      <c:pt idx="82">
                        <c:v>0.5823663286041576</c:v>
                      </c:pt>
                      <c:pt idx="83">
                        <c:v>0.5784466661405131</c:v>
                      </c:pt>
                      <c:pt idx="84">
                        <c:v>0.57455113177315176</c:v>
                      </c:pt>
                      <c:pt idx="85">
                        <c:v>0.57067959346708708</c:v>
                      </c:pt>
                      <c:pt idx="86">
                        <c:v>0.56683191979537662</c:v>
                      </c:pt>
                      <c:pt idx="87">
                        <c:v>0.56300797993708018</c:v>
                      </c:pt>
                      <c:pt idx="88">
                        <c:v>0.55920764367521891</c:v>
                      </c:pt>
                      <c:pt idx="89">
                        <c:v>0.55543078139473745</c:v>
                      </c:pt>
                      <c:pt idx="90">
                        <c:v>0.55167726408046747</c:v>
                      </c:pt>
                      <c:pt idx="91">
                        <c:v>0.54807979001054186</c:v>
                      </c:pt>
                      <c:pt idx="92">
                        <c:v>0.54413868809812305</c:v>
                      </c:pt>
                      <c:pt idx="93">
                        <c:v>0.54035607860559065</c:v>
                      </c:pt>
                      <c:pt idx="94">
                        <c:v>0.53659556862916058</c:v>
                      </c:pt>
                      <c:pt idx="95">
                        <c:v>0.53285706297104229</c:v>
                      </c:pt>
                      <c:pt idx="96">
                        <c:v>0.52914046658199121</c:v>
                      </c:pt>
                      <c:pt idx="97">
                        <c:v>0.52570887614962314</c:v>
                      </c:pt>
                      <c:pt idx="98">
                        <c:v>0.52177262216838416</c:v>
                      </c:pt>
                      <c:pt idx="99">
                        <c:v>0.51812118480531688</c:v>
                      </c:pt>
                      <c:pt idx="100">
                        <c:v>0.51449127803805206</c:v>
                      </c:pt>
                      <c:pt idx="101">
                        <c:v>0.51088280758859805</c:v>
                      </c:pt>
                      <c:pt idx="102">
                        <c:v>0.50729567933878472</c:v>
                      </c:pt>
                      <c:pt idx="103">
                        <c:v>0.50372979933207462</c:v>
                      </c:pt>
                      <c:pt idx="104">
                        <c:v>0.50018507377535792</c:v>
                      </c:pt>
                      <c:pt idx="105">
                        <c:v>0.49666140904072492</c:v>
                      </c:pt>
                      <c:pt idx="106">
                        <c:v>0.49315871166722242</c:v>
                      </c:pt>
                      <c:pt idx="107">
                        <c:v>0.4896768883625901</c:v>
                      </c:pt>
                      <c:pt idx="108">
                        <c:v>0.48621584600497786</c:v>
                      </c:pt>
                      <c:pt idx="109">
                        <c:v>0.48277549164464506</c:v>
                      </c:pt>
                      <c:pt idx="110">
                        <c:v>0.47959931998596061</c:v>
                      </c:pt>
                      <c:pt idx="111">
                        <c:v>0.47595647598746499</c:v>
                      </c:pt>
                      <c:pt idx="112">
                        <c:v>0.47257762966671185</c:v>
                      </c:pt>
                      <c:pt idx="113">
                        <c:v>0.46921910129869404</c:v>
                      </c:pt>
                      <c:pt idx="114">
                        <c:v>0.46588079881904876</c:v>
                      </c:pt>
                      <c:pt idx="115">
                        <c:v>0.46256263034532519</c:v>
                      </c:pt>
                      <c:pt idx="116">
                        <c:v>0.4592645041785533</c:v>
                      </c:pt>
                      <c:pt idx="117">
                        <c:v>0.45598632880479545</c:v>
                      </c:pt>
                      <c:pt idx="118">
                        <c:v>0.45272801289667808</c:v>
                      </c:pt>
                      <c:pt idx="119">
                        <c:v>0.44948946531490652</c:v>
                      </c:pt>
                      <c:pt idx="120">
                        <c:v>0.4462705951097613</c:v>
                      </c:pt>
                      <c:pt idx="121">
                        <c:v>0.44307131152257584</c:v>
                      </c:pt>
                      <c:pt idx="122">
                        <c:v>0.43989152398719694</c:v>
                      </c:pt>
                      <c:pt idx="123">
                        <c:v>0.43673114213142689</c:v>
                      </c:pt>
                      <c:pt idx="124">
                        <c:v>0.43359007577844755</c:v>
                      </c:pt>
                      <c:pt idx="125">
                        <c:v>0.43046823494822678</c:v>
                      </c:pt>
                      <c:pt idx="126">
                        <c:v>0.42736552985890719</c:v>
                      </c:pt>
                      <c:pt idx="127">
                        <c:v>0.4242818709281771</c:v>
                      </c:pt>
                      <c:pt idx="128">
                        <c:v>0.42121716877462356</c:v>
                      </c:pt>
                      <c:pt idx="129">
                        <c:v>0.41817133421906832</c:v>
                      </c:pt>
                      <c:pt idx="130">
                        <c:v>0.41514427828588601</c:v>
                      </c:pt>
                    </c:numCache>
                  </c:numRef>
                </c:val>
                <c:smooth val="0"/>
                <c:extLst>
                  <c:ext xmlns:c16="http://schemas.microsoft.com/office/drawing/2014/chart" uri="{C3380CC4-5D6E-409C-BE32-E72D297353CC}">
                    <c16:uniqueId val="{00000001-4125-4FEE-8C9D-9FBB7877E487}"/>
                  </c:ext>
                </c:extLst>
              </c15:ser>
            </c15:filteredLineSeries>
          </c:ext>
        </c:extLst>
      </c:lineChart>
      <c:catAx>
        <c:axId val="30715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44111"/>
        <c:crosses val="autoZero"/>
        <c:auto val="1"/>
        <c:lblAlgn val="ctr"/>
        <c:lblOffset val="100"/>
        <c:noMultiLvlLbl val="0"/>
      </c:catAx>
      <c:valAx>
        <c:axId val="307144111"/>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00%" sourceLinked="1"/>
        <c:majorTickMark val="none"/>
        <c:minorTickMark val="none"/>
        <c:tickLblPos val="nextTo"/>
        <c:spPr>
          <a:noFill/>
          <a:ln w="9525"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07159087"/>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solidFill>
        <a:srgbClr val="00FFFF"/>
      </a:solidFill>
      <a:prstDash val="solid"/>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jpe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21</xdr:col>
      <xdr:colOff>26395</xdr:colOff>
      <xdr:row>6</xdr:row>
      <xdr:rowOff>18335</xdr:rowOff>
    </xdr:from>
    <xdr:to>
      <xdr:col>27</xdr:col>
      <xdr:colOff>8466</xdr:colOff>
      <xdr:row>21</xdr:row>
      <xdr:rowOff>0</xdr:rowOff>
    </xdr:to>
    <xdr:graphicFrame macro="">
      <xdr:nvGraphicFramePr>
        <xdr:cNvPr id="6" name="Gráfico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25399</xdr:colOff>
      <xdr:row>24</xdr:row>
      <xdr:rowOff>33866</xdr:rowOff>
    </xdr:from>
    <xdr:to>
      <xdr:col>27</xdr:col>
      <xdr:colOff>8466</xdr:colOff>
      <xdr:row>38</xdr:row>
      <xdr:rowOff>186265</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14625</xdr:colOff>
      <xdr:row>24</xdr:row>
      <xdr:rowOff>29307</xdr:rowOff>
    </xdr:from>
    <xdr:to>
      <xdr:col>34</xdr:col>
      <xdr:colOff>9769</xdr:colOff>
      <xdr:row>39</xdr:row>
      <xdr:rowOff>8466</xdr:rowOff>
    </xdr:to>
    <xdr:graphicFrame macro="">
      <xdr:nvGraphicFramePr>
        <xdr:cNvPr id="4" name="Gráfico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18473</xdr:colOff>
      <xdr:row>6</xdr:row>
      <xdr:rowOff>19537</xdr:rowOff>
    </xdr:from>
    <xdr:to>
      <xdr:col>34</xdr:col>
      <xdr:colOff>39078</xdr:colOff>
      <xdr:row>21</xdr:row>
      <xdr:rowOff>29308</xdr:rowOff>
    </xdr:to>
    <xdr:graphicFrame macro="">
      <xdr:nvGraphicFramePr>
        <xdr:cNvPr id="5" name="Gráfico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175260</xdr:colOff>
          <xdr:row>23</xdr:row>
          <xdr:rowOff>22860</xdr:rowOff>
        </xdr:from>
        <xdr:to>
          <xdr:col>3</xdr:col>
          <xdr:colOff>601980</xdr:colOff>
          <xdr:row>26</xdr:row>
          <xdr:rowOff>30480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1600" b="0" i="0" u="none" strike="noStrike" baseline="0">
                  <a:solidFill>
                    <a:srgbClr val="0000FF"/>
                  </a:solidFill>
                  <a:latin typeface="Calibri"/>
                  <a:cs typeface="Calibri"/>
                </a:rPr>
                <a:t>Bootstrapping</a:t>
              </a:r>
            </a:p>
          </xdr:txBody>
        </xdr:sp>
        <xdr:clientData fPrintsWithSheet="0"/>
      </xdr:twoCellAnchor>
    </mc:Choice>
    <mc:Fallback/>
  </mc:AlternateContent>
  <xdr:twoCellAnchor editAs="oneCell">
    <xdr:from>
      <xdr:col>3</xdr:col>
      <xdr:colOff>354134</xdr:colOff>
      <xdr:row>14</xdr:row>
      <xdr:rowOff>165182</xdr:rowOff>
    </xdr:from>
    <xdr:to>
      <xdr:col>4</xdr:col>
      <xdr:colOff>180488</xdr:colOff>
      <xdr:row>18</xdr:row>
      <xdr:rowOff>27080</xdr:rowOff>
    </xdr:to>
    <xdr:pic macro="[0]!Yellow_Format">
      <xdr:nvPicPr>
        <xdr:cNvPr id="2" name="Picture 2" descr="Cepillo Del Artista Para El Icono De Dibujo. Ilustración De Dibujos  Animados De Pincel Para Dibujar Icono De Vector Para El Diseño Web  Ilustraciones Svg, Vectoriales, Clip Art Vectorizado Libre De Derechos.">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82596" y="2900567"/>
          <a:ext cx="583469" cy="6800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BC81A-3252-4689-9034-EE060B1B6839}">
  <sheetPr codeName="Hoja3"/>
  <dimension ref="B2:M15"/>
  <sheetViews>
    <sheetView showGridLines="0" tabSelected="1" workbookViewId="0">
      <selection activeCell="A2" sqref="A2"/>
    </sheetView>
  </sheetViews>
  <sheetFormatPr baseColWidth="10" defaultRowHeight="14.4"/>
  <sheetData>
    <row r="2" spans="2:13" ht="16.2" thickBot="1">
      <c r="B2" t="s">
        <v>37</v>
      </c>
      <c r="J2" s="72" t="s">
        <v>38</v>
      </c>
      <c r="K2" s="73"/>
      <c r="L2" s="74"/>
    </row>
    <row r="3" spans="2:13">
      <c r="B3" s="86" t="s">
        <v>43</v>
      </c>
      <c r="C3" s="87"/>
      <c r="D3" s="87"/>
      <c r="E3" s="87"/>
      <c r="F3" s="87"/>
      <c r="G3" s="87"/>
      <c r="H3" s="88"/>
      <c r="J3" s="75" t="s">
        <v>39</v>
      </c>
      <c r="K3" s="50"/>
      <c r="L3" s="76"/>
    </row>
    <row r="4" spans="2:13" ht="15" customHeight="1">
      <c r="B4" s="98" t="s">
        <v>48</v>
      </c>
      <c r="C4" s="99"/>
      <c r="D4" s="99"/>
      <c r="E4" s="99"/>
      <c r="F4" s="99"/>
      <c r="G4" s="99"/>
      <c r="H4" s="100"/>
      <c r="J4" s="75" t="s">
        <v>40</v>
      </c>
      <c r="K4" s="50"/>
      <c r="L4" s="76"/>
    </row>
    <row r="5" spans="2:13">
      <c r="B5" s="98"/>
      <c r="C5" s="99"/>
      <c r="D5" s="99"/>
      <c r="E5" s="99"/>
      <c r="F5" s="99"/>
      <c r="G5" s="99"/>
      <c r="H5" s="100"/>
      <c r="J5" s="75" t="s">
        <v>41</v>
      </c>
      <c r="K5" s="50"/>
      <c r="L5" s="76"/>
    </row>
    <row r="6" spans="2:13">
      <c r="B6" s="98"/>
      <c r="C6" s="99"/>
      <c r="D6" s="99"/>
      <c r="E6" s="99"/>
      <c r="F6" s="99"/>
      <c r="G6" s="99"/>
      <c r="H6" s="100"/>
      <c r="J6" s="77" t="s">
        <v>42</v>
      </c>
      <c r="K6" s="78"/>
      <c r="L6" s="79"/>
    </row>
    <row r="7" spans="2:13" ht="15" thickBot="1">
      <c r="B7" s="49"/>
      <c r="C7" s="50"/>
      <c r="D7" s="50"/>
      <c r="E7" s="50"/>
      <c r="F7" s="50"/>
      <c r="G7" s="50"/>
      <c r="H7" s="24"/>
    </row>
    <row r="8" spans="2:13" ht="15" customHeight="1">
      <c r="B8" s="98" t="s">
        <v>44</v>
      </c>
      <c r="C8" s="99"/>
      <c r="D8" s="99"/>
      <c r="E8" s="99"/>
      <c r="F8" s="99"/>
      <c r="G8" s="99"/>
      <c r="H8" s="100"/>
      <c r="J8" s="89" t="s">
        <v>47</v>
      </c>
      <c r="K8" s="90"/>
      <c r="L8" s="90"/>
      <c r="M8" s="91"/>
    </row>
    <row r="9" spans="2:13">
      <c r="B9" s="98"/>
      <c r="C9" s="99"/>
      <c r="D9" s="99"/>
      <c r="E9" s="99"/>
      <c r="F9" s="99"/>
      <c r="G9" s="99"/>
      <c r="H9" s="100"/>
      <c r="J9" s="92"/>
      <c r="K9" s="93"/>
      <c r="L9" s="93"/>
      <c r="M9" s="94"/>
    </row>
    <row r="10" spans="2:13">
      <c r="B10" s="98"/>
      <c r="C10" s="99"/>
      <c r="D10" s="99"/>
      <c r="E10" s="99"/>
      <c r="F10" s="99"/>
      <c r="G10" s="99"/>
      <c r="H10" s="100"/>
      <c r="J10" s="92"/>
      <c r="K10" s="93"/>
      <c r="L10" s="93"/>
      <c r="M10" s="94"/>
    </row>
    <row r="11" spans="2:13" ht="15" thickBot="1">
      <c r="B11" s="51"/>
      <c r="C11" s="52"/>
      <c r="D11" s="52"/>
      <c r="E11" s="52"/>
      <c r="F11" s="52"/>
      <c r="G11" s="52"/>
      <c r="H11" s="53"/>
      <c r="J11" s="95"/>
      <c r="K11" s="96"/>
      <c r="L11" s="96"/>
      <c r="M11" s="97"/>
    </row>
    <row r="12" spans="2:13">
      <c r="B12" s="101" t="s">
        <v>45</v>
      </c>
      <c r="C12" s="102"/>
      <c r="D12" s="102"/>
      <c r="E12" s="102"/>
      <c r="F12" s="102"/>
      <c r="G12" s="102"/>
      <c r="H12" s="103"/>
    </row>
    <row r="13" spans="2:13">
      <c r="B13" s="104"/>
      <c r="C13" s="102"/>
      <c r="D13" s="102"/>
      <c r="E13" s="102"/>
      <c r="F13" s="102"/>
      <c r="G13" s="102"/>
      <c r="H13" s="103"/>
      <c r="J13" s="116" t="s">
        <v>49</v>
      </c>
    </row>
    <row r="14" spans="2:13">
      <c r="B14" s="49"/>
      <c r="C14" s="50"/>
      <c r="D14" s="50"/>
      <c r="E14" s="50"/>
      <c r="F14" s="50"/>
      <c r="G14" s="50"/>
      <c r="H14" s="24"/>
    </row>
    <row r="15" spans="2:13" ht="15" thickBot="1">
      <c r="B15" s="83" t="s">
        <v>46</v>
      </c>
      <c r="C15" s="84"/>
      <c r="D15" s="84"/>
      <c r="E15" s="84"/>
      <c r="F15" s="84"/>
      <c r="G15" s="84"/>
      <c r="H15" s="85"/>
    </row>
  </sheetData>
  <mergeCells count="6">
    <mergeCell ref="B15:H15"/>
    <mergeCell ref="B3:H3"/>
    <mergeCell ref="J8:M11"/>
    <mergeCell ref="B4:H6"/>
    <mergeCell ref="B8:H10"/>
    <mergeCell ref="B12:H1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56"/>
  <sheetViews>
    <sheetView showGridLines="0" topLeftCell="F1" zoomScale="78" zoomScaleNormal="78" workbookViewId="0">
      <selection activeCell="S7" sqref="S7"/>
    </sheetView>
  </sheetViews>
  <sheetFormatPr baseColWidth="10" defaultColWidth="11.44140625" defaultRowHeight="14.4"/>
  <cols>
    <col min="1" max="1" width="16.6640625" bestFit="1" customWidth="1"/>
    <col min="2" max="2" width="13.5546875" customWidth="1"/>
    <col min="3" max="3" width="15.33203125" customWidth="1"/>
    <col min="6" max="6" width="11.5546875" style="23"/>
    <col min="9" max="10" width="12.33203125" bestFit="1" customWidth="1"/>
    <col min="11" max="12" width="23.109375" customWidth="1"/>
    <col min="13" max="16" width="24.6640625" customWidth="1"/>
    <col min="17" max="17" width="10.6640625" customWidth="1"/>
    <col min="18" max="19" width="17.6640625" customWidth="1"/>
    <col min="21" max="21" width="17.88671875" bestFit="1" customWidth="1"/>
  </cols>
  <sheetData>
    <row r="1" spans="1:20">
      <c r="A1" s="1" t="s">
        <v>12</v>
      </c>
      <c r="B1" s="8">
        <v>44875</v>
      </c>
      <c r="E1" s="24"/>
      <c r="F1" s="26"/>
    </row>
    <row r="2" spans="1:20">
      <c r="E2" s="24"/>
      <c r="F2" s="26"/>
      <c r="G2" s="70"/>
      <c r="H2" s="70"/>
      <c r="I2" s="70"/>
      <c r="J2" s="70"/>
      <c r="K2" s="70"/>
      <c r="L2" s="70" t="s">
        <v>19</v>
      </c>
      <c r="M2" s="70" t="s">
        <v>19</v>
      </c>
      <c r="N2" t="s">
        <v>22</v>
      </c>
      <c r="O2" s="24" t="s">
        <v>23</v>
      </c>
      <c r="P2" t="s">
        <v>22</v>
      </c>
      <c r="Q2" t="s">
        <v>23</v>
      </c>
      <c r="R2" t="s">
        <v>24</v>
      </c>
      <c r="S2" t="s">
        <v>32</v>
      </c>
    </row>
    <row r="3" spans="1:20" ht="15" thickBot="1">
      <c r="A3" s="1" t="s">
        <v>11</v>
      </c>
      <c r="B3" s="12">
        <f>10.19*(1/100)</f>
        <v>0.10189999999999999</v>
      </c>
      <c r="E3" s="24"/>
      <c r="F3" s="26"/>
      <c r="G3" s="55" t="s">
        <v>17</v>
      </c>
      <c r="H3" s="54" t="s">
        <v>16</v>
      </c>
      <c r="I3" s="54" t="s">
        <v>13</v>
      </c>
      <c r="J3" s="54" t="s">
        <v>14</v>
      </c>
      <c r="K3" s="54" t="s">
        <v>15</v>
      </c>
      <c r="L3" s="54" t="s">
        <v>20</v>
      </c>
      <c r="M3" s="54" t="s">
        <v>21</v>
      </c>
      <c r="N3" s="105" t="s">
        <v>25</v>
      </c>
      <c r="O3" s="106"/>
      <c r="P3" s="115" t="s">
        <v>26</v>
      </c>
      <c r="Q3" s="115"/>
      <c r="R3" s="115"/>
      <c r="S3" s="115"/>
    </row>
    <row r="4" spans="1:20">
      <c r="A4" s="1" t="s">
        <v>10</v>
      </c>
      <c r="B4" s="12">
        <f>10.2*(1/100)</f>
        <v>0.10199999999999999</v>
      </c>
      <c r="E4" s="24"/>
      <c r="F4" s="26"/>
      <c r="G4" s="24">
        <v>0</v>
      </c>
      <c r="H4">
        <v>0</v>
      </c>
      <c r="I4" s="5">
        <f>WORKDAY.INTL(J4,-1,1,Holiday!$A$1:$A$194)</f>
        <v>44874</v>
      </c>
      <c r="J4" s="5">
        <f>B1</f>
        <v>44875</v>
      </c>
      <c r="K4" s="5">
        <f>WORKDAY.INTL($B$1,1,1,Holiday!$A$1:$A$194)</f>
        <v>44876</v>
      </c>
      <c r="L4" s="13">
        <f t="shared" ref="L4:L35" si="0">(K4-J4)/$C$16</f>
        <v>2.7777777777777779E-3</v>
      </c>
      <c r="M4" s="33">
        <f>+L4</f>
        <v>2.7777777777777779E-3</v>
      </c>
      <c r="N4" s="40">
        <f>(1+L4*B3)^-1</f>
        <v>0.99971702454221989</v>
      </c>
      <c r="O4" s="39">
        <f>B3</f>
        <v>0.10189999999999999</v>
      </c>
      <c r="P4" s="41">
        <f>EXP(-O4*L4)</f>
        <v>0.99971698450088875</v>
      </c>
      <c r="Q4" s="27">
        <f>B3</f>
        <v>0.10189999999999999</v>
      </c>
      <c r="R4" s="27"/>
      <c r="S4" s="28"/>
    </row>
    <row r="5" spans="1:20">
      <c r="A5" s="1" t="s">
        <v>0</v>
      </c>
      <c r="B5" s="12">
        <f>10.4525*(1/100)</f>
        <v>0.10452500000000001</v>
      </c>
      <c r="E5" s="24"/>
      <c r="F5" s="26"/>
      <c r="G5" s="25">
        <f>K5-$K$4</f>
        <v>28</v>
      </c>
      <c r="H5" s="6">
        <v>1</v>
      </c>
      <c r="I5" s="7">
        <f>WORKDAY.INTL(J5,-1,1,Holiday!$A$1:$A$194)</f>
        <v>44875</v>
      </c>
      <c r="J5" s="7">
        <f>+K4</f>
        <v>44876</v>
      </c>
      <c r="K5" s="7">
        <f>IF($C$17 = Aux!I3, WORKDAY.INTL($J$5+28*H5-1,1,1,Holiday!$A$1:$A$194), WORKDAY.INTL($J$5+28*H5+1,-1,1,Holiday!$A$1:$A$194))</f>
        <v>44904</v>
      </c>
      <c r="L5" s="14">
        <f t="shared" si="0"/>
        <v>7.7777777777777779E-2</v>
      </c>
      <c r="M5" s="34">
        <f>+M4+L5</f>
        <v>8.0555555555555561E-2</v>
      </c>
      <c r="N5" s="36">
        <f>N4/(O5*L5+1)</f>
        <v>0.99184836087924455</v>
      </c>
      <c r="O5" s="22">
        <v>0.10199999999999999</v>
      </c>
      <c r="P5" s="30">
        <f>P4/(B4*L5+1)</f>
        <v>0.99184832115307431</v>
      </c>
      <c r="Q5" s="16">
        <f>LN(P5)/-L5</f>
        <v>0.10523681294669512</v>
      </c>
      <c r="R5" s="16">
        <f>B4</f>
        <v>0.10199999999999999</v>
      </c>
      <c r="S5" s="15"/>
      <c r="T5" s="5"/>
    </row>
    <row r="6" spans="1:20">
      <c r="A6" s="2" t="s">
        <v>1</v>
      </c>
      <c r="B6" s="12">
        <f>10.69*(1/100)</f>
        <v>0.1069</v>
      </c>
      <c r="E6" s="24"/>
      <c r="F6" s="26"/>
      <c r="G6" s="24">
        <f t="shared" ref="G6:G69" si="1">K6-$K$4</f>
        <v>56</v>
      </c>
      <c r="H6">
        <v>2</v>
      </c>
      <c r="I6" s="5">
        <f>WORKDAY.INTL(J6,-1,1,Holiday!$A$1:$A$194)</f>
        <v>44903</v>
      </c>
      <c r="J6" s="5">
        <f>K5</f>
        <v>44904</v>
      </c>
      <c r="K6" s="5">
        <f>IF($C$17 = Aux!I4, WORKDAY.INTL($J$5+28*H6-1,1,1,Holiday!$A$1:$A$194), WORKDAY.INTL($J$5+28*H6+1,-1,1,Holiday!$A$1:$A$194))</f>
        <v>44932</v>
      </c>
      <c r="L6" s="13">
        <f t="shared" si="0"/>
        <v>7.7777777777777779E-2</v>
      </c>
      <c r="M6" s="35">
        <f>L6+M5</f>
        <v>0.15833333333333333</v>
      </c>
      <c r="N6" s="37">
        <f>($N$4-(O6*SUMPRODUCT(L$5:L5,N$5:N5)))/((O6*L6)+1)</f>
        <v>0.98384915506244763</v>
      </c>
      <c r="O6" s="21">
        <v>0.10326250000000001</v>
      </c>
      <c r="P6" s="31">
        <f>EXP(-M6*Q6)</f>
        <v>0.98356562645163537</v>
      </c>
      <c r="Q6" s="15">
        <f>Interpol($A$29:$B$39,2,G6)</f>
        <v>0.104658416365667</v>
      </c>
      <c r="R6" s="15"/>
      <c r="T6" s="5"/>
    </row>
    <row r="7" spans="1:20">
      <c r="A7" s="2" t="s">
        <v>2</v>
      </c>
      <c r="B7" s="12">
        <f>10.73*(1/100)</f>
        <v>0.10730000000000001</v>
      </c>
      <c r="E7" s="24"/>
      <c r="F7" s="26"/>
      <c r="G7" s="25">
        <f t="shared" si="1"/>
        <v>84</v>
      </c>
      <c r="H7" s="6">
        <v>3</v>
      </c>
      <c r="I7" s="7">
        <f>WORKDAY.INTL(J7,-1,1,Holiday!$A$1:$A$194)</f>
        <v>44931</v>
      </c>
      <c r="J7" s="7">
        <f>K6</f>
        <v>44932</v>
      </c>
      <c r="K7" s="7">
        <f>IF($C$17 = Aux!I5, WORKDAY.INTL($J$5+28*H7-1,1,1,Holiday!$A$1:$A$194), WORKDAY.INTL($J$5+28*H7+1,-1,1,Holiday!$A$1:$A$194))</f>
        <v>44960</v>
      </c>
      <c r="L7" s="14">
        <f t="shared" si="0"/>
        <v>7.7777777777777779E-2</v>
      </c>
      <c r="M7" s="34">
        <f t="shared" ref="M7:M70" si="2">L7+M6</f>
        <v>0.2361111111111111</v>
      </c>
      <c r="N7" s="36">
        <f>($N$4-(O7*SUMPRODUCT(L$5:L6,N$5:N6)))/((O7*L7)+1)</f>
        <v>0.97572279723506861</v>
      </c>
      <c r="O7" s="22">
        <v>0.10452500000000001</v>
      </c>
      <c r="P7" s="30">
        <f t="shared" ref="P7:P70" si="3">EXP(-M7*Q7)</f>
        <v>0.97572504434744622</v>
      </c>
      <c r="Q7" s="16">
        <v>0.10408001978463889</v>
      </c>
      <c r="R7" s="16">
        <f>($P$4-P7)/SUMPRODUCT(L$5:L7,P$5:P7)</f>
        <v>0.10452499960660387</v>
      </c>
      <c r="S7" s="16">
        <f>R7-B5</f>
        <v>-3.93396135112134E-10</v>
      </c>
      <c r="T7" s="5"/>
    </row>
    <row r="8" spans="1:20">
      <c r="A8" s="2" t="s">
        <v>3</v>
      </c>
      <c r="B8" s="12">
        <f>10.62*(1/100)</f>
        <v>0.10619999999999999</v>
      </c>
      <c r="E8" s="24"/>
      <c r="F8" s="26"/>
      <c r="G8" s="24">
        <f t="shared" si="1"/>
        <v>112</v>
      </c>
      <c r="H8">
        <v>4</v>
      </c>
      <c r="I8" s="5">
        <f>WORKDAY.INTL(J8,-1,1,Holiday!$A$1:$A$194)</f>
        <v>44959</v>
      </c>
      <c r="J8" s="5">
        <f t="shared" ref="J8:J71" si="4">K7</f>
        <v>44960</v>
      </c>
      <c r="K8" s="5">
        <f>IF($C$17 = Aux!I6, WORKDAY.INTL($J$5+28*H8-1,1,1,Holiday!$A$1:$A$194), WORKDAY.INTL($J$5+28*H8+1,-1,1,Holiday!$A$1:$A$194))</f>
        <v>44988</v>
      </c>
      <c r="L8" s="13">
        <f t="shared" si="0"/>
        <v>7.7777777777777779E-2</v>
      </c>
      <c r="M8" s="35">
        <f t="shared" si="2"/>
        <v>0.31388888888888888</v>
      </c>
      <c r="N8" s="37">
        <f>($N$4-(O8*SUMPRODUCT(L$5:L7,N$5:N7)))/((O8*L8)+1)</f>
        <v>0.96761504472994453</v>
      </c>
      <c r="O8" s="21">
        <v>0.10531666666666667</v>
      </c>
      <c r="P8" s="31">
        <f t="shared" si="3"/>
        <v>0.96761666275467029</v>
      </c>
      <c r="Q8" s="15">
        <f>Interpol($A$29:$B$39,2,G8)</f>
        <v>0.10487558131012063</v>
      </c>
      <c r="R8" s="15"/>
      <c r="T8" s="5"/>
    </row>
    <row r="9" spans="1:20">
      <c r="A9" s="2" t="s">
        <v>4</v>
      </c>
      <c r="B9" s="12">
        <f>9.61*(1/100)</f>
        <v>9.6099999999999991E-2</v>
      </c>
      <c r="E9" s="24"/>
      <c r="F9" s="26"/>
      <c r="G9" s="24">
        <f t="shared" si="1"/>
        <v>140</v>
      </c>
      <c r="H9">
        <v>5</v>
      </c>
      <c r="I9" s="5">
        <f>WORKDAY.INTL(J9,-1,1,Holiday!$A$1:$A$194)</f>
        <v>44987</v>
      </c>
      <c r="J9" s="5">
        <f t="shared" si="4"/>
        <v>44988</v>
      </c>
      <c r="K9" s="5">
        <f>IF($C$17 = Aux!I7, WORKDAY.INTL($J$5+28*H9-1,1,1,Holiday!$A$1:$A$194), WORKDAY.INTL($J$5+28*H9+1,-1,1,Holiday!$A$1:$A$194))</f>
        <v>45016</v>
      </c>
      <c r="L9" s="13">
        <f t="shared" si="0"/>
        <v>7.7777777777777779E-2</v>
      </c>
      <c r="M9" s="35">
        <f t="shared" si="2"/>
        <v>0.39166666666666666</v>
      </c>
      <c r="N9" s="37">
        <f>($N$4-(O9*SUMPRODUCT(L$5:L8,N$5:N8)))/((O9*L9)+1)</f>
        <v>0.95945547211897741</v>
      </c>
      <c r="O9" s="21">
        <v>0.10610833333333333</v>
      </c>
      <c r="P9" s="31">
        <f t="shared" si="3"/>
        <v>0.95945691870439043</v>
      </c>
      <c r="Q9" s="15" cm="1">
        <f t="array" ref="Q9">Interpol($A$29:$B$39,2,G9)</f>
        <v>0.10567114283560237</v>
      </c>
      <c r="R9" s="15"/>
      <c r="T9" s="5"/>
    </row>
    <row r="10" spans="1:20">
      <c r="A10" s="2" t="s">
        <v>5</v>
      </c>
      <c r="B10" s="12">
        <f>8.945*(1/100)</f>
        <v>8.9450000000000002E-2</v>
      </c>
      <c r="E10" s="24"/>
      <c r="F10" s="26"/>
      <c r="G10" s="25">
        <f t="shared" si="1"/>
        <v>168</v>
      </c>
      <c r="H10" s="6">
        <v>6</v>
      </c>
      <c r="I10" s="7">
        <f>WORKDAY.INTL(J10,-1,1,Holiday!$A$1:$A$194)</f>
        <v>45015</v>
      </c>
      <c r="J10" s="7">
        <f t="shared" si="4"/>
        <v>45016</v>
      </c>
      <c r="K10" s="7">
        <f>IF($C$17 = Aux!I8, WORKDAY.INTL($J$5+28*H10-1,1,1,Holiday!$A$1:$A$194), WORKDAY.INTL($J$5+28*H10+1,-1,1,Holiday!$A$1:$A$194))</f>
        <v>45044</v>
      </c>
      <c r="L10" s="14">
        <f t="shared" si="0"/>
        <v>7.7777777777777779E-2</v>
      </c>
      <c r="M10" s="34">
        <f t="shared" si="2"/>
        <v>0.46944444444444444</v>
      </c>
      <c r="N10" s="36">
        <f>($N$4-(O10*SUMPRODUCT(L$5:L9,N$5:N9)))/((O10*L10)+1)</f>
        <v>0.9512460015305142</v>
      </c>
      <c r="O10" s="22">
        <v>0.1069</v>
      </c>
      <c r="P10" s="30">
        <f t="shared" si="3"/>
        <v>0.95124825628959553</v>
      </c>
      <c r="Q10" s="16">
        <v>0.10646670436108412</v>
      </c>
      <c r="R10" s="16">
        <f>($P$4-P10)/SUMPRODUCT(L$5:L10,P$5:P10)</f>
        <v>0.10690000000370707</v>
      </c>
      <c r="S10" s="16">
        <f>R10-B6</f>
        <v>3.7070763125868211E-12</v>
      </c>
      <c r="T10" s="5"/>
    </row>
    <row r="11" spans="1:20">
      <c r="A11" s="2" t="s">
        <v>6</v>
      </c>
      <c r="B11" s="12">
        <f>8.65*(1/100)</f>
        <v>8.6500000000000007E-2</v>
      </c>
      <c r="E11" s="24"/>
      <c r="F11" s="26"/>
      <c r="G11" s="24">
        <f t="shared" si="1"/>
        <v>196</v>
      </c>
      <c r="H11">
        <v>7</v>
      </c>
      <c r="I11" s="5">
        <f>WORKDAY.INTL(J11,-1,1,Holiday!$A$1:$A$194)</f>
        <v>45043</v>
      </c>
      <c r="J11" s="5">
        <f t="shared" si="4"/>
        <v>45044</v>
      </c>
      <c r="K11" s="5">
        <f>IF($C$17 = Aux!I9, WORKDAY.INTL($J$5+28*H11-1,1,1,Holiday!$A$1:$A$194), WORKDAY.INTL($J$5+28*H11+1,-1,1,Holiday!$A$1:$A$194))</f>
        <v>45072</v>
      </c>
      <c r="L11" s="13">
        <f t="shared" si="0"/>
        <v>7.7777777777777779E-2</v>
      </c>
      <c r="M11" s="35">
        <f t="shared" si="2"/>
        <v>0.54722222222222228</v>
      </c>
      <c r="N11" s="37">
        <f>($N$4-(O11*SUMPRODUCT(L$5:L10,N$5:N10)))/((O11*L11)+1)</f>
        <v>0.94333247682206511</v>
      </c>
      <c r="O11" s="21">
        <v>0.10703333333333333</v>
      </c>
      <c r="P11" s="31">
        <f t="shared" si="3"/>
        <v>0.94333440736216156</v>
      </c>
      <c r="Q11" s="15" cm="1">
        <f t="array" ref="Q11">Interpol($A$29:$B$39,2,G11)</f>
        <v>0.1066010043054527</v>
      </c>
      <c r="R11" s="15"/>
      <c r="T11" s="5"/>
    </row>
    <row r="12" spans="1:20">
      <c r="A12" s="2" t="s">
        <v>7</v>
      </c>
      <c r="B12" s="12">
        <f>8.5675*(1/100)</f>
        <v>8.5675000000000015E-2</v>
      </c>
      <c r="E12" s="24"/>
      <c r="F12" s="26"/>
      <c r="G12" s="24">
        <f t="shared" si="1"/>
        <v>224</v>
      </c>
      <c r="H12">
        <v>8</v>
      </c>
      <c r="I12" s="5">
        <f>WORKDAY.INTL(J12,-1,1,Holiday!$A$1:$A$194)</f>
        <v>45071</v>
      </c>
      <c r="J12" s="5">
        <f t="shared" si="4"/>
        <v>45072</v>
      </c>
      <c r="K12" s="5">
        <f>IF($C$17 = Aux!I10, WORKDAY.INTL($J$5+28*H12-1,1,1,Holiday!$A$1:$A$194), WORKDAY.INTL($J$5+28*H12+1,-1,1,Holiday!$A$1:$A$194))</f>
        <v>45100</v>
      </c>
      <c r="L12" s="13">
        <f t="shared" si="0"/>
        <v>7.7777777777777779E-2</v>
      </c>
      <c r="M12" s="35">
        <f t="shared" si="2"/>
        <v>0.625</v>
      </c>
      <c r="N12" s="37">
        <f>($N$4-(O12*SUMPRODUCT(L$5:L11,N$5:N11)))/((O12*L12)+1)</f>
        <v>0.93546496387662859</v>
      </c>
      <c r="O12" s="21">
        <v>0.10716666666666667</v>
      </c>
      <c r="P12" s="31">
        <f t="shared" si="3"/>
        <v>0.93546685405585495</v>
      </c>
      <c r="Q12" s="15" cm="1">
        <f t="array" ref="Q12">Interpol($A$29:$B$39,2,G12)</f>
        <v>0.10673530424982128</v>
      </c>
      <c r="R12" s="15"/>
      <c r="T12" s="5"/>
    </row>
    <row r="13" spans="1:20">
      <c r="A13" s="2" t="s">
        <v>8</v>
      </c>
      <c r="B13" s="12">
        <f>8.595*(1/100)</f>
        <v>8.5950000000000013E-2</v>
      </c>
      <c r="E13" s="24"/>
      <c r="F13" s="26"/>
      <c r="G13" s="25">
        <f t="shared" si="1"/>
        <v>252</v>
      </c>
      <c r="H13" s="6">
        <v>9</v>
      </c>
      <c r="I13" s="7">
        <f>WORKDAY.INTL(J13,-1,1,Holiday!$A$1:$A$194)</f>
        <v>45099</v>
      </c>
      <c r="J13" s="7">
        <f t="shared" si="4"/>
        <v>45100</v>
      </c>
      <c r="K13" s="7">
        <f>IF($C$17 = Aux!I11, WORKDAY.INTL($J$5+28*H13-1,1,1,Holiday!$A$1:$A$194), WORKDAY.INTL($J$5+28*H13+1,-1,1,Holiday!$A$1:$A$194))</f>
        <v>45128</v>
      </c>
      <c r="L13" s="14">
        <f t="shared" si="0"/>
        <v>7.7777777777777779E-2</v>
      </c>
      <c r="M13" s="34">
        <f t="shared" si="2"/>
        <v>0.70277777777777772</v>
      </c>
      <c r="N13" s="36">
        <f>($N$4-(O13*SUMPRODUCT(L$5:L12,N$5:N12)))/((O13*L13)+1)</f>
        <v>0.92764332461985732</v>
      </c>
      <c r="O13" s="22">
        <v>0.10730000000000001</v>
      </c>
      <c r="P13" s="30">
        <f>EXP(-M13*Q13)</f>
        <v>0.92764553760761337</v>
      </c>
      <c r="Q13" s="16">
        <v>0.10686960419418987</v>
      </c>
      <c r="R13" s="16">
        <f>($P$4-P13)/SUMPRODUCT(L$5:L13,P$5:P13)</f>
        <v>0.10730000000758216</v>
      </c>
      <c r="S13" s="16">
        <f>R13-B7</f>
        <v>7.5821571243750441E-12</v>
      </c>
      <c r="T13" s="5"/>
    </row>
    <row r="14" spans="1:20">
      <c r="A14" s="2" t="s">
        <v>9</v>
      </c>
      <c r="B14" s="12">
        <f>8.72*(1/100)</f>
        <v>8.7200000000000014E-2</v>
      </c>
      <c r="E14" s="24"/>
      <c r="F14" s="26"/>
      <c r="G14" s="24">
        <f t="shared" si="1"/>
        <v>280</v>
      </c>
      <c r="H14">
        <v>10</v>
      </c>
      <c r="I14" s="5">
        <f>WORKDAY.INTL(J14,-1,1,Holiday!$A$1:$A$194)</f>
        <v>45127</v>
      </c>
      <c r="J14" s="5">
        <f t="shared" si="4"/>
        <v>45128</v>
      </c>
      <c r="K14" s="5">
        <f>IF($C$17 = Aux!I12, WORKDAY.INTL($J$5+28*H14-1,1,1,Holiday!$A$1:$A$194), WORKDAY.INTL($J$5+28*H14+1,-1,1,Holiday!$A$1:$A$194))</f>
        <v>45156</v>
      </c>
      <c r="L14" s="13">
        <f t="shared" si="0"/>
        <v>7.7777777777777779E-2</v>
      </c>
      <c r="M14" s="35">
        <f t="shared" si="2"/>
        <v>0.78055555555555545</v>
      </c>
      <c r="N14" s="37">
        <f>($N$4-(O14*SUMPRODUCT(L$5:L13,N$5:N13)))/((O14*L14)+1)</f>
        <v>0.92016840767600527</v>
      </c>
      <c r="O14" s="21">
        <v>0.10702500000000001</v>
      </c>
      <c r="P14" s="31">
        <f t="shared" si="3"/>
        <v>0.92017080328764478</v>
      </c>
      <c r="Q14" s="15" cm="1">
        <f t="array" ref="Q14">Interpol($A$29:$B$39,2,G14)</f>
        <v>0.10658558488420777</v>
      </c>
      <c r="R14" s="15"/>
      <c r="S14" s="11"/>
      <c r="T14" s="5"/>
    </row>
    <row r="15" spans="1:20" ht="15" thickBot="1">
      <c r="E15" s="24"/>
      <c r="F15" s="26"/>
      <c r="G15" s="24">
        <f t="shared" si="1"/>
        <v>308</v>
      </c>
      <c r="H15">
        <v>11</v>
      </c>
      <c r="I15" s="5">
        <f>WORKDAY.INTL(J15,-1,1,Holiday!$A$1:$A$194)</f>
        <v>45155</v>
      </c>
      <c r="J15" s="5">
        <f t="shared" si="4"/>
        <v>45156</v>
      </c>
      <c r="K15" s="5">
        <f>IF($C$17 = Aux!I13, WORKDAY.INTL($J$5+28*H15-1,1,1,Holiday!$A$1:$A$194), WORKDAY.INTL($J$5+28*H15+1,-1,1,Holiday!$A$1:$A$194))</f>
        <v>45184</v>
      </c>
      <c r="L15" s="13">
        <f t="shared" si="0"/>
        <v>7.7777777777777779E-2</v>
      </c>
      <c r="M15" s="35">
        <f t="shared" si="2"/>
        <v>0.85833333333333317</v>
      </c>
      <c r="N15" s="37">
        <f>($N$4-(O15*SUMPRODUCT(L$5:L14,N$5:N14)))/((O15*L15)+1)</f>
        <v>0.9127940808883932</v>
      </c>
      <c r="O15" s="21">
        <v>0.10675</v>
      </c>
      <c r="P15" s="31">
        <f t="shared" si="3"/>
        <v>0.91279662567344144</v>
      </c>
      <c r="Q15" s="15" cm="1">
        <f t="array" ref="Q15">Interpol($A$29:$B$39,2,G15)</f>
        <v>0.1063015655742257</v>
      </c>
      <c r="R15" s="15"/>
      <c r="S15" s="11"/>
      <c r="T15" s="5"/>
    </row>
    <row r="16" spans="1:20" ht="15" thickBot="1">
      <c r="A16" s="44" t="s">
        <v>18</v>
      </c>
      <c r="B16" s="59" t="s">
        <v>19</v>
      </c>
      <c r="C16" s="60">
        <v>360</v>
      </c>
      <c r="D16" s="61"/>
      <c r="E16" s="80"/>
      <c r="F16" s="56"/>
      <c r="G16" s="24">
        <f t="shared" si="1"/>
        <v>336</v>
      </c>
      <c r="H16">
        <v>12</v>
      </c>
      <c r="I16" s="5">
        <f>WORKDAY.INTL(J16,-1,1,Holiday!$A$1:$A$194)</f>
        <v>45183</v>
      </c>
      <c r="J16" s="5">
        <f t="shared" si="4"/>
        <v>45184</v>
      </c>
      <c r="K16" s="5">
        <f>IF($C$17 = Aux!I14, WORKDAY.INTL($J$5+28*H16-1,1,1,Holiday!$A$1:$A$194), WORKDAY.INTL($J$5+28*H16+1,-1,1,Holiday!$A$1:$A$194))</f>
        <v>45212</v>
      </c>
      <c r="L16" s="13">
        <f t="shared" si="0"/>
        <v>7.7777777777777779E-2</v>
      </c>
      <c r="M16" s="35">
        <f t="shared" si="2"/>
        <v>0.93611111111111089</v>
      </c>
      <c r="N16" s="37">
        <f>($N$4-(O16*SUMPRODUCT(L$5:L15,N$5:N15)))/((O16*L16)+1)</f>
        <v>0.90551904877325495</v>
      </c>
      <c r="O16" s="21">
        <v>0.10647499999999999</v>
      </c>
      <c r="P16" s="31">
        <f t="shared" si="3"/>
        <v>0.90552154991405887</v>
      </c>
      <c r="Q16" s="15" cm="1">
        <f t="array" ref="Q16">Interpol($A$29:$B$39,2,G16)</f>
        <v>0.10601754626424362</v>
      </c>
      <c r="R16" s="15"/>
      <c r="S16" s="11"/>
      <c r="T16" s="5"/>
    </row>
    <row r="17" spans="1:20" ht="18" customHeight="1" thickBot="1">
      <c r="A17" s="45">
        <v>1</v>
      </c>
      <c r="B17" s="62" t="s">
        <v>34</v>
      </c>
      <c r="C17" s="43" t="s">
        <v>35</v>
      </c>
      <c r="D17" s="63"/>
      <c r="E17" s="80"/>
      <c r="F17" s="56"/>
      <c r="G17" s="25">
        <f t="shared" si="1"/>
        <v>364</v>
      </c>
      <c r="H17" s="6">
        <v>13</v>
      </c>
      <c r="I17" s="7">
        <f>WORKDAY.INTL(J17,-1,1,Holiday!$A$1:$A$194)</f>
        <v>45211</v>
      </c>
      <c r="J17" s="7">
        <f>K16</f>
        <v>45212</v>
      </c>
      <c r="K17" s="7">
        <f>IF($C$17 = Aux!I15, WORKDAY.INTL($J$5+28*H17-1,1,1,Holiday!$A$1:$A$194), WORKDAY.INTL($J$5+28*H17+1,-1,1,Holiday!$A$1:$A$194))</f>
        <v>45240</v>
      </c>
      <c r="L17" s="14">
        <f t="shared" si="0"/>
        <v>7.7777777777777779E-2</v>
      </c>
      <c r="M17" s="34">
        <f>L17+M16</f>
        <v>1.0138888888888886</v>
      </c>
      <c r="N17" s="36">
        <f>($N$4-(O17*SUMPRODUCT(L$5:L16,N$5:N16)))/((O17*L17)+1)</f>
        <v>0.89834203488547149</v>
      </c>
      <c r="O17" s="22">
        <v>0.10619999999999999</v>
      </c>
      <c r="P17" s="30">
        <f t="shared" si="3"/>
        <v>0.89834414586883249</v>
      </c>
      <c r="Q17" s="16">
        <v>0.10573352695426153</v>
      </c>
      <c r="R17" s="16">
        <f>($P$4-P17)/SUMPRODUCT(L$5:L17,P$5:P17)</f>
        <v>0.10620000000879012</v>
      </c>
      <c r="S17" s="16">
        <f>R17-B8</f>
        <v>8.7901352863184457E-12</v>
      </c>
      <c r="T17" s="5"/>
    </row>
    <row r="18" spans="1:20" ht="15" thickBot="1">
      <c r="A18" s="45">
        <f>_xlfn.NUMBERVALUE(LEFT(A5,FIND("X",A5)-1))</f>
        <v>3</v>
      </c>
      <c r="B18" s="64"/>
      <c r="C18" s="50"/>
      <c r="D18" s="63"/>
      <c r="E18" s="80"/>
      <c r="F18" s="56"/>
      <c r="G18" s="24">
        <f t="shared" si="1"/>
        <v>392</v>
      </c>
      <c r="H18">
        <v>14</v>
      </c>
      <c r="I18" s="5">
        <f>WORKDAY.INTL(J18,-1,1,Holiday!$A$1:$A$194)</f>
        <v>45239</v>
      </c>
      <c r="J18" s="5">
        <f t="shared" si="4"/>
        <v>45240</v>
      </c>
      <c r="K18" s="5">
        <f>IF($C$17 = Aux!I16, WORKDAY.INTL($J$5+28*H18-1,1,1,Holiday!$A$1:$A$194), WORKDAY.INTL($J$5+28*H18+1,-1,1,Holiday!$A$1:$A$194))</f>
        <v>45268</v>
      </c>
      <c r="L18" s="13">
        <f t="shared" si="0"/>
        <v>7.7777777777777779E-2</v>
      </c>
      <c r="M18" s="35">
        <f t="shared" si="2"/>
        <v>1.0916666666666663</v>
      </c>
      <c r="N18" s="37">
        <f>($N$4-(O18*SUMPRODUCT(L$5:L17,N$5:N17)))/((O18*L18)+1)</f>
        <v>0.89177151450788494</v>
      </c>
      <c r="O18" s="21">
        <v>0.10542307692307691</v>
      </c>
      <c r="P18" s="31">
        <f t="shared" si="3"/>
        <v>0.89177882528473451</v>
      </c>
      <c r="Q18" s="15" cm="1">
        <f t="array" ref="Q18">Interpol($A$29:$B$39,2,G18)</f>
        <v>0.10491950918876182</v>
      </c>
      <c r="R18" s="15"/>
      <c r="T18" s="5"/>
    </row>
    <row r="19" spans="1:20" ht="15" thickBot="1">
      <c r="A19" s="45">
        <f t="shared" ref="A19:A27" si="5">_xlfn.NUMBERVALUE(LEFT(A6,FIND("X",A6)-1))</f>
        <v>6</v>
      </c>
      <c r="B19" s="107" t="s">
        <v>30</v>
      </c>
      <c r="C19" s="108"/>
      <c r="D19" s="65"/>
      <c r="E19" s="81"/>
      <c r="F19" s="57"/>
      <c r="G19" s="24">
        <f t="shared" si="1"/>
        <v>420</v>
      </c>
      <c r="H19">
        <v>15</v>
      </c>
      <c r="I19" s="5">
        <f>WORKDAY.INTL(J19,-1,1,Holiday!$A$1:$A$194)</f>
        <v>45267</v>
      </c>
      <c r="J19" s="5">
        <f>K18</f>
        <v>45268</v>
      </c>
      <c r="K19" s="5">
        <f>IF($C$17 = Aux!I17, WORKDAY.INTL($J$5+28*H19-1,1,1,Holiday!$A$1:$A$194), WORKDAY.INTL($J$5+28*H19+1,-1,1,Holiday!$A$1:$A$194))</f>
        <v>45296</v>
      </c>
      <c r="L19" s="13">
        <f t="shared" si="0"/>
        <v>7.7777777777777779E-2</v>
      </c>
      <c r="M19" s="35">
        <f>L19+M18</f>
        <v>1.1694444444444441</v>
      </c>
      <c r="N19" s="37">
        <f>($N$4-(O19*SUMPRODUCT(L$5:L18,N$5:N18)))/((O19*L19)+1)</f>
        <v>0.88536094546282307</v>
      </c>
      <c r="O19" s="21">
        <v>0.10464615384615383</v>
      </c>
      <c r="P19" s="31">
        <f t="shared" si="3"/>
        <v>0.88537358900312013</v>
      </c>
      <c r="Q19" s="15" cm="1">
        <f t="array" ref="Q19">Interpol($A$29:$B$39,2,G19)</f>
        <v>0.10410549142326211</v>
      </c>
      <c r="R19" s="15"/>
      <c r="T19" s="5"/>
    </row>
    <row r="20" spans="1:20">
      <c r="A20" s="45">
        <f t="shared" si="5"/>
        <v>9</v>
      </c>
      <c r="B20" s="109" t="s">
        <v>31</v>
      </c>
      <c r="C20" s="110"/>
      <c r="D20" s="66"/>
      <c r="E20" s="82"/>
      <c r="F20" s="58"/>
      <c r="G20" s="24">
        <f t="shared" si="1"/>
        <v>448</v>
      </c>
      <c r="H20">
        <v>16</v>
      </c>
      <c r="I20" s="5">
        <f>WORKDAY.INTL(J20,-1,1,Holiday!$A$1:$A$194)</f>
        <v>45295</v>
      </c>
      <c r="J20" s="5">
        <f>K19</f>
        <v>45296</v>
      </c>
      <c r="K20" s="5">
        <f>IF($C$17 = Aux!I18, WORKDAY.INTL($J$5+28*H20-1,1,1,Holiday!$A$1:$A$194), WORKDAY.INTL($J$5+28*H20+1,-1,1,Holiday!$A$1:$A$194))</f>
        <v>45324</v>
      </c>
      <c r="L20" s="13">
        <f t="shared" si="0"/>
        <v>7.7777777777777779E-2</v>
      </c>
      <c r="M20" s="35">
        <f>L20+M19</f>
        <v>1.2472222222222218</v>
      </c>
      <c r="N20" s="37">
        <f>($N$4-(O20*SUMPRODUCT(L$5:L19,N$5:N19)))/((O20*L20)+1)</f>
        <v>0.87910789309636084</v>
      </c>
      <c r="O20" s="21">
        <v>0.10386923076923076</v>
      </c>
      <c r="P20" s="31">
        <f t="shared" si="3"/>
        <v>0.87912567080947701</v>
      </c>
      <c r="Q20" s="15" cm="1">
        <f t="array" ref="Q20">Interpol($A$29:$B$39,2,G20)</f>
        <v>0.10329147365776242</v>
      </c>
      <c r="R20" s="15"/>
      <c r="T20" s="5"/>
    </row>
    <row r="21" spans="1:20">
      <c r="A21" s="45">
        <f t="shared" si="5"/>
        <v>13</v>
      </c>
      <c r="B21" s="111"/>
      <c r="C21" s="112"/>
      <c r="D21" s="66"/>
      <c r="E21" s="82"/>
      <c r="F21" s="58"/>
      <c r="G21" s="24">
        <f t="shared" si="1"/>
        <v>476</v>
      </c>
      <c r="H21">
        <v>17</v>
      </c>
      <c r="I21" s="5">
        <f>WORKDAY.INTL(J21,-1,1,Holiday!$A$1:$A$194)</f>
        <v>45323</v>
      </c>
      <c r="J21" s="5">
        <f t="shared" si="4"/>
        <v>45324</v>
      </c>
      <c r="K21" s="5">
        <f>IF($C$17 = Aux!I19, WORKDAY.INTL($J$5+28*H21-1,1,1,Holiday!$A$1:$A$194), WORKDAY.INTL($J$5+28*H21+1,-1,1,Holiday!$A$1:$A$194))</f>
        <v>45352</v>
      </c>
      <c r="L21" s="13">
        <f t="shared" si="0"/>
        <v>7.7777777777777779E-2</v>
      </c>
      <c r="M21" s="35">
        <f t="shared" si="2"/>
        <v>1.3249999999999995</v>
      </c>
      <c r="N21" s="37">
        <f>($N$4-(O21*SUMPRODUCT(L$5:L20,N$5:N20)))/((O21*L21)+1)</f>
        <v>0.87300997989145757</v>
      </c>
      <c r="O21" s="21">
        <v>0.10309230769230768</v>
      </c>
      <c r="P21" s="31">
        <f t="shared" si="3"/>
        <v>0.87303238373707426</v>
      </c>
      <c r="Q21" s="15" cm="1">
        <f t="array" ref="Q21">Interpol($A$29:$B$39,2,G21)</f>
        <v>0.10247745589226272</v>
      </c>
      <c r="R21" s="15"/>
      <c r="T21" s="5"/>
    </row>
    <row r="22" spans="1:20" ht="15" thickBot="1">
      <c r="A22" s="45">
        <f t="shared" si="5"/>
        <v>26</v>
      </c>
      <c r="B22" s="113"/>
      <c r="C22" s="114"/>
      <c r="D22" s="66"/>
      <c r="E22" s="82"/>
      <c r="F22" s="58"/>
      <c r="G22" s="24">
        <f t="shared" si="1"/>
        <v>502</v>
      </c>
      <c r="H22">
        <v>18</v>
      </c>
      <c r="I22" s="5">
        <f>WORKDAY.INTL(J22,-1,1,Holiday!$A$1:$A$194)</f>
        <v>45351</v>
      </c>
      <c r="J22" s="5">
        <f t="shared" si="4"/>
        <v>45352</v>
      </c>
      <c r="K22" s="5">
        <f>IF($C$17 = Aux!I20, WORKDAY.INTL($J$5+28*H22-1,1,1,Holiday!$A$1:$A$194), WORKDAY.INTL($J$5+28*H22+1,-1,1,Holiday!$A$1:$A$194))</f>
        <v>45378</v>
      </c>
      <c r="L22" s="13">
        <f t="shared" si="0"/>
        <v>7.2222222222222215E-2</v>
      </c>
      <c r="M22" s="35">
        <f t="shared" si="2"/>
        <v>1.3972222222222217</v>
      </c>
      <c r="N22" s="37">
        <f>($N$4-(O22*SUMPRODUCT(L$5:L21,N$5:N21)))/((O22*L22)+1)</f>
        <v>0.86748296776781653</v>
      </c>
      <c r="O22" s="21">
        <v>0.10237087912087911</v>
      </c>
      <c r="P22" s="31">
        <f t="shared" si="3"/>
        <v>0.86751050718702882</v>
      </c>
      <c r="Q22" s="15" cm="1">
        <f t="array" ref="Q22">Interpol($A$29:$B$39,2,G22)</f>
        <v>0.10172158225287013</v>
      </c>
      <c r="R22" s="15"/>
      <c r="T22" s="5"/>
    </row>
    <row r="23" spans="1:20">
      <c r="A23" s="45">
        <f t="shared" si="5"/>
        <v>39</v>
      </c>
      <c r="B23" s="64"/>
      <c r="C23" s="50"/>
      <c r="D23" s="63"/>
      <c r="E23" s="80"/>
      <c r="F23" s="56"/>
      <c r="G23" s="24">
        <f t="shared" si="1"/>
        <v>532</v>
      </c>
      <c r="H23">
        <v>19</v>
      </c>
      <c r="I23" s="5">
        <f>WORKDAY.INTL(J23,-1,1,Holiday!$A$1:$A$194)</f>
        <v>45377</v>
      </c>
      <c r="J23" s="5">
        <f t="shared" si="4"/>
        <v>45378</v>
      </c>
      <c r="K23" s="5">
        <f>IF($C$17 = Aux!I21, WORKDAY.INTL($J$5+28*H23-1,1,1,Holiday!$A$1:$A$194), WORKDAY.INTL($J$5+28*H23+1,-1,1,Holiday!$A$1:$A$194))</f>
        <v>45408</v>
      </c>
      <c r="L23" s="13">
        <f t="shared" si="0"/>
        <v>8.3333333333333329E-2</v>
      </c>
      <c r="M23" s="35">
        <f t="shared" si="2"/>
        <v>1.480555555555555</v>
      </c>
      <c r="N23" s="37">
        <f>($N$4-(O23*SUMPRODUCT(L$5:L22,N$5:N22)))/((O23*L23)+1)</f>
        <v>0.86127054070001552</v>
      </c>
      <c r="O23" s="21">
        <v>0.10153846153846152</v>
      </c>
      <c r="P23" s="31">
        <f t="shared" si="3"/>
        <v>0.86129933989699003</v>
      </c>
      <c r="Q23" s="15" cm="1">
        <f t="array" ref="Q23">Interpol($A$29:$B$39,2,G23)</f>
        <v>0.10084942036126331</v>
      </c>
      <c r="R23" s="15"/>
      <c r="T23" s="5"/>
    </row>
    <row r="24" spans="1:20">
      <c r="A24" s="45">
        <f t="shared" si="5"/>
        <v>52</v>
      </c>
      <c r="B24" s="64"/>
      <c r="C24" s="50"/>
      <c r="D24" s="63"/>
      <c r="E24" s="80"/>
      <c r="F24" s="56"/>
      <c r="G24" s="24">
        <f t="shared" si="1"/>
        <v>560</v>
      </c>
      <c r="H24">
        <v>20</v>
      </c>
      <c r="I24" s="5">
        <f>WORKDAY.INTL(J24,-1,1,Holiday!$A$1:$A$194)</f>
        <v>45407</v>
      </c>
      <c r="J24" s="5">
        <f t="shared" si="4"/>
        <v>45408</v>
      </c>
      <c r="K24" s="5">
        <f>IF($C$17 = Aux!I22, WORKDAY.INTL($J$5+28*H24-1,1,1,Holiday!$A$1:$A$194), WORKDAY.INTL($J$5+28*H24+1,-1,1,Holiday!$A$1:$A$194))</f>
        <v>45436</v>
      </c>
      <c r="L24" s="13">
        <f t="shared" si="0"/>
        <v>7.7777777777777779E-2</v>
      </c>
      <c r="M24" s="35">
        <f t="shared" si="2"/>
        <v>1.5583333333333327</v>
      </c>
      <c r="N24" s="37">
        <f>($N$4-(O24*SUMPRODUCT(L$5:L23,N$5:N23)))/((O24*L24)+1)</f>
        <v>0.85562433087471457</v>
      </c>
      <c r="O24" s="21">
        <v>0.10076153846153846</v>
      </c>
      <c r="P24" s="31">
        <f t="shared" si="3"/>
        <v>0.85565458850411802</v>
      </c>
      <c r="Q24" s="15" cm="1">
        <f t="array" ref="Q24">Interpol($A$29:$B$39,2,G24)</f>
        <v>0.10003540259576361</v>
      </c>
      <c r="R24" s="15"/>
      <c r="T24" s="5"/>
    </row>
    <row r="25" spans="1:20">
      <c r="A25" s="45">
        <f t="shared" si="5"/>
        <v>65</v>
      </c>
      <c r="B25" s="64"/>
      <c r="C25" s="50"/>
      <c r="D25" s="63"/>
      <c r="E25" s="80"/>
      <c r="F25" s="56"/>
      <c r="G25" s="24">
        <f t="shared" si="1"/>
        <v>588</v>
      </c>
      <c r="H25">
        <v>21</v>
      </c>
      <c r="I25" s="5">
        <f>WORKDAY.INTL(J25,-1,1,Holiday!$A$1:$A$194)</f>
        <v>45435</v>
      </c>
      <c r="J25" s="5">
        <f t="shared" si="4"/>
        <v>45436</v>
      </c>
      <c r="K25" s="5">
        <f>IF($C$17 = Aux!I23, WORKDAY.INTL($J$5+28*H25-1,1,1,Holiday!$A$1:$A$194), WORKDAY.INTL($J$5+28*H25+1,-1,1,Holiday!$A$1:$A$194))</f>
        <v>45464</v>
      </c>
      <c r="L25" s="13">
        <f t="shared" si="0"/>
        <v>7.7777777777777779E-2</v>
      </c>
      <c r="M25" s="35">
        <f t="shared" si="2"/>
        <v>1.6361111111111104</v>
      </c>
      <c r="N25" s="37">
        <f>($N$4-(O25*SUMPRODUCT(L$5:L24,N$5:N24)))/((O25*L25)+1)</f>
        <v>0.85012429871861128</v>
      </c>
      <c r="O25" s="21">
        <v>9.998461538461538E-2</v>
      </c>
      <c r="P25" s="31">
        <f t="shared" si="3"/>
        <v>0.85015447545473843</v>
      </c>
      <c r="Q25" s="15" cm="1">
        <f t="array" ref="Q25">Interpol($A$29:$B$39,2,G25)</f>
        <v>9.9221384830263909E-2</v>
      </c>
      <c r="R25" s="15"/>
      <c r="T25" s="5"/>
    </row>
    <row r="26" spans="1:20">
      <c r="A26" s="45">
        <f t="shared" si="5"/>
        <v>91</v>
      </c>
      <c r="B26" s="64"/>
      <c r="C26" s="50"/>
      <c r="D26" s="63"/>
      <c r="E26" s="80"/>
      <c r="F26" s="56"/>
      <c r="G26" s="24">
        <f t="shared" si="1"/>
        <v>616</v>
      </c>
      <c r="H26">
        <v>22</v>
      </c>
      <c r="I26" s="5">
        <f>WORKDAY.INTL(J26,-1,1,Holiday!$A$1:$A$194)</f>
        <v>45463</v>
      </c>
      <c r="J26" s="5">
        <f t="shared" si="4"/>
        <v>45464</v>
      </c>
      <c r="K26" s="5">
        <f>IF($C$17 = Aux!I24, WORKDAY.INTL($J$5+28*H26-1,1,1,Holiday!$A$1:$A$194), WORKDAY.INTL($J$5+28*H26+1,-1,1,Holiday!$A$1:$A$194))</f>
        <v>45492</v>
      </c>
      <c r="L26" s="13">
        <f t="shared" si="0"/>
        <v>7.7777777777777779E-2</v>
      </c>
      <c r="M26" s="35">
        <f t="shared" si="2"/>
        <v>1.7138888888888881</v>
      </c>
      <c r="N26" s="37">
        <f>($N$4-(O26*SUMPRODUCT(L$5:L25,N$5:N25)))/((O26*L26)+1)</f>
        <v>0.84476833551638142</v>
      </c>
      <c r="O26" s="21">
        <v>9.9207692307692302E-2</v>
      </c>
      <c r="P26" s="31">
        <f t="shared" si="3"/>
        <v>0.84479668250481788</v>
      </c>
      <c r="Q26" s="15" cm="1">
        <f t="array" ref="Q26">Interpol($A$29:$B$39,2,G26)</f>
        <v>9.8407367064764203E-2</v>
      </c>
      <c r="R26" s="15"/>
      <c r="T26" s="5"/>
    </row>
    <row r="27" spans="1:20" ht="15" thickBot="1">
      <c r="A27" s="45">
        <f t="shared" si="5"/>
        <v>130</v>
      </c>
      <c r="B27" s="67"/>
      <c r="C27" s="68"/>
      <c r="D27" s="69"/>
      <c r="E27" s="80"/>
      <c r="F27" s="56"/>
      <c r="G27" s="24">
        <f t="shared" si="1"/>
        <v>644</v>
      </c>
      <c r="H27">
        <v>23</v>
      </c>
      <c r="I27" s="5">
        <f>WORKDAY.INTL(J27,-1,1,Holiday!$A$1:$A$194)</f>
        <v>45491</v>
      </c>
      <c r="J27" s="5">
        <f t="shared" si="4"/>
        <v>45492</v>
      </c>
      <c r="K27" s="5">
        <f>IF($C$17 = Aux!I25, WORKDAY.INTL($J$5+28*H27-1,1,1,Holiday!$A$1:$A$194), WORKDAY.INTL($J$5+28*H27+1,-1,1,Holiday!$A$1:$A$194))</f>
        <v>45520</v>
      </c>
      <c r="L27" s="13">
        <f t="shared" si="0"/>
        <v>7.7777777777777779E-2</v>
      </c>
      <c r="M27" s="35">
        <f t="shared" si="2"/>
        <v>1.7916666666666659</v>
      </c>
      <c r="N27" s="37">
        <f>($N$4-(O27*SUMPRODUCT(L$5:L26,N$5:N26)))/((O27*L27)+1)</f>
        <v>0.83955438313204833</v>
      </c>
      <c r="O27" s="21">
        <v>9.8430769230769224E-2</v>
      </c>
      <c r="P27" s="31">
        <f t="shared" si="3"/>
        <v>0.83957896006210686</v>
      </c>
      <c r="Q27" s="15" cm="1">
        <f t="array" ref="Q27">Interpol($A$29:$B$39,2,G27)</f>
        <v>9.7593349299264498E-2</v>
      </c>
      <c r="R27" s="15"/>
      <c r="T27" s="5"/>
    </row>
    <row r="28" spans="1:20">
      <c r="A28" s="46" t="s">
        <v>27</v>
      </c>
      <c r="B28" s="10"/>
      <c r="E28" s="24"/>
      <c r="F28" s="26"/>
      <c r="G28" s="24">
        <f t="shared" si="1"/>
        <v>672</v>
      </c>
      <c r="H28">
        <v>24</v>
      </c>
      <c r="I28" s="5">
        <f>WORKDAY.INTL(J28,-1,1,Holiday!$A$1:$A$194)</f>
        <v>45519</v>
      </c>
      <c r="J28" s="5">
        <f t="shared" si="4"/>
        <v>45520</v>
      </c>
      <c r="K28" s="5">
        <f>IF($C$17 = Aux!I26, WORKDAY.INTL($J$5+28*H28-1,1,1,Holiday!$A$1:$A$194), WORKDAY.INTL($J$5+28*H28+1,-1,1,Holiday!$A$1:$A$194))</f>
        <v>45548</v>
      </c>
      <c r="L28" s="13">
        <f t="shared" si="0"/>
        <v>7.7777777777777779E-2</v>
      </c>
      <c r="M28" s="35">
        <f t="shared" si="2"/>
        <v>1.8694444444444436</v>
      </c>
      <c r="N28" s="37">
        <f>($N$4-(O28*SUMPRODUCT(L$5:L27,N$5:N27)))/((O28*L28)+1)</f>
        <v>0.83448043301056085</v>
      </c>
      <c r="O28" s="21">
        <v>9.7653846153846147E-2</v>
      </c>
      <c r="P28" s="31">
        <f t="shared" si="3"/>
        <v>0.83449912561753647</v>
      </c>
      <c r="Q28" s="15" cm="1">
        <f t="array" ref="Q28">Interpol($A$29:$B$39,2,G28)</f>
        <v>9.6779331533764806E-2</v>
      </c>
      <c r="R28" s="15"/>
      <c r="T28" s="5"/>
    </row>
    <row r="29" spans="1:20">
      <c r="A29" s="47">
        <f>G5</f>
        <v>28</v>
      </c>
      <c r="B29" s="48">
        <f>Q5</f>
        <v>0.10523681294669512</v>
      </c>
      <c r="E29" s="24"/>
      <c r="F29" s="26"/>
      <c r="G29" s="24">
        <f t="shared" si="1"/>
        <v>700</v>
      </c>
      <c r="H29">
        <v>25</v>
      </c>
      <c r="I29" s="5">
        <f>WORKDAY.INTL(J29,-1,1,Holiday!$A$1:$A$194)</f>
        <v>45547</v>
      </c>
      <c r="J29" s="5">
        <f>K28</f>
        <v>45548</v>
      </c>
      <c r="K29" s="5">
        <f>IF($C$17 = Aux!I27, WORKDAY.INTL($J$5+28*H29-1,1,1,Holiday!$A$1:$A$194), WORKDAY.INTL($J$5+28*H29+1,-1,1,Holiday!$A$1:$A$194))</f>
        <v>45576</v>
      </c>
      <c r="L29" s="13">
        <f t="shared" si="0"/>
        <v>7.7777777777777779E-2</v>
      </c>
      <c r="M29" s="35">
        <f>L29+M28</f>
        <v>1.9472222222222213</v>
      </c>
      <c r="N29" s="37">
        <f>($N$4-(O29*SUMPRODUCT(L$5:L28,N$5:N28)))/((O29*L29)+1)</f>
        <v>0.8295445252046828</v>
      </c>
      <c r="O29" s="21">
        <v>9.6876923076923069E-2</v>
      </c>
      <c r="P29" s="31">
        <f t="shared" si="3"/>
        <v>0.82955506222874686</v>
      </c>
      <c r="Q29" s="15" cm="1">
        <f t="array" ref="Q29">Interpol($A$29:$B$39,2,G29)</f>
        <v>9.5965313768265101E-2</v>
      </c>
      <c r="R29" s="15"/>
      <c r="T29" s="5"/>
    </row>
    <row r="30" spans="1:20">
      <c r="A30" s="47">
        <f>G7</f>
        <v>84</v>
      </c>
      <c r="B30" s="48">
        <f>Q7</f>
        <v>0.10408001978463889</v>
      </c>
      <c r="E30" s="24"/>
      <c r="F30" s="26"/>
      <c r="G30" s="25">
        <f t="shared" si="1"/>
        <v>728</v>
      </c>
      <c r="H30" s="6">
        <v>26</v>
      </c>
      <c r="I30" s="7">
        <f>WORKDAY.INTL(J30,-1,1,Holiday!$A$1:$A$194)</f>
        <v>45575</v>
      </c>
      <c r="J30" s="7">
        <f t="shared" si="4"/>
        <v>45576</v>
      </c>
      <c r="K30" s="7">
        <f>IF($C$17 = Aux!I28, WORKDAY.INTL($J$5+28*H30-1,1,1,Holiday!$A$1:$A$194), WORKDAY.INTL($J$5+28*H30+1,-1,1,Holiday!$A$1:$A$194))</f>
        <v>45604</v>
      </c>
      <c r="L30" s="14">
        <f t="shared" si="0"/>
        <v>7.7777777777777779E-2</v>
      </c>
      <c r="M30" s="34">
        <f t="shared" si="2"/>
        <v>2.024999999999999</v>
      </c>
      <c r="N30" s="36">
        <f>($N$4-(O30*SUMPRODUCT(L$5:L29,N$5:N29)))/((O30*L30)+1)</f>
        <v>0.82474474742659187</v>
      </c>
      <c r="O30" s="22">
        <v>9.6099999999999991E-2</v>
      </c>
      <c r="P30" s="30">
        <f t="shared" si="3"/>
        <v>0.82474471705427643</v>
      </c>
      <c r="Q30" s="16">
        <v>9.5151296002765395E-2</v>
      </c>
      <c r="R30" s="16">
        <f>($P$4-P30)/SUMPRODUCT(L$5:L30,P$5:P30)</f>
        <v>9.6099999999994024E-2</v>
      </c>
      <c r="S30" s="16">
        <f>R30-B9</f>
        <v>-5.9674487573602164E-15</v>
      </c>
      <c r="T30" s="5"/>
    </row>
    <row r="31" spans="1:20">
      <c r="A31" s="47">
        <f>G10</f>
        <v>168</v>
      </c>
      <c r="B31" s="48">
        <f>Q10</f>
        <v>0.10646670436108412</v>
      </c>
      <c r="E31" s="24"/>
      <c r="F31" s="26"/>
      <c r="G31" s="24">
        <f t="shared" si="1"/>
        <v>756</v>
      </c>
      <c r="H31">
        <v>27</v>
      </c>
      <c r="I31" s="5">
        <f>WORKDAY.INTL(J31,-1,1,Holiday!$A$1:$A$194)</f>
        <v>45603</v>
      </c>
      <c r="J31" s="5">
        <f t="shared" si="4"/>
        <v>45604</v>
      </c>
      <c r="K31" s="5">
        <f>IF($C$17 = Aux!I29, WORKDAY.INTL($J$5+28*H31-1,1,1,Holiday!$A$1:$A$194), WORKDAY.INTL($J$5+28*H31+1,-1,1,Holiday!$A$1:$A$194))</f>
        <v>45632</v>
      </c>
      <c r="L31" s="13">
        <f t="shared" si="0"/>
        <v>7.7777777777777779E-2</v>
      </c>
      <c r="M31" s="35">
        <f t="shared" si="2"/>
        <v>2.102777777777777</v>
      </c>
      <c r="N31" s="37">
        <f>($N$4-(O31*SUMPRODUCT(L$5:L30,N$5:N30)))/((O31*L31)+1)</f>
        <v>0.81958280356507662</v>
      </c>
      <c r="O31" s="21">
        <v>9.5588461538461525E-2</v>
      </c>
      <c r="P31" s="31">
        <f t="shared" si="3"/>
        <v>0.81959610496969859</v>
      </c>
      <c r="Q31" s="15" cm="1">
        <f t="array" ref="Q31">Interpol($A$29:$B$39,2,G31)</f>
        <v>9.4609909371452555E-2</v>
      </c>
      <c r="R31" s="15"/>
      <c r="T31" s="5"/>
    </row>
    <row r="32" spans="1:20">
      <c r="A32" s="47">
        <f>G13</f>
        <v>252</v>
      </c>
      <c r="B32" s="48">
        <f>Q13</f>
        <v>0.10686960419418987</v>
      </c>
      <c r="E32" s="24"/>
      <c r="F32" s="26"/>
      <c r="G32" s="24">
        <f>K32-$K$4</f>
        <v>784</v>
      </c>
      <c r="H32">
        <v>28</v>
      </c>
      <c r="I32" s="5">
        <f>WORKDAY.INTL(J32,-1,1,Holiday!$A$1:$A$194)</f>
        <v>45631</v>
      </c>
      <c r="J32" s="5">
        <f t="shared" si="4"/>
        <v>45632</v>
      </c>
      <c r="K32" s="5">
        <f>IF($C$17 = Aux!I30, WORKDAY.INTL($J$5+28*H32-1,1,1,Holiday!$A$1:$A$194), WORKDAY.INTL($J$5+28*H32+1,-1,1,Holiday!$A$1:$A$194))</f>
        <v>45660</v>
      </c>
      <c r="L32" s="13">
        <f t="shared" si="0"/>
        <v>7.7777777777777779E-2</v>
      </c>
      <c r="M32" s="35">
        <f t="shared" si="2"/>
        <v>2.1805555555555549</v>
      </c>
      <c r="N32" s="37">
        <f>($N$4-(O32*SUMPRODUCT(L$5:L31,N$5:N31)))/((O32*L32)+1)</f>
        <v>0.81452348906091343</v>
      </c>
      <c r="O32" s="21">
        <v>9.5076923076923073E-2</v>
      </c>
      <c r="P32" s="31">
        <f t="shared" si="3"/>
        <v>0.81454822884932787</v>
      </c>
      <c r="Q32" s="15" cm="1">
        <f t="array" ref="Q32">Interpol($A$29:$B$39,2,G32)</f>
        <v>9.4068522740139715E-2</v>
      </c>
      <c r="R32" s="15"/>
      <c r="T32" s="5"/>
    </row>
    <row r="33" spans="1:20">
      <c r="A33" s="47">
        <f>G17</f>
        <v>364</v>
      </c>
      <c r="B33" s="48">
        <f>Q17</f>
        <v>0.10573352695426153</v>
      </c>
      <c r="E33" s="24"/>
      <c r="F33" s="26"/>
      <c r="G33" s="24">
        <f t="shared" si="1"/>
        <v>812</v>
      </c>
      <c r="H33">
        <v>29</v>
      </c>
      <c r="I33" s="5">
        <f>WORKDAY.INTL(J33,-1,1,Holiday!$A$1:$A$194)</f>
        <v>45659</v>
      </c>
      <c r="J33" s="5">
        <f t="shared" si="4"/>
        <v>45660</v>
      </c>
      <c r="K33" s="5">
        <f>IF($C$17 = Aux!I31, WORKDAY.INTL($J$5+28*H33-1,1,1,Holiday!$A$1:$A$194), WORKDAY.INTL($J$5+28*H33+1,-1,1,Holiday!$A$1:$A$194))</f>
        <v>45688</v>
      </c>
      <c r="L33" s="13">
        <f t="shared" si="0"/>
        <v>7.7777777777777779E-2</v>
      </c>
      <c r="M33" s="35">
        <f t="shared" si="2"/>
        <v>2.2583333333333329</v>
      </c>
      <c r="N33" s="37">
        <f>($N$4-(O33*SUMPRODUCT(L$5:L32,N$5:N32)))/((O33*L33)+1)</f>
        <v>0.8095654551123691</v>
      </c>
      <c r="O33" s="21">
        <v>9.4565384615384607E-2</v>
      </c>
      <c r="P33" s="31">
        <f t="shared" si="3"/>
        <v>0.80959962062409419</v>
      </c>
      <c r="Q33" s="15" cm="1">
        <f t="array" ref="Q33">Interpol($A$29:$B$39,2,G33)</f>
        <v>9.3527136108826875E-2</v>
      </c>
      <c r="R33" s="15"/>
      <c r="T33" s="5"/>
    </row>
    <row r="34" spans="1:20">
      <c r="A34" s="47">
        <f>G30</f>
        <v>728</v>
      </c>
      <c r="B34" s="48">
        <f>Q30</f>
        <v>9.5151296002765395E-2</v>
      </c>
      <c r="E34" s="24"/>
      <c r="F34" s="26"/>
      <c r="G34" s="24">
        <f t="shared" si="1"/>
        <v>840</v>
      </c>
      <c r="H34">
        <v>30</v>
      </c>
      <c r="I34" s="5">
        <f>WORKDAY.INTL(J34,-1,1,Holiday!$A$1:$A$194)</f>
        <v>45687</v>
      </c>
      <c r="J34" s="5">
        <f t="shared" si="4"/>
        <v>45688</v>
      </c>
      <c r="K34" s="5">
        <f>IF($C$17 = Aux!I32, WORKDAY.INTL($J$5+28*H34-1,1,1,Holiday!$A$1:$A$194), WORKDAY.INTL($J$5+28*H34+1,-1,1,Holiday!$A$1:$A$194))</f>
        <v>45716</v>
      </c>
      <c r="L34" s="13">
        <f t="shared" si="0"/>
        <v>7.7777777777777779E-2</v>
      </c>
      <c r="M34" s="35">
        <f t="shared" si="2"/>
        <v>2.3361111111111108</v>
      </c>
      <c r="N34" s="37">
        <f>($N$4-(O34*SUMPRODUCT(L$5:L33,N$5:N33)))/((O34*L34)+1)</f>
        <v>0.80470737871421383</v>
      </c>
      <c r="O34" s="21">
        <v>9.4053846153846155E-2</v>
      </c>
      <c r="P34" s="31">
        <f t="shared" si="3"/>
        <v>0.80474884620967146</v>
      </c>
      <c r="Q34" s="15" cm="1">
        <f t="array" ref="Q34">Interpol($A$29:$B$39,2,G34)</f>
        <v>9.2985749477514035E-2</v>
      </c>
      <c r="R34" s="15"/>
      <c r="T34" s="5"/>
    </row>
    <row r="35" spans="1:20">
      <c r="A35" s="47">
        <f>G43</f>
        <v>1092</v>
      </c>
      <c r="B35" s="48">
        <f>Q43</f>
        <v>8.8113269795698487E-2</v>
      </c>
      <c r="E35" s="24"/>
      <c r="F35" s="26"/>
      <c r="G35" s="24">
        <f t="shared" si="1"/>
        <v>868</v>
      </c>
      <c r="H35">
        <v>31</v>
      </c>
      <c r="I35" s="5">
        <f>WORKDAY.INTL(J35,-1,1,Holiday!$A$1:$A$194)</f>
        <v>45715</v>
      </c>
      <c r="J35" s="5">
        <f t="shared" si="4"/>
        <v>45716</v>
      </c>
      <c r="K35" s="5">
        <f>IF($C$17 = Aux!I33, WORKDAY.INTL($J$5+28*H35-1,1,1,Holiday!$A$1:$A$194), WORKDAY.INTL($J$5+28*H35+1,-1,1,Holiday!$A$1:$A$194))</f>
        <v>45744</v>
      </c>
      <c r="L35" s="13">
        <f t="shared" si="0"/>
        <v>7.7777777777777779E-2</v>
      </c>
      <c r="M35" s="35">
        <f t="shared" si="2"/>
        <v>2.4138888888888888</v>
      </c>
      <c r="N35" s="37">
        <f>($N$4-(O35*SUMPRODUCT(L$5:L34,N$5:N34)))/((O35*L35)+1)</f>
        <v>0.79994796221010722</v>
      </c>
      <c r="O35" s="21">
        <v>9.3542307692307688E-2</v>
      </c>
      <c r="P35" s="31">
        <f t="shared" si="3"/>
        <v>0.79999450481835477</v>
      </c>
      <c r="Q35" s="15" cm="1">
        <f t="array" ref="Q35">Interpol($A$29:$B$39,2,G35)</f>
        <v>9.2444362846201195E-2</v>
      </c>
      <c r="R35" s="15"/>
      <c r="T35" s="5"/>
    </row>
    <row r="36" spans="1:20">
      <c r="A36" s="47">
        <f>G56</f>
        <v>1456</v>
      </c>
      <c r="B36" s="48">
        <f>Q56</f>
        <v>8.5042197728891683E-2</v>
      </c>
      <c r="E36" s="24"/>
      <c r="F36" s="26"/>
      <c r="G36" s="24">
        <f t="shared" si="1"/>
        <v>896</v>
      </c>
      <c r="H36">
        <v>32</v>
      </c>
      <c r="I36" s="5">
        <f>WORKDAY.INTL(J36,-1,1,Holiday!$A$1:$A$194)</f>
        <v>45743</v>
      </c>
      <c r="J36" s="5">
        <f t="shared" si="4"/>
        <v>45744</v>
      </c>
      <c r="K36" s="5">
        <f>IF($C$17 = Aux!I34, WORKDAY.INTL($J$5+28*H36-1,1,1,Holiday!$A$1:$A$194), WORKDAY.INTL($J$5+28*H36+1,-1,1,Holiday!$A$1:$A$194))</f>
        <v>45772</v>
      </c>
      <c r="L36" s="13">
        <f t="shared" ref="L36:L67" si="6">(K36-J36)/$C$16</f>
        <v>7.7777777777777779E-2</v>
      </c>
      <c r="M36" s="35">
        <f t="shared" si="2"/>
        <v>2.4916666666666667</v>
      </c>
      <c r="N36" s="37">
        <f>($N$4-(O36*SUMPRODUCT(L$5:L35,N$5:N35)))/((O36*L36)+1)</f>
        <v>0.79528593285420834</v>
      </c>
      <c r="O36" s="21">
        <v>9.3030769230769222E-2</v>
      </c>
      <c r="P36" s="31">
        <f t="shared" si="3"/>
        <v>0.79533522828906689</v>
      </c>
      <c r="Q36" s="15" cm="1">
        <f t="array" ref="Q36">Interpol($A$29:$B$39,2,G36)</f>
        <v>9.1902976214888354E-2</v>
      </c>
      <c r="R36" s="15"/>
      <c r="T36" s="5"/>
    </row>
    <row r="37" spans="1:20">
      <c r="A37" s="47">
        <f>G69</f>
        <v>1820</v>
      </c>
      <c r="B37" s="48">
        <f>Q69</f>
        <v>8.4306239436882188E-2</v>
      </c>
      <c r="E37" s="24"/>
      <c r="F37" s="26"/>
      <c r="G37" s="24">
        <f t="shared" si="1"/>
        <v>924</v>
      </c>
      <c r="H37">
        <v>33</v>
      </c>
      <c r="I37" s="5">
        <f>WORKDAY.INTL(J37,-1,1,Holiday!$A$1:$A$194)</f>
        <v>45771</v>
      </c>
      <c r="J37" s="5">
        <f t="shared" si="4"/>
        <v>45772</v>
      </c>
      <c r="K37" s="5">
        <f>IF($C$17 = Aux!I35, WORKDAY.INTL($J$5+28*H37-1,1,1,Holiday!$A$1:$A$194), WORKDAY.INTL($J$5+28*H37+1,-1,1,Holiday!$A$1:$A$194))</f>
        <v>45800</v>
      </c>
      <c r="L37" s="13">
        <f t="shared" si="6"/>
        <v>7.7777777777777779E-2</v>
      </c>
      <c r="M37" s="35">
        <f t="shared" si="2"/>
        <v>2.5694444444444446</v>
      </c>
      <c r="N37" s="37">
        <f>($N$4-(O37*SUMPRODUCT(L$5:L36,N$5:N36)))/((O37*L37)+1)</f>
        <v>0.79072004238182081</v>
      </c>
      <c r="O37" s="21">
        <v>9.251923076923077E-2</v>
      </c>
      <c r="P37" s="31">
        <f t="shared" si="3"/>
        <v>0.79076968043505158</v>
      </c>
      <c r="Q37" s="15" cm="1">
        <f t="array" ref="Q37">Interpol($A$29:$B$39,2,G37)</f>
        <v>9.1361589583575528E-2</v>
      </c>
      <c r="R37" s="15"/>
      <c r="T37" s="5"/>
    </row>
    <row r="38" spans="1:20">
      <c r="A38" s="47">
        <f>G95</f>
        <v>2547</v>
      </c>
      <c r="B38" s="48">
        <f>Q95</f>
        <v>8.49609042985352E-2</v>
      </c>
      <c r="E38" s="24"/>
      <c r="F38" s="26"/>
      <c r="G38" s="24">
        <f t="shared" si="1"/>
        <v>952</v>
      </c>
      <c r="H38">
        <v>34</v>
      </c>
      <c r="I38" s="5">
        <f>WORKDAY.INTL(J38,-1,1,Holiday!$A$1:$A$194)</f>
        <v>45799</v>
      </c>
      <c r="J38" s="5">
        <f t="shared" si="4"/>
        <v>45800</v>
      </c>
      <c r="K38" s="5">
        <f>IF($C$17 = Aux!I36, WORKDAY.INTL($J$5+28*H38-1,1,1,Holiday!$A$1:$A$194), WORKDAY.INTL($J$5+28*H38+1,-1,1,Holiday!$A$1:$A$194))</f>
        <v>45828</v>
      </c>
      <c r="L38" s="13">
        <f t="shared" si="6"/>
        <v>7.7777777777777779E-2</v>
      </c>
      <c r="M38" s="35">
        <f t="shared" si="2"/>
        <v>2.6472222222222226</v>
      </c>
      <c r="N38" s="37">
        <f>($N$4-(O38*SUMPRODUCT(L$5:L37,N$5:N37)))/((O38*L38)+1)</f>
        <v>0.7862490665888926</v>
      </c>
      <c r="O38" s="21">
        <v>9.2007692307692304E-2</v>
      </c>
      <c r="P38" s="31">
        <f t="shared" si="3"/>
        <v>0.78629655640881724</v>
      </c>
      <c r="Q38" s="15" cm="1">
        <f t="array" ref="Q38">Interpol($A$29:$B$39,2,G38)</f>
        <v>9.0820202952262688E-2</v>
      </c>
      <c r="R38" s="15"/>
      <c r="T38" s="5"/>
    </row>
    <row r="39" spans="1:20">
      <c r="A39" s="47">
        <f>G134</f>
        <v>3640</v>
      </c>
      <c r="B39" s="48">
        <f>Q134</f>
        <v>8.6922960130228807E-2</v>
      </c>
      <c r="E39" s="24"/>
      <c r="F39" s="26"/>
      <c r="G39" s="24">
        <f t="shared" si="1"/>
        <v>980</v>
      </c>
      <c r="H39">
        <v>35</v>
      </c>
      <c r="I39" s="5">
        <f>WORKDAY.INTL(J39,-1,1,Holiday!$A$1:$A$194)</f>
        <v>45827</v>
      </c>
      <c r="J39" s="5">
        <f t="shared" si="4"/>
        <v>45828</v>
      </c>
      <c r="K39" s="5">
        <f>IF($C$17 = Aux!I37, WORKDAY.INTL($J$5+28*H39-1,1,1,Holiday!$A$1:$A$194), WORKDAY.INTL($J$5+28*H39+1,-1,1,Holiday!$A$1:$A$194))</f>
        <v>45856</v>
      </c>
      <c r="L39" s="13">
        <f t="shared" si="6"/>
        <v>7.7777777777777779E-2</v>
      </c>
      <c r="M39" s="35">
        <f t="shared" si="2"/>
        <v>2.7250000000000005</v>
      </c>
      <c r="N39" s="37">
        <f>($N$4-(O39*SUMPRODUCT(L$5:L38,N$5:N38)))/((O39*L39)+1)</f>
        <v>0.7818718049201886</v>
      </c>
      <c r="O39" s="21">
        <v>9.1496153846153838E-2</v>
      </c>
      <c r="P39" s="31">
        <f t="shared" si="3"/>
        <v>0.78191458208391207</v>
      </c>
      <c r="Q39" s="15" cm="1">
        <f t="array" ref="Q39">Interpol($A$29:$B$39,2,G39)</f>
        <v>9.0278816320949848E-2</v>
      </c>
      <c r="R39" s="15"/>
      <c r="T39" s="5"/>
    </row>
    <row r="40" spans="1:20">
      <c r="A40" s="9"/>
      <c r="E40" s="24"/>
      <c r="F40" s="26"/>
      <c r="G40" s="24">
        <f t="shared" si="1"/>
        <v>1008</v>
      </c>
      <c r="H40">
        <v>36</v>
      </c>
      <c r="I40" s="5">
        <f>WORKDAY.INTL(J40,-1,1,Holiday!$A$1:$A$194)</f>
        <v>45855</v>
      </c>
      <c r="J40" s="5">
        <f t="shared" si="4"/>
        <v>45856</v>
      </c>
      <c r="K40" s="5">
        <f>IF($C$17 = Aux!I38, WORKDAY.INTL($J$5+28*H40-1,1,1,Holiday!$A$1:$A$194), WORKDAY.INTL($J$5+28*H40+1,-1,1,Holiday!$A$1:$A$194))</f>
        <v>45884</v>
      </c>
      <c r="L40" s="13">
        <f t="shared" si="6"/>
        <v>7.7777777777777779E-2</v>
      </c>
      <c r="M40" s="35">
        <f t="shared" si="2"/>
        <v>2.8027777777777785</v>
      </c>
      <c r="N40" s="37">
        <f>($N$4-(O40*SUMPRODUCT(L$5:L39,N$5:N39)))/((O40*L40)+1)</f>
        <v>0.77758708006596389</v>
      </c>
      <c r="O40" s="21">
        <v>9.0984615384615386E-2</v>
      </c>
      <c r="P40" s="31">
        <f t="shared" si="3"/>
        <v>0.77762251345312328</v>
      </c>
      <c r="Q40" s="15" cm="1">
        <f t="array" ref="Q40">Interpol($A$29:$B$39,2,G40)</f>
        <v>8.9737429689637008E-2</v>
      </c>
      <c r="R40" s="15"/>
      <c r="T40" s="5"/>
    </row>
    <row r="41" spans="1:20">
      <c r="E41" s="24"/>
      <c r="F41" s="26"/>
      <c r="G41" s="24">
        <f t="shared" si="1"/>
        <v>1036</v>
      </c>
      <c r="H41">
        <v>37</v>
      </c>
      <c r="I41" s="5">
        <f>WORKDAY.INTL(J41,-1,1,Holiday!$A$1:$A$194)</f>
        <v>45883</v>
      </c>
      <c r="J41" s="5">
        <f t="shared" si="4"/>
        <v>45884</v>
      </c>
      <c r="K41" s="5">
        <f>IF($C$17 = Aux!I39, WORKDAY.INTL($J$5+28*H41-1,1,1,Holiday!$A$1:$A$194), WORKDAY.INTL($J$5+28*H41+1,-1,1,Holiday!$A$1:$A$194))</f>
        <v>45912</v>
      </c>
      <c r="L41" s="13">
        <f t="shared" si="6"/>
        <v>7.7777777777777779E-2</v>
      </c>
      <c r="M41" s="35">
        <f t="shared" si="2"/>
        <v>2.8805555555555564</v>
      </c>
      <c r="N41" s="37">
        <f>($N$4-(O41*SUMPRODUCT(L$5:L40,N$5:N40)))/((O41*L41)+1)</f>
        <v>0.77339373756696628</v>
      </c>
      <c r="O41" s="21">
        <v>9.047307692307692E-2</v>
      </c>
      <c r="P41" s="31">
        <f t="shared" si="3"/>
        <v>0.77341913604270218</v>
      </c>
      <c r="Q41" s="15" cm="1">
        <f t="array" ref="Q41">Interpol($A$29:$B$39,2,G41)</f>
        <v>8.9196043058324168E-2</v>
      </c>
      <c r="R41" s="15"/>
      <c r="T41" s="5"/>
    </row>
    <row r="42" spans="1:20">
      <c r="E42" s="24"/>
      <c r="F42" s="26"/>
      <c r="G42" s="24">
        <f t="shared" si="1"/>
        <v>1064</v>
      </c>
      <c r="H42">
        <v>38</v>
      </c>
      <c r="I42" s="5">
        <f>WORKDAY.INTL(J42,-1,1,Holiday!$A$1:$A$194)</f>
        <v>45911</v>
      </c>
      <c r="J42" s="5">
        <f t="shared" si="4"/>
        <v>45912</v>
      </c>
      <c r="K42" s="5">
        <f>IF($C$17 = Aux!I40, WORKDAY.INTL($J$5+28*H42-1,1,1,Holiday!$A$1:$A$194), WORKDAY.INTL($J$5+28*H42+1,-1,1,Holiday!$A$1:$A$194))</f>
        <v>45940</v>
      </c>
      <c r="L42" s="13">
        <f t="shared" si="6"/>
        <v>7.7777777777777779E-2</v>
      </c>
      <c r="M42" s="35">
        <f t="shared" si="2"/>
        <v>2.9583333333333344</v>
      </c>
      <c r="N42" s="37">
        <f>($N$4-(O42*SUMPRODUCT(L$5:L41,N$5:N41)))/((O42*L42)+1)</f>
        <v>0.76929064542759806</v>
      </c>
      <c r="O42" s="21">
        <v>8.9961538461538468E-2</v>
      </c>
      <c r="P42" s="31">
        <f t="shared" si="3"/>
        <v>0.76930326434223262</v>
      </c>
      <c r="Q42" s="15" cm="1">
        <f t="array" ref="Q42">Interpol($A$29:$B$39,2,G42)</f>
        <v>8.8654656427011327E-2</v>
      </c>
      <c r="R42" s="15"/>
      <c r="T42" s="5"/>
    </row>
    <row r="43" spans="1:20">
      <c r="E43" s="24"/>
      <c r="F43" s="26"/>
      <c r="G43" s="25">
        <f>K43-$K$4</f>
        <v>1092</v>
      </c>
      <c r="H43" s="6">
        <v>39</v>
      </c>
      <c r="I43" s="7">
        <f>WORKDAY.INTL(J43,-1,1,Holiday!$A$1:$A$194)</f>
        <v>45939</v>
      </c>
      <c r="J43" s="7">
        <f t="shared" si="4"/>
        <v>45940</v>
      </c>
      <c r="K43" s="7">
        <f>IF($C$17 = Aux!I41, WORKDAY.INTL($J$5+28*H43-1,1,1,Holiday!$A$1:$A$194), WORKDAY.INTL($J$5+28*H43+1,-1,1,Holiday!$A$1:$A$194))</f>
        <v>45968</v>
      </c>
      <c r="L43" s="14">
        <f t="shared" si="6"/>
        <v>7.7777777777777779E-2</v>
      </c>
      <c r="M43" s="34">
        <f t="shared" si="2"/>
        <v>3.0361111111111123</v>
      </c>
      <c r="N43" s="36">
        <f>($N$4-(O43*SUMPRODUCT(L$5:L42,N$5:N42)))/((O43*L43)+1)</f>
        <v>0.76527669373707818</v>
      </c>
      <c r="O43" s="22">
        <v>8.9450000000000002E-2</v>
      </c>
      <c r="P43" s="30">
        <f t="shared" si="3"/>
        <v>0.76527374124976844</v>
      </c>
      <c r="Q43" s="16">
        <v>8.8113269795698487E-2</v>
      </c>
      <c r="R43" s="16">
        <f>($P$4-P43)/SUMPRODUCT(L$5:L43,P$5:P43)</f>
        <v>8.9449999999985652E-2</v>
      </c>
      <c r="S43" s="16">
        <f>R43-B10</f>
        <v>-1.4349632593280148E-14</v>
      </c>
      <c r="T43" s="5"/>
    </row>
    <row r="44" spans="1:20">
      <c r="E44" s="24"/>
      <c r="F44" s="26"/>
      <c r="G44" s="24">
        <f t="shared" si="1"/>
        <v>1120</v>
      </c>
      <c r="H44">
        <v>40</v>
      </c>
      <c r="I44" s="5">
        <f>WORKDAY.INTL(J44,-1,1,Holiday!$A$1:$A$194)</f>
        <v>45967</v>
      </c>
      <c r="J44" s="5">
        <f t="shared" si="4"/>
        <v>45968</v>
      </c>
      <c r="K44" s="5">
        <f>IF($C$17 = Aux!I42, WORKDAY.INTL($J$5+28*H44-1,1,1,Holiday!$A$1:$A$194), WORKDAY.INTL($J$5+28*H44+1,-1,1,Holiday!$A$1:$A$194))</f>
        <v>45996</v>
      </c>
      <c r="L44" s="13">
        <f t="shared" si="6"/>
        <v>7.7777777777777779E-2</v>
      </c>
      <c r="M44" s="35">
        <f t="shared" si="2"/>
        <v>3.1138888888888903</v>
      </c>
      <c r="N44" s="37">
        <f>($N$4-(O44*SUMPRODUCT(L$5:L43,N$5:N43)))/((O44*L44)+1)</f>
        <v>0.76059324643394399</v>
      </c>
      <c r="O44" s="21">
        <v>8.9223076923076919E-2</v>
      </c>
      <c r="P44" s="31">
        <f t="shared" si="3"/>
        <v>0.76060636270205739</v>
      </c>
      <c r="Q44" s="15" cm="1">
        <f t="array" ref="Q44">Interpol($A$29:$B$39,2,G44)</f>
        <v>8.7877033482867198E-2</v>
      </c>
      <c r="R44" s="15"/>
      <c r="T44" s="5"/>
    </row>
    <row r="45" spans="1:20">
      <c r="E45" s="24"/>
      <c r="F45" s="26"/>
      <c r="G45" s="24">
        <f t="shared" si="1"/>
        <v>1148</v>
      </c>
      <c r="H45">
        <v>41</v>
      </c>
      <c r="I45" s="5">
        <f>WORKDAY.INTL(J45,-1,1,Holiday!$A$1:$A$194)</f>
        <v>45995</v>
      </c>
      <c r="J45" s="5">
        <f t="shared" si="4"/>
        <v>45996</v>
      </c>
      <c r="K45" s="5">
        <f>IF($C$17 = Aux!I43, WORKDAY.INTL($J$5+28*H45-1,1,1,Holiday!$A$1:$A$194), WORKDAY.INTL($J$5+28*H45+1,-1,1,Holiday!$A$1:$A$194))</f>
        <v>46024</v>
      </c>
      <c r="L45" s="13">
        <f t="shared" si="6"/>
        <v>7.7777777777777779E-2</v>
      </c>
      <c r="M45" s="35">
        <f t="shared" si="2"/>
        <v>3.1916666666666682</v>
      </c>
      <c r="N45" s="37">
        <f>($N$4-(O45*SUMPRODUCT(L$5:L44,N$5:N44)))/((O45*L45)+1)</f>
        <v>0.75596865846451611</v>
      </c>
      <c r="O45" s="21">
        <v>8.899615384615385E-2</v>
      </c>
      <c r="P45" s="31">
        <f t="shared" si="3"/>
        <v>0.75599523104223065</v>
      </c>
      <c r="Q45" s="15" cm="1">
        <f t="array" ref="Q45">Interpol($A$29:$B$39,2,G45)</f>
        <v>8.7640797170035908E-2</v>
      </c>
      <c r="R45" s="15"/>
      <c r="T45" s="5"/>
    </row>
    <row r="46" spans="1:20">
      <c r="E46" s="24"/>
      <c r="F46" s="26"/>
      <c r="G46" s="24">
        <f t="shared" si="1"/>
        <v>1176</v>
      </c>
      <c r="H46">
        <v>42</v>
      </c>
      <c r="I46" s="5">
        <f>WORKDAY.INTL(J46,-1,1,Holiday!$A$1:$A$194)</f>
        <v>46022</v>
      </c>
      <c r="J46" s="5">
        <f t="shared" si="4"/>
        <v>46024</v>
      </c>
      <c r="K46" s="5">
        <f>IF($C$17 = Aux!I44, WORKDAY.INTL($J$5+28*H46-1,1,1,Holiday!$A$1:$A$194), WORKDAY.INTL($J$5+28*H46+1,-1,1,Holiday!$A$1:$A$194))</f>
        <v>46052</v>
      </c>
      <c r="L46" s="13">
        <f t="shared" si="6"/>
        <v>7.7777777777777779E-2</v>
      </c>
      <c r="M46" s="35">
        <f t="shared" si="2"/>
        <v>3.2694444444444462</v>
      </c>
      <c r="N46" s="37">
        <f>($N$4-(O46*SUMPRODUCT(L$5:L45,N$5:N45)))/((O46*L46)+1)</f>
        <v>0.75140228304740786</v>
      </c>
      <c r="O46" s="21">
        <v>8.8769230769230767E-2</v>
      </c>
      <c r="P46" s="31">
        <f t="shared" si="3"/>
        <v>0.7514396673993412</v>
      </c>
      <c r="Q46" s="15" cm="1">
        <f t="array" ref="Q46">Interpol($A$29:$B$39,2,G46)</f>
        <v>8.7404560857204605E-2</v>
      </c>
      <c r="R46" s="15"/>
      <c r="T46" s="5"/>
    </row>
    <row r="47" spans="1:20">
      <c r="E47" s="24"/>
      <c r="F47" s="26"/>
      <c r="G47" s="24">
        <f t="shared" si="1"/>
        <v>1204</v>
      </c>
      <c r="H47">
        <v>43</v>
      </c>
      <c r="I47" s="5">
        <f>WORKDAY.INTL(J47,-1,1,Holiday!$A$1:$A$194)</f>
        <v>46051</v>
      </c>
      <c r="J47" s="5">
        <f t="shared" si="4"/>
        <v>46052</v>
      </c>
      <c r="K47" s="5">
        <f>IF($C$17 = Aux!I45, WORKDAY.INTL($J$5+28*H47-1,1,1,Holiday!$A$1:$A$194), WORKDAY.INTL($J$5+28*H47+1,-1,1,Holiday!$A$1:$A$194))</f>
        <v>46080</v>
      </c>
      <c r="L47" s="13">
        <f t="shared" si="6"/>
        <v>7.7777777777777779E-2</v>
      </c>
      <c r="M47" s="35">
        <f t="shared" si="2"/>
        <v>3.3472222222222241</v>
      </c>
      <c r="N47" s="37">
        <f>($N$4-(O47*SUMPRODUCT(L$5:L46,N$5:N46)))/((O47*L47)+1)</f>
        <v>0.74689348190650684</v>
      </c>
      <c r="O47" s="21">
        <v>8.8542307692307698E-2</v>
      </c>
      <c r="P47" s="31">
        <f t="shared" si="3"/>
        <v>0.74693900311331485</v>
      </c>
      <c r="Q47" s="15" cm="1">
        <f t="array" ref="Q47">Interpol($A$29:$B$39,2,G47)</f>
        <v>8.7168324544373316E-2</v>
      </c>
      <c r="R47" s="15"/>
      <c r="T47" s="5"/>
    </row>
    <row r="48" spans="1:20">
      <c r="E48" s="24"/>
      <c r="F48" s="26"/>
      <c r="G48" s="24">
        <f t="shared" si="1"/>
        <v>1232</v>
      </c>
      <c r="H48">
        <v>44</v>
      </c>
      <c r="I48" s="5">
        <f>WORKDAY.INTL(J48,-1,1,Holiday!$A$1:$A$194)</f>
        <v>46079</v>
      </c>
      <c r="J48" s="5">
        <f t="shared" si="4"/>
        <v>46080</v>
      </c>
      <c r="K48" s="5">
        <f>IF($C$17 = Aux!I46, WORKDAY.INTL($J$5+28*H48-1,1,1,Holiday!$A$1:$A$194), WORKDAY.INTL($J$5+28*H48+1,-1,1,Holiday!$A$1:$A$194))</f>
        <v>46108</v>
      </c>
      <c r="L48" s="13">
        <f t="shared" si="6"/>
        <v>7.7777777777777779E-2</v>
      </c>
      <c r="M48" s="35">
        <f t="shared" si="2"/>
        <v>3.425000000000002</v>
      </c>
      <c r="N48" s="37">
        <f>($N$4-(O48*SUMPRODUCT(L$5:L47,N$5:N47)))/((O48*L48)+1)</f>
        <v>0.74244162515700873</v>
      </c>
      <c r="O48" s="21">
        <v>8.8315384615384615E-2</v>
      </c>
      <c r="P48" s="31">
        <f t="shared" si="3"/>
        <v>0.74249257957542569</v>
      </c>
      <c r="Q48" s="15" cm="1">
        <f t="array" ref="Q48">Interpol($A$29:$B$39,2,G48)</f>
        <v>8.6932088231542026E-2</v>
      </c>
      <c r="R48" s="15"/>
      <c r="T48" s="5"/>
    </row>
    <row r="49" spans="5:20">
      <c r="E49" s="24"/>
      <c r="F49" s="26"/>
      <c r="G49" s="24">
        <f t="shared" si="1"/>
        <v>1260</v>
      </c>
      <c r="H49">
        <v>45</v>
      </c>
      <c r="I49" s="5">
        <f>WORKDAY.INTL(J49,-1,1,Holiday!$A$1:$A$194)</f>
        <v>46107</v>
      </c>
      <c r="J49" s="5">
        <f t="shared" si="4"/>
        <v>46108</v>
      </c>
      <c r="K49" s="5">
        <f>IF($C$17 = Aux!I47, WORKDAY.INTL($J$5+28*H49-1,1,1,Holiday!$A$1:$A$194), WORKDAY.INTL($J$5+28*H49+1,-1,1,Holiday!$A$1:$A$194))</f>
        <v>46136</v>
      </c>
      <c r="L49" s="13">
        <f t="shared" si="6"/>
        <v>7.7777777777777779E-2</v>
      </c>
      <c r="M49" s="35">
        <f t="shared" si="2"/>
        <v>3.50277777777778</v>
      </c>
      <c r="N49" s="37">
        <f>($N$4-(O49*SUMPRODUCT(L$5:L48,N$5:N48)))/((O49*L49)+1)</f>
        <v>0.73804609119310904</v>
      </c>
      <c r="O49" s="21">
        <v>8.8088461538461546E-2</v>
      </c>
      <c r="P49" s="31">
        <f t="shared" si="3"/>
        <v>0.73809974807157186</v>
      </c>
      <c r="Q49" s="15" cm="1">
        <f t="array" ref="Q49">Interpol($A$29:$B$39,2,G49)</f>
        <v>8.6695851918710737E-2</v>
      </c>
      <c r="R49" s="15"/>
      <c r="T49" s="5"/>
    </row>
    <row r="50" spans="5:20">
      <c r="E50" s="24"/>
      <c r="F50" s="26"/>
      <c r="G50" s="24">
        <f t="shared" si="1"/>
        <v>1288</v>
      </c>
      <c r="H50">
        <v>46</v>
      </c>
      <c r="I50" s="5">
        <f>WORKDAY.INTL(J50,-1,1,Holiday!$A$1:$A$194)</f>
        <v>46135</v>
      </c>
      <c r="J50" s="5">
        <f t="shared" si="4"/>
        <v>46136</v>
      </c>
      <c r="K50" s="5">
        <f>IF($C$17 = Aux!I48, WORKDAY.INTL($J$5+28*H50-1,1,1,Holiday!$A$1:$A$194), WORKDAY.INTL($J$5+28*H50+1,-1,1,Holiday!$A$1:$A$194))</f>
        <v>46164</v>
      </c>
      <c r="L50" s="13">
        <f t="shared" si="6"/>
        <v>7.7777777777777779E-2</v>
      </c>
      <c r="M50" s="35">
        <f t="shared" si="2"/>
        <v>3.5805555555555579</v>
      </c>
      <c r="N50" s="37">
        <f>($N$4-(O50*SUMPRODUCT(L$5:L49,N$5:N49)))/((O50*L50)+1)</f>
        <v>0.73370626657732874</v>
      </c>
      <c r="O50" s="21">
        <v>8.7861538461538463E-2</v>
      </c>
      <c r="P50" s="31">
        <f t="shared" si="3"/>
        <v>0.73375986962829942</v>
      </c>
      <c r="Q50" s="15" cm="1">
        <f t="array" ref="Q50">Interpol($A$29:$B$39,2,G50)</f>
        <v>8.6459615605879434E-2</v>
      </c>
      <c r="R50" s="15"/>
      <c r="T50" s="5"/>
    </row>
    <row r="51" spans="5:20">
      <c r="E51" s="24"/>
      <c r="F51" s="26"/>
      <c r="G51" s="24">
        <f t="shared" si="1"/>
        <v>1316</v>
      </c>
      <c r="H51">
        <v>47</v>
      </c>
      <c r="I51" s="5">
        <f>WORKDAY.INTL(J51,-1,1,Holiday!$A$1:$A$194)</f>
        <v>46163</v>
      </c>
      <c r="J51" s="5">
        <f t="shared" si="4"/>
        <v>46164</v>
      </c>
      <c r="K51" s="5">
        <f>IF($C$17 = Aux!I49, WORKDAY.INTL($J$5+28*H51-1,1,1,Holiday!$A$1:$A$194), WORKDAY.INTL($J$5+28*H51+1,-1,1,Holiday!$A$1:$A$194))</f>
        <v>46192</v>
      </c>
      <c r="L51" s="13">
        <f t="shared" si="6"/>
        <v>7.7777777777777779E-2</v>
      </c>
      <c r="M51" s="35">
        <f t="shared" si="2"/>
        <v>3.6583333333333359</v>
      </c>
      <c r="N51" s="37">
        <f>($N$4-(O51*SUMPRODUCT(L$5:L50,N$5:N50)))/((O51*L51)+1)</f>
        <v>0.72942154593144604</v>
      </c>
      <c r="O51" s="21">
        <v>8.7634615384615394E-2</v>
      </c>
      <c r="P51" s="31">
        <f t="shared" si="3"/>
        <v>0.72947231486152464</v>
      </c>
      <c r="Q51" s="15" cm="1">
        <f t="array" ref="Q51">Interpol($A$29:$B$39,2,G51)</f>
        <v>8.6223379293048144E-2</v>
      </c>
      <c r="R51" s="15"/>
      <c r="T51" s="5"/>
    </row>
    <row r="52" spans="5:20">
      <c r="E52" s="24"/>
      <c r="F52" s="26"/>
      <c r="G52" s="24">
        <f t="shared" si="1"/>
        <v>1344</v>
      </c>
      <c r="H52">
        <v>48</v>
      </c>
      <c r="I52" s="5">
        <f>WORKDAY.INTL(J52,-1,1,Holiday!$A$1:$A$194)</f>
        <v>46191</v>
      </c>
      <c r="J52" s="5">
        <f t="shared" si="4"/>
        <v>46192</v>
      </c>
      <c r="K52" s="5">
        <f>IF($C$17 = Aux!I50, WORKDAY.INTL($J$5+28*H52-1,1,1,Holiday!$A$1:$A$194), WORKDAY.INTL($J$5+28*H52+1,-1,1,Holiday!$A$1:$A$194))</f>
        <v>46220</v>
      </c>
      <c r="L52" s="13">
        <f t="shared" si="6"/>
        <v>7.7777777777777779E-2</v>
      </c>
      <c r="M52" s="35">
        <f t="shared" si="2"/>
        <v>3.7361111111111138</v>
      </c>
      <c r="N52" s="37">
        <f>($N$4-(O52*SUMPRODUCT(L$5:L51,N$5:N51)))/((O52*L52)+1)</f>
        <v>0.72519133182901552</v>
      </c>
      <c r="O52" s="21">
        <v>8.7407692307692311E-2</v>
      </c>
      <c r="P52" s="31">
        <f t="shared" si="3"/>
        <v>0.72523646382790519</v>
      </c>
      <c r="Q52" s="15" cm="1">
        <f t="array" ref="Q52">Interpol($A$29:$B$39,2,G52)</f>
        <v>8.5987142980216855E-2</v>
      </c>
      <c r="R52" s="15"/>
      <c r="T52" s="5"/>
    </row>
    <row r="53" spans="5:20">
      <c r="E53" s="24"/>
      <c r="F53" s="26"/>
      <c r="G53" s="24">
        <f t="shared" si="1"/>
        <v>1372</v>
      </c>
      <c r="H53">
        <v>49</v>
      </c>
      <c r="I53" s="5">
        <f>WORKDAY.INTL(J53,-1,1,Holiday!$A$1:$A$194)</f>
        <v>46219</v>
      </c>
      <c r="J53" s="5">
        <f t="shared" si="4"/>
        <v>46220</v>
      </c>
      <c r="K53" s="5">
        <f>IF($C$17 = Aux!I51, WORKDAY.INTL($J$5+28*H53-1,1,1,Holiday!$A$1:$A$194), WORKDAY.INTL($J$5+28*H53+1,-1,1,Holiday!$A$1:$A$194))</f>
        <v>46248</v>
      </c>
      <c r="L53" s="13">
        <f t="shared" si="6"/>
        <v>7.7777777777777779E-2</v>
      </c>
      <c r="M53" s="35">
        <f t="shared" si="2"/>
        <v>3.8138888888888918</v>
      </c>
      <c r="N53" s="37">
        <f>($N$4-(O53*SUMPRODUCT(L$5:L52,N$5:N52)))/((O53*L53)+1)</f>
        <v>0.72101503468944528</v>
      </c>
      <c r="O53" s="21">
        <v>8.7180769230769242E-2</v>
      </c>
      <c r="P53" s="31">
        <f t="shared" si="3"/>
        <v>0.72105170587881284</v>
      </c>
      <c r="Q53" s="15" cm="1">
        <f t="array" ref="Q53">Interpol($A$29:$B$39,2,G53)</f>
        <v>8.5750906667385565E-2</v>
      </c>
      <c r="R53" s="15"/>
      <c r="T53" s="5"/>
    </row>
    <row r="54" spans="5:20">
      <c r="E54" s="24"/>
      <c r="F54" s="26"/>
      <c r="G54" s="24">
        <f t="shared" si="1"/>
        <v>1400</v>
      </c>
      <c r="H54">
        <v>50</v>
      </c>
      <c r="I54" s="5">
        <f>WORKDAY.INTL(J54,-1,1,Holiday!$A$1:$A$194)</f>
        <v>46247</v>
      </c>
      <c r="J54" s="5">
        <f t="shared" si="4"/>
        <v>46248</v>
      </c>
      <c r="K54" s="5">
        <f>IF($C$17 = Aux!I52, WORKDAY.INTL($J$5+28*H54-1,1,1,Holiday!$A$1:$A$194), WORKDAY.INTL($J$5+28*H54+1,-1,1,Holiday!$A$1:$A$194))</f>
        <v>46276</v>
      </c>
      <c r="L54" s="13">
        <f t="shared" si="6"/>
        <v>7.7777777777777779E-2</v>
      </c>
      <c r="M54" s="35">
        <f t="shared" si="2"/>
        <v>3.8916666666666697</v>
      </c>
      <c r="N54" s="37">
        <f>($N$4-(O54*SUMPRODUCT(L$5:L53,N$5:N53)))/((O54*L54)+1)</f>
        <v>0.71689207267361144</v>
      </c>
      <c r="O54" s="21">
        <v>8.6953846153846159E-2</v>
      </c>
      <c r="P54" s="31">
        <f t="shared" si="3"/>
        <v>0.71691743951685838</v>
      </c>
      <c r="Q54" s="15" cm="1">
        <f t="array" ref="Q54">Interpol($A$29:$B$39,2,G54)</f>
        <v>8.5514670354554262E-2</v>
      </c>
      <c r="R54" s="15"/>
      <c r="T54" s="5"/>
    </row>
    <row r="55" spans="5:20">
      <c r="E55" s="24"/>
      <c r="F55" s="26"/>
      <c r="G55" s="24">
        <f t="shared" si="1"/>
        <v>1428</v>
      </c>
      <c r="H55">
        <v>51</v>
      </c>
      <c r="I55" s="5">
        <f>WORKDAY.INTL(J55,-1,1,Holiday!$A$1:$A$194)</f>
        <v>46275</v>
      </c>
      <c r="J55" s="5">
        <f t="shared" si="4"/>
        <v>46276</v>
      </c>
      <c r="K55" s="5">
        <f>IF($C$17 = Aux!I53, WORKDAY.INTL($J$5+28*H55-1,1,1,Holiday!$A$1:$A$194), WORKDAY.INTL($J$5+28*H55+1,-1,1,Holiday!$A$1:$A$194))</f>
        <v>46304</v>
      </c>
      <c r="L55" s="13">
        <f t="shared" si="6"/>
        <v>7.7777777777777779E-2</v>
      </c>
      <c r="M55" s="35">
        <f t="shared" si="2"/>
        <v>3.9694444444444477</v>
      </c>
      <c r="N55" s="37">
        <f>($N$4-(O55*SUMPRODUCT(L$5:L54,N$5:N54)))/((O55*L55)+1)</f>
        <v>0.71282187158098664</v>
      </c>
      <c r="O55" s="21">
        <v>8.672692307692309E-2</v>
      </c>
      <c r="P55" s="31">
        <f t="shared" si="3"/>
        <v>0.71283307225492509</v>
      </c>
      <c r="Q55" s="15" cm="1">
        <f t="array" ref="Q55">Interpol($A$29:$B$39,2,G55)</f>
        <v>8.5278434041722972E-2</v>
      </c>
      <c r="R55" s="15"/>
      <c r="T55" s="5"/>
    </row>
    <row r="56" spans="5:20">
      <c r="E56" s="24"/>
      <c r="F56" s="26"/>
      <c r="G56" s="25">
        <f t="shared" si="1"/>
        <v>1456</v>
      </c>
      <c r="H56" s="6">
        <v>52</v>
      </c>
      <c r="I56" s="7">
        <f>WORKDAY.INTL(J56,-1,1,Holiday!$A$1:$A$194)</f>
        <v>46303</v>
      </c>
      <c r="J56" s="7">
        <f t="shared" si="4"/>
        <v>46304</v>
      </c>
      <c r="K56" s="7">
        <f>IF($C$17 = Aux!I54, WORKDAY.INTL($J$5+28*H56-1,1,1,Holiday!$A$1:$A$194), WORKDAY.INTL($J$5+28*H56+1,-1,1,Holiday!$A$1:$A$194))</f>
        <v>46332</v>
      </c>
      <c r="L56" s="14">
        <f t="shared" si="6"/>
        <v>7.7777777777777779E-2</v>
      </c>
      <c r="M56" s="34">
        <f t="shared" si="2"/>
        <v>4.0472222222222252</v>
      </c>
      <c r="N56" s="36">
        <f>($N$4-(O56*SUMPRODUCT(L$5:L55,N$5:N55)))/((O56*L56)+1)</f>
        <v>0.70880386474825929</v>
      </c>
      <c r="O56" s="22">
        <v>8.6500000000000007E-2</v>
      </c>
      <c r="P56" s="30">
        <f t="shared" si="3"/>
        <v>0.70879802047766272</v>
      </c>
      <c r="Q56" s="16">
        <v>8.5042197728891683E-2</v>
      </c>
      <c r="R56" s="16">
        <f>($P$4-P56)/SUMPRODUCT(L$5:L56,P$5:P56)</f>
        <v>8.649999999997654E-2</v>
      </c>
      <c r="S56" s="16">
        <f>R56-B11</f>
        <v>-2.3467339183014246E-14</v>
      </c>
      <c r="T56" s="5"/>
    </row>
    <row r="57" spans="5:20">
      <c r="E57" s="24"/>
      <c r="F57" s="26"/>
      <c r="G57" s="24">
        <f t="shared" si="1"/>
        <v>1484</v>
      </c>
      <c r="H57">
        <v>53</v>
      </c>
      <c r="I57" s="5">
        <f>WORKDAY.INTL(J57,-1,1,Holiday!$A$1:$A$194)</f>
        <v>46331</v>
      </c>
      <c r="J57" s="5">
        <f t="shared" si="4"/>
        <v>46332</v>
      </c>
      <c r="K57" s="5">
        <f>IF($C$17 = Aux!I55, WORKDAY.INTL($J$5+28*H57-1,1,1,Holiday!$A$1:$A$194), WORKDAY.INTL($J$5+28*H57+1,-1,1,Holiday!$A$1:$A$194))</f>
        <v>46360</v>
      </c>
      <c r="L57" s="13">
        <f t="shared" si="6"/>
        <v>7.7777777777777779E-2</v>
      </c>
      <c r="M57" s="35">
        <f t="shared" si="2"/>
        <v>4.1250000000000027</v>
      </c>
      <c r="N57" s="37">
        <f>($N$4-(O57*SUMPRODUCT(L$5:L56,N$5:N56)))/((O57*L57)+1)</f>
        <v>0.70428251593005464</v>
      </c>
      <c r="O57" s="21">
        <v>8.6436538461538467E-2</v>
      </c>
      <c r="P57" s="31">
        <f t="shared" si="3"/>
        <v>0.70428967280252464</v>
      </c>
      <c r="Q57" s="15" cm="1">
        <f t="array" ref="Q57">Interpol($A$29:$B$39,2,G57)</f>
        <v>8.4985585552583259E-2</v>
      </c>
      <c r="R57" s="15"/>
      <c r="T57" s="5"/>
    </row>
    <row r="58" spans="5:20">
      <c r="E58" s="24"/>
      <c r="F58" s="26"/>
      <c r="G58" s="24">
        <f t="shared" si="1"/>
        <v>1511</v>
      </c>
      <c r="H58">
        <v>54</v>
      </c>
      <c r="I58" s="5">
        <f>WORKDAY.INTL(J58,-1,1,Holiday!$A$1:$A$194)</f>
        <v>46359</v>
      </c>
      <c r="J58" s="5">
        <f t="shared" si="4"/>
        <v>46360</v>
      </c>
      <c r="K58" s="5">
        <f>IF($C$17 = Aux!I56, WORKDAY.INTL($J$5+28*H58-1,1,1,Holiday!$A$1:$A$194), WORKDAY.INTL($J$5+28*H58+1,-1,1,Holiday!$A$1:$A$194))</f>
        <v>46387</v>
      </c>
      <c r="L58" s="13">
        <f t="shared" si="6"/>
        <v>7.4999999999999997E-2</v>
      </c>
      <c r="M58" s="35">
        <f t="shared" si="2"/>
        <v>4.2000000000000028</v>
      </c>
      <c r="N58" s="37">
        <f>($N$4-(O58*SUMPRODUCT(L$5:L57,N$5:N57)))/((O58*L58)+1)</f>
        <v>0.69995724810184878</v>
      </c>
      <c r="O58" s="21">
        <v>8.6375343406593419E-2</v>
      </c>
      <c r="P58" s="31">
        <f t="shared" si="3"/>
        <v>0.69997533518690014</v>
      </c>
      <c r="Q58" s="15" cm="1">
        <f t="array" ref="Q58">Interpol($A$29:$B$39,2,G58)</f>
        <v>8.4930995239714424E-2</v>
      </c>
      <c r="R58" s="15"/>
      <c r="T58" s="5"/>
    </row>
    <row r="59" spans="5:20">
      <c r="E59" s="24"/>
      <c r="F59" s="26"/>
      <c r="G59" s="24">
        <f t="shared" si="1"/>
        <v>1540</v>
      </c>
      <c r="H59">
        <v>55</v>
      </c>
      <c r="I59" s="5">
        <f>WORKDAY.INTL(J59,-1,1,Holiday!$A$1:$A$194)</f>
        <v>46386</v>
      </c>
      <c r="J59" s="5">
        <f t="shared" si="4"/>
        <v>46387</v>
      </c>
      <c r="K59" s="5">
        <f>IF($C$17 = Aux!I57, WORKDAY.INTL($J$5+28*H59-1,1,1,Holiday!$A$1:$A$194), WORKDAY.INTL($J$5+28*H59+1,-1,1,Holiday!$A$1:$A$194))</f>
        <v>46416</v>
      </c>
      <c r="L59" s="13">
        <f t="shared" si="6"/>
        <v>8.0555555555555561E-2</v>
      </c>
      <c r="M59" s="35">
        <f t="shared" si="2"/>
        <v>4.2805555555555586</v>
      </c>
      <c r="N59" s="37">
        <f>($N$4-(O59*SUMPRODUCT(L$5:L58,N$5:N58)))/((O59*L59)+1)</f>
        <v>0.69535077419703706</v>
      </c>
      <c r="O59" s="21">
        <v>8.6309615384615387E-2</v>
      </c>
      <c r="P59" s="31">
        <f t="shared" si="3"/>
        <v>0.69537719275659604</v>
      </c>
      <c r="Q59" s="15" cm="1">
        <f t="array" ref="Q59">Interpol($A$29:$B$39,2,G59)</f>
        <v>8.4872361199966412E-2</v>
      </c>
      <c r="R59" s="15"/>
      <c r="T59" s="5"/>
    </row>
    <row r="60" spans="5:20">
      <c r="E60" s="24"/>
      <c r="F60" s="26"/>
      <c r="G60" s="24">
        <f t="shared" si="1"/>
        <v>1568</v>
      </c>
      <c r="H60">
        <v>56</v>
      </c>
      <c r="I60" s="5">
        <f>WORKDAY.INTL(J60,-1,1,Holiday!$A$1:$A$194)</f>
        <v>46415</v>
      </c>
      <c r="J60" s="5">
        <f t="shared" si="4"/>
        <v>46416</v>
      </c>
      <c r="K60" s="5">
        <f>IF($C$17 = Aux!I58, WORKDAY.INTL($J$5+28*H60-1,1,1,Holiday!$A$1:$A$194), WORKDAY.INTL($J$5+28*H60+1,-1,1,Holiday!$A$1:$A$194))</f>
        <v>46444</v>
      </c>
      <c r="L60" s="13">
        <f t="shared" si="6"/>
        <v>7.7777777777777779E-2</v>
      </c>
      <c r="M60" s="35">
        <f t="shared" si="2"/>
        <v>4.3583333333333361</v>
      </c>
      <c r="N60" s="37">
        <f>($N$4-(O60*SUMPRODUCT(L$5:L59,N$5:N59)))/((O60*L60)+1)</f>
        <v>0.69093972065600362</v>
      </c>
      <c r="O60" s="21">
        <v>8.6246153846153861E-2</v>
      </c>
      <c r="P60" s="31">
        <f t="shared" si="3"/>
        <v>0.69097246354432029</v>
      </c>
      <c r="Q60" s="15" cm="1">
        <f t="array" ref="Q60">Interpol($A$29:$B$39,2,G60)</f>
        <v>8.4815749023657988E-2</v>
      </c>
      <c r="R60" s="15"/>
      <c r="T60" s="5"/>
    </row>
    <row r="61" spans="5:20">
      <c r="E61" s="24"/>
      <c r="F61" s="26"/>
      <c r="G61" s="24">
        <f t="shared" si="1"/>
        <v>1594</v>
      </c>
      <c r="H61">
        <v>57</v>
      </c>
      <c r="I61" s="5">
        <f>WORKDAY.INTL(J61,-1,1,Holiday!$A$1:$A$194)</f>
        <v>46443</v>
      </c>
      <c r="J61" s="5">
        <f t="shared" si="4"/>
        <v>46444</v>
      </c>
      <c r="K61" s="5">
        <f>IF($C$17 = Aux!I59, WORKDAY.INTL($J$5+28*H61-1,1,1,Holiday!$A$1:$A$194), WORKDAY.INTL($J$5+28*H61+1,-1,1,Holiday!$A$1:$A$194))</f>
        <v>46470</v>
      </c>
      <c r="L61" s="13">
        <f t="shared" si="6"/>
        <v>7.2222222222222215E-2</v>
      </c>
      <c r="M61" s="35">
        <f t="shared" si="2"/>
        <v>4.430555555555558</v>
      </c>
      <c r="N61" s="37">
        <f>($N$4-(O61*SUMPRODUCT(L$5:L60,N$5:N60)))/((O61*L61)+1)</f>
        <v>0.68687515024038515</v>
      </c>
      <c r="O61" s="21">
        <v>8.618722527472529E-2</v>
      </c>
      <c r="P61" s="31">
        <f t="shared" si="3"/>
        <v>0.6869127607715142</v>
      </c>
      <c r="Q61" s="15" cm="1">
        <f t="array" ref="Q61">Interpol($A$29:$B$39,2,G61)</f>
        <v>8.4763180574228741E-2</v>
      </c>
      <c r="R61" s="15"/>
      <c r="T61" s="5"/>
    </row>
    <row r="62" spans="5:20">
      <c r="E62" s="24"/>
      <c r="F62" s="26"/>
      <c r="G62" s="24">
        <f t="shared" si="1"/>
        <v>1624</v>
      </c>
      <c r="H62">
        <v>58</v>
      </c>
      <c r="I62" s="5">
        <f>WORKDAY.INTL(J62,-1,1,Holiday!$A$1:$A$194)</f>
        <v>46469</v>
      </c>
      <c r="J62" s="5">
        <f t="shared" si="4"/>
        <v>46470</v>
      </c>
      <c r="K62" s="5">
        <f>IF($C$17 = Aux!I60, WORKDAY.INTL($J$5+28*H62-1,1,1,Holiday!$A$1:$A$194), WORKDAY.INTL($J$5+28*H62+1,-1,1,Holiday!$A$1:$A$194))</f>
        <v>46500</v>
      </c>
      <c r="L62" s="13">
        <f t="shared" si="6"/>
        <v>8.3333333333333329E-2</v>
      </c>
      <c r="M62" s="35">
        <f t="shared" si="2"/>
        <v>4.5138888888888911</v>
      </c>
      <c r="N62" s="37">
        <f>($N$4-(O62*SUMPRODUCT(L$5:L61,N$5:N61)))/((O62*L62)+1)</f>
        <v>0.68222589220207353</v>
      </c>
      <c r="O62" s="21">
        <v>8.6119230769230781E-2</v>
      </c>
      <c r="P62" s="31">
        <f t="shared" si="3"/>
        <v>0.68226455556347509</v>
      </c>
      <c r="Q62" s="15" cm="1">
        <f t="array" ref="Q62">Interpol($A$29:$B$39,2,G62)</f>
        <v>8.4702524671041141E-2</v>
      </c>
      <c r="R62" s="15"/>
      <c r="T62" s="5"/>
    </row>
    <row r="63" spans="5:20">
      <c r="E63" s="24"/>
      <c r="F63" s="26"/>
      <c r="G63" s="24">
        <f t="shared" si="1"/>
        <v>1652</v>
      </c>
      <c r="H63">
        <v>59</v>
      </c>
      <c r="I63" s="5">
        <f>WORKDAY.INTL(J63,-1,1,Holiday!$A$1:$A$194)</f>
        <v>46499</v>
      </c>
      <c r="J63" s="5">
        <f t="shared" si="4"/>
        <v>46500</v>
      </c>
      <c r="K63" s="5">
        <f>IF($C$17 = Aux!I61, WORKDAY.INTL($J$5+28*H63-1,1,1,Holiday!$A$1:$A$194), WORKDAY.INTL($J$5+28*H63+1,-1,1,Holiday!$A$1:$A$194))</f>
        <v>46528</v>
      </c>
      <c r="L63" s="13">
        <f t="shared" si="6"/>
        <v>7.7777777777777779E-2</v>
      </c>
      <c r="M63" s="35">
        <f t="shared" si="2"/>
        <v>4.5916666666666686</v>
      </c>
      <c r="N63" s="37">
        <f>($N$4-(O63*SUMPRODUCT(L$5:L62,N$5:N62)))/((O63*L63)+1)</f>
        <v>0.67792236450766208</v>
      </c>
      <c r="O63" s="21">
        <v>8.6055769230769241E-2</v>
      </c>
      <c r="P63" s="31">
        <f t="shared" si="3"/>
        <v>0.67796079657678032</v>
      </c>
      <c r="Q63" s="15" cm="1">
        <f t="array" ref="Q63">Interpol($A$29:$B$39,2,G63)</f>
        <v>8.4645912494732731E-2</v>
      </c>
      <c r="R63" s="15"/>
      <c r="T63" s="5"/>
    </row>
    <row r="64" spans="5:20">
      <c r="E64" s="24"/>
      <c r="F64" s="26"/>
      <c r="G64" s="24">
        <f t="shared" si="1"/>
        <v>1680</v>
      </c>
      <c r="H64">
        <v>60</v>
      </c>
      <c r="I64" s="5">
        <f>WORKDAY.INTL(J64,-1,1,Holiday!$A$1:$A$194)</f>
        <v>46527</v>
      </c>
      <c r="J64" s="5">
        <f t="shared" si="4"/>
        <v>46528</v>
      </c>
      <c r="K64" s="5">
        <f>IF($C$17 = Aux!I62, WORKDAY.INTL($J$5+28*H64-1,1,1,Holiday!$A$1:$A$194), WORKDAY.INTL($J$5+28*H64+1,-1,1,Holiday!$A$1:$A$194))</f>
        <v>46556</v>
      </c>
      <c r="L64" s="13">
        <f t="shared" si="6"/>
        <v>7.7777777777777779E-2</v>
      </c>
      <c r="M64" s="35">
        <f t="shared" si="2"/>
        <v>4.6694444444444461</v>
      </c>
      <c r="N64" s="37">
        <f>($N$4-(O64*SUMPRODUCT(L$5:L63,N$5:N63)))/((O64*L64)+1)</f>
        <v>0.67365407667316635</v>
      </c>
      <c r="O64" s="21">
        <v>8.5992307692307701E-2</v>
      </c>
      <c r="P64" s="31">
        <f t="shared" si="3"/>
        <v>0.67369011863445205</v>
      </c>
      <c r="Q64" s="15" cm="1">
        <f t="array" ref="Q64">Interpol($A$29:$B$39,2,G64)</f>
        <v>8.4589300318424307E-2</v>
      </c>
      <c r="R64" s="15"/>
      <c r="T64" s="5"/>
    </row>
    <row r="65" spans="5:20">
      <c r="E65" s="24"/>
      <c r="F65" s="26"/>
      <c r="G65" s="24">
        <f t="shared" si="1"/>
        <v>1708</v>
      </c>
      <c r="H65">
        <v>61</v>
      </c>
      <c r="I65" s="5">
        <f>WORKDAY.INTL(J65,-1,1,Holiday!$A$1:$A$194)</f>
        <v>46555</v>
      </c>
      <c r="J65" s="5">
        <f t="shared" si="4"/>
        <v>46556</v>
      </c>
      <c r="K65" s="5">
        <f>IF($C$17 = Aux!I63, WORKDAY.INTL($J$5+28*H65-1,1,1,Holiday!$A$1:$A$194), WORKDAY.INTL($J$5+28*H65+1,-1,1,Holiday!$A$1:$A$194))</f>
        <v>46584</v>
      </c>
      <c r="L65" s="13">
        <f t="shared" si="6"/>
        <v>7.7777777777777779E-2</v>
      </c>
      <c r="M65" s="35">
        <f t="shared" si="2"/>
        <v>4.7472222222222236</v>
      </c>
      <c r="N65" s="37">
        <f>($N$4-(O65*SUMPRODUCT(L$5:L64,N$5:N64)))/((O65*L65)+1)</f>
        <v>0.66942073195783358</v>
      </c>
      <c r="O65" s="21">
        <v>8.5928846153846161E-2</v>
      </c>
      <c r="P65" s="31">
        <f t="shared" si="3"/>
        <v>0.66945223836760059</v>
      </c>
      <c r="Q65" s="15" cm="1">
        <f t="array" ref="Q65">Interpol($A$29:$B$39,2,G65)</f>
        <v>8.4532688142115883E-2</v>
      </c>
      <c r="R65" s="15"/>
      <c r="T65" s="5"/>
    </row>
    <row r="66" spans="5:20">
      <c r="E66" s="24"/>
      <c r="F66" s="26"/>
      <c r="G66" s="24">
        <f t="shared" si="1"/>
        <v>1736</v>
      </c>
      <c r="H66">
        <v>62</v>
      </c>
      <c r="I66" s="5">
        <f>WORKDAY.INTL(J66,-1,1,Holiday!$A$1:$A$194)</f>
        <v>46583</v>
      </c>
      <c r="J66" s="5">
        <f t="shared" si="4"/>
        <v>46584</v>
      </c>
      <c r="K66" s="5">
        <f>IF($C$17 = Aux!I64, WORKDAY.INTL($J$5+28*H66-1,1,1,Holiday!$A$1:$A$194), WORKDAY.INTL($J$5+28*H66+1,-1,1,Holiday!$A$1:$A$194))</f>
        <v>46612</v>
      </c>
      <c r="L66" s="13">
        <f t="shared" si="6"/>
        <v>7.7777777777777779E-2</v>
      </c>
      <c r="M66" s="35">
        <f t="shared" si="2"/>
        <v>4.8250000000000011</v>
      </c>
      <c r="N66" s="37">
        <f>($N$4-(O66*SUMPRODUCT(L$5:L65,N$5:N65)))/((O66*L66)+1)</f>
        <v>0.66522203627484877</v>
      </c>
      <c r="O66" s="21">
        <v>8.5865384615384635E-2</v>
      </c>
      <c r="P66" s="31">
        <f t="shared" si="3"/>
        <v>0.665246875054883</v>
      </c>
      <c r="Q66" s="15" cm="1">
        <f t="array" ref="Q66">Interpol($A$29:$B$39,2,G66)</f>
        <v>8.4476075965807459E-2</v>
      </c>
      <c r="R66" s="15"/>
      <c r="T66" s="5"/>
    </row>
    <row r="67" spans="5:20">
      <c r="E67" s="24"/>
      <c r="F67" s="26"/>
      <c r="G67" s="24">
        <f t="shared" si="1"/>
        <v>1764</v>
      </c>
      <c r="H67">
        <v>63</v>
      </c>
      <c r="I67" s="5">
        <f>WORKDAY.INTL(J67,-1,1,Holiday!$A$1:$A$194)</f>
        <v>46611</v>
      </c>
      <c r="J67" s="5">
        <f t="shared" si="4"/>
        <v>46612</v>
      </c>
      <c r="K67" s="5">
        <f>IF($C$17 = Aux!I65, WORKDAY.INTL($J$5+28*H67-1,1,1,Holiday!$A$1:$A$194), WORKDAY.INTL($J$5+28*H67+1,-1,1,Holiday!$A$1:$A$194))</f>
        <v>46640</v>
      </c>
      <c r="L67" s="13">
        <f t="shared" si="6"/>
        <v>7.7777777777777779E-2</v>
      </c>
      <c r="M67" s="35">
        <f t="shared" si="2"/>
        <v>4.9027777777777786</v>
      </c>
      <c r="N67" s="37">
        <f>($N$4-(O67*SUMPRODUCT(L$5:L66,N$5:N66)))/((O67*L67)+1)</f>
        <v>0.66105769816653082</v>
      </c>
      <c r="O67" s="21">
        <v>8.5801923076923095E-2</v>
      </c>
      <c r="P67" s="31">
        <f t="shared" si="3"/>
        <v>0.66107375059599016</v>
      </c>
      <c r="Q67" s="15" cm="1">
        <f t="array" ref="Q67">Interpol($A$29:$B$39,2,G67)</f>
        <v>8.4419463789499036E-2</v>
      </c>
      <c r="R67" s="15"/>
      <c r="T67" s="5"/>
    </row>
    <row r="68" spans="5:20">
      <c r="E68" s="24"/>
      <c r="F68" s="26"/>
      <c r="G68" s="24">
        <f t="shared" si="1"/>
        <v>1792</v>
      </c>
      <c r="H68">
        <v>64</v>
      </c>
      <c r="I68" s="5">
        <f>WORKDAY.INTL(J68,-1,1,Holiday!$A$1:$A$194)</f>
        <v>46639</v>
      </c>
      <c r="J68" s="5">
        <f t="shared" si="4"/>
        <v>46640</v>
      </c>
      <c r="K68" s="5">
        <f>IF($C$17 = Aux!I66, WORKDAY.INTL($J$5+28*H68-1,1,1,Holiday!$A$1:$A$194), WORKDAY.INTL($J$5+28*H68+1,-1,1,Holiday!$A$1:$A$194))</f>
        <v>46668</v>
      </c>
      <c r="L68" s="13">
        <f t="shared" ref="L68:L99" si="7">(K68-J68)/$C$16</f>
        <v>7.7777777777777779E-2</v>
      </c>
      <c r="M68" s="35">
        <f t="shared" si="2"/>
        <v>4.9805555555555561</v>
      </c>
      <c r="N68" s="37">
        <f>($N$4-(O68*SUMPRODUCT(L$5:L67,N$5:N67)))/((O68*L68)+1)</f>
        <v>0.65692742877977106</v>
      </c>
      <c r="O68" s="21">
        <v>8.5738461538461555E-2</v>
      </c>
      <c r="P68" s="31">
        <f t="shared" si="3"/>
        <v>0.656932589485417</v>
      </c>
      <c r="Q68" s="15" cm="1">
        <f t="array" ref="Q68">Interpol($A$29:$B$39,2,G68)</f>
        <v>8.4362851613190612E-2</v>
      </c>
      <c r="R68" s="15"/>
      <c r="T68" s="5"/>
    </row>
    <row r="69" spans="5:20">
      <c r="E69" s="24"/>
      <c r="F69" s="26"/>
      <c r="G69" s="25">
        <f t="shared" si="1"/>
        <v>1820</v>
      </c>
      <c r="H69" s="6">
        <v>65</v>
      </c>
      <c r="I69" s="7">
        <f>WORKDAY.INTL(J69,-1,1,Holiday!$A$1:$A$194)</f>
        <v>46667</v>
      </c>
      <c r="J69" s="7">
        <f t="shared" si="4"/>
        <v>46668</v>
      </c>
      <c r="K69" s="7">
        <f>IF($C$17 = Aux!I67, WORKDAY.INTL($J$5+28*H69-1,1,1,Holiday!$A$1:$A$194), WORKDAY.INTL($J$5+28*H69+1,-1,1,Holiday!$A$1:$A$194))</f>
        <v>46696</v>
      </c>
      <c r="L69" s="14">
        <f t="shared" si="7"/>
        <v>7.7777777777777779E-2</v>
      </c>
      <c r="M69" s="34">
        <f t="shared" si="2"/>
        <v>5.0583333333333336</v>
      </c>
      <c r="N69" s="36">
        <f>($N$4-(O69*SUMPRODUCT(L$5:L68,N$5:N68)))/((O69*L69)+1)</f>
        <v>0.65283094184171087</v>
      </c>
      <c r="O69" s="22">
        <v>8.5675000000000015E-2</v>
      </c>
      <c r="P69" s="30">
        <f t="shared" si="3"/>
        <v>0.65282311878651023</v>
      </c>
      <c r="Q69" s="16">
        <v>8.4306239436882188E-2</v>
      </c>
      <c r="R69" s="16">
        <f>($P$4-P69)/SUMPRODUCT(L$5:L69,P$5:P69)</f>
        <v>8.5674999999960297E-2</v>
      </c>
      <c r="S69" s="16">
        <f>R69-B12</f>
        <v>-3.9718228705964975E-14</v>
      </c>
      <c r="T69" s="5"/>
    </row>
    <row r="70" spans="5:20">
      <c r="E70" s="24"/>
      <c r="F70" s="26"/>
      <c r="G70" s="24">
        <f t="shared" ref="G70:G133" si="8">K70-$K$4</f>
        <v>1848</v>
      </c>
      <c r="H70">
        <v>66</v>
      </c>
      <c r="I70" s="5">
        <f>WORKDAY.INTL(J70,-1,1,Holiday!$A$1:$A$194)</f>
        <v>46695</v>
      </c>
      <c r="J70" s="5">
        <f t="shared" si="4"/>
        <v>46696</v>
      </c>
      <c r="K70" s="5">
        <f>IF($C$17 = Aux!I68, WORKDAY.INTL($J$5+28*H70-1,1,1,Holiday!$A$1:$A$194), WORKDAY.INTL($J$5+28*H70+1,-1,1,Holiday!$A$1:$A$194))</f>
        <v>46724</v>
      </c>
      <c r="L70" s="13">
        <f t="shared" si="7"/>
        <v>7.7777777777777779E-2</v>
      </c>
      <c r="M70" s="35">
        <f t="shared" si="2"/>
        <v>5.1361111111111111</v>
      </c>
      <c r="N70" s="37">
        <f>($N$4-(O70*SUMPRODUCT(L$5:L69,N$5:N69)))/((O70*L70)+1)</f>
        <v>0.64846639637645531</v>
      </c>
      <c r="O70" s="21">
        <v>8.5685591471801936E-2</v>
      </c>
      <c r="P70" s="31">
        <f t="shared" si="3"/>
        <v>0.64847247820702947</v>
      </c>
      <c r="Q70" s="15" cm="1">
        <f t="array" ref="Q70">Interpol($A$29:$B$39,2,G70)</f>
        <v>8.4331453489325497E-2</v>
      </c>
      <c r="R70" s="15"/>
      <c r="T70" s="5"/>
    </row>
    <row r="71" spans="5:20">
      <c r="E71" s="24"/>
      <c r="F71" s="26"/>
      <c r="G71" s="24">
        <f t="shared" si="8"/>
        <v>1876</v>
      </c>
      <c r="H71">
        <v>67</v>
      </c>
      <c r="I71" s="5">
        <f>WORKDAY.INTL(J71,-1,1,Holiday!$A$1:$A$194)</f>
        <v>46723</v>
      </c>
      <c r="J71" s="5">
        <f t="shared" si="4"/>
        <v>46724</v>
      </c>
      <c r="K71" s="5">
        <f>IF($C$17 = Aux!I69, WORKDAY.INTL($J$5+28*H71-1,1,1,Holiday!$A$1:$A$194), WORKDAY.INTL($J$5+28*H71+1,-1,1,Holiday!$A$1:$A$194))</f>
        <v>46752</v>
      </c>
      <c r="L71" s="13">
        <f t="shared" si="7"/>
        <v>7.7777777777777779E-2</v>
      </c>
      <c r="M71" s="35">
        <f t="shared" ref="M71:M134" si="9">L71+M70</f>
        <v>5.2138888888888886</v>
      </c>
      <c r="N71" s="37">
        <f>($N$4-(O71*SUMPRODUCT(L$5:L70,N$5:N70)))/((O71*L71)+1)</f>
        <v>0.64412968780683255</v>
      </c>
      <c r="O71" s="21">
        <v>8.5696182943603871E-2</v>
      </c>
      <c r="P71" s="31">
        <f t="shared" ref="P71:P134" si="10">EXP(-M71*Q71)</f>
        <v>0.64414830533690426</v>
      </c>
      <c r="Q71" s="15" cm="1">
        <f t="array" ref="Q71">Interpol($A$29:$B$39,2,G71)</f>
        <v>8.4356667541768807E-2</v>
      </c>
      <c r="R71" s="15"/>
      <c r="T71" s="5"/>
    </row>
    <row r="72" spans="5:20">
      <c r="E72" s="24"/>
      <c r="F72" s="26"/>
      <c r="G72" s="24">
        <f t="shared" si="8"/>
        <v>1904</v>
      </c>
      <c r="H72">
        <v>68</v>
      </c>
      <c r="I72" s="5">
        <f>WORKDAY.INTL(J72,-1,1,Holiday!$A$1:$A$194)</f>
        <v>46751</v>
      </c>
      <c r="J72" s="5">
        <f t="shared" ref="J72:J134" si="11">K71</f>
        <v>46752</v>
      </c>
      <c r="K72" s="5">
        <f>IF($C$17 = Aux!I70, WORKDAY.INTL($J$5+28*H72-1,1,1,Holiday!$A$1:$A$194), WORKDAY.INTL($J$5+28*H72+1,-1,1,Holiday!$A$1:$A$194))</f>
        <v>46780</v>
      </c>
      <c r="L72" s="13">
        <f t="shared" si="7"/>
        <v>7.7777777777777779E-2</v>
      </c>
      <c r="M72" s="35">
        <f t="shared" si="9"/>
        <v>5.2916666666666661</v>
      </c>
      <c r="N72" s="37">
        <f>($N$4-(O72*SUMPRODUCT(L$5:L71,N$5:N71)))/((O72*L72)+1)</f>
        <v>0.63982064244511427</v>
      </c>
      <c r="O72" s="21">
        <v>8.5706774415405793E-2</v>
      </c>
      <c r="P72" s="31">
        <f t="shared" si="10"/>
        <v>0.63985045749024305</v>
      </c>
      <c r="Q72" s="15" cm="1">
        <f t="array" ref="Q72">Interpol($A$29:$B$39,2,G72)</f>
        <v>8.4381881594212116E-2</v>
      </c>
      <c r="R72" s="15"/>
      <c r="T72" s="5"/>
    </row>
    <row r="73" spans="5:20">
      <c r="E73" s="24"/>
      <c r="F73" s="26"/>
      <c r="G73" s="24">
        <f t="shared" si="8"/>
        <v>1932</v>
      </c>
      <c r="H73">
        <v>69</v>
      </c>
      <c r="I73" s="5">
        <f>WORKDAY.INTL(J73,-1,1,Holiday!$A$1:$A$194)</f>
        <v>46779</v>
      </c>
      <c r="J73" s="5">
        <f t="shared" si="11"/>
        <v>46780</v>
      </c>
      <c r="K73" s="5">
        <f>IF($C$17 = Aux!I71, WORKDAY.INTL($J$5+28*H73-1,1,1,Holiday!$A$1:$A$194), WORKDAY.INTL($J$5+28*H73+1,-1,1,Holiday!$A$1:$A$194))</f>
        <v>46808</v>
      </c>
      <c r="L73" s="13">
        <f t="shared" si="7"/>
        <v>7.7777777777777779E-2</v>
      </c>
      <c r="M73" s="35">
        <f t="shared" si="9"/>
        <v>5.3694444444444436</v>
      </c>
      <c r="N73" s="37">
        <f>($N$4-(O73*SUMPRODUCT(L$5:L72,N$5:N72)))/((O73*L73)+1)</f>
        <v>0.63553908766331224</v>
      </c>
      <c r="O73" s="21">
        <v>8.5717365887207714E-2</v>
      </c>
      <c r="P73" s="31">
        <f t="shared" si="10"/>
        <v>0.6355787926241756</v>
      </c>
      <c r="Q73" s="15" cm="1">
        <f t="array" ref="Q73">Interpol($A$29:$B$39,2,G73)</f>
        <v>8.4407095646655411E-2</v>
      </c>
      <c r="R73" s="15"/>
      <c r="T73" s="5"/>
    </row>
    <row r="74" spans="5:20">
      <c r="E74" s="24"/>
      <c r="F74" s="26"/>
      <c r="G74" s="24">
        <f t="shared" si="8"/>
        <v>1960</v>
      </c>
      <c r="H74">
        <v>70</v>
      </c>
      <c r="I74" s="5">
        <f>WORKDAY.INTL(J74,-1,1,Holiday!$A$1:$A$194)</f>
        <v>46807</v>
      </c>
      <c r="J74" s="5">
        <f t="shared" si="11"/>
        <v>46808</v>
      </c>
      <c r="K74" s="5">
        <f>IF($C$17 = Aux!I72, WORKDAY.INTL($J$5+28*H74-1,1,1,Holiday!$A$1:$A$194), WORKDAY.INTL($J$5+28*H74+1,-1,1,Holiday!$A$1:$A$194))</f>
        <v>46836</v>
      </c>
      <c r="L74" s="13">
        <f t="shared" si="7"/>
        <v>7.7777777777777779E-2</v>
      </c>
      <c r="M74" s="35">
        <f t="shared" si="9"/>
        <v>5.4472222222222211</v>
      </c>
      <c r="N74" s="37">
        <f>($N$4-(O74*SUMPRODUCT(L$5:L73,N$5:N73)))/((O74*L74)+1)</f>
        <v>0.631284851886867</v>
      </c>
      <c r="O74" s="21">
        <v>8.5727957359009649E-2</v>
      </c>
      <c r="P74" s="31">
        <f t="shared" si="10"/>
        <v>0.63133316933678363</v>
      </c>
      <c r="Q74" s="15" cm="1">
        <f t="array" ref="Q74">Interpol($A$29:$B$39,2,G74)</f>
        <v>8.443230969909872E-2</v>
      </c>
      <c r="R74" s="15"/>
      <c r="T74" s="5"/>
    </row>
    <row r="75" spans="5:20">
      <c r="E75" s="24"/>
      <c r="F75" s="26"/>
      <c r="G75" s="24">
        <f t="shared" si="8"/>
        <v>1988</v>
      </c>
      <c r="H75">
        <v>71</v>
      </c>
      <c r="I75" s="5">
        <f>WORKDAY.INTL(J75,-1,1,Holiday!$A$1:$A$194)</f>
        <v>46835</v>
      </c>
      <c r="J75" s="5">
        <f t="shared" si="11"/>
        <v>46836</v>
      </c>
      <c r="K75" s="5">
        <f>IF($C$17 = Aux!I73, WORKDAY.INTL($J$5+28*H75-1,1,1,Holiday!$A$1:$A$194), WORKDAY.INTL($J$5+28*H75+1,-1,1,Holiday!$A$1:$A$194))</f>
        <v>46864</v>
      </c>
      <c r="L75" s="13">
        <f t="shared" si="7"/>
        <v>7.7777777777777779E-2</v>
      </c>
      <c r="M75" s="35">
        <f t="shared" si="9"/>
        <v>5.5249999999999986</v>
      </c>
      <c r="N75" s="37">
        <f>($N$4-(O75*SUMPRODUCT(L$5:L74,N$5:N74)))/((O75*L75)+1)</f>
        <v>0.62705776458837026</v>
      </c>
      <c r="O75" s="21">
        <v>8.573854883081157E-2</v>
      </c>
      <c r="P75" s="31">
        <f t="shared" si="10"/>
        <v>0.62711344686503312</v>
      </c>
      <c r="Q75" s="15" cm="1">
        <f t="array" ref="Q75">Interpol($A$29:$B$39,2,G75)</f>
        <v>8.445752375154203E-2</v>
      </c>
      <c r="R75" s="15"/>
      <c r="T75" s="5"/>
    </row>
    <row r="76" spans="5:20">
      <c r="E76" s="24"/>
      <c r="F76" s="26"/>
      <c r="G76" s="24">
        <f t="shared" si="8"/>
        <v>2016</v>
      </c>
      <c r="H76">
        <v>72</v>
      </c>
      <c r="I76" s="5">
        <f>WORKDAY.INTL(J76,-1,1,Holiday!$A$1:$A$194)</f>
        <v>46863</v>
      </c>
      <c r="J76" s="5">
        <f t="shared" si="11"/>
        <v>46864</v>
      </c>
      <c r="K76" s="5">
        <f>IF($C$17 = Aux!I74, WORKDAY.INTL($J$5+28*H76-1,1,1,Holiday!$A$1:$A$194), WORKDAY.INTL($J$5+28*H76+1,-1,1,Holiday!$A$1:$A$194))</f>
        <v>46892</v>
      </c>
      <c r="L76" s="13">
        <f t="shared" si="7"/>
        <v>7.7777777777777779E-2</v>
      </c>
      <c r="M76" s="35">
        <f t="shared" si="9"/>
        <v>5.6027777777777761</v>
      </c>
      <c r="N76" s="37">
        <f>($N$4-(O76*SUMPRODUCT(L$5:L75,N$5:N75)))/((O76*L76)+1)</f>
        <v>0.62285765628132606</v>
      </c>
      <c r="O76" s="21">
        <v>8.5749140302613491E-2</v>
      </c>
      <c r="P76" s="31">
        <f t="shared" si="10"/>
        <v>0.62291948508270756</v>
      </c>
      <c r="Q76" s="15" cm="1">
        <f t="array" ref="Q76">Interpol($A$29:$B$39,2,G76)</f>
        <v>8.4482737803985339E-2</v>
      </c>
      <c r="R76" s="15"/>
      <c r="T76" s="5"/>
    </row>
    <row r="77" spans="5:20">
      <c r="E77" s="24"/>
      <c r="F77" s="26"/>
      <c r="G77" s="24">
        <f t="shared" si="8"/>
        <v>2044</v>
      </c>
      <c r="H77">
        <v>73</v>
      </c>
      <c r="I77" s="5">
        <f>WORKDAY.INTL(J77,-1,1,Holiday!$A$1:$A$194)</f>
        <v>46891</v>
      </c>
      <c r="J77" s="5">
        <f t="shared" si="11"/>
        <v>46892</v>
      </c>
      <c r="K77" s="5">
        <f>IF($C$17 = Aux!I75, WORKDAY.INTL($J$5+28*H77-1,1,1,Holiday!$A$1:$A$194), WORKDAY.INTL($J$5+28*H77+1,-1,1,Holiday!$A$1:$A$194))</f>
        <v>46920</v>
      </c>
      <c r="L77" s="13">
        <f t="shared" si="7"/>
        <v>7.7777777777777779E-2</v>
      </c>
      <c r="M77" s="35">
        <f t="shared" si="9"/>
        <v>5.6805555555555536</v>
      </c>
      <c r="N77" s="37">
        <f>($N$4-(O77*SUMPRODUCT(L$5:L76,N$5:N76)))/((O77*L77)+1)</f>
        <v>0.61868435851394576</v>
      </c>
      <c r="O77" s="21">
        <v>8.5759731774415426E-2</v>
      </c>
      <c r="P77" s="31">
        <f t="shared" si="10"/>
        <v>0.61875114449834234</v>
      </c>
      <c r="Q77" s="15" cm="1">
        <f t="array" ref="Q77">Interpol($A$29:$B$39,2,G77)</f>
        <v>8.4507951856428648E-2</v>
      </c>
      <c r="R77" s="15"/>
      <c r="T77" s="5"/>
    </row>
    <row r="78" spans="5:20">
      <c r="E78" s="24"/>
      <c r="F78" s="26"/>
      <c r="G78" s="24">
        <f t="shared" si="8"/>
        <v>2072</v>
      </c>
      <c r="H78">
        <v>74</v>
      </c>
      <c r="I78" s="5">
        <f>WORKDAY.INTL(J78,-1,1,Holiday!$A$1:$A$194)</f>
        <v>46919</v>
      </c>
      <c r="J78" s="5">
        <f t="shared" si="11"/>
        <v>46920</v>
      </c>
      <c r="K78" s="5">
        <f>IF($C$17 = Aux!I76, WORKDAY.INTL($J$5+28*H78-1,1,1,Holiday!$A$1:$A$194), WORKDAY.INTL($J$5+28*H78+1,-1,1,Holiday!$A$1:$A$194))</f>
        <v>46948</v>
      </c>
      <c r="L78" s="13">
        <f t="shared" si="7"/>
        <v>7.7777777777777779E-2</v>
      </c>
      <c r="M78" s="35">
        <f t="shared" si="9"/>
        <v>5.7583333333333311</v>
      </c>
      <c r="N78" s="37">
        <f>($N$4-(O78*SUMPRODUCT(L$5:L77,N$5:N77)))/((O78*L78)+1)</f>
        <v>0.61453770386298223</v>
      </c>
      <c r="O78" s="21">
        <v>8.5770323246217348E-2</v>
      </c>
      <c r="P78" s="31">
        <f t="shared" si="10"/>
        <v>0.614608286253161</v>
      </c>
      <c r="Q78" s="15" cm="1">
        <f t="array" ref="Q78">Interpol($A$29:$B$39,2,G78)</f>
        <v>8.4533165908871957E-2</v>
      </c>
      <c r="R78" s="15"/>
      <c r="T78" s="5"/>
    </row>
    <row r="79" spans="5:20">
      <c r="E79" s="24"/>
      <c r="F79" s="26"/>
      <c r="G79" s="24">
        <f t="shared" si="8"/>
        <v>2100</v>
      </c>
      <c r="H79">
        <v>75</v>
      </c>
      <c r="I79" s="5">
        <f>WORKDAY.INTL(J79,-1,1,Holiday!$A$1:$A$194)</f>
        <v>46947</v>
      </c>
      <c r="J79" s="5">
        <f t="shared" si="11"/>
        <v>46948</v>
      </c>
      <c r="K79" s="5">
        <f>IF($C$17 = Aux!I77, WORKDAY.INTL($J$5+28*H79-1,1,1,Holiday!$A$1:$A$194), WORKDAY.INTL($J$5+28*H79+1,-1,1,Holiday!$A$1:$A$194))</f>
        <v>46976</v>
      </c>
      <c r="L79" s="13">
        <f t="shared" si="7"/>
        <v>7.7777777777777779E-2</v>
      </c>
      <c r="M79" s="35">
        <f t="shared" si="9"/>
        <v>5.8361111111111086</v>
      </c>
      <c r="N79" s="37">
        <f>($N$4-(O79*SUMPRODUCT(L$5:L78,N$5:N78)))/((O79*L79)+1)</f>
        <v>0.61041752592759668</v>
      </c>
      <c r="O79" s="21">
        <v>8.5780914718019269E-2</v>
      </c>
      <c r="P79" s="31">
        <f t="shared" si="10"/>
        <v>0.61049077211901281</v>
      </c>
      <c r="Q79" s="15" cm="1">
        <f t="array" ref="Q79">Interpol($A$29:$B$39,2,G79)</f>
        <v>8.4558379961315266E-2</v>
      </c>
      <c r="R79" s="15"/>
      <c r="T79" s="5"/>
    </row>
    <row r="80" spans="5:20">
      <c r="E80" s="24"/>
      <c r="F80" s="26"/>
      <c r="G80" s="24">
        <f t="shared" si="8"/>
        <v>2128</v>
      </c>
      <c r="H80">
        <v>76</v>
      </c>
      <c r="I80" s="5">
        <f>WORKDAY.INTL(J80,-1,1,Holiday!$A$1:$A$194)</f>
        <v>46975</v>
      </c>
      <c r="J80" s="5">
        <f t="shared" si="11"/>
        <v>46976</v>
      </c>
      <c r="K80" s="5">
        <f>IF($C$17 = Aux!I78, WORKDAY.INTL($J$5+28*H80-1,1,1,Holiday!$A$1:$A$194), WORKDAY.INTL($J$5+28*H80+1,-1,1,Holiday!$A$1:$A$194))</f>
        <v>47004</v>
      </c>
      <c r="L80" s="13">
        <f t="shared" si="7"/>
        <v>7.7777777777777779E-2</v>
      </c>
      <c r="M80" s="35">
        <f t="shared" si="9"/>
        <v>5.9138888888888861</v>
      </c>
      <c r="N80" s="37">
        <f>($N$4-(O80*SUMPRODUCT(L$5:L79,N$5:N79)))/((O80*L80)+1)</f>
        <v>0.60632365932326338</v>
      </c>
      <c r="O80" s="21">
        <v>8.579150618982119E-2</v>
      </c>
      <c r="P80" s="31">
        <f t="shared" si="10"/>
        <v>0.60639846449631185</v>
      </c>
      <c r="Q80" s="15" cm="1">
        <f t="array" ref="Q80">Interpol($A$29:$B$39,2,G80)</f>
        <v>8.4583594013758562E-2</v>
      </c>
      <c r="R80" s="15"/>
      <c r="T80" s="5"/>
    </row>
    <row r="81" spans="5:20">
      <c r="E81" s="24"/>
      <c r="F81" s="26"/>
      <c r="G81" s="24">
        <f t="shared" si="8"/>
        <v>2156</v>
      </c>
      <c r="H81">
        <v>77</v>
      </c>
      <c r="I81" s="5">
        <f>WORKDAY.INTL(J81,-1,1,Holiday!$A$1:$A$194)</f>
        <v>47003</v>
      </c>
      <c r="J81" s="5">
        <f t="shared" si="11"/>
        <v>47004</v>
      </c>
      <c r="K81" s="5">
        <f>IF($C$17 = Aux!I79, WORKDAY.INTL($J$5+28*H81-1,1,1,Holiday!$A$1:$A$194), WORKDAY.INTL($J$5+28*H81+1,-1,1,Holiday!$A$1:$A$194))</f>
        <v>47032</v>
      </c>
      <c r="L81" s="13">
        <f t="shared" si="7"/>
        <v>7.7777777777777779E-2</v>
      </c>
      <c r="M81" s="35">
        <f t="shared" si="9"/>
        <v>5.9916666666666636</v>
      </c>
      <c r="N81" s="37">
        <f>($N$4-(O81*SUMPRODUCT(L$5:L80,N$5:N80)))/((O81*L81)+1)</f>
        <v>0.60225593967570834</v>
      </c>
      <c r="O81" s="21">
        <v>8.5802097661623125E-2</v>
      </c>
      <c r="P81" s="31">
        <f t="shared" si="10"/>
        <v>0.60233122641197678</v>
      </c>
      <c r="Q81" s="15" cm="1">
        <f t="array" ref="Q81">Interpol($A$29:$B$39,2,G81)</f>
        <v>8.4608808066201871E-2</v>
      </c>
      <c r="R81" s="15"/>
      <c r="T81" s="5"/>
    </row>
    <row r="82" spans="5:20">
      <c r="E82" s="24"/>
      <c r="F82" s="26"/>
      <c r="G82" s="24">
        <f t="shared" si="8"/>
        <v>2184</v>
      </c>
      <c r="H82">
        <v>78</v>
      </c>
      <c r="I82" s="5">
        <f>WORKDAY.INTL(J82,-1,1,Holiday!$A$1:$A$194)</f>
        <v>47031</v>
      </c>
      <c r="J82" s="5">
        <f t="shared" si="11"/>
        <v>47032</v>
      </c>
      <c r="K82" s="5">
        <f>IF($C$17 = Aux!I80, WORKDAY.INTL($J$5+28*H82-1,1,1,Holiday!$A$1:$A$194), WORKDAY.INTL($J$5+28*H82+1,-1,1,Holiday!$A$1:$A$194))</f>
        <v>47060</v>
      </c>
      <c r="L82" s="13">
        <f t="shared" si="7"/>
        <v>7.7777777777777779E-2</v>
      </c>
      <c r="M82" s="35">
        <f t="shared" si="9"/>
        <v>6.0694444444444411</v>
      </c>
      <c r="N82" s="37">
        <f>($N$4-(O82*SUMPRODUCT(L$5:L81,N$5:N81)))/((O82*L82)+1)</f>
        <v>0.59821420361488442</v>
      </c>
      <c r="O82" s="21">
        <v>8.5812689133425046E-2</v>
      </c>
      <c r="P82" s="31">
        <f t="shared" si="10"/>
        <v>0.59828892151737423</v>
      </c>
      <c r="Q82" s="15" cm="1">
        <f t="array" ref="Q82">Interpol($A$29:$B$39,2,G82)</f>
        <v>8.463402211864518E-2</v>
      </c>
      <c r="R82" s="15"/>
      <c r="T82" s="5"/>
    </row>
    <row r="83" spans="5:20">
      <c r="E83" s="24"/>
      <c r="F83" s="26"/>
      <c r="G83" s="24">
        <f t="shared" si="8"/>
        <v>2212</v>
      </c>
      <c r="H83">
        <v>79</v>
      </c>
      <c r="I83" s="5">
        <f>WORKDAY.INTL(J83,-1,1,Holiday!$A$1:$A$194)</f>
        <v>47058</v>
      </c>
      <c r="J83" s="5">
        <f t="shared" si="11"/>
        <v>47060</v>
      </c>
      <c r="K83" s="5">
        <f>IF($C$17 = Aux!I81, WORKDAY.INTL($J$5+28*H83-1,1,1,Holiday!$A$1:$A$194), WORKDAY.INTL($J$5+28*H83+1,-1,1,Holiday!$A$1:$A$194))</f>
        <v>47088</v>
      </c>
      <c r="L83" s="13">
        <f t="shared" si="7"/>
        <v>7.7777777777777779E-2</v>
      </c>
      <c r="M83" s="35">
        <f t="shared" si="9"/>
        <v>6.1472222222222186</v>
      </c>
      <c r="N83" s="37">
        <f>($N$4-(O83*SUMPRODUCT(L$5:L82,N$5:N82)))/((O83*L83)+1)</f>
        <v>0.59419828876898018</v>
      </c>
      <c r="O83" s="21">
        <v>8.5823280605226968E-2</v>
      </c>
      <c r="P83" s="31">
        <f t="shared" si="10"/>
        <v>0.59427141408626116</v>
      </c>
      <c r="Q83" s="15" cm="1">
        <f t="array" ref="Q83">Interpol($A$29:$B$39,2,G83)</f>
        <v>8.4659236171088489E-2</v>
      </c>
      <c r="R83" s="15"/>
      <c r="T83" s="5"/>
    </row>
    <row r="84" spans="5:20">
      <c r="E84" s="24"/>
      <c r="F84" s="26"/>
      <c r="G84" s="24">
        <f t="shared" si="8"/>
        <v>2240</v>
      </c>
      <c r="H84">
        <v>80</v>
      </c>
      <c r="I84" s="5">
        <f>WORKDAY.INTL(J84,-1,1,Holiday!$A$1:$A$194)</f>
        <v>47087</v>
      </c>
      <c r="J84" s="5">
        <f t="shared" si="11"/>
        <v>47088</v>
      </c>
      <c r="K84" s="5">
        <f>IF($C$17 = Aux!I82, WORKDAY.INTL($J$5+28*H84-1,1,1,Holiday!$A$1:$A$194), WORKDAY.INTL($J$5+28*H84+1,-1,1,Holiday!$A$1:$A$194))</f>
        <v>47116</v>
      </c>
      <c r="L84" s="13">
        <f t="shared" si="7"/>
        <v>7.7777777777777779E-2</v>
      </c>
      <c r="M84" s="35">
        <f t="shared" si="9"/>
        <v>6.2249999999999961</v>
      </c>
      <c r="N84" s="37">
        <f>($N$4-(O84*SUMPRODUCT(L$5:L83,N$5:N83)))/((O84*L84)+1)</f>
        <v>0.59020803375846487</v>
      </c>
      <c r="O84" s="21">
        <v>8.5833872077028903E-2</v>
      </c>
      <c r="P84" s="31">
        <f t="shared" si="10"/>
        <v>0.59027856901273112</v>
      </c>
      <c r="Q84" s="15" cm="1">
        <f t="array" ref="Q84">Interpol($A$29:$B$39,2,G84)</f>
        <v>8.4684450223531799E-2</v>
      </c>
      <c r="R84" s="15"/>
      <c r="T84" s="5"/>
    </row>
    <row r="85" spans="5:20">
      <c r="E85" s="24"/>
      <c r="F85" s="26"/>
      <c r="G85" s="24">
        <f t="shared" si="8"/>
        <v>2268</v>
      </c>
      <c r="H85">
        <v>81</v>
      </c>
      <c r="I85" s="5">
        <f>WORKDAY.INTL(J85,-1,1,Holiday!$A$1:$A$194)</f>
        <v>47115</v>
      </c>
      <c r="J85" s="5">
        <f t="shared" si="11"/>
        <v>47116</v>
      </c>
      <c r="K85" s="5">
        <f>IF($C$17 = Aux!I83, WORKDAY.INTL($J$5+28*H85-1,1,1,Holiday!$A$1:$A$194), WORKDAY.INTL($J$5+28*H85+1,-1,1,Holiday!$A$1:$A$194))</f>
        <v>47144</v>
      </c>
      <c r="L85" s="13">
        <f t="shared" si="7"/>
        <v>7.7777777777777779E-2</v>
      </c>
      <c r="M85" s="35">
        <f t="shared" si="9"/>
        <v>6.3027777777777736</v>
      </c>
      <c r="N85" s="37">
        <f>($N$4-(O85*SUMPRODUCT(L$5:L84,N$5:N84)))/((O85*L85)+1)</f>
        <v>0.58624327819016731</v>
      </c>
      <c r="O85" s="21">
        <v>8.5844463548830824E-2</v>
      </c>
      <c r="P85" s="31">
        <f t="shared" si="10"/>
        <v>0.58631025180916052</v>
      </c>
      <c r="Q85" s="15" cm="1">
        <f t="array" ref="Q85">Interpol($A$29:$B$39,2,G85)</f>
        <v>8.4709664275975108E-2</v>
      </c>
      <c r="R85" s="15"/>
      <c r="T85" s="5"/>
    </row>
    <row r="86" spans="5:20">
      <c r="E86" s="24"/>
      <c r="F86" s="26"/>
      <c r="G86" s="24">
        <f t="shared" si="8"/>
        <v>2296</v>
      </c>
      <c r="H86">
        <v>82</v>
      </c>
      <c r="I86" s="5">
        <f>WORKDAY.INTL(J86,-1,1,Holiday!$A$1:$A$194)</f>
        <v>47143</v>
      </c>
      <c r="J86" s="5">
        <f t="shared" si="11"/>
        <v>47144</v>
      </c>
      <c r="K86" s="5">
        <f>IF($C$17 = Aux!I84, WORKDAY.INTL($J$5+28*H86-1,1,1,Holiday!$A$1:$A$194), WORKDAY.INTL($J$5+28*H86+1,-1,1,Holiday!$A$1:$A$194))</f>
        <v>47172</v>
      </c>
      <c r="L86" s="13">
        <f t="shared" si="7"/>
        <v>7.7777777777777779E-2</v>
      </c>
      <c r="M86" s="35">
        <f t="shared" si="9"/>
        <v>6.3805555555555511</v>
      </c>
      <c r="N86" s="37">
        <f>($N$4-(O86*SUMPRODUCT(L$5:L85,N$5:N85)))/((O86*L86)+1)</f>
        <v>0.58230386265138867</v>
      </c>
      <c r="O86" s="21">
        <v>8.5855055020632745E-2</v>
      </c>
      <c r="P86" s="31">
        <f t="shared" si="10"/>
        <v>0.5823663286041576</v>
      </c>
      <c r="Q86" s="15" cm="1">
        <f t="array" ref="Q86">Interpol($A$29:$B$39,2,G86)</f>
        <v>8.4734878328418417E-2</v>
      </c>
      <c r="R86" s="15"/>
      <c r="T86" s="5"/>
    </row>
    <row r="87" spans="5:20">
      <c r="E87" s="24"/>
      <c r="F87" s="26"/>
      <c r="G87" s="24">
        <f t="shared" si="8"/>
        <v>2324</v>
      </c>
      <c r="H87">
        <v>83</v>
      </c>
      <c r="I87" s="5">
        <f>WORKDAY.INTL(J87,-1,1,Holiday!$A$1:$A$194)</f>
        <v>47171</v>
      </c>
      <c r="J87" s="5">
        <f t="shared" si="11"/>
        <v>47172</v>
      </c>
      <c r="K87" s="5">
        <f>IF($C$17 = Aux!I85, WORKDAY.INTL($J$5+28*H87-1,1,1,Holiday!$A$1:$A$194), WORKDAY.INTL($J$5+28*H87+1,-1,1,Holiday!$A$1:$A$194))</f>
        <v>47200</v>
      </c>
      <c r="L87" s="13">
        <f t="shared" si="7"/>
        <v>7.7777777777777779E-2</v>
      </c>
      <c r="M87" s="35">
        <f t="shared" si="9"/>
        <v>6.4583333333333286</v>
      </c>
      <c r="N87" s="37">
        <f>($N$4-(O87*SUMPRODUCT(L$5:L86,N$5:N86)))/((O87*L87)+1)</f>
        <v>0.57838962870405097</v>
      </c>
      <c r="O87" s="21">
        <v>8.586564649243468E-2</v>
      </c>
      <c r="P87" s="31">
        <f t="shared" si="10"/>
        <v>0.5784466661405131</v>
      </c>
      <c r="Q87" s="15" cm="1">
        <f t="array" ref="Q87">Interpol($A$29:$B$39,2,G87)</f>
        <v>8.4760092380861712E-2</v>
      </c>
      <c r="R87" s="15"/>
      <c r="T87" s="5"/>
    </row>
    <row r="88" spans="5:20">
      <c r="E88" s="24"/>
      <c r="F88" s="26"/>
      <c r="G88" s="24">
        <f t="shared" si="8"/>
        <v>2352</v>
      </c>
      <c r="H88">
        <v>84</v>
      </c>
      <c r="I88" s="5">
        <f>WORKDAY.INTL(J88,-1,1,Holiday!$A$1:$A$194)</f>
        <v>47199</v>
      </c>
      <c r="J88" s="5">
        <f t="shared" si="11"/>
        <v>47200</v>
      </c>
      <c r="K88" s="5">
        <f>IF($C$17 = Aux!I86, WORKDAY.INTL($J$5+28*H88-1,1,1,Holiday!$A$1:$A$194), WORKDAY.INTL($J$5+28*H88+1,-1,1,Holiday!$A$1:$A$194))</f>
        <v>47228</v>
      </c>
      <c r="L88" s="13">
        <f t="shared" si="7"/>
        <v>7.7777777777777779E-2</v>
      </c>
      <c r="M88" s="35">
        <f t="shared" si="9"/>
        <v>6.5361111111111061</v>
      </c>
      <c r="N88" s="37">
        <f>($N$4-(O88*SUMPRODUCT(L$5:L87,N$5:N87)))/((O88*L88)+1)</f>
        <v>0.57450041887887893</v>
      </c>
      <c r="O88" s="21">
        <v>8.5876237964236601E-2</v>
      </c>
      <c r="P88" s="31">
        <f t="shared" si="10"/>
        <v>0.57455113177315176</v>
      </c>
      <c r="Q88" s="15" cm="1">
        <f t="array" ref="Q88">Interpol($A$29:$B$39,2,G88)</f>
        <v>8.4785306433305022E-2</v>
      </c>
      <c r="R88" s="15"/>
      <c r="T88" s="5"/>
    </row>
    <row r="89" spans="5:20">
      <c r="E89" s="24"/>
      <c r="F89" s="26"/>
      <c r="G89" s="24">
        <f t="shared" si="8"/>
        <v>2380</v>
      </c>
      <c r="H89">
        <v>85</v>
      </c>
      <c r="I89" s="5">
        <f>WORKDAY.INTL(J89,-1,1,Holiday!$A$1:$A$194)</f>
        <v>47227</v>
      </c>
      <c r="J89" s="5">
        <f t="shared" si="11"/>
        <v>47228</v>
      </c>
      <c r="K89" s="5">
        <f>IF($C$17 = Aux!I87, WORKDAY.INTL($J$5+28*H89-1,1,1,Holiday!$A$1:$A$194), WORKDAY.INTL($J$5+28*H89+1,-1,1,Holiday!$A$1:$A$194))</f>
        <v>47256</v>
      </c>
      <c r="L89" s="13">
        <f t="shared" si="7"/>
        <v>7.7777777777777779E-2</v>
      </c>
      <c r="M89" s="35">
        <f t="shared" si="9"/>
        <v>6.6138888888888836</v>
      </c>
      <c r="N89" s="37">
        <f>($N$4-(O89*SUMPRODUCT(L$5:L88,N$5:N88)))/((O89*L89)+1)</f>
        <v>0.57063607666961391</v>
      </c>
      <c r="O89" s="21">
        <v>8.5886829436038523E-2</v>
      </c>
      <c r="P89" s="31">
        <f t="shared" si="10"/>
        <v>0.57067959346708708</v>
      </c>
      <c r="Q89" s="15" cm="1">
        <f t="array" ref="Q89">Interpol($A$29:$B$39,2,G89)</f>
        <v>8.4810520485748331E-2</v>
      </c>
      <c r="R89" s="15"/>
      <c r="T89" s="5"/>
    </row>
    <row r="90" spans="5:20">
      <c r="E90" s="24"/>
      <c r="F90" s="26"/>
      <c r="G90" s="24">
        <f t="shared" si="8"/>
        <v>2408</v>
      </c>
      <c r="H90">
        <v>86</v>
      </c>
      <c r="I90" s="5">
        <f>WORKDAY.INTL(J90,-1,1,Holiday!$A$1:$A$194)</f>
        <v>47255</v>
      </c>
      <c r="J90" s="5">
        <f t="shared" si="11"/>
        <v>47256</v>
      </c>
      <c r="K90" s="5">
        <f>IF($C$17 = Aux!I88, WORKDAY.INTL($J$5+28*H90-1,1,1,Holiday!$A$1:$A$194), WORKDAY.INTL($J$5+28*H90+1,-1,1,Holiday!$A$1:$A$194))</f>
        <v>47284</v>
      </c>
      <c r="L90" s="13">
        <f t="shared" si="7"/>
        <v>7.7777777777777779E-2</v>
      </c>
      <c r="M90" s="35">
        <f t="shared" si="9"/>
        <v>6.6916666666666611</v>
      </c>
      <c r="N90" s="37">
        <f>($N$4-(O90*SUMPRODUCT(L$5:L89,N$5:N89)))/((O90*L90)+1)</f>
        <v>0.56679644652726513</v>
      </c>
      <c r="O90" s="21">
        <v>8.5897420907840458E-2</v>
      </c>
      <c r="P90" s="31">
        <f t="shared" si="10"/>
        <v>0.56683191979537662</v>
      </c>
      <c r="Q90" s="15" cm="1">
        <f t="array" ref="Q90">Interpol($A$29:$B$39,2,G90)</f>
        <v>8.483573453819164E-2</v>
      </c>
      <c r="R90" s="15"/>
      <c r="T90" s="5"/>
    </row>
    <row r="91" spans="5:20">
      <c r="E91" s="24"/>
      <c r="F91" s="26"/>
      <c r="G91" s="24">
        <f t="shared" si="8"/>
        <v>2436</v>
      </c>
      <c r="H91">
        <v>87</v>
      </c>
      <c r="I91" s="5">
        <f>WORKDAY.INTL(J91,-1,1,Holiday!$A$1:$A$194)</f>
        <v>47283</v>
      </c>
      <c r="J91" s="5">
        <f t="shared" si="11"/>
        <v>47284</v>
      </c>
      <c r="K91" s="5">
        <f>IF($C$17 = Aux!I89, WORKDAY.INTL($J$5+28*H91-1,1,1,Holiday!$A$1:$A$194), WORKDAY.INTL($J$5+28*H91+1,-1,1,Holiday!$A$1:$A$194))</f>
        <v>47312</v>
      </c>
      <c r="L91" s="13">
        <f t="shared" si="7"/>
        <v>7.7777777777777779E-2</v>
      </c>
      <c r="M91" s="35">
        <f t="shared" si="9"/>
        <v>6.7694444444444386</v>
      </c>
      <c r="N91" s="37">
        <f>($N$4-(O91*SUMPRODUCT(L$5:L90,N$5:N90)))/((O91*L91)+1)</f>
        <v>0.56298137385439118</v>
      </c>
      <c r="O91" s="21">
        <v>8.5908012379642379E-2</v>
      </c>
      <c r="P91" s="31">
        <f t="shared" si="10"/>
        <v>0.56300797993708018</v>
      </c>
      <c r="Q91" s="15" cm="1">
        <f t="array" ref="Q91">Interpol($A$29:$B$39,2,G91)</f>
        <v>8.4860948590634949E-2</v>
      </c>
      <c r="R91" s="15"/>
      <c r="S91" s="18"/>
      <c r="T91" s="5"/>
    </row>
    <row r="92" spans="5:20">
      <c r="E92" s="24"/>
      <c r="F92" s="26"/>
      <c r="G92" s="24">
        <f t="shared" si="8"/>
        <v>2464</v>
      </c>
      <c r="H92">
        <v>88</v>
      </c>
      <c r="I92" s="5">
        <f>WORKDAY.INTL(J92,-1,1,Holiday!$A$1:$A$194)</f>
        <v>47311</v>
      </c>
      <c r="J92" s="5">
        <f t="shared" si="11"/>
        <v>47312</v>
      </c>
      <c r="K92" s="5">
        <f>IF($C$17 = Aux!I90, WORKDAY.INTL($J$5+28*H92-1,1,1,Holiday!$A$1:$A$194), WORKDAY.INTL($J$5+28*H92+1,-1,1,Holiday!$A$1:$A$194))</f>
        <v>47340</v>
      </c>
      <c r="L92" s="13">
        <f t="shared" si="7"/>
        <v>7.7777777777777779E-2</v>
      </c>
      <c r="M92" s="35">
        <f t="shared" si="9"/>
        <v>6.8472222222222161</v>
      </c>
      <c r="N92" s="37">
        <f>($N$4-(O92*SUMPRODUCT(L$5:L91,N$5:N91)))/((O92*L92)+1)</f>
        <v>0.5591907049994167</v>
      </c>
      <c r="O92" s="21">
        <v>8.59186038514443E-2</v>
      </c>
      <c r="P92" s="31">
        <f t="shared" si="10"/>
        <v>0.55920764367521891</v>
      </c>
      <c r="Q92" s="15" cm="1">
        <f t="array" ref="Q92">Interpol($A$29:$B$39,2,G92)</f>
        <v>8.4886162643078258E-2</v>
      </c>
      <c r="R92" s="15"/>
      <c r="T92" s="5"/>
    </row>
    <row r="93" spans="5:20">
      <c r="E93" s="24"/>
      <c r="F93" s="26"/>
      <c r="G93" s="24">
        <f t="shared" si="8"/>
        <v>2492</v>
      </c>
      <c r="H93">
        <v>89</v>
      </c>
      <c r="I93" s="5">
        <f>WORKDAY.INTL(J93,-1,1,Holiday!$A$1:$A$194)</f>
        <v>47339</v>
      </c>
      <c r="J93" s="5">
        <f t="shared" si="11"/>
        <v>47340</v>
      </c>
      <c r="K93" s="5">
        <f>IF($C$17 = Aux!I91, WORKDAY.INTL($J$5+28*H93-1,1,1,Holiday!$A$1:$A$194), WORKDAY.INTL($J$5+28*H93+1,-1,1,Holiday!$A$1:$A$194))</f>
        <v>47368</v>
      </c>
      <c r="L93" s="13">
        <f t="shared" si="7"/>
        <v>7.7777777777777779E-2</v>
      </c>
      <c r="M93" s="35">
        <f t="shared" si="9"/>
        <v>6.9249999999999936</v>
      </c>
      <c r="N93" s="37">
        <f>($N$4-(O93*SUMPRODUCT(L$5:L92,N$5:N92)))/((O93*L93)+1)</f>
        <v>0.55542428725098048</v>
      </c>
      <c r="O93" s="21">
        <v>8.5929195323246235E-2</v>
      </c>
      <c r="P93" s="31">
        <f t="shared" si="10"/>
        <v>0.55543078139473745</v>
      </c>
      <c r="Q93" s="15" cm="1">
        <f t="array" ref="Q93">Interpol($A$29:$B$39,2,G93)</f>
        <v>8.4911376695521568E-2</v>
      </c>
      <c r="R93" s="15"/>
      <c r="T93" s="5"/>
    </row>
    <row r="94" spans="5:20">
      <c r="E94" s="24"/>
      <c r="F94" s="26"/>
      <c r="G94" s="24">
        <f t="shared" si="8"/>
        <v>2520</v>
      </c>
      <c r="H94">
        <v>90</v>
      </c>
      <c r="I94" s="5">
        <f>WORKDAY.INTL(J94,-1,1,Holiday!$A$1:$A$194)</f>
        <v>47367</v>
      </c>
      <c r="J94" s="5">
        <f t="shared" si="11"/>
        <v>47368</v>
      </c>
      <c r="K94" s="5">
        <f>IF($C$17 = Aux!I92, WORKDAY.INTL($J$5+28*H94-1,1,1,Holiday!$A$1:$A$194), WORKDAY.INTL($J$5+28*H94+1,-1,1,Holiday!$A$1:$A$194))</f>
        <v>47396</v>
      </c>
      <c r="L94" s="13">
        <f t="shared" si="7"/>
        <v>7.7777777777777779E-2</v>
      </c>
      <c r="M94" s="35">
        <f t="shared" si="9"/>
        <v>7.0027777777777711</v>
      </c>
      <c r="N94" s="37">
        <f>($N$4-(O94*SUMPRODUCT(L$5:L93,N$5:N93)))/((O94*L94)+1)</f>
        <v>0.55168196883231801</v>
      </c>
      <c r="O94" s="21">
        <v>8.5939786795048156E-2</v>
      </c>
      <c r="P94" s="31">
        <f t="shared" si="10"/>
        <v>0.55167726408046747</v>
      </c>
      <c r="Q94" s="15" cm="1">
        <f t="array" ref="Q94">Interpol($A$29:$B$39,2,G94)</f>
        <v>8.4936590747964863E-2</v>
      </c>
      <c r="R94" s="15"/>
      <c r="T94" s="5"/>
    </row>
    <row r="95" spans="5:20">
      <c r="E95" s="24"/>
      <c r="F95" s="26"/>
      <c r="G95" s="25">
        <f t="shared" si="8"/>
        <v>2547</v>
      </c>
      <c r="H95" s="6">
        <v>91</v>
      </c>
      <c r="I95" s="7">
        <f>WORKDAY.INTL(J95,-1,1,Holiday!$A$1:$A$194)</f>
        <v>47395</v>
      </c>
      <c r="J95" s="7">
        <f t="shared" si="11"/>
        <v>47396</v>
      </c>
      <c r="K95" s="7">
        <f>IF($C$17 = Aux!I93, WORKDAY.INTL($J$5+28*H95-1,1,1,Holiday!$A$1:$A$194), WORKDAY.INTL($J$5+28*H95+1,-1,1,Holiday!$A$1:$A$194))</f>
        <v>47423</v>
      </c>
      <c r="L95" s="14">
        <f t="shared" si="7"/>
        <v>7.4999999999999997E-2</v>
      </c>
      <c r="M95" s="34">
        <f t="shared" si="9"/>
        <v>7.0777777777777713</v>
      </c>
      <c r="N95" s="36">
        <f>($N$4-(O95*SUMPRODUCT(L$5:L94,N$5:N94)))/((O95*L95)+1)</f>
        <v>0.54809556269607207</v>
      </c>
      <c r="O95" s="22">
        <v>8.5950000000000013E-2</v>
      </c>
      <c r="P95" s="30">
        <f t="shared" si="10"/>
        <v>0.54807979001054186</v>
      </c>
      <c r="Q95" s="16">
        <v>8.49609042985352E-2</v>
      </c>
      <c r="R95" s="16">
        <f>($P$4-P95)/SUMPRODUCT(L$5:L95,P$5:P95)</f>
        <v>8.5949999999608936E-2</v>
      </c>
      <c r="S95" s="16">
        <f>R95-B13</f>
        <v>-3.9107606042421139E-13</v>
      </c>
      <c r="T95" s="5"/>
    </row>
    <row r="96" spans="5:20">
      <c r="E96" s="24"/>
      <c r="F96" s="26"/>
      <c r="G96" s="24">
        <f t="shared" si="8"/>
        <v>2576</v>
      </c>
      <c r="H96">
        <v>92</v>
      </c>
      <c r="I96" s="5">
        <f>WORKDAY.INTL(J96,-1,1,Holiday!$A$1:$A$194)</f>
        <v>47422</v>
      </c>
      <c r="J96" s="5">
        <f t="shared" si="11"/>
        <v>47423</v>
      </c>
      <c r="K96" s="5">
        <f>IF($C$17 = Aux!I94, WORKDAY.INTL($J$5+28*H96-1,1,1,Holiday!$A$1:$A$194), WORKDAY.INTL($J$5+28*H96+1,-1,1,Holiday!$A$1:$A$194))</f>
        <v>47452</v>
      </c>
      <c r="L96" s="13">
        <f t="shared" si="7"/>
        <v>8.0555555555555561E-2</v>
      </c>
      <c r="M96" s="35">
        <f t="shared" si="9"/>
        <v>7.158333333333327</v>
      </c>
      <c r="N96" s="37">
        <f>($N$4-(O96*SUMPRODUCT(L$5:L95,N$5:N95)))/((O96*L96)+1)</f>
        <v>0.54415226708394038</v>
      </c>
      <c r="O96" s="21">
        <v>8.598316559926808E-2</v>
      </c>
      <c r="P96" s="31">
        <f t="shared" si="10"/>
        <v>0.54413868809812305</v>
      </c>
      <c r="Q96" s="15" cm="1">
        <f t="array" ref="Q96">Interpol($A$29:$B$39,2,G96)</f>
        <v>8.501296250449962E-2</v>
      </c>
      <c r="R96" s="15"/>
      <c r="T96" s="5"/>
    </row>
    <row r="97" spans="5:20">
      <c r="E97" s="24"/>
      <c r="F97" s="26"/>
      <c r="G97" s="24">
        <f t="shared" si="8"/>
        <v>2604</v>
      </c>
      <c r="H97">
        <v>93</v>
      </c>
      <c r="I97" s="5">
        <f>WORKDAY.INTL(J97,-1,1,Holiday!$A$1:$A$194)</f>
        <v>47451</v>
      </c>
      <c r="J97" s="5">
        <f t="shared" si="11"/>
        <v>47452</v>
      </c>
      <c r="K97" s="5">
        <f>IF($C$17 = Aux!I95, WORKDAY.INTL($J$5+28*H97-1,1,1,Holiday!$A$1:$A$194), WORKDAY.INTL($J$5+28*H97+1,-1,1,Holiday!$A$1:$A$194))</f>
        <v>47480</v>
      </c>
      <c r="L97" s="13">
        <f t="shared" si="7"/>
        <v>7.7777777777777779E-2</v>
      </c>
      <c r="M97" s="35">
        <f t="shared" si="9"/>
        <v>7.2361111111111045</v>
      </c>
      <c r="N97" s="37">
        <f>($N$4-(O97*SUMPRODUCT(L$5:L96,N$5:N96)))/((O97*L97)+1)</f>
        <v>0.54036750855263105</v>
      </c>
      <c r="O97" s="21">
        <v>8.6015187557182085E-2</v>
      </c>
      <c r="P97" s="31">
        <f t="shared" si="10"/>
        <v>0.54035607860559065</v>
      </c>
      <c r="Q97" s="15" cm="1">
        <f t="array" ref="Q97">Interpol($A$29:$B$39,2,G97)</f>
        <v>8.5063225599913556E-2</v>
      </c>
      <c r="R97" s="15"/>
      <c r="T97" s="5"/>
    </row>
    <row r="98" spans="5:20">
      <c r="E98" s="24"/>
      <c r="F98" s="26"/>
      <c r="G98" s="24">
        <f t="shared" si="8"/>
        <v>2632</v>
      </c>
      <c r="H98">
        <v>94</v>
      </c>
      <c r="I98" s="5">
        <f>WORKDAY.INTL(J98,-1,1,Holiday!$A$1:$A$194)</f>
        <v>47479</v>
      </c>
      <c r="J98" s="5">
        <f t="shared" si="11"/>
        <v>47480</v>
      </c>
      <c r="K98" s="5">
        <f>IF($C$17 = Aux!I96, WORKDAY.INTL($J$5+28*H98-1,1,1,Holiday!$A$1:$A$194), WORKDAY.INTL($J$5+28*H98+1,-1,1,Holiday!$A$1:$A$194))</f>
        <v>47508</v>
      </c>
      <c r="L98" s="13">
        <f t="shared" si="7"/>
        <v>7.7777777777777779E-2</v>
      </c>
      <c r="M98" s="35">
        <f t="shared" si="9"/>
        <v>7.313888888888882</v>
      </c>
      <c r="N98" s="37">
        <f>($N$4-(O98*SUMPRODUCT(L$5:L97,N$5:N97)))/((O98*L98)+1)</f>
        <v>0.53660523757327572</v>
      </c>
      <c r="O98" s="21">
        <v>8.6047209515096076E-2</v>
      </c>
      <c r="P98" s="31">
        <f t="shared" si="10"/>
        <v>0.53659556862916058</v>
      </c>
      <c r="Q98" s="15" cm="1">
        <f t="array" ref="Q98">Interpol($A$29:$B$39,2,G98)</f>
        <v>8.5113488695327477E-2</v>
      </c>
      <c r="R98" s="15"/>
      <c r="T98" s="5"/>
    </row>
    <row r="99" spans="5:20">
      <c r="E99" s="24"/>
      <c r="F99" s="26"/>
      <c r="G99" s="24">
        <f t="shared" si="8"/>
        <v>2660</v>
      </c>
      <c r="H99">
        <v>95</v>
      </c>
      <c r="I99" s="5">
        <f>WORKDAY.INTL(J99,-1,1,Holiday!$A$1:$A$194)</f>
        <v>47507</v>
      </c>
      <c r="J99" s="5">
        <f t="shared" si="11"/>
        <v>47508</v>
      </c>
      <c r="K99" s="5">
        <f>IF($C$17 = Aux!I97, WORKDAY.INTL($J$5+28*H99-1,1,1,Holiday!$A$1:$A$194), WORKDAY.INTL($J$5+28*H99+1,-1,1,Holiday!$A$1:$A$194))</f>
        <v>47536</v>
      </c>
      <c r="L99" s="13">
        <f t="shared" si="7"/>
        <v>7.7777777777777779E-2</v>
      </c>
      <c r="M99" s="35">
        <f t="shared" si="9"/>
        <v>7.3916666666666595</v>
      </c>
      <c r="N99" s="37">
        <f>($N$4-(O99*SUMPRODUCT(L$5:L98,N$5:N98)))/((O99*L99)+1)</f>
        <v>0.53286533251577861</v>
      </c>
      <c r="O99" s="21">
        <v>8.6079231473010082E-2</v>
      </c>
      <c r="P99" s="31">
        <f t="shared" si="10"/>
        <v>0.53285706297104229</v>
      </c>
      <c r="Q99" s="15" cm="1">
        <f t="array" ref="Q99">Interpol($A$29:$B$39,2,G99)</f>
        <v>8.5163751790741399E-2</v>
      </c>
      <c r="R99" s="15"/>
      <c r="T99" s="5"/>
    </row>
    <row r="100" spans="5:20">
      <c r="E100" s="24"/>
      <c r="F100" s="26"/>
      <c r="G100" s="24">
        <f t="shared" si="8"/>
        <v>2688</v>
      </c>
      <c r="H100">
        <v>96</v>
      </c>
      <c r="I100" s="5">
        <f>WORKDAY.INTL(J100,-1,1,Holiday!$A$1:$A$194)</f>
        <v>47535</v>
      </c>
      <c r="J100" s="5">
        <f t="shared" si="11"/>
        <v>47536</v>
      </c>
      <c r="K100" s="5">
        <f>IF($C$17 = Aux!I98, WORKDAY.INTL($J$5+28*H100-1,1,1,Holiday!$A$1:$A$194), WORKDAY.INTL($J$5+28*H100+1,-1,1,Holiday!$A$1:$A$194))</f>
        <v>47564</v>
      </c>
      <c r="L100" s="13">
        <f t="shared" ref="L100:L131" si="12">(K100-J100)/$C$16</f>
        <v>7.7777777777777779E-2</v>
      </c>
      <c r="M100" s="35">
        <f t="shared" si="9"/>
        <v>7.469444444444437</v>
      </c>
      <c r="N100" s="37">
        <f>($N$4-(O100*SUMPRODUCT(L$5:L99,N$5:N99)))/((O100*L100)+1)</f>
        <v>0.52914767233791138</v>
      </c>
      <c r="O100" s="21">
        <v>8.6111253430924073E-2</v>
      </c>
      <c r="P100" s="31">
        <f t="shared" si="10"/>
        <v>0.52914046658199121</v>
      </c>
      <c r="Q100" s="15" cm="1">
        <f t="array" ref="Q100">Interpol($A$29:$B$39,2,G100)</f>
        <v>8.521401488615532E-2</v>
      </c>
      <c r="R100" s="15"/>
      <c r="S100" s="18"/>
      <c r="T100" s="5"/>
    </row>
    <row r="101" spans="5:20">
      <c r="E101" s="24"/>
      <c r="F101" s="26"/>
      <c r="G101" s="24">
        <f t="shared" si="8"/>
        <v>2714</v>
      </c>
      <c r="H101">
        <v>97</v>
      </c>
      <c r="I101" s="5">
        <f>WORKDAY.INTL(J101,-1,1,Holiday!$A$1:$A$194)</f>
        <v>47563</v>
      </c>
      <c r="J101" s="5">
        <f t="shared" si="11"/>
        <v>47564</v>
      </c>
      <c r="K101" s="5">
        <f>IF($C$17 = Aux!I99, WORKDAY.INTL($J$5+28*H101-1,1,1,Holiday!$A$1:$A$194), WORKDAY.INTL($J$5+28*H101+1,-1,1,Holiday!$A$1:$A$194))</f>
        <v>47590</v>
      </c>
      <c r="L101" s="13">
        <f t="shared" si="12"/>
        <v>7.2222222222222215E-2</v>
      </c>
      <c r="M101" s="35">
        <f t="shared" si="9"/>
        <v>7.541666666666659</v>
      </c>
      <c r="N101" s="37">
        <f>($N$4-(O101*SUMPRODUCT(L$5:L100,N$5:N100)))/((O101*L101)+1)</f>
        <v>0.52571455762502173</v>
      </c>
      <c r="O101" s="21">
        <v>8.6140988106129926E-2</v>
      </c>
      <c r="P101" s="31">
        <f t="shared" si="10"/>
        <v>0.52570887614962314</v>
      </c>
      <c r="Q101" s="15" cm="1">
        <f t="array" ref="Q101">Interpol($A$29:$B$39,2,G101)</f>
        <v>8.5260687760468259E-2</v>
      </c>
      <c r="R101" s="15"/>
      <c r="T101" s="5"/>
    </row>
    <row r="102" spans="5:20">
      <c r="E102" s="24"/>
      <c r="F102" s="26"/>
      <c r="G102" s="24">
        <f t="shared" si="8"/>
        <v>2744</v>
      </c>
      <c r="H102">
        <v>98</v>
      </c>
      <c r="I102" s="5">
        <f>WORKDAY.INTL(J102,-1,1,Holiday!$A$1:$A$194)</f>
        <v>47589</v>
      </c>
      <c r="J102" s="5">
        <f t="shared" si="11"/>
        <v>47590</v>
      </c>
      <c r="K102" s="5">
        <f>IF($C$17 = Aux!I100, WORKDAY.INTL($J$5+28*H102-1,1,1,Holiday!$A$1:$A$194), WORKDAY.INTL($J$5+28*H102+1,-1,1,Holiday!$A$1:$A$194))</f>
        <v>47620</v>
      </c>
      <c r="L102" s="13">
        <f t="shared" si="12"/>
        <v>8.3333333333333329E-2</v>
      </c>
      <c r="M102" s="35">
        <f t="shared" si="9"/>
        <v>7.624999999999992</v>
      </c>
      <c r="N102" s="37">
        <f>($N$4-(O102*SUMPRODUCT(L$5:L101,N$5:N101)))/((O102*L102)+1)</f>
        <v>0.52177872994300178</v>
      </c>
      <c r="O102" s="21">
        <v>8.6175297346752069E-2</v>
      </c>
      <c r="P102" s="31">
        <f t="shared" si="10"/>
        <v>0.52177262216838416</v>
      </c>
      <c r="Q102" s="15" cm="1">
        <f t="array" ref="Q102">Interpol($A$29:$B$39,2,G102)</f>
        <v>8.5314541076983177E-2</v>
      </c>
      <c r="R102" s="15"/>
      <c r="T102" s="5"/>
    </row>
    <row r="103" spans="5:20">
      <c r="E103" s="24"/>
      <c r="F103" s="26"/>
      <c r="G103" s="24">
        <f t="shared" si="8"/>
        <v>2772</v>
      </c>
      <c r="H103">
        <v>99</v>
      </c>
      <c r="I103" s="5">
        <f>WORKDAY.INTL(J103,-1,1,Holiday!$A$1:$A$194)</f>
        <v>47619</v>
      </c>
      <c r="J103" s="5">
        <f t="shared" si="11"/>
        <v>47620</v>
      </c>
      <c r="K103" s="5">
        <f>IF($C$17 = Aux!I101, WORKDAY.INTL($J$5+28*H103-1,1,1,Holiday!$A$1:$A$194), WORKDAY.INTL($J$5+28*H103+1,-1,1,Holiday!$A$1:$A$194))</f>
        <v>47648</v>
      </c>
      <c r="L103" s="13">
        <f t="shared" si="12"/>
        <v>7.7777777777777779E-2</v>
      </c>
      <c r="M103" s="35">
        <f t="shared" si="9"/>
        <v>7.7027777777777695</v>
      </c>
      <c r="N103" s="37">
        <f>($N$4-(O103*SUMPRODUCT(L$5:L102,N$5:N102)))/((O103*L103)+1)</f>
        <v>0.51812708320947121</v>
      </c>
      <c r="O103" s="21">
        <v>8.6207319304666075E-2</v>
      </c>
      <c r="P103" s="31">
        <f t="shared" si="10"/>
        <v>0.51812118480531688</v>
      </c>
      <c r="Q103" s="15" cm="1">
        <f t="array" ref="Q103">Interpol($A$29:$B$39,2,G103)</f>
        <v>8.5364804172397099E-2</v>
      </c>
      <c r="R103" s="15"/>
      <c r="T103" s="5"/>
    </row>
    <row r="104" spans="5:20">
      <c r="E104" s="24"/>
      <c r="F104" s="26"/>
      <c r="G104" s="24">
        <f t="shared" si="8"/>
        <v>2800</v>
      </c>
      <c r="H104">
        <v>100</v>
      </c>
      <c r="I104" s="5">
        <f>WORKDAY.INTL(J104,-1,1,Holiday!$A$1:$A$194)</f>
        <v>47647</v>
      </c>
      <c r="J104" s="5">
        <f t="shared" si="11"/>
        <v>47648</v>
      </c>
      <c r="K104" s="5">
        <f>IF($C$17 = Aux!I102, WORKDAY.INTL($J$5+28*H104-1,1,1,Holiday!$A$1:$A$194), WORKDAY.INTL($J$5+28*H104+1,-1,1,Holiday!$A$1:$A$194))</f>
        <v>47676</v>
      </c>
      <c r="L104" s="13">
        <f t="shared" si="12"/>
        <v>7.7777777777777779E-2</v>
      </c>
      <c r="M104" s="35">
        <f t="shared" si="9"/>
        <v>7.780555555555547</v>
      </c>
      <c r="N104" s="37">
        <f>($N$4-(O104*SUMPRODUCT(L$5:L103,N$5:N103)))/((O104*L104)+1)</f>
        <v>0.51449720302174751</v>
      </c>
      <c r="O104" s="21">
        <v>8.6239341262580066E-2</v>
      </c>
      <c r="P104" s="31">
        <f t="shared" si="10"/>
        <v>0.51449127803805206</v>
      </c>
      <c r="Q104" s="15" cm="1">
        <f t="array" ref="Q104">Interpol($A$29:$B$39,2,G104)</f>
        <v>8.5415067267811035E-2</v>
      </c>
      <c r="R104" s="15"/>
      <c r="T104" s="5"/>
    </row>
    <row r="105" spans="5:20">
      <c r="E105" s="24"/>
      <c r="F105" s="26"/>
      <c r="G105" s="24">
        <f t="shared" si="8"/>
        <v>2828</v>
      </c>
      <c r="H105">
        <v>101</v>
      </c>
      <c r="I105" s="5">
        <f>WORKDAY.INTL(J105,-1,1,Holiday!$A$1:$A$194)</f>
        <v>47675</v>
      </c>
      <c r="J105" s="5">
        <f t="shared" si="11"/>
        <v>47676</v>
      </c>
      <c r="K105" s="5">
        <f>IF($C$17 = Aux!I103, WORKDAY.INTL($J$5+28*H105-1,1,1,Holiday!$A$1:$A$194), WORKDAY.INTL($J$5+28*H105+1,-1,1,Holiday!$A$1:$A$194))</f>
        <v>47704</v>
      </c>
      <c r="L105" s="13">
        <f t="shared" si="12"/>
        <v>7.7777777777777779E-2</v>
      </c>
      <c r="M105" s="35">
        <f t="shared" si="9"/>
        <v>7.8583333333333245</v>
      </c>
      <c r="N105" s="37">
        <f>($N$4-(O105*SUMPRODUCT(L$5:L104,N$5:N104)))/((O105*L105)+1)</f>
        <v>0.51088897124083399</v>
      </c>
      <c r="O105" s="21">
        <v>8.6271363220494071E-2</v>
      </c>
      <c r="P105" s="31">
        <f t="shared" si="10"/>
        <v>0.51088280758859805</v>
      </c>
      <c r="Q105" s="15" cm="1">
        <f t="array" ref="Q105">Interpol($A$29:$B$39,2,G105)</f>
        <v>8.5465330363224956E-2</v>
      </c>
      <c r="R105" s="15"/>
      <c r="T105" s="5"/>
    </row>
    <row r="106" spans="5:20">
      <c r="E106" s="24"/>
      <c r="F106" s="26"/>
      <c r="G106" s="24">
        <f t="shared" si="8"/>
        <v>2856</v>
      </c>
      <c r="H106">
        <v>102</v>
      </c>
      <c r="I106" s="5">
        <f>WORKDAY.INTL(J106,-1,1,Holiday!$A$1:$A$194)</f>
        <v>47703</v>
      </c>
      <c r="J106" s="5">
        <f t="shared" si="11"/>
        <v>47704</v>
      </c>
      <c r="K106" s="5">
        <f>IF($C$17 = Aux!I104, WORKDAY.INTL($J$5+28*H106-1,1,1,Holiday!$A$1:$A$194), WORKDAY.INTL($J$5+28*H106+1,-1,1,Holiday!$A$1:$A$194))</f>
        <v>47732</v>
      </c>
      <c r="L106" s="13">
        <f t="shared" si="12"/>
        <v>7.7777777777777779E-2</v>
      </c>
      <c r="M106" s="35">
        <f t="shared" si="9"/>
        <v>7.936111111111102</v>
      </c>
      <c r="N106" s="37">
        <f>($N$4-(O106*SUMPRODUCT(L$5:L105,N$5:N105)))/((O106*L106)+1)</f>
        <v>0.50730227030122166</v>
      </c>
      <c r="O106" s="21">
        <v>8.6303385178408062E-2</v>
      </c>
      <c r="P106" s="31">
        <f t="shared" si="10"/>
        <v>0.50729567933878472</v>
      </c>
      <c r="Q106" s="15" cm="1">
        <f t="array" ref="Q106">Interpol($A$29:$B$39,2,G106)</f>
        <v>8.5515593458638878E-2</v>
      </c>
      <c r="R106" s="15"/>
      <c r="T106" s="5"/>
    </row>
    <row r="107" spans="5:20">
      <c r="E107" s="24"/>
      <c r="F107" s="26"/>
      <c r="G107" s="24">
        <f t="shared" si="8"/>
        <v>2884</v>
      </c>
      <c r="H107">
        <v>103</v>
      </c>
      <c r="I107" s="5">
        <f>WORKDAY.INTL(J107,-1,1,Holiday!$A$1:$A$194)</f>
        <v>47731</v>
      </c>
      <c r="J107" s="5">
        <f t="shared" si="11"/>
        <v>47732</v>
      </c>
      <c r="K107" s="5">
        <f>IF($C$17 = Aux!I105, WORKDAY.INTL($J$5+28*H107-1,1,1,Holiday!$A$1:$A$194), WORKDAY.INTL($J$5+28*H107+1,-1,1,Holiday!$A$1:$A$194))</f>
        <v>47760</v>
      </c>
      <c r="L107" s="13">
        <f t="shared" si="12"/>
        <v>7.7777777777777779E-2</v>
      </c>
      <c r="M107" s="35">
        <f t="shared" si="9"/>
        <v>8.0138888888888804</v>
      </c>
      <c r="N107" s="37">
        <f>($N$4-(O107*SUMPRODUCT(L$5:L106,N$5:N106)))/((O107*L107)+1)</f>
        <v>0.50373698320851645</v>
      </c>
      <c r="O107" s="21">
        <v>8.6335407136322068E-2</v>
      </c>
      <c r="P107" s="31">
        <f t="shared" si="10"/>
        <v>0.50372979933207462</v>
      </c>
      <c r="Q107" s="15" cm="1">
        <f t="array" ref="Q107">Interpol($A$29:$B$39,2,G107)</f>
        <v>8.5565856554052813E-2</v>
      </c>
      <c r="R107" s="15"/>
      <c r="T107" s="5"/>
    </row>
    <row r="108" spans="5:20">
      <c r="E108" s="24"/>
      <c r="F108" s="26"/>
      <c r="G108" s="24">
        <f t="shared" si="8"/>
        <v>2912</v>
      </c>
      <c r="H108">
        <v>104</v>
      </c>
      <c r="I108" s="5">
        <f>WORKDAY.INTL(J108,-1,1,Holiday!$A$1:$A$194)</f>
        <v>47759</v>
      </c>
      <c r="J108" s="5">
        <f t="shared" si="11"/>
        <v>47760</v>
      </c>
      <c r="K108" s="5">
        <f>IF($C$17 = Aux!I106, WORKDAY.INTL($J$5+28*H108-1,1,1,Holiday!$A$1:$A$194), WORKDAY.INTL($J$5+28*H108+1,-1,1,Holiday!$A$1:$A$194))</f>
        <v>47788</v>
      </c>
      <c r="L108" s="13">
        <f t="shared" si="12"/>
        <v>7.7777777777777779E-2</v>
      </c>
      <c r="M108" s="35">
        <f t="shared" si="9"/>
        <v>8.0916666666666579</v>
      </c>
      <c r="N108" s="37">
        <f>($N$4-(O108*SUMPRODUCT(L$5:L107,N$5:N107)))/((O108*L108)+1)</f>
        <v>0.50019299353707747</v>
      </c>
      <c r="O108" s="21">
        <v>8.6367429094236059E-2</v>
      </c>
      <c r="P108" s="31">
        <f t="shared" si="10"/>
        <v>0.50018507377535792</v>
      </c>
      <c r="Q108" s="15" cm="1">
        <f t="array" ref="Q108">Interpol($A$29:$B$39,2,G108)</f>
        <v>8.5616119649466735E-2</v>
      </c>
      <c r="R108" s="15"/>
      <c r="T108" s="5"/>
    </row>
    <row r="109" spans="5:20">
      <c r="E109" s="24"/>
      <c r="F109" s="26"/>
      <c r="G109" s="24">
        <f t="shared" si="8"/>
        <v>2940</v>
      </c>
      <c r="H109">
        <v>105</v>
      </c>
      <c r="I109" s="5">
        <f>WORKDAY.INTL(J109,-1,1,Holiday!$A$1:$A$194)</f>
        <v>47787</v>
      </c>
      <c r="J109" s="5">
        <f t="shared" si="11"/>
        <v>47788</v>
      </c>
      <c r="K109" s="5">
        <f>IF($C$17 = Aux!I107, WORKDAY.INTL($J$5+28*H109-1,1,1,Holiday!$A$1:$A$194), WORKDAY.INTL($J$5+28*H109+1,-1,1,Holiday!$A$1:$A$194))</f>
        <v>47816</v>
      </c>
      <c r="L109" s="13">
        <f t="shared" si="12"/>
        <v>7.7777777777777779E-2</v>
      </c>
      <c r="M109" s="35">
        <f t="shared" si="9"/>
        <v>8.1694444444444354</v>
      </c>
      <c r="N109" s="37">
        <f>($N$4-(O109*SUMPRODUCT(L$5:L108,N$5:N108)))/((O109*L109)+1)</f>
        <v>0.49667018542765923</v>
      </c>
      <c r="O109" s="21">
        <v>8.6399451052150064E-2</v>
      </c>
      <c r="P109" s="31">
        <f t="shared" si="10"/>
        <v>0.49666140904072492</v>
      </c>
      <c r="Q109" s="15" cm="1">
        <f t="array" ref="Q109">Interpol($A$29:$B$39,2,G109)</f>
        <v>8.5666382744880656E-2</v>
      </c>
      <c r="R109" s="15"/>
      <c r="T109" s="5"/>
    </row>
    <row r="110" spans="5:20">
      <c r="E110" s="24"/>
      <c r="F110" s="26"/>
      <c r="G110" s="24">
        <f t="shared" si="8"/>
        <v>2968</v>
      </c>
      <c r="H110">
        <v>106</v>
      </c>
      <c r="I110" s="5">
        <f>WORKDAY.INTL(J110,-1,1,Holiday!$A$1:$A$194)</f>
        <v>47815</v>
      </c>
      <c r="J110" s="5">
        <f t="shared" si="11"/>
        <v>47816</v>
      </c>
      <c r="K110" s="5">
        <f>IF($C$17 = Aux!I108, WORKDAY.INTL($J$5+28*H110-1,1,1,Holiday!$A$1:$A$194), WORKDAY.INTL($J$5+28*H110+1,-1,1,Holiday!$A$1:$A$194))</f>
        <v>47844</v>
      </c>
      <c r="L110" s="13">
        <f t="shared" si="12"/>
        <v>7.7777777777777779E-2</v>
      </c>
      <c r="M110" s="35">
        <f t="shared" si="9"/>
        <v>8.2472222222222129</v>
      </c>
      <c r="N110" s="37">
        <f>($N$4-(O110*SUMPRODUCT(L$5:L109,N$5:N109)))/((O110*L110)+1)</f>
        <v>0.49316844358506384</v>
      </c>
      <c r="O110" s="21">
        <v>8.6431473010064055E-2</v>
      </c>
      <c r="P110" s="31">
        <f t="shared" si="10"/>
        <v>0.49315871166722242</v>
      </c>
      <c r="Q110" s="15" cm="1">
        <f t="array" ref="Q110">Interpol($A$29:$B$39,2,G110)</f>
        <v>8.5716645840294592E-2</v>
      </c>
      <c r="R110" s="15"/>
      <c r="T110" s="5"/>
    </row>
    <row r="111" spans="5:20">
      <c r="E111" s="24"/>
      <c r="F111" s="26"/>
      <c r="G111" s="24">
        <f t="shared" si="8"/>
        <v>2996</v>
      </c>
      <c r="H111">
        <v>107</v>
      </c>
      <c r="I111" s="5">
        <f>WORKDAY.INTL(J111,-1,1,Holiday!$A$1:$A$194)</f>
        <v>47843</v>
      </c>
      <c r="J111" s="5">
        <f t="shared" si="11"/>
        <v>47844</v>
      </c>
      <c r="K111" s="5">
        <f>IF($C$17 = Aux!I109, WORKDAY.INTL($J$5+28*H111-1,1,1,Holiday!$A$1:$A$194), WORKDAY.INTL($J$5+28*H111+1,-1,1,Holiday!$A$1:$A$194))</f>
        <v>47872</v>
      </c>
      <c r="L111" s="13">
        <f t="shared" si="12"/>
        <v>7.7777777777777779E-2</v>
      </c>
      <c r="M111" s="35">
        <f t="shared" si="9"/>
        <v>8.3249999999999904</v>
      </c>
      <c r="N111" s="37">
        <f>($N$4-(O111*SUMPRODUCT(L$5:L110,N$5:N110)))/((O111*L111)+1)</f>
        <v>0.48968765327579827</v>
      </c>
      <c r="O111" s="21">
        <v>8.6463494967978061E-2</v>
      </c>
      <c r="P111" s="31">
        <f t="shared" si="10"/>
        <v>0.4896768883625901</v>
      </c>
      <c r="Q111" s="15" cm="1">
        <f t="array" ref="Q111">Interpol($A$29:$B$39,2,G111)</f>
        <v>8.5766908935708513E-2</v>
      </c>
      <c r="R111" s="15"/>
      <c r="T111" s="5"/>
    </row>
    <row r="112" spans="5:20">
      <c r="E112" s="24"/>
      <c r="F112" s="26"/>
      <c r="G112" s="24">
        <f t="shared" si="8"/>
        <v>3024</v>
      </c>
      <c r="H112">
        <v>108</v>
      </c>
      <c r="I112" s="5">
        <f>WORKDAY.INTL(J112,-1,1,Holiday!$A$1:$A$194)</f>
        <v>47871</v>
      </c>
      <c r="J112" s="5">
        <f t="shared" si="11"/>
        <v>47872</v>
      </c>
      <c r="K112" s="5">
        <f>IF($C$17 = Aux!I110, WORKDAY.INTL($J$5+28*H112-1,1,1,Holiday!$A$1:$A$194), WORKDAY.INTL($J$5+28*H112+1,-1,1,Holiday!$A$1:$A$194))</f>
        <v>47900</v>
      </c>
      <c r="L112" s="13">
        <f t="shared" si="12"/>
        <v>7.7777777777777779E-2</v>
      </c>
      <c r="M112" s="35">
        <f t="shared" si="9"/>
        <v>8.4027777777777679</v>
      </c>
      <c r="N112" s="37">
        <f>($N$4-(O112*SUMPRODUCT(L$5:L111,N$5:N111)))/((O112*L112)+1)</f>
        <v>0.48622770032574103</v>
      </c>
      <c r="O112" s="21">
        <v>8.6495516925892052E-2</v>
      </c>
      <c r="P112" s="31">
        <f t="shared" si="10"/>
        <v>0.48621584600497786</v>
      </c>
      <c r="Q112" s="15" cm="1">
        <f t="array" ref="Q112">Interpol($A$29:$B$39,2,G112)</f>
        <v>8.5817172031122435E-2</v>
      </c>
      <c r="R112" s="15"/>
      <c r="T112" s="5"/>
    </row>
    <row r="113" spans="5:20">
      <c r="E113" s="24"/>
      <c r="F113" s="26"/>
      <c r="G113" s="24">
        <f t="shared" si="8"/>
        <v>3052</v>
      </c>
      <c r="H113">
        <v>109</v>
      </c>
      <c r="I113" s="5">
        <f>WORKDAY.INTL(J113,-1,1,Holiday!$A$1:$A$194)</f>
        <v>47899</v>
      </c>
      <c r="J113" s="5">
        <f t="shared" si="11"/>
        <v>47900</v>
      </c>
      <c r="K113" s="5">
        <f>IF($C$17 = Aux!I111, WORKDAY.INTL($J$5+28*H113-1,1,1,Holiday!$A$1:$A$194), WORKDAY.INTL($J$5+28*H113+1,-1,1,Holiday!$A$1:$A$194))</f>
        <v>47928</v>
      </c>
      <c r="L113" s="13">
        <f t="shared" si="12"/>
        <v>7.7777777777777779E-2</v>
      </c>
      <c r="M113" s="35">
        <f t="shared" si="9"/>
        <v>8.4805555555555454</v>
      </c>
      <c r="N113" s="37">
        <f>($N$4-(O113*SUMPRODUCT(L$5:L112,N$5:N112)))/((O113*L113)+1)</f>
        <v>0.48278847111781426</v>
      </c>
      <c r="O113" s="21">
        <v>8.6527538883806057E-2</v>
      </c>
      <c r="P113" s="31">
        <f t="shared" si="10"/>
        <v>0.48277549164464506</v>
      </c>
      <c r="Q113" s="15" cm="1">
        <f t="array" ref="Q113">Interpol($A$29:$B$39,2,G113)</f>
        <v>8.5867435126536371E-2</v>
      </c>
      <c r="R113" s="15"/>
      <c r="T113" s="5"/>
    </row>
    <row r="114" spans="5:20">
      <c r="E114" s="24"/>
      <c r="F114" s="26"/>
      <c r="G114" s="24">
        <f t="shared" si="8"/>
        <v>3078</v>
      </c>
      <c r="H114">
        <v>110</v>
      </c>
      <c r="I114" s="5">
        <f>WORKDAY.INTL(J114,-1,1,Holiday!$A$1:$A$194)</f>
        <v>47927</v>
      </c>
      <c r="J114" s="5">
        <f t="shared" si="11"/>
        <v>47928</v>
      </c>
      <c r="K114" s="5">
        <f>IF($C$17 = Aux!I112, WORKDAY.INTL($J$5+28*H114-1,1,1,Holiday!$A$1:$A$194), WORKDAY.INTL($J$5+28*H114+1,-1,1,Holiday!$A$1:$A$194))</f>
        <v>47954</v>
      </c>
      <c r="L114" s="13">
        <f t="shared" si="12"/>
        <v>7.2222222222222215E-2</v>
      </c>
      <c r="M114" s="35">
        <f t="shared" si="9"/>
        <v>8.5527777777777683</v>
      </c>
      <c r="N114" s="37">
        <f>($N$4-(O114*SUMPRODUCT(L$5:L113,N$5:N113)))/((O114*L114)+1)</f>
        <v>0.47961260130647138</v>
      </c>
      <c r="O114" s="21">
        <v>8.655727355901191E-2</v>
      </c>
      <c r="P114" s="31">
        <f t="shared" si="10"/>
        <v>0.47959931998596061</v>
      </c>
      <c r="Q114" s="15" cm="1">
        <f t="array" ref="Q114">Interpol($A$29:$B$39,2,G114)</f>
        <v>8.5914108000849296E-2</v>
      </c>
      <c r="R114" s="15"/>
      <c r="T114" s="5"/>
    </row>
    <row r="115" spans="5:20">
      <c r="E115" s="24"/>
      <c r="F115" s="26"/>
      <c r="G115" s="24">
        <f t="shared" si="8"/>
        <v>3108</v>
      </c>
      <c r="H115">
        <v>111</v>
      </c>
      <c r="I115" s="5">
        <f>WORKDAY.INTL(J115,-1,1,Holiday!$A$1:$A$194)</f>
        <v>47953</v>
      </c>
      <c r="J115" s="5">
        <f t="shared" si="11"/>
        <v>47954</v>
      </c>
      <c r="K115" s="5">
        <f>IF($C$17 = Aux!I113, WORKDAY.INTL($J$5+28*H115-1,1,1,Holiday!$A$1:$A$194), WORKDAY.INTL($J$5+28*H115+1,-1,1,Holiday!$A$1:$A$194))</f>
        <v>47984</v>
      </c>
      <c r="L115" s="13">
        <f t="shared" si="12"/>
        <v>8.3333333333333329E-2</v>
      </c>
      <c r="M115" s="35">
        <f t="shared" si="9"/>
        <v>8.6361111111111022</v>
      </c>
      <c r="N115" s="37">
        <f>($N$4-(O115*SUMPRODUCT(L$5:L114,N$5:N114)))/((O115*L115)+1)</f>
        <v>0.47597184799973274</v>
      </c>
      <c r="O115" s="21">
        <v>8.6591582799634054E-2</v>
      </c>
      <c r="P115" s="31">
        <f t="shared" si="10"/>
        <v>0.47595647598746499</v>
      </c>
      <c r="Q115" s="15" cm="1">
        <f t="array" ref="Q115">Interpol($A$29:$B$39,2,G115)</f>
        <v>8.5967961317364214E-2</v>
      </c>
      <c r="R115" s="15"/>
      <c r="T115" s="5"/>
    </row>
    <row r="116" spans="5:20">
      <c r="E116" s="24"/>
      <c r="F116" s="26"/>
      <c r="G116" s="24">
        <f t="shared" si="8"/>
        <v>3136</v>
      </c>
      <c r="H116">
        <v>112</v>
      </c>
      <c r="I116" s="5">
        <f>WORKDAY.INTL(J116,-1,1,Holiday!$A$1:$A$194)</f>
        <v>47983</v>
      </c>
      <c r="J116" s="5">
        <f t="shared" si="11"/>
        <v>47984</v>
      </c>
      <c r="K116" s="5">
        <f>IF($C$17 = Aux!I114, WORKDAY.INTL($J$5+28*H116-1,1,1,Holiday!$A$1:$A$194), WORKDAY.INTL($J$5+28*H116+1,-1,1,Holiday!$A$1:$A$194))</f>
        <v>48012</v>
      </c>
      <c r="L116" s="13">
        <f t="shared" si="12"/>
        <v>7.7777777777777779E-2</v>
      </c>
      <c r="M116" s="35">
        <f t="shared" si="9"/>
        <v>8.7138888888888797</v>
      </c>
      <c r="N116" s="37">
        <f>($N$4-(O116*SUMPRODUCT(L$5:L115,N$5:N115)))/((O116*L116)+1)</f>
        <v>0.47259411311918609</v>
      </c>
      <c r="O116" s="21">
        <v>8.6623604757548045E-2</v>
      </c>
      <c r="P116" s="31">
        <f t="shared" si="10"/>
        <v>0.47257762966671185</v>
      </c>
      <c r="Q116" s="15" cm="1">
        <f t="array" ref="Q116">Interpol($A$29:$B$39,2,G116)</f>
        <v>8.6018224412778135E-2</v>
      </c>
      <c r="R116" s="15"/>
      <c r="T116" s="5"/>
    </row>
    <row r="117" spans="5:20">
      <c r="E117" s="24"/>
      <c r="F117" s="26"/>
      <c r="G117" s="24">
        <f t="shared" si="8"/>
        <v>3164</v>
      </c>
      <c r="H117">
        <v>113</v>
      </c>
      <c r="I117" s="5">
        <f>WORKDAY.INTL(J117,-1,1,Holiday!$A$1:$A$194)</f>
        <v>48011</v>
      </c>
      <c r="J117" s="5">
        <f t="shared" si="11"/>
        <v>48012</v>
      </c>
      <c r="K117" s="5">
        <f>IF($C$17 = Aux!I115, WORKDAY.INTL($J$5+28*H117-1,1,1,Holiday!$A$1:$A$194), WORKDAY.INTL($J$5+28*H117+1,-1,1,Holiday!$A$1:$A$194))</f>
        <v>48040</v>
      </c>
      <c r="L117" s="13">
        <f t="shared" si="12"/>
        <v>7.7777777777777779E-2</v>
      </c>
      <c r="M117" s="35">
        <f t="shared" si="9"/>
        <v>8.7916666666666572</v>
      </c>
      <c r="N117" s="37">
        <f>($N$4-(O117*SUMPRODUCT(L$5:L116,N$5:N116)))/((O117*L117)+1)</f>
        <v>0.46923665304094547</v>
      </c>
      <c r="O117" s="21">
        <v>8.665562671546205E-2</v>
      </c>
      <c r="P117" s="31">
        <f t="shared" si="10"/>
        <v>0.46921910129869404</v>
      </c>
      <c r="Q117" s="15" cm="1">
        <f t="array" ref="Q117">Interpol($A$29:$B$39,2,G117)</f>
        <v>8.6068487508192071E-2</v>
      </c>
      <c r="R117" s="15"/>
      <c r="T117" s="5"/>
    </row>
    <row r="118" spans="5:20">
      <c r="E118" s="24"/>
      <c r="F118" s="26"/>
      <c r="G118" s="24">
        <f t="shared" si="8"/>
        <v>3192</v>
      </c>
      <c r="H118">
        <v>114</v>
      </c>
      <c r="I118" s="5">
        <f>WORKDAY.INTL(J118,-1,1,Holiday!$A$1:$A$194)</f>
        <v>48039</v>
      </c>
      <c r="J118" s="5">
        <f t="shared" si="11"/>
        <v>48040</v>
      </c>
      <c r="K118" s="5">
        <f>IF($C$17 = Aux!I116, WORKDAY.INTL($J$5+28*H118-1,1,1,Holiday!$A$1:$A$194), WORKDAY.INTL($J$5+28*H118+1,-1,1,Holiday!$A$1:$A$194))</f>
        <v>48068</v>
      </c>
      <c r="L118" s="13">
        <f t="shared" si="12"/>
        <v>7.7777777777777779E-2</v>
      </c>
      <c r="M118" s="35">
        <f t="shared" si="9"/>
        <v>8.8694444444444347</v>
      </c>
      <c r="N118" s="37">
        <f>($N$4-(O118*SUMPRODUCT(L$5:L117,N$5:N117)))/((O118*L118)+1)</f>
        <v>0.46589935689847889</v>
      </c>
      <c r="O118" s="21">
        <v>8.6687648673376042E-2</v>
      </c>
      <c r="P118" s="31">
        <f t="shared" si="10"/>
        <v>0.46588079881904876</v>
      </c>
      <c r="Q118" s="15" cm="1">
        <f t="array" ref="Q118">Interpol($A$29:$B$39,2,G118)</f>
        <v>8.6118750603605992E-2</v>
      </c>
      <c r="R118" s="15"/>
      <c r="T118" s="5"/>
    </row>
    <row r="119" spans="5:20">
      <c r="E119" s="24"/>
      <c r="F119" s="26"/>
      <c r="G119" s="24">
        <f t="shared" si="8"/>
        <v>3220</v>
      </c>
      <c r="H119">
        <v>115</v>
      </c>
      <c r="I119" s="5">
        <f>WORKDAY.INTL(J119,-1,1,Holiday!$A$1:$A$194)</f>
        <v>48067</v>
      </c>
      <c r="J119" s="5">
        <f t="shared" si="11"/>
        <v>48068</v>
      </c>
      <c r="K119" s="5">
        <f>IF($C$17 = Aux!I117, WORKDAY.INTL($J$5+28*H119-1,1,1,Holiday!$A$1:$A$194), WORKDAY.INTL($J$5+28*H119+1,-1,1,Holiday!$A$1:$A$194))</f>
        <v>48096</v>
      </c>
      <c r="L119" s="13">
        <f t="shared" si="12"/>
        <v>7.7777777777777779E-2</v>
      </c>
      <c r="M119" s="35">
        <f t="shared" si="9"/>
        <v>8.9472222222222122</v>
      </c>
      <c r="N119" s="37">
        <f>($N$4-(O119*SUMPRODUCT(L$5:L118,N$5:N118)))/((O119*L119)+1)</f>
        <v>0.46258211436848823</v>
      </c>
      <c r="O119" s="21">
        <v>8.6719670631290047E-2</v>
      </c>
      <c r="P119" s="31">
        <f t="shared" si="10"/>
        <v>0.46256263034532519</v>
      </c>
      <c r="Q119" s="15" cm="1">
        <f t="array" ref="Q119">Interpol($A$29:$B$39,2,G119)</f>
        <v>8.6169013699019914E-2</v>
      </c>
      <c r="R119" s="15"/>
      <c r="T119" s="5"/>
    </row>
    <row r="120" spans="5:20">
      <c r="E120" s="24"/>
      <c r="F120" s="26"/>
      <c r="G120" s="24">
        <f t="shared" si="8"/>
        <v>3248</v>
      </c>
      <c r="H120">
        <v>116</v>
      </c>
      <c r="I120" s="5">
        <f>WORKDAY.INTL(J120,-1,1,Holiday!$A$1:$A$194)</f>
        <v>48095</v>
      </c>
      <c r="J120" s="5">
        <f t="shared" si="11"/>
        <v>48096</v>
      </c>
      <c r="K120" s="5">
        <f>IF($C$17 = Aux!I118, WORKDAY.INTL($J$5+28*H120-1,1,1,Holiday!$A$1:$A$194), WORKDAY.INTL($J$5+28*H120+1,-1,1,Holiday!$A$1:$A$194))</f>
        <v>48124</v>
      </c>
      <c r="L120" s="13">
        <f t="shared" si="12"/>
        <v>7.7777777777777779E-2</v>
      </c>
      <c r="M120" s="35">
        <f t="shared" si="9"/>
        <v>9.0249999999999897</v>
      </c>
      <c r="N120" s="37">
        <f>($N$4-(O120*SUMPRODUCT(L$5:L119,N$5:N119)))/((O120*L120)+1)</f>
        <v>0.45928481566863461</v>
      </c>
      <c r="O120" s="21">
        <v>8.6751692589204038E-2</v>
      </c>
      <c r="P120" s="31">
        <f t="shared" si="10"/>
        <v>0.4592645041785533</v>
      </c>
      <c r="Q120" s="15" cm="1">
        <f t="array" ref="Q120">Interpol($A$29:$B$39,2,G120)</f>
        <v>8.621927679443385E-2</v>
      </c>
      <c r="R120" s="15"/>
      <c r="T120" s="5"/>
    </row>
    <row r="121" spans="5:20">
      <c r="E121" s="24"/>
      <c r="F121" s="26"/>
      <c r="G121" s="24">
        <f t="shared" si="8"/>
        <v>3276</v>
      </c>
      <c r="H121">
        <v>117</v>
      </c>
      <c r="I121" s="5">
        <f>WORKDAY.INTL(J121,-1,1,Holiday!$A$1:$A$194)</f>
        <v>48123</v>
      </c>
      <c r="J121" s="5">
        <f t="shared" si="11"/>
        <v>48124</v>
      </c>
      <c r="K121" s="5">
        <f>IF($C$17 = Aux!I119, WORKDAY.INTL($J$5+28*H121-1,1,1,Holiday!$A$1:$A$194), WORKDAY.INTL($J$5+28*H121+1,-1,1,Holiday!$A$1:$A$194))</f>
        <v>48152</v>
      </c>
      <c r="L121" s="13">
        <f t="shared" si="12"/>
        <v>7.7777777777777779E-2</v>
      </c>
      <c r="M121" s="35">
        <f t="shared" si="9"/>
        <v>9.1027777777777672</v>
      </c>
      <c r="N121" s="37">
        <f>($N$4-(O121*SUMPRODUCT(L$5:L120,N$5:N120)))/((O121*L121)+1)</f>
        <v>0.45600735155526806</v>
      </c>
      <c r="O121" s="21">
        <v>8.6783714547118043E-2</v>
      </c>
      <c r="P121" s="31">
        <f t="shared" si="10"/>
        <v>0.45598632880479545</v>
      </c>
      <c r="Q121" s="15" cm="1">
        <f t="array" ref="Q121">Interpol($A$29:$B$39,2,G121)</f>
        <v>8.6269539889847771E-2</v>
      </c>
      <c r="R121" s="15"/>
      <c r="T121" s="5"/>
    </row>
    <row r="122" spans="5:20">
      <c r="E122" s="24"/>
      <c r="F122" s="26"/>
      <c r="G122" s="24">
        <f t="shared" si="8"/>
        <v>3304</v>
      </c>
      <c r="H122">
        <v>118</v>
      </c>
      <c r="I122" s="5">
        <f>WORKDAY.INTL(J122,-1,1,Holiday!$A$1:$A$194)</f>
        <v>48151</v>
      </c>
      <c r="J122" s="5">
        <f t="shared" si="11"/>
        <v>48152</v>
      </c>
      <c r="K122" s="5">
        <f>IF($C$17 = Aux!I120, WORKDAY.INTL($J$5+28*H122-1,1,1,Holiday!$A$1:$A$194), WORKDAY.INTL($J$5+28*H122+1,-1,1,Holiday!$A$1:$A$194))</f>
        <v>48180</v>
      </c>
      <c r="L122" s="13">
        <f t="shared" si="12"/>
        <v>7.7777777777777779E-2</v>
      </c>
      <c r="M122" s="35">
        <f t="shared" si="9"/>
        <v>9.1805555555555447</v>
      </c>
      <c r="N122" s="37">
        <f>($N$4-(O122*SUMPRODUCT(L$5:L121,N$5:N121)))/((O122*L122)+1)</f>
        <v>0.45274961332116659</v>
      </c>
      <c r="O122" s="21">
        <v>8.6815736505032035E-2</v>
      </c>
      <c r="P122" s="31">
        <f t="shared" si="10"/>
        <v>0.45272801289667808</v>
      </c>
      <c r="Q122" s="15" cm="1">
        <f t="array" ref="Q122">Interpol($A$29:$B$39,2,G122)</f>
        <v>8.6319802985261693E-2</v>
      </c>
      <c r="R122" s="15"/>
      <c r="T122" s="5"/>
    </row>
    <row r="123" spans="5:20">
      <c r="E123" s="24"/>
      <c r="F123" s="26"/>
      <c r="G123" s="24">
        <f t="shared" si="8"/>
        <v>3332</v>
      </c>
      <c r="H123">
        <v>119</v>
      </c>
      <c r="I123" s="5">
        <f>WORKDAY.INTL(J123,-1,1,Holiday!$A$1:$A$194)</f>
        <v>48179</v>
      </c>
      <c r="J123" s="5">
        <f t="shared" si="11"/>
        <v>48180</v>
      </c>
      <c r="K123" s="5">
        <f>IF($C$17 = Aux!I121, WORKDAY.INTL($J$5+28*H123-1,1,1,Holiday!$A$1:$A$194), WORKDAY.INTL($J$5+28*H123+1,-1,1,Holiday!$A$1:$A$194))</f>
        <v>48208</v>
      </c>
      <c r="L123" s="13">
        <f t="shared" si="12"/>
        <v>7.7777777777777779E-2</v>
      </c>
      <c r="M123" s="35">
        <f t="shared" si="9"/>
        <v>9.2583333333333222</v>
      </c>
      <c r="N123" s="37">
        <f>($N$4-(O123*SUMPRODUCT(L$5:L122,N$5:N122)))/((O123*L123)+1)</f>
        <v>0.4495114927932814</v>
      </c>
      <c r="O123" s="21">
        <v>8.684775846294604E-2</v>
      </c>
      <c r="P123" s="31">
        <f t="shared" si="10"/>
        <v>0.44948946531490652</v>
      </c>
      <c r="Q123" s="15" cm="1">
        <f t="array" ref="Q123">Interpol($A$29:$B$39,2,G123)</f>
        <v>8.6370066080675628E-2</v>
      </c>
      <c r="R123" s="15"/>
      <c r="T123" s="5"/>
    </row>
    <row r="124" spans="5:20">
      <c r="E124" s="24"/>
      <c r="F124" s="26"/>
      <c r="G124" s="24">
        <f t="shared" si="8"/>
        <v>3360</v>
      </c>
      <c r="H124">
        <v>120</v>
      </c>
      <c r="I124" s="5">
        <f>WORKDAY.INTL(J124,-1,1,Holiday!$A$1:$A$194)</f>
        <v>48206</v>
      </c>
      <c r="J124" s="5">
        <f t="shared" si="11"/>
        <v>48208</v>
      </c>
      <c r="K124" s="5">
        <f>IF($C$17 = Aux!I122, WORKDAY.INTL($J$5+28*H124-1,1,1,Holiday!$A$1:$A$194), WORKDAY.INTL($J$5+28*H124+1,-1,1,Holiday!$A$1:$A$194))</f>
        <v>48236</v>
      </c>
      <c r="L124" s="13">
        <f t="shared" si="12"/>
        <v>7.7777777777777779E-2</v>
      </c>
      <c r="M124" s="35">
        <f t="shared" si="9"/>
        <v>9.3361111111110997</v>
      </c>
      <c r="N124" s="37">
        <f>($N$4-(O124*SUMPRODUCT(L$5:L123,N$5:N123)))/((O124*L124)+1)</f>
        <v>0.4462928823304898</v>
      </c>
      <c r="O124" s="21">
        <v>8.6879780420860031E-2</v>
      </c>
      <c r="P124" s="31">
        <f t="shared" si="10"/>
        <v>0.4462705951097613</v>
      </c>
      <c r="Q124" s="15" cm="1">
        <f t="array" ref="Q124">Interpol($A$29:$B$39,2,G124)</f>
        <v>8.642032917608955E-2</v>
      </c>
      <c r="R124" s="15"/>
      <c r="T124" s="5"/>
    </row>
    <row r="125" spans="5:20">
      <c r="E125" s="24"/>
      <c r="F125" s="26"/>
      <c r="G125" s="24">
        <f t="shared" si="8"/>
        <v>3388</v>
      </c>
      <c r="H125">
        <v>121</v>
      </c>
      <c r="I125" s="5">
        <f>WORKDAY.INTL(J125,-1,1,Holiday!$A$1:$A$194)</f>
        <v>48235</v>
      </c>
      <c r="J125" s="5">
        <f t="shared" si="11"/>
        <v>48236</v>
      </c>
      <c r="K125" s="5">
        <f>IF($C$17 = Aux!I123, WORKDAY.INTL($J$5+28*H125-1,1,1,Holiday!$A$1:$A$194), WORKDAY.INTL($J$5+28*H125+1,-1,1,Holiday!$A$1:$A$194))</f>
        <v>48264</v>
      </c>
      <c r="L125" s="13">
        <f t="shared" si="12"/>
        <v>7.7777777777777779E-2</v>
      </c>
      <c r="M125" s="35">
        <f t="shared" si="9"/>
        <v>9.4138888888888772</v>
      </c>
      <c r="N125" s="37">
        <f>($N$4-(O125*SUMPRODUCT(L$5:L124,N$5:N124)))/((O125*L125)+1)</f>
        <v>0.44309367482135464</v>
      </c>
      <c r="O125" s="21">
        <v>8.6911802378774036E-2</v>
      </c>
      <c r="P125" s="31">
        <f t="shared" si="10"/>
        <v>0.44307131152257584</v>
      </c>
      <c r="Q125" s="15" cm="1">
        <f t="array" ref="Q125">Interpol($A$29:$B$39,2,G125)</f>
        <v>8.6470592271503471E-2</v>
      </c>
      <c r="R125" s="15"/>
      <c r="T125" s="5"/>
    </row>
    <row r="126" spans="5:20">
      <c r="E126" s="24"/>
      <c r="F126" s="26"/>
      <c r="G126" s="24">
        <f t="shared" si="8"/>
        <v>3416</v>
      </c>
      <c r="H126">
        <v>122</v>
      </c>
      <c r="I126" s="5">
        <f>WORKDAY.INTL(J126,-1,1,Holiday!$A$1:$A$194)</f>
        <v>48263</v>
      </c>
      <c r="J126" s="5">
        <f t="shared" si="11"/>
        <v>48264</v>
      </c>
      <c r="K126" s="5">
        <f>IF($C$17 = Aux!I124, WORKDAY.INTL($J$5+28*H126-1,1,1,Holiday!$A$1:$A$194), WORKDAY.INTL($J$5+28*H126+1,-1,1,Holiday!$A$1:$A$194))</f>
        <v>48292</v>
      </c>
      <c r="L126" s="13">
        <f t="shared" si="12"/>
        <v>7.7777777777777779E-2</v>
      </c>
      <c r="M126" s="35">
        <f t="shared" si="9"/>
        <v>9.4916666666666547</v>
      </c>
      <c r="N126" s="37">
        <f>($N$4-(O126*SUMPRODUCT(L$5:L125,N$5:N125)))/((O126*L126)+1)</f>
        <v>0.43991376368189183</v>
      </c>
      <c r="O126" s="21">
        <v>8.6943824336688028E-2</v>
      </c>
      <c r="P126" s="31">
        <f t="shared" si="10"/>
        <v>0.43989152398719694</v>
      </c>
      <c r="Q126" s="15" cm="1">
        <f t="array" ref="Q126">Interpol($A$29:$B$39,2,G126)</f>
        <v>8.6520855366917407E-2</v>
      </c>
      <c r="R126" s="15"/>
      <c r="T126" s="5"/>
    </row>
    <row r="127" spans="5:20">
      <c r="E127" s="24"/>
      <c r="F127" s="26"/>
      <c r="G127" s="24">
        <f t="shared" si="8"/>
        <v>3444</v>
      </c>
      <c r="H127">
        <v>123</v>
      </c>
      <c r="I127" s="5">
        <f>WORKDAY.INTL(J127,-1,1,Holiday!$A$1:$A$194)</f>
        <v>48291</v>
      </c>
      <c r="J127" s="5">
        <f t="shared" si="11"/>
        <v>48292</v>
      </c>
      <c r="K127" s="5">
        <f>IF($C$17 = Aux!I125, WORKDAY.INTL($J$5+28*H127-1,1,1,Holiday!$A$1:$A$194), WORKDAY.INTL($J$5+28*H127+1,-1,1,Holiday!$A$1:$A$194))</f>
        <v>48320</v>
      </c>
      <c r="L127" s="13">
        <f t="shared" si="12"/>
        <v>7.7777777777777779E-2</v>
      </c>
      <c r="M127" s="35">
        <f t="shared" si="9"/>
        <v>9.5694444444444322</v>
      </c>
      <c r="N127" s="37">
        <f>($N$4-(O127*SUMPRODUCT(L$5:L126,N$5:N126)))/((O127*L127)+1)</f>
        <v>0.43675304285334421</v>
      </c>
      <c r="O127" s="21">
        <v>8.6975846294602033E-2</v>
      </c>
      <c r="P127" s="31">
        <f t="shared" si="10"/>
        <v>0.43673114213142689</v>
      </c>
      <c r="Q127" s="15" cm="1">
        <f t="array" ref="Q127">Interpol($A$29:$B$39,2,G127)</f>
        <v>8.6571118462331328E-2</v>
      </c>
      <c r="R127" s="15"/>
      <c r="T127" s="5"/>
    </row>
    <row r="128" spans="5:20">
      <c r="E128" s="24"/>
      <c r="F128" s="26"/>
      <c r="G128" s="24">
        <f t="shared" si="8"/>
        <v>3472</v>
      </c>
      <c r="H128">
        <v>124</v>
      </c>
      <c r="I128" s="5">
        <f>WORKDAY.INTL(J128,-1,1,Holiday!$A$1:$A$194)</f>
        <v>48319</v>
      </c>
      <c r="J128" s="5">
        <f t="shared" si="11"/>
        <v>48320</v>
      </c>
      <c r="K128" s="5">
        <f>IF($C$17 = Aux!I126, WORKDAY.INTL($J$5+28*H128-1,1,1,Holiday!$A$1:$A$194), WORKDAY.INTL($J$5+28*H128+1,-1,1,Holiday!$A$1:$A$194))</f>
        <v>48348</v>
      </c>
      <c r="L128" s="13">
        <f t="shared" si="12"/>
        <v>7.7777777777777779E-2</v>
      </c>
      <c r="M128" s="35">
        <f t="shared" si="9"/>
        <v>9.6472222222222097</v>
      </c>
      <c r="N128" s="37">
        <f>($N$4-(O128*SUMPRODUCT(L$5:L127,N$5:N127)))/((O128*L128)+1)</f>
        <v>0.43361140679996357</v>
      </c>
      <c r="O128" s="21">
        <v>8.7007868252516024E-2</v>
      </c>
      <c r="P128" s="31">
        <f t="shared" si="10"/>
        <v>0.43359007577844755</v>
      </c>
      <c r="Q128" s="15" cm="1">
        <f t="array" ref="Q128">Interpol($A$29:$B$39,2,G128)</f>
        <v>8.662138155774525E-2</v>
      </c>
      <c r="R128" s="15"/>
      <c r="T128" s="5"/>
    </row>
    <row r="129" spans="5:20">
      <c r="E129" s="24"/>
      <c r="F129" s="26"/>
      <c r="G129" s="24">
        <f t="shared" si="8"/>
        <v>3500</v>
      </c>
      <c r="H129">
        <v>125</v>
      </c>
      <c r="I129" s="5">
        <f>WORKDAY.INTL(J129,-1,1,Holiday!$A$1:$A$194)</f>
        <v>48347</v>
      </c>
      <c r="J129" s="5">
        <f t="shared" si="11"/>
        <v>48348</v>
      </c>
      <c r="K129" s="5">
        <f>IF($C$17 = Aux!I127, WORKDAY.INTL($J$5+28*H129-1,1,1,Holiday!$A$1:$A$194), WORKDAY.INTL($J$5+28*H129+1,-1,1,Holiday!$A$1:$A$194))</f>
        <v>48376</v>
      </c>
      <c r="L129" s="13">
        <f t="shared" si="12"/>
        <v>7.7777777777777779E-2</v>
      </c>
      <c r="M129" s="35">
        <f t="shared" si="9"/>
        <v>9.7249999999999872</v>
      </c>
      <c r="N129" s="37">
        <f>($N$4-(O129*SUMPRODUCT(L$5:L128,N$5:N128)))/((O129*L129)+1)</f>
        <v>0.43048875050679825</v>
      </c>
      <c r="O129" s="21">
        <v>8.7039890210430029E-2</v>
      </c>
      <c r="P129" s="31">
        <f t="shared" si="10"/>
        <v>0.43046823494822678</v>
      </c>
      <c r="Q129" s="15" cm="1">
        <f t="array" ref="Q129">Interpol($A$29:$B$39,2,G129)</f>
        <v>8.6671644653159172E-2</v>
      </c>
      <c r="R129" s="15"/>
      <c r="T129" s="5"/>
    </row>
    <row r="130" spans="5:20">
      <c r="E130" s="24"/>
      <c r="F130" s="26"/>
      <c r="G130" s="24">
        <f t="shared" si="8"/>
        <v>3528</v>
      </c>
      <c r="H130">
        <v>126</v>
      </c>
      <c r="I130" s="5">
        <f>WORKDAY.INTL(J130,-1,1,Holiday!$A$1:$A$194)</f>
        <v>48375</v>
      </c>
      <c r="J130" s="5">
        <f t="shared" si="11"/>
        <v>48376</v>
      </c>
      <c r="K130" s="5">
        <f>IF($C$17 = Aux!I128, WORKDAY.INTL($J$5+28*H130-1,1,1,Holiday!$A$1:$A$194), WORKDAY.INTL($J$5+28*H130+1,-1,1,Holiday!$A$1:$A$194))</f>
        <v>48404</v>
      </c>
      <c r="L130" s="13">
        <f t="shared" si="12"/>
        <v>7.7777777777777779E-2</v>
      </c>
      <c r="M130" s="35">
        <f t="shared" si="9"/>
        <v>9.8027777777777647</v>
      </c>
      <c r="N130" s="37">
        <f>($N$4-(O130*SUMPRODUCT(L$5:L129,N$5:N129)))/((O130*L130)+1)</f>
        <v>0.42738496947748966</v>
      </c>
      <c r="O130" s="21">
        <v>8.7071912168344021E-2</v>
      </c>
      <c r="P130" s="31">
        <f t="shared" si="10"/>
        <v>0.42736552985890719</v>
      </c>
      <c r="Q130" s="15" cm="1">
        <f t="array" ref="Q130">Interpol($A$29:$B$39,2,G130)</f>
        <v>8.6721907748573107E-2</v>
      </c>
      <c r="R130" s="15"/>
      <c r="T130" s="5"/>
    </row>
    <row r="131" spans="5:20">
      <c r="E131" s="24"/>
      <c r="F131" s="26"/>
      <c r="G131" s="24">
        <f t="shared" si="8"/>
        <v>3556</v>
      </c>
      <c r="H131">
        <v>127</v>
      </c>
      <c r="I131" s="5">
        <f>WORKDAY.INTL(J131,-1,1,Holiday!$A$1:$A$194)</f>
        <v>48403</v>
      </c>
      <c r="J131" s="5">
        <f t="shared" si="11"/>
        <v>48404</v>
      </c>
      <c r="K131" s="5">
        <f>IF($C$17 = Aux!I129, WORKDAY.INTL($J$5+28*H131-1,1,1,Holiday!$A$1:$A$194), WORKDAY.INTL($J$5+28*H131+1,-1,1,Holiday!$A$1:$A$194))</f>
        <v>48432</v>
      </c>
      <c r="L131" s="13">
        <f t="shared" si="12"/>
        <v>7.7777777777777779E-2</v>
      </c>
      <c r="M131" s="35">
        <f t="shared" si="9"/>
        <v>9.8805555555555422</v>
      </c>
      <c r="N131" s="37">
        <f>($N$4-(O131*SUMPRODUCT(L$5:L130,N$5:N130)))/((O131*L131)+1)</f>
        <v>0.42429995973207446</v>
      </c>
      <c r="O131" s="21">
        <v>8.7103934126258026E-2</v>
      </c>
      <c r="P131" s="31">
        <f t="shared" si="10"/>
        <v>0.4242818709281771</v>
      </c>
      <c r="Q131" s="15" cm="1">
        <f t="array" ref="Q131">Interpol($A$29:$B$39,2,G131)</f>
        <v>8.6772170843987029E-2</v>
      </c>
      <c r="R131" s="15"/>
      <c r="T131" s="5"/>
    </row>
    <row r="132" spans="5:20">
      <c r="E132" s="24"/>
      <c r="F132" s="26"/>
      <c r="G132" s="24">
        <f t="shared" si="8"/>
        <v>3584</v>
      </c>
      <c r="H132">
        <v>128</v>
      </c>
      <c r="I132" s="5">
        <f>WORKDAY.INTL(J132,-1,1,Holiday!$A$1:$A$194)</f>
        <v>48431</v>
      </c>
      <c r="J132" s="5">
        <f t="shared" si="11"/>
        <v>48432</v>
      </c>
      <c r="K132" s="5">
        <f>IF($C$17 = Aux!I130, WORKDAY.INTL($J$5+28*H132-1,1,1,Holiday!$A$1:$A$194), WORKDAY.INTL($J$5+28*H132+1,-1,1,Holiday!$A$1:$A$194))</f>
        <v>48460</v>
      </c>
      <c r="L132" s="13">
        <f t="shared" ref="L132:L134" si="13">(K132-J132)/$C$16</f>
        <v>7.7777777777777779E-2</v>
      </c>
      <c r="M132" s="35">
        <f t="shared" si="9"/>
        <v>9.9583333333333197</v>
      </c>
      <c r="N132" s="37">
        <f>($N$4-(O132*SUMPRODUCT(L$5:L131,N$5:N131)))/((O132*L132)+1)</f>
        <v>0.42123361780479562</v>
      </c>
      <c r="O132" s="21">
        <v>8.7135956084172017E-2</v>
      </c>
      <c r="P132" s="31">
        <f t="shared" si="10"/>
        <v>0.42121716877462356</v>
      </c>
      <c r="Q132" s="15" cm="1">
        <f t="array" ref="Q132">Interpol($A$29:$B$39,2,G132)</f>
        <v>8.682243393940095E-2</v>
      </c>
      <c r="R132" s="19"/>
      <c r="S132" s="17"/>
      <c r="T132" s="5"/>
    </row>
    <row r="133" spans="5:20">
      <c r="E133" s="24"/>
      <c r="F133" s="26"/>
      <c r="G133" s="24">
        <f t="shared" si="8"/>
        <v>3612</v>
      </c>
      <c r="H133">
        <v>129</v>
      </c>
      <c r="I133" s="5">
        <f>WORKDAY.INTL(J133,-1,1,Holiday!$A$1:$A$194)</f>
        <v>48459</v>
      </c>
      <c r="J133" s="5">
        <f t="shared" si="11"/>
        <v>48460</v>
      </c>
      <c r="K133" s="5">
        <f>IF($C$17 = Aux!I131, WORKDAY.INTL($J$5+28*H133-1,1,1,Holiday!$A$1:$A$194), WORKDAY.INTL($J$5+28*H133+1,-1,1,Holiday!$A$1:$A$194))</f>
        <v>48488</v>
      </c>
      <c r="L133" s="13">
        <f t="shared" si="13"/>
        <v>7.7777777777777779E-2</v>
      </c>
      <c r="M133" s="35">
        <f t="shared" si="9"/>
        <v>10.036111111111097</v>
      </c>
      <c r="N133" s="37">
        <f>($N$4-(O133*SUMPRODUCT(L$5:L132,N$5:N132)))/((O133*L133)+1)</f>
        <v>0.41818584074191806</v>
      </c>
      <c r="O133" s="21">
        <v>8.7167978042086008E-2</v>
      </c>
      <c r="P133" s="31">
        <f t="shared" si="10"/>
        <v>0.41817133421906832</v>
      </c>
      <c r="Q133" s="15" cm="1">
        <f t="array" ref="Q133">Interpol($A$29:$B$39,2,G133)</f>
        <v>8.6872697034814886E-2</v>
      </c>
      <c r="R133" s="15"/>
      <c r="T133" s="5"/>
    </row>
    <row r="134" spans="5:20" ht="15" thickBot="1">
      <c r="E134" s="24"/>
      <c r="F134" s="26"/>
      <c r="G134" s="25">
        <f t="shared" ref="G134" si="14">K134-$K$4</f>
        <v>3640</v>
      </c>
      <c r="H134" s="6">
        <v>130</v>
      </c>
      <c r="I134" s="7">
        <f>WORKDAY.INTL(J134,-1,1,Holiday!$A$1:$A$194)</f>
        <v>48487</v>
      </c>
      <c r="J134" s="7">
        <f t="shared" si="11"/>
        <v>48488</v>
      </c>
      <c r="K134" s="7">
        <f>IF($C$17 = Aux!I132, WORKDAY.INTL($J$5+28*H134-1,1,1,Holiday!$A$1:$A$194), WORKDAY.INTL($J$5+28*H134+1,-1,1,Holiday!$A$1:$A$194))</f>
        <v>48516</v>
      </c>
      <c r="L134" s="14">
        <f t="shared" si="13"/>
        <v>7.7777777777777779E-2</v>
      </c>
      <c r="M134" s="34">
        <f t="shared" si="9"/>
        <v>10.113888888888875</v>
      </c>
      <c r="N134" s="38">
        <f>($N$4-(O134*SUMPRODUCT(L$5:L133,N$5:N133)))/((O134*L134)+1)</f>
        <v>0.41515652609955384</v>
      </c>
      <c r="O134" s="22">
        <v>8.7200000000000014E-2</v>
      </c>
      <c r="P134" s="32">
        <f t="shared" si="10"/>
        <v>0.41514427828588601</v>
      </c>
      <c r="Q134" s="16">
        <v>8.6922960130228807E-2</v>
      </c>
      <c r="R134" s="16">
        <f>($P$4-P134)/SUMPRODUCT(L$5:L134,P$5:P134)</f>
        <v>8.7199999999313146E-2</v>
      </c>
      <c r="S134" s="16">
        <f>R134-B14</f>
        <v>-6.8686722975996872E-13</v>
      </c>
      <c r="T134" s="5"/>
    </row>
    <row r="135" spans="5:20">
      <c r="E135" s="24"/>
      <c r="F135" s="26"/>
      <c r="P135" s="29"/>
    </row>
    <row r="136" spans="5:20">
      <c r="E136" s="24"/>
      <c r="F136" s="26"/>
    </row>
    <row r="137" spans="5:20">
      <c r="E137" s="24"/>
      <c r="F137" s="26"/>
    </row>
    <row r="138" spans="5:20">
      <c r="E138" s="24"/>
      <c r="F138" s="26"/>
    </row>
    <row r="139" spans="5:20">
      <c r="E139" s="24"/>
      <c r="F139" s="26"/>
    </row>
    <row r="140" spans="5:20">
      <c r="E140" s="24"/>
      <c r="F140" s="26"/>
    </row>
    <row r="141" spans="5:20">
      <c r="E141" s="24"/>
      <c r="F141" s="26"/>
    </row>
    <row r="142" spans="5:20">
      <c r="E142" s="24"/>
      <c r="F142" s="26"/>
    </row>
    <row r="143" spans="5:20">
      <c r="E143" s="24"/>
      <c r="F143" s="26"/>
    </row>
    <row r="144" spans="5:20">
      <c r="E144" s="24"/>
      <c r="F144" s="26"/>
    </row>
    <row r="145" spans="5:6">
      <c r="E145" s="24"/>
      <c r="F145" s="26"/>
    </row>
    <row r="146" spans="5:6">
      <c r="E146" s="24"/>
      <c r="F146" s="26"/>
    </row>
    <row r="147" spans="5:6">
      <c r="E147" s="24"/>
      <c r="F147" s="26"/>
    </row>
    <row r="148" spans="5:6">
      <c r="E148" s="24"/>
      <c r="F148" s="26"/>
    </row>
    <row r="149" spans="5:6">
      <c r="E149" s="24"/>
      <c r="F149" s="26"/>
    </row>
    <row r="150" spans="5:6">
      <c r="E150" s="24"/>
      <c r="F150" s="26"/>
    </row>
    <row r="151" spans="5:6">
      <c r="E151" s="24"/>
      <c r="F151" s="26"/>
    </row>
    <row r="152" spans="5:6">
      <c r="E152" s="24"/>
      <c r="F152" s="26"/>
    </row>
    <row r="153" spans="5:6">
      <c r="E153" s="24"/>
      <c r="F153" s="26"/>
    </row>
    <row r="154" spans="5:6">
      <c r="E154" s="24"/>
      <c r="F154" s="26"/>
    </row>
    <row r="155" spans="5:6">
      <c r="E155" s="24"/>
      <c r="F155" s="26"/>
    </row>
    <row r="156" spans="5:6">
      <c r="E156" s="24"/>
      <c r="F156" s="26"/>
    </row>
  </sheetData>
  <mergeCells count="4">
    <mergeCell ref="N3:O3"/>
    <mergeCell ref="B19:C19"/>
    <mergeCell ref="B20:C22"/>
    <mergeCell ref="P3:S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Bootstrapping">
                <anchor moveWithCells="1" sizeWithCells="1">
                  <from>
                    <xdr:col>1</xdr:col>
                    <xdr:colOff>175260</xdr:colOff>
                    <xdr:row>23</xdr:row>
                    <xdr:rowOff>22860</xdr:rowOff>
                  </from>
                  <to>
                    <xdr:col>3</xdr:col>
                    <xdr:colOff>601980</xdr:colOff>
                    <xdr:row>26</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44E3D9F9-C60C-411D-9F2F-AB37EB2CCAC9}">
          <x14:formula1>
            <xm:f>Aux!$A$3:$A$4</xm:f>
          </x14:formula1>
          <xm:sqref>B19:E19</xm:sqref>
        </x14:dataValidation>
        <x14:dataValidation type="list" allowBlank="1" showInputMessage="1" showErrorMessage="1" xr:uid="{52709AC5-D5F3-49D2-8158-2664F5C168A8}">
          <x14:formula1>
            <xm:f>Aux!$H$3:$H$4</xm:f>
          </x14:formula1>
          <xm:sqref>C16</xm:sqref>
        </x14:dataValidation>
        <x14:dataValidation type="list" allowBlank="1" showInputMessage="1" showErrorMessage="1" xr:uid="{E9C7BA8A-F80B-4F1D-A40E-6CA1ED070FEE}">
          <x14:formula1>
            <xm:f>Aux!$I$3:$I$4</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195"/>
  <sheetViews>
    <sheetView showGridLines="0" topLeftCell="A16" workbookViewId="0">
      <selection activeCell="E10" sqref="E10"/>
    </sheetView>
  </sheetViews>
  <sheetFormatPr baseColWidth="10" defaultColWidth="11.44140625" defaultRowHeight="14.4"/>
  <sheetData>
    <row r="1" spans="1:1">
      <c r="A1" s="3">
        <v>44562</v>
      </c>
    </row>
    <row r="2" spans="1:1">
      <c r="A2" s="3">
        <v>44599</v>
      </c>
    </row>
    <row r="3" spans="1:1">
      <c r="A3" s="3">
        <v>44641</v>
      </c>
    </row>
    <row r="4" spans="1:1">
      <c r="A4" s="3">
        <v>44665</v>
      </c>
    </row>
    <row r="5" spans="1:1">
      <c r="A5" s="3">
        <v>44666</v>
      </c>
    </row>
    <row r="6" spans="1:1">
      <c r="A6" s="3">
        <v>44682</v>
      </c>
    </row>
    <row r="7" spans="1:1">
      <c r="A7" s="3">
        <v>44820</v>
      </c>
    </row>
    <row r="8" spans="1:1">
      <c r="A8" s="3">
        <v>44867</v>
      </c>
    </row>
    <row r="9" spans="1:1">
      <c r="A9" s="3">
        <v>44886</v>
      </c>
    </row>
    <row r="10" spans="1:1">
      <c r="A10" s="3">
        <v>44907</v>
      </c>
    </row>
    <row r="11" spans="1:1">
      <c r="A11" s="3">
        <v>44920</v>
      </c>
    </row>
    <row r="12" spans="1:1">
      <c r="A12" s="3">
        <v>44927</v>
      </c>
    </row>
    <row r="13" spans="1:1">
      <c r="A13" s="3">
        <v>44963</v>
      </c>
    </row>
    <row r="14" spans="1:1">
      <c r="A14" s="3">
        <v>45005</v>
      </c>
    </row>
    <row r="15" spans="1:1">
      <c r="A15" s="3">
        <v>45022</v>
      </c>
    </row>
    <row r="16" spans="1:1">
      <c r="A16" s="3">
        <v>45023</v>
      </c>
    </row>
    <row r="17" spans="1:1">
      <c r="A17" s="3">
        <v>45047</v>
      </c>
    </row>
    <row r="18" spans="1:1">
      <c r="A18" s="3">
        <v>45185</v>
      </c>
    </row>
    <row r="19" spans="1:1">
      <c r="A19" s="3">
        <v>45232</v>
      </c>
    </row>
    <row r="20" spans="1:1">
      <c r="A20" s="3">
        <v>45250</v>
      </c>
    </row>
    <row r="21" spans="1:1">
      <c r="A21" s="3">
        <v>45272</v>
      </c>
    </row>
    <row r="22" spans="1:1">
      <c r="A22" s="3">
        <v>45285</v>
      </c>
    </row>
    <row r="23" spans="1:1">
      <c r="A23" s="3">
        <v>45292</v>
      </c>
    </row>
    <row r="24" spans="1:1">
      <c r="A24" s="3">
        <v>45327</v>
      </c>
    </row>
    <row r="25" spans="1:1">
      <c r="A25" s="3">
        <v>45369</v>
      </c>
    </row>
    <row r="26" spans="1:1">
      <c r="A26" s="3">
        <v>45379</v>
      </c>
    </row>
    <row r="27" spans="1:1">
      <c r="A27" s="3">
        <v>45380</v>
      </c>
    </row>
    <row r="28" spans="1:1">
      <c r="A28" s="3">
        <v>45413</v>
      </c>
    </row>
    <row r="29" spans="1:1">
      <c r="A29" s="3">
        <v>45551</v>
      </c>
    </row>
    <row r="30" spans="1:1">
      <c r="A30" s="3">
        <v>45614</v>
      </c>
    </row>
    <row r="31" spans="1:1">
      <c r="A31" s="3">
        <v>45638</v>
      </c>
    </row>
    <row r="32" spans="1:1">
      <c r="A32" s="3">
        <v>45651</v>
      </c>
    </row>
    <row r="33" spans="1:1">
      <c r="A33" s="3">
        <v>45658</v>
      </c>
    </row>
    <row r="34" spans="1:1">
      <c r="A34" s="3">
        <v>45691</v>
      </c>
    </row>
    <row r="35" spans="1:1">
      <c r="A35" s="3">
        <v>45733</v>
      </c>
    </row>
    <row r="36" spans="1:1">
      <c r="A36" s="3">
        <v>45764</v>
      </c>
    </row>
    <row r="37" spans="1:1">
      <c r="A37" s="3">
        <v>45765</v>
      </c>
    </row>
    <row r="38" spans="1:1">
      <c r="A38" s="3">
        <v>45778</v>
      </c>
    </row>
    <row r="39" spans="1:1">
      <c r="A39" s="3">
        <v>45916</v>
      </c>
    </row>
    <row r="40" spans="1:1">
      <c r="A40" s="3">
        <v>45978</v>
      </c>
    </row>
    <row r="41" spans="1:1">
      <c r="A41" s="3">
        <v>46003</v>
      </c>
    </row>
    <row r="42" spans="1:1">
      <c r="A42" s="3">
        <v>46016</v>
      </c>
    </row>
    <row r="43" spans="1:1">
      <c r="A43" s="3">
        <v>46023</v>
      </c>
    </row>
    <row r="44" spans="1:1">
      <c r="A44" s="3">
        <v>46055</v>
      </c>
    </row>
    <row r="45" spans="1:1">
      <c r="A45" s="3">
        <v>46097</v>
      </c>
    </row>
    <row r="46" spans="1:1">
      <c r="A46" s="3">
        <v>46114</v>
      </c>
    </row>
    <row r="47" spans="1:1">
      <c r="A47" s="3">
        <v>46115</v>
      </c>
    </row>
    <row r="48" spans="1:1">
      <c r="A48" s="3">
        <v>46143</v>
      </c>
    </row>
    <row r="49" spans="1:1">
      <c r="A49" s="3">
        <v>46281</v>
      </c>
    </row>
    <row r="50" spans="1:1">
      <c r="A50" s="3">
        <v>46328</v>
      </c>
    </row>
    <row r="51" spans="1:1">
      <c r="A51" s="3">
        <v>46342</v>
      </c>
    </row>
    <row r="52" spans="1:1">
      <c r="A52" s="3">
        <v>46368</v>
      </c>
    </row>
    <row r="53" spans="1:1">
      <c r="A53" s="3">
        <v>46381</v>
      </c>
    </row>
    <row r="54" spans="1:1">
      <c r="A54" s="3">
        <v>46388</v>
      </c>
    </row>
    <row r="55" spans="1:1">
      <c r="A55" s="3">
        <v>46419</v>
      </c>
    </row>
    <row r="56" spans="1:1">
      <c r="A56" s="3">
        <v>46461</v>
      </c>
    </row>
    <row r="57" spans="1:1">
      <c r="A57" s="3">
        <v>46471</v>
      </c>
    </row>
    <row r="58" spans="1:1">
      <c r="A58" s="3">
        <v>46472</v>
      </c>
    </row>
    <row r="59" spans="1:1">
      <c r="A59" s="3">
        <v>46508</v>
      </c>
    </row>
    <row r="60" spans="1:1">
      <c r="A60" s="3">
        <v>46646</v>
      </c>
    </row>
    <row r="61" spans="1:1">
      <c r="A61" s="3">
        <v>46693</v>
      </c>
    </row>
    <row r="62" spans="1:1">
      <c r="A62" s="3">
        <v>46706</v>
      </c>
    </row>
    <row r="63" spans="1:1">
      <c r="A63" s="3">
        <v>46733</v>
      </c>
    </row>
    <row r="64" spans="1:1">
      <c r="A64" s="3">
        <v>46746</v>
      </c>
    </row>
    <row r="65" spans="1:1">
      <c r="A65" s="3">
        <v>46753</v>
      </c>
    </row>
    <row r="66" spans="1:1">
      <c r="A66" s="3">
        <v>46790</v>
      </c>
    </row>
    <row r="67" spans="1:1">
      <c r="A67" s="3">
        <v>46832</v>
      </c>
    </row>
    <row r="68" spans="1:1">
      <c r="A68" s="3">
        <v>46856</v>
      </c>
    </row>
    <row r="69" spans="1:1">
      <c r="A69" s="3">
        <v>46857</v>
      </c>
    </row>
    <row r="70" spans="1:1">
      <c r="A70" s="3">
        <v>46874</v>
      </c>
    </row>
    <row r="71" spans="1:1">
      <c r="A71" s="3">
        <v>47012</v>
      </c>
    </row>
    <row r="72" spans="1:1">
      <c r="A72" s="3">
        <v>47059</v>
      </c>
    </row>
    <row r="73" spans="1:1">
      <c r="A73" s="3">
        <v>47077</v>
      </c>
    </row>
    <row r="74" spans="1:1">
      <c r="A74" s="3">
        <v>47099</v>
      </c>
    </row>
    <row r="75" spans="1:1">
      <c r="A75" s="3">
        <v>47112</v>
      </c>
    </row>
    <row r="76" spans="1:1">
      <c r="A76" s="3">
        <v>47119</v>
      </c>
    </row>
    <row r="77" spans="1:1">
      <c r="A77" s="3">
        <v>47154</v>
      </c>
    </row>
    <row r="78" spans="1:1">
      <c r="A78" s="3">
        <v>47196</v>
      </c>
    </row>
    <row r="79" spans="1:1">
      <c r="A79" s="3">
        <v>47206</v>
      </c>
    </row>
    <row r="80" spans="1:1">
      <c r="A80" s="3">
        <v>47207</v>
      </c>
    </row>
    <row r="81" spans="1:1">
      <c r="A81" s="3">
        <v>47239</v>
      </c>
    </row>
    <row r="82" spans="1:1">
      <c r="A82" s="3">
        <v>47377</v>
      </c>
    </row>
    <row r="83" spans="1:1">
      <c r="A83" s="3">
        <v>47424</v>
      </c>
    </row>
    <row r="84" spans="1:1">
      <c r="A84" s="3">
        <v>47441</v>
      </c>
    </row>
    <row r="85" spans="1:1">
      <c r="A85" s="3">
        <v>47464</v>
      </c>
    </row>
    <row r="86" spans="1:1">
      <c r="A86" s="3">
        <v>47477</v>
      </c>
    </row>
    <row r="87" spans="1:1">
      <c r="A87" s="3">
        <v>47484</v>
      </c>
    </row>
    <row r="88" spans="1:1">
      <c r="A88" s="3">
        <v>47518</v>
      </c>
    </row>
    <row r="89" spans="1:1">
      <c r="A89" s="3">
        <v>47560</v>
      </c>
    </row>
    <row r="90" spans="1:1">
      <c r="A90" s="3">
        <v>47591</v>
      </c>
    </row>
    <row r="91" spans="1:1">
      <c r="A91" s="3">
        <v>47592</v>
      </c>
    </row>
    <row r="92" spans="1:1">
      <c r="A92" s="3">
        <v>47604</v>
      </c>
    </row>
    <row r="93" spans="1:1">
      <c r="A93" s="3">
        <v>47742</v>
      </c>
    </row>
    <row r="94" spans="1:1">
      <c r="A94" s="3">
        <v>47805</v>
      </c>
    </row>
    <row r="95" spans="1:1">
      <c r="A95" s="3">
        <v>47829</v>
      </c>
    </row>
    <row r="96" spans="1:1">
      <c r="A96" s="3">
        <v>47842</v>
      </c>
    </row>
    <row r="97" spans="1:1">
      <c r="A97" s="3">
        <v>47849</v>
      </c>
    </row>
    <row r="98" spans="1:1">
      <c r="A98" s="3">
        <v>47882</v>
      </c>
    </row>
    <row r="99" spans="1:1">
      <c r="A99" s="3">
        <v>47924</v>
      </c>
    </row>
    <row r="100" spans="1:1">
      <c r="A100" s="3">
        <v>47955</v>
      </c>
    </row>
    <row r="101" spans="1:1">
      <c r="A101" s="3">
        <v>47956</v>
      </c>
    </row>
    <row r="102" spans="1:1">
      <c r="A102" s="3">
        <v>47969</v>
      </c>
    </row>
    <row r="103" spans="1:1">
      <c r="A103" s="3">
        <v>48107</v>
      </c>
    </row>
    <row r="104" spans="1:1">
      <c r="A104" s="3">
        <v>48169</v>
      </c>
    </row>
    <row r="105" spans="1:1">
      <c r="A105" s="3">
        <v>48194</v>
      </c>
    </row>
    <row r="106" spans="1:1">
      <c r="A106" s="3">
        <v>48207</v>
      </c>
    </row>
    <row r="107" spans="1:1">
      <c r="A107" s="3">
        <v>48214</v>
      </c>
    </row>
    <row r="108" spans="1:1">
      <c r="A108" s="3">
        <v>48246</v>
      </c>
    </row>
    <row r="109" spans="1:1">
      <c r="A109" s="3">
        <v>48288</v>
      </c>
    </row>
    <row r="110" spans="1:1">
      <c r="A110" s="3">
        <v>48298</v>
      </c>
    </row>
    <row r="111" spans="1:1">
      <c r="A111" s="3">
        <v>48299</v>
      </c>
    </row>
    <row r="112" spans="1:1">
      <c r="A112" s="3">
        <v>48335</v>
      </c>
    </row>
    <row r="113" spans="1:1">
      <c r="A113" s="3">
        <v>48473</v>
      </c>
    </row>
    <row r="114" spans="1:1">
      <c r="A114" s="3">
        <v>48520</v>
      </c>
    </row>
    <row r="115" spans="1:1">
      <c r="A115" s="3">
        <v>48533</v>
      </c>
    </row>
    <row r="116" spans="1:1">
      <c r="A116" s="3">
        <v>48560</v>
      </c>
    </row>
    <row r="117" spans="1:1">
      <c r="A117" s="3">
        <v>48573</v>
      </c>
    </row>
    <row r="118" spans="1:1">
      <c r="A118" s="3">
        <v>48580</v>
      </c>
    </row>
    <row r="119" spans="1:1">
      <c r="A119" s="3">
        <v>48617</v>
      </c>
    </row>
    <row r="120" spans="1:1">
      <c r="A120" s="3">
        <v>48659</v>
      </c>
    </row>
    <row r="121" spans="1:1">
      <c r="A121" s="3">
        <v>48683</v>
      </c>
    </row>
    <row r="122" spans="1:1">
      <c r="A122" s="3">
        <v>48684</v>
      </c>
    </row>
    <row r="123" spans="1:1">
      <c r="A123" s="3">
        <v>48700</v>
      </c>
    </row>
    <row r="124" spans="1:1">
      <c r="A124" s="3">
        <v>48838</v>
      </c>
    </row>
    <row r="125" spans="1:1">
      <c r="A125" s="3">
        <v>48885</v>
      </c>
    </row>
    <row r="126" spans="1:1">
      <c r="A126" s="3">
        <v>48904</v>
      </c>
    </row>
    <row r="127" spans="1:1">
      <c r="A127" s="3">
        <v>48925</v>
      </c>
    </row>
    <row r="128" spans="1:1">
      <c r="A128" s="3">
        <v>48938</v>
      </c>
    </row>
    <row r="129" spans="1:1">
      <c r="A129" s="3">
        <v>48945</v>
      </c>
    </row>
    <row r="130" spans="1:1">
      <c r="A130" s="3">
        <v>48981</v>
      </c>
    </row>
    <row r="131" spans="1:1">
      <c r="A131" s="3">
        <v>49023</v>
      </c>
    </row>
    <row r="132" spans="1:1">
      <c r="A132" s="3">
        <v>49047</v>
      </c>
    </row>
    <row r="133" spans="1:1">
      <c r="A133" s="3">
        <v>49048</v>
      </c>
    </row>
    <row r="134" spans="1:1">
      <c r="A134" s="3">
        <v>49065</v>
      </c>
    </row>
    <row r="135" spans="1:1">
      <c r="A135" s="3">
        <v>49203</v>
      </c>
    </row>
    <row r="136" spans="1:1">
      <c r="A136" s="3">
        <v>49250</v>
      </c>
    </row>
    <row r="137" spans="1:1">
      <c r="A137" s="3">
        <v>49268</v>
      </c>
    </row>
    <row r="138" spans="1:1">
      <c r="A138" s="3">
        <v>49290</v>
      </c>
    </row>
    <row r="139" spans="1:1">
      <c r="A139" s="3">
        <v>49303</v>
      </c>
    </row>
    <row r="140" spans="1:1">
      <c r="A140" s="3">
        <v>49310</v>
      </c>
    </row>
    <row r="141" spans="1:1">
      <c r="A141" s="3">
        <v>49345</v>
      </c>
    </row>
    <row r="142" spans="1:1">
      <c r="A142" s="3">
        <v>49387</v>
      </c>
    </row>
    <row r="143" spans="1:1">
      <c r="A143" s="3">
        <v>49411</v>
      </c>
    </row>
    <row r="144" spans="1:1">
      <c r="A144" s="3">
        <v>49412</v>
      </c>
    </row>
    <row r="145" spans="1:1">
      <c r="A145" s="3">
        <v>49430</v>
      </c>
    </row>
    <row r="146" spans="1:1">
      <c r="A146" s="3">
        <v>49568</v>
      </c>
    </row>
    <row r="147" spans="1:1">
      <c r="A147" s="3">
        <v>49615</v>
      </c>
    </row>
    <row r="148" spans="1:1">
      <c r="A148" s="3">
        <v>49632</v>
      </c>
    </row>
    <row r="149" spans="1:1">
      <c r="A149" s="3">
        <v>49655</v>
      </c>
    </row>
    <row r="150" spans="1:1">
      <c r="A150" s="3">
        <v>49668</v>
      </c>
    </row>
    <row r="151" spans="1:1">
      <c r="A151" s="3">
        <v>49675</v>
      </c>
    </row>
    <row r="152" spans="1:1">
      <c r="A152" s="3">
        <v>49709</v>
      </c>
    </row>
    <row r="153" spans="1:1">
      <c r="A153" s="3">
        <v>49751</v>
      </c>
    </row>
    <row r="154" spans="1:1">
      <c r="A154" s="3">
        <v>49782</v>
      </c>
    </row>
    <row r="155" spans="1:1">
      <c r="A155" s="3">
        <v>49783</v>
      </c>
    </row>
    <row r="156" spans="1:1">
      <c r="A156" s="3">
        <v>49796</v>
      </c>
    </row>
    <row r="157" spans="1:1">
      <c r="A157" s="3">
        <v>49934</v>
      </c>
    </row>
    <row r="158" spans="1:1">
      <c r="A158" s="3">
        <v>49996</v>
      </c>
    </row>
    <row r="159" spans="1:1">
      <c r="A159" s="3">
        <v>50010</v>
      </c>
    </row>
    <row r="160" spans="1:1">
      <c r="A160" s="3">
        <v>50021</v>
      </c>
    </row>
    <row r="161" spans="1:1">
      <c r="A161" s="3">
        <v>50034</v>
      </c>
    </row>
    <row r="162" spans="1:1">
      <c r="A162" s="3">
        <v>50041</v>
      </c>
    </row>
    <row r="163" spans="1:1">
      <c r="A163" s="3">
        <v>50073</v>
      </c>
    </row>
    <row r="164" spans="1:1">
      <c r="A164" s="3">
        <v>50115</v>
      </c>
    </row>
    <row r="165" spans="1:1">
      <c r="A165" s="3">
        <v>50146</v>
      </c>
    </row>
    <row r="166" spans="1:1">
      <c r="A166" s="4">
        <v>50147</v>
      </c>
    </row>
    <row r="167" spans="1:1">
      <c r="A167" s="4">
        <v>50161</v>
      </c>
    </row>
    <row r="168" spans="1:1">
      <c r="A168" s="4">
        <v>50299</v>
      </c>
    </row>
    <row r="169" spans="1:1">
      <c r="A169" s="4">
        <v>50346</v>
      </c>
    </row>
    <row r="170" spans="1:1">
      <c r="A170" s="4">
        <v>50360</v>
      </c>
    </row>
    <row r="171" spans="1:1">
      <c r="A171" s="4">
        <v>50386</v>
      </c>
    </row>
    <row r="172" spans="1:1">
      <c r="A172" s="4">
        <v>50399</v>
      </c>
    </row>
    <row r="173" spans="1:1">
      <c r="A173" s="4">
        <v>50406</v>
      </c>
    </row>
    <row r="174" spans="1:1">
      <c r="A174" s="4">
        <v>50437</v>
      </c>
    </row>
    <row r="175" spans="1:1">
      <c r="A175" s="4">
        <v>50479</v>
      </c>
    </row>
    <row r="176" spans="1:1">
      <c r="A176" s="4">
        <v>50517</v>
      </c>
    </row>
    <row r="177" spans="1:1">
      <c r="A177" s="4">
        <v>50518</v>
      </c>
    </row>
    <row r="178" spans="1:1">
      <c r="A178" s="4">
        <v>50526</v>
      </c>
    </row>
    <row r="179" spans="1:1">
      <c r="A179" s="4">
        <v>50664</v>
      </c>
    </row>
    <row r="180" spans="1:1">
      <c r="A180" s="4">
        <v>50711</v>
      </c>
    </row>
    <row r="181" spans="1:1">
      <c r="A181" s="4">
        <v>50724</v>
      </c>
    </row>
    <row r="182" spans="1:1">
      <c r="A182" s="4">
        <v>50751</v>
      </c>
    </row>
    <row r="183" spans="1:1">
      <c r="A183" s="4">
        <v>50764</v>
      </c>
    </row>
    <row r="184" spans="1:1">
      <c r="A184" s="4">
        <v>50771</v>
      </c>
    </row>
    <row r="185" spans="1:1">
      <c r="A185" s="4">
        <v>50808</v>
      </c>
    </row>
    <row r="186" spans="1:1">
      <c r="A186" s="4">
        <v>50850</v>
      </c>
    </row>
    <row r="187" spans="1:1">
      <c r="A187" s="4">
        <v>50873</v>
      </c>
    </row>
    <row r="188" spans="1:1">
      <c r="A188" s="4">
        <v>50874</v>
      </c>
    </row>
    <row r="189" spans="1:1">
      <c r="A189" s="4">
        <v>50891</v>
      </c>
    </row>
    <row r="190" spans="1:1">
      <c r="A190" s="4">
        <v>51029</v>
      </c>
    </row>
    <row r="191" spans="1:1">
      <c r="A191" s="4">
        <v>51076</v>
      </c>
    </row>
    <row r="192" spans="1:1">
      <c r="A192" s="4">
        <v>51095</v>
      </c>
    </row>
    <row r="193" spans="1:1">
      <c r="A193" s="4">
        <v>51116</v>
      </c>
    </row>
    <row r="194" spans="1:1">
      <c r="A194" s="4">
        <v>51129</v>
      </c>
    </row>
    <row r="195" spans="1:1">
      <c r="A195"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CF007-4FBD-4D57-BB96-858CF985BAE1}">
  <sheetPr codeName="Hoja4"/>
  <dimension ref="A2:I14"/>
  <sheetViews>
    <sheetView workbookViewId="0">
      <selection activeCell="L7" sqref="L7"/>
    </sheetView>
  </sheetViews>
  <sheetFormatPr baseColWidth="10" defaultColWidth="11.44140625" defaultRowHeight="14.4"/>
  <cols>
    <col min="5" max="5" width="14.21875" bestFit="1" customWidth="1"/>
  </cols>
  <sheetData>
    <row r="2" spans="1:9">
      <c r="A2" s="71" t="s">
        <v>29</v>
      </c>
      <c r="E2" s="71" t="s">
        <v>33</v>
      </c>
      <c r="F2">
        <f>1/100</f>
        <v>0.01</v>
      </c>
      <c r="H2" s="71" t="s">
        <v>19</v>
      </c>
      <c r="I2" s="71" t="s">
        <v>34</v>
      </c>
    </row>
    <row r="3" spans="1:9">
      <c r="A3" s="20" t="s">
        <v>28</v>
      </c>
      <c r="E3" s="42">
        <f>10.19*(1/100)</f>
        <v>0.10189999999999999</v>
      </c>
      <c r="H3" s="11">
        <v>360</v>
      </c>
      <c r="I3" t="s">
        <v>35</v>
      </c>
    </row>
    <row r="4" spans="1:9">
      <c r="A4" t="s">
        <v>30</v>
      </c>
      <c r="E4" s="42">
        <f>10.2*(1/100)</f>
        <v>0.10199999999999999</v>
      </c>
      <c r="H4">
        <v>365</v>
      </c>
      <c r="I4" t="s">
        <v>36</v>
      </c>
    </row>
    <row r="5" spans="1:9">
      <c r="E5" s="42">
        <f>10.4525*(1/100)</f>
        <v>0.10452500000000001</v>
      </c>
    </row>
    <row r="6" spans="1:9">
      <c r="E6" s="42">
        <f>10.69*(1/100)</f>
        <v>0.1069</v>
      </c>
    </row>
    <row r="7" spans="1:9">
      <c r="E7" s="42">
        <f>10.73*(1/100)</f>
        <v>0.10730000000000001</v>
      </c>
    </row>
    <row r="8" spans="1:9">
      <c r="E8" s="42">
        <f>10.62*(1/100)</f>
        <v>0.10620000000000002</v>
      </c>
    </row>
    <row r="9" spans="1:9">
      <c r="E9" s="42">
        <f>9.61*(1/100)</f>
        <v>9.6099999999999991E-2</v>
      </c>
    </row>
    <row r="10" spans="1:9">
      <c r="E10" s="42">
        <f>8.945*(1/100)</f>
        <v>8.9450000000000002E-2</v>
      </c>
    </row>
    <row r="11" spans="1:9">
      <c r="E11" s="42">
        <f>8.65*(1/100)</f>
        <v>8.6499999999999994E-2</v>
      </c>
    </row>
    <row r="12" spans="1:9">
      <c r="E12" s="42">
        <f>8.5675*(1/100)</f>
        <v>8.5675000000000015E-2</v>
      </c>
    </row>
    <row r="13" spans="1:9">
      <c r="E13" s="42">
        <f>8.595*(1/100)</f>
        <v>8.5950000000000013E-2</v>
      </c>
    </row>
    <row r="14" spans="1:9">
      <c r="E14" s="42">
        <f>8.72*(1/100)</f>
        <v>8.7200000000000014E-2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6</vt:i4>
      </vt:variant>
    </vt:vector>
  </HeadingPairs>
  <TitlesOfParts>
    <vt:vector size="10" baseType="lpstr">
      <vt:lpstr>Manual</vt:lpstr>
      <vt:lpstr>Tasas</vt:lpstr>
      <vt:lpstr>Holiday</vt:lpstr>
      <vt:lpstr>Aux</vt:lpstr>
      <vt:lpstr>choose</vt:lpstr>
      <vt:lpstr>cup</vt:lpstr>
      <vt:lpstr>cupon</vt:lpstr>
      <vt:lpstr>Int</vt:lpstr>
      <vt:lpstr>ParSwap</vt:lpstr>
      <vt:lpstr>tabla</vt:lpstr>
    </vt:vector>
  </TitlesOfParts>
  <Company>WVMCMCAS01</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 Jesus Gonzalez Jose Roberto</dc:creator>
  <cp:lastModifiedBy>JOSUE MEJIA NAJERA</cp:lastModifiedBy>
  <dcterms:created xsi:type="dcterms:W3CDTF">2022-11-11T19:34:03Z</dcterms:created>
  <dcterms:modified xsi:type="dcterms:W3CDTF">2022-11-24T05:39:22Z</dcterms:modified>
</cp:coreProperties>
</file>