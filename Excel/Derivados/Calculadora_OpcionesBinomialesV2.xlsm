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cargas\"/>
    </mc:Choice>
  </mc:AlternateContent>
  <xr:revisionPtr revIDLastSave="0" documentId="13_ncr:1_{C1ABF276-AE24-4B03-944C-DA96DF740473}" xr6:coauthVersionLast="47" xr6:coauthVersionMax="47" xr10:uidLastSave="{00000000-0000-0000-0000-000000000000}"/>
  <bookViews>
    <workbookView xWindow="-108" yWindow="-108" windowWidth="23256" windowHeight="12720" activeTab="1" xr2:uid="{57EEB1C0-C513-47CD-AB2F-870C7D6F7FD3}"/>
  </bookViews>
  <sheets>
    <sheet name="Alumnos" sheetId="3" r:id="rId1"/>
    <sheet name="Calculadora" sheetId="1" r:id="rId2"/>
    <sheet name="Lista" sheetId="2" state="hidden" r:id="rId3"/>
  </sheets>
  <functionGroups builtInGroupCount="19"/>
  <definedNames>
    <definedName name="a">Calculadora!#REF!</definedName>
    <definedName name="B">Calculadora!$B$14</definedName>
    <definedName name="BE">Calculadora!$B$16</definedName>
    <definedName name="BEinv">Calculadora!$B$17</definedName>
    <definedName name="Binv">Calculadora!$B$15</definedName>
    <definedName name="d">Calculadora!$B$19</definedName>
    <definedName name="delta">Calculadora!$B$21</definedName>
    <definedName name="der">Calculadora!$B$10</definedName>
    <definedName name="Dividendos">Calculadora!$B$3</definedName>
    <definedName name="forward">Calculadora!$B$22</definedName>
    <definedName name="h">Calculadora!#REF!</definedName>
    <definedName name="i">Calculadora!#REF!</definedName>
    <definedName name="in">Calculadora!$B$5</definedName>
    <definedName name="ir">Calculadora!$B$6</definedName>
    <definedName name="k">Calculadora!$B$11</definedName>
    <definedName name="m">Calculadora!#REF!</definedName>
    <definedName name="n">Calculadora!$B$9</definedName>
    <definedName name="q">Calculadora!$B$20</definedName>
    <definedName name="s0">Calculadora!$B$4</definedName>
    <definedName name="sigma">Calculadora!$B$7</definedName>
    <definedName name="solver_adj" localSheetId="1" hidden="1">Calculadora!$C$5,Calculadora!$C$7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Calculadora!$C$5</definedName>
    <definedName name="solver_lhs2" localSheetId="1" hidden="1">Calculadora!$C$7</definedName>
    <definedName name="solver_lhs3" localSheetId="1" hidden="1">Calculadora!$C$7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Calculadora!$A$8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2" localSheetId="1" hidden="1">3</definedName>
    <definedName name="solver_rel3" localSheetId="1" hidden="1">3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>Calculadora!$B$8</definedName>
    <definedName name="u">Calculadora!$B$18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" l="1"/>
  <c r="A7" i="1"/>
</calcChain>
</file>

<file path=xl/sharedStrings.xml><?xml version="1.0" encoding="utf-8"?>
<sst xmlns="http://schemas.openxmlformats.org/spreadsheetml/2006/main" count="61" uniqueCount="58">
  <si>
    <t>K</t>
  </si>
  <si>
    <t>u</t>
  </si>
  <si>
    <t>d</t>
  </si>
  <si>
    <t>Derivado</t>
  </si>
  <si>
    <t>Tipos de derivados</t>
  </si>
  <si>
    <t>Call Digital</t>
  </si>
  <si>
    <t>Put Digital</t>
  </si>
  <si>
    <t>Inputs</t>
  </si>
  <si>
    <t>Valores</t>
  </si>
  <si>
    <t>Call Europeo</t>
  </si>
  <si>
    <t>Put Europeo</t>
  </si>
  <si>
    <t>Call Americano</t>
  </si>
  <si>
    <t>Put Americano</t>
  </si>
  <si>
    <t>Dividendos</t>
  </si>
  <si>
    <t>Boolean</t>
  </si>
  <si>
    <t>Sí</t>
  </si>
  <si>
    <t>No</t>
  </si>
  <si>
    <t>Volatilidad</t>
  </si>
  <si>
    <t>B(id,(i+1)d)</t>
  </si>
  <si>
    <t>q</t>
  </si>
  <si>
    <t>Outputs</t>
  </si>
  <si>
    <t>Delta</t>
  </si>
  <si>
    <t>Call Asiática</t>
  </si>
  <si>
    <t>Put Asiática</t>
  </si>
  <si>
    <t>Precio Forward</t>
  </si>
  <si>
    <t>Time (n)</t>
  </si>
  <si>
    <t>Árbol de Precios</t>
  </si>
  <si>
    <t>Árbol de X(t)</t>
  </si>
  <si>
    <t>Árbol de alpha(t)</t>
  </si>
  <si>
    <t>Árbol de Beta(t)</t>
  </si>
  <si>
    <t>Ramírez Rubio Eduardo</t>
  </si>
  <si>
    <t>Mejía Nájera Ángel Josué</t>
  </si>
  <si>
    <t>Aguilar Ayala Julio</t>
  </si>
  <si>
    <t>Alumnos</t>
  </si>
  <si>
    <t>Calculadora de Opciones Binomiales</t>
  </si>
  <si>
    <r>
      <t>S(0) = S</t>
    </r>
    <r>
      <rPr>
        <b/>
        <vertAlign val="subscript"/>
        <sz val="11"/>
        <color rgb="FFC00000"/>
        <rFont val="Calibri"/>
        <family val="2"/>
        <scheme val="minor"/>
      </rPr>
      <t>1</t>
    </r>
  </si>
  <si>
    <r>
      <t>i</t>
    </r>
    <r>
      <rPr>
        <b/>
        <vertAlign val="subscript"/>
        <sz val="11"/>
        <color rgb="FFC00000"/>
        <rFont val="Calibri"/>
        <family val="2"/>
        <scheme val="minor"/>
      </rPr>
      <t>MXN(contínua anual)</t>
    </r>
  </si>
  <si>
    <r>
      <t>i</t>
    </r>
    <r>
      <rPr>
        <b/>
        <vertAlign val="subscript"/>
        <sz val="11"/>
        <color rgb="FFC00000"/>
        <rFont val="Calibri"/>
        <family val="2"/>
        <scheme val="minor"/>
      </rPr>
      <t>Foreign(Contínua anual)</t>
    </r>
  </si>
  <si>
    <r>
      <t>T</t>
    </r>
    <r>
      <rPr>
        <b/>
        <vertAlign val="subscript"/>
        <sz val="11"/>
        <color rgb="FFC00000"/>
        <rFont val="Calibri"/>
        <family val="2"/>
        <scheme val="minor"/>
      </rPr>
      <t>(vencimiento en años)</t>
    </r>
  </si>
  <si>
    <r>
      <t>n</t>
    </r>
    <r>
      <rPr>
        <b/>
        <vertAlign val="subscript"/>
        <sz val="11"/>
        <color rgb="FFC00000"/>
        <rFont val="Calibri"/>
        <family val="2"/>
        <scheme val="minor"/>
      </rPr>
      <t>(número de periodos)</t>
    </r>
  </si>
  <si>
    <r>
      <t>B</t>
    </r>
    <r>
      <rPr>
        <b/>
        <vertAlign val="superscript"/>
        <sz val="11"/>
        <color rgb="FFC00000"/>
        <rFont val="Calibri"/>
        <family val="2"/>
        <scheme val="minor"/>
      </rPr>
      <t>-1</t>
    </r>
    <r>
      <rPr>
        <b/>
        <sz val="11"/>
        <color rgb="FFC00000"/>
        <rFont val="Calibri"/>
        <family val="2"/>
        <scheme val="minor"/>
      </rPr>
      <t>(id,(i+1)d)</t>
    </r>
  </si>
  <si>
    <r>
      <t>B</t>
    </r>
    <r>
      <rPr>
        <b/>
        <vertAlign val="subscript"/>
        <sz val="11"/>
        <color rgb="FFC00000"/>
        <rFont val="Calibri"/>
        <family val="2"/>
        <scheme val="minor"/>
      </rPr>
      <t>E</t>
    </r>
    <r>
      <rPr>
        <b/>
        <sz val="11"/>
        <color rgb="FFC00000"/>
        <rFont val="Calibri"/>
        <family val="2"/>
        <scheme val="minor"/>
      </rPr>
      <t>(id,(i+1)d)</t>
    </r>
  </si>
  <si>
    <r>
      <t>B</t>
    </r>
    <r>
      <rPr>
        <b/>
        <vertAlign val="subscript"/>
        <sz val="11"/>
        <color rgb="FFC00000"/>
        <rFont val="Calibri"/>
        <family val="2"/>
        <scheme val="minor"/>
      </rPr>
      <t>E</t>
    </r>
    <r>
      <rPr>
        <b/>
        <vertAlign val="superscript"/>
        <sz val="11"/>
        <color rgb="FFC00000"/>
        <rFont val="Calibri"/>
        <family val="2"/>
        <scheme val="minor"/>
      </rPr>
      <t>-1</t>
    </r>
    <r>
      <rPr>
        <b/>
        <sz val="11"/>
        <color rgb="FFC00000"/>
        <rFont val="Calibri"/>
        <family val="2"/>
        <scheme val="minor"/>
      </rPr>
      <t>(id,(i+1)d)</t>
    </r>
  </si>
  <si>
    <t>Área editable*</t>
  </si>
  <si>
    <t>Detalles:</t>
  </si>
  <si>
    <t>Primero, seleccionar si la opción posee dividendos o no.</t>
  </si>
  <si>
    <t>Para poder modificar el anterior valor, será necesario escoger "Sí" en la opción de dividendos.</t>
  </si>
  <si>
    <r>
      <t>Una vez seleccionado lo anterior, si NO hay dividendos, la celda i</t>
    </r>
    <r>
      <rPr>
        <vertAlign val="subscript"/>
        <sz val="11"/>
        <color theme="1"/>
        <rFont val="Calibri"/>
        <family val="2"/>
        <scheme val="minor"/>
      </rPr>
      <t>Foreign</t>
    </r>
    <r>
      <rPr>
        <sz val="11"/>
        <color theme="1"/>
        <rFont val="Calibri"/>
        <family val="2"/>
        <scheme val="minor"/>
      </rPr>
      <t xml:space="preserve"> no podrá ser modificada y automáticamente tendrá el valor de 0.</t>
    </r>
  </si>
  <si>
    <t>La celda "T" trabaja con valores en años; por ejemplo, si se desean valua la opción a 6 meses, será necesario colocar 0.5.</t>
  </si>
  <si>
    <r>
      <t xml:space="preserve">Fuera del área amarilla, todo elemento agregado será </t>
    </r>
    <r>
      <rPr>
        <sz val="11"/>
        <color rgb="FFFF0000"/>
        <rFont val="Calibri"/>
        <family val="2"/>
        <scheme val="minor"/>
      </rPr>
      <t>eliminado</t>
    </r>
    <r>
      <rPr>
        <sz val="11"/>
        <color theme="1"/>
        <rFont val="Calibri"/>
        <family val="2"/>
        <scheme val="minor"/>
      </rPr>
      <t xml:space="preserve"> una vez ejecutada la macro.</t>
    </r>
  </si>
  <si>
    <t>Posteriormente, elegir el tipo de opción de la lista desplegable.</t>
  </si>
  <si>
    <t>Finalmente, ejecutar la macro, clickeando el botón de "Valuar Opción".</t>
  </si>
  <si>
    <t>Por lo que, se recomienda cambiar la opción a "Sí" de ser necesario modificar algo.</t>
  </si>
  <si>
    <t>Es posible que algunos elementos pueden permanecer bloqueados si se mantiene activada la opción "No", en dividendos</t>
  </si>
  <si>
    <t>Procurar no ingresar valores "0" en la volatilidad y/o en la tasa nacional.</t>
  </si>
  <si>
    <t>Con valores suficientemente pequeños se puede simular el efecto del valor 0.</t>
  </si>
  <si>
    <t>Notas:</t>
  </si>
  <si>
    <t>Bonilla Alarcón Alejandro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</si>
</sst>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vertAlign val="subscript"/>
      <sz val="11"/>
      <color rgb="FFC00000"/>
      <name val="Calibri"/>
      <family val="2"/>
      <scheme val="minor"/>
    </font>
    <font>
      <b/>
      <vertAlign val="superscript"/>
      <sz val="11"/>
      <color rgb="FFC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9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theme="4"/>
      </patternFill>
    </fill>
    <fill>
      <patternFill patternType="solid">
        <fgColor theme="7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ck">
        <color rgb="FFEB0000"/>
      </left>
      <right/>
      <top style="thick">
        <color rgb="FFEB0000"/>
      </top>
      <bottom/>
      <diagonal/>
    </border>
    <border>
      <left/>
      <right/>
      <top style="thick">
        <color rgb="FFEB0000"/>
      </top>
      <bottom/>
      <diagonal/>
    </border>
    <border>
      <left/>
      <right style="thick">
        <color rgb="FFEB0000"/>
      </right>
      <top style="thick">
        <color rgb="FFEB0000"/>
      </top>
      <bottom/>
      <diagonal/>
    </border>
    <border>
      <left style="thick">
        <color rgb="FFEB0000"/>
      </left>
      <right/>
      <top/>
      <bottom/>
      <diagonal/>
    </border>
    <border>
      <left/>
      <right style="thick">
        <color rgb="FFEB0000"/>
      </right>
      <top/>
      <bottom/>
      <diagonal/>
    </border>
    <border>
      <left style="thick">
        <color rgb="FFEB0000"/>
      </left>
      <right/>
      <top/>
      <bottom style="thick">
        <color rgb="FFEB0000"/>
      </bottom>
      <diagonal/>
    </border>
    <border>
      <left/>
      <right/>
      <top/>
      <bottom style="thick">
        <color rgb="FFEB0000"/>
      </bottom>
      <diagonal/>
    </border>
    <border>
      <left/>
      <right style="thick">
        <color rgb="FFEB0000"/>
      </right>
      <top/>
      <bottom style="thick">
        <color rgb="FFEB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4" fillId="2" borderId="1" xfId="0" applyFont="1" applyFill="1" applyBorder="1"/>
    <xf numFmtId="0" fontId="0" fillId="3" borderId="1" xfId="0" applyFill="1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0" borderId="2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0" borderId="0" xfId="0" applyFont="1"/>
    <xf numFmtId="0" fontId="0" fillId="6" borderId="0" xfId="0" applyFill="1" applyProtection="1">
      <protection locked="0"/>
    </xf>
    <xf numFmtId="10" fontId="0" fillId="6" borderId="0" xfId="0" applyNumberFormat="1" applyFill="1" applyProtection="1">
      <protection locked="0"/>
    </xf>
    <xf numFmtId="0" fontId="0" fillId="6" borderId="11" xfId="0" applyFill="1" applyBorder="1" applyProtection="1">
      <protection locked="0"/>
    </xf>
    <xf numFmtId="0" fontId="0" fillId="6" borderId="17" xfId="0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9" fillId="8" borderId="18" xfId="0" applyFont="1" applyFill="1" applyBorder="1" applyProtection="1">
      <protection locked="0"/>
    </xf>
    <xf numFmtId="0" fontId="9" fillId="6" borderId="11" xfId="0" applyFont="1" applyFill="1" applyBorder="1" applyProtection="1">
      <protection locked="0"/>
    </xf>
    <xf numFmtId="0" fontId="9" fillId="8" borderId="11" xfId="0" applyFont="1" applyFill="1" applyBorder="1" applyProtection="1">
      <protection locked="0"/>
    </xf>
    <xf numFmtId="0" fontId="12" fillId="7" borderId="19" xfId="0" applyFont="1" applyFill="1" applyBorder="1" applyAlignment="1" applyProtection="1">
      <alignment horizontal="center"/>
      <protection locked="0"/>
    </xf>
    <xf numFmtId="0" fontId="13" fillId="6" borderId="0" xfId="0" applyFont="1" applyFill="1" applyProtection="1">
      <protection locked="0"/>
    </xf>
    <xf numFmtId="0" fontId="12" fillId="7" borderId="16" xfId="0" applyFont="1" applyFill="1" applyBorder="1" applyAlignment="1" applyProtection="1">
      <alignment horizontal="center"/>
      <protection locked="0"/>
    </xf>
    <xf numFmtId="0" fontId="8" fillId="0" borderId="0" xfId="0" applyFont="1"/>
    <xf numFmtId="0" fontId="5" fillId="8" borderId="18" xfId="0" applyFont="1" applyFill="1" applyBorder="1" applyAlignment="1" applyProtection="1">
      <alignment horizontal="center" vertical="center"/>
      <protection locked="0"/>
    </xf>
    <xf numFmtId="0" fontId="5" fillId="6" borderId="11" xfId="0" applyFont="1" applyFill="1" applyBorder="1" applyAlignment="1" applyProtection="1">
      <alignment horizontal="center" vertical="center"/>
      <protection locked="0"/>
    </xf>
    <xf numFmtId="9" fontId="5" fillId="8" borderId="11" xfId="0" applyNumberFormat="1" applyFont="1" applyFill="1" applyBorder="1" applyAlignment="1" applyProtection="1">
      <alignment horizontal="center" vertical="center"/>
      <protection locked="0"/>
    </xf>
    <xf numFmtId="10" fontId="5" fillId="8" borderId="11" xfId="0" applyNumberFormat="1" applyFont="1" applyFill="1" applyBorder="1" applyAlignment="1" applyProtection="1">
      <alignment horizontal="center" vertical="center"/>
      <protection locked="0"/>
    </xf>
    <xf numFmtId="0" fontId="5" fillId="8" borderId="11" xfId="0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10" fontId="5" fillId="6" borderId="1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22</xdr:row>
          <xdr:rowOff>106680</xdr:rowOff>
        </xdr:from>
        <xdr:to>
          <xdr:col>2</xdr:col>
          <xdr:colOff>876300</xdr:colOff>
          <xdr:row>24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Valuar Opción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D46F09-D38E-47C3-BC38-60637D7E21A2}" name="Tabla2" displayName="Tabla2" ref="A2:A10" totalsRowShown="0">
  <autoFilter ref="A2:A10" xr:uid="{65D46F09-D38E-47C3-BC38-60637D7E21A2}"/>
  <tableColumns count="1">
    <tableColumn id="1" xr3:uid="{597DD530-78ED-42D3-A963-486B08FC5A8D}" name="Tipos de derivad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C4FAE-A711-4327-8966-9076BB0B06E6}">
  <sheetPr codeName="Hoja3"/>
  <dimension ref="B3:C26"/>
  <sheetViews>
    <sheetView showGridLines="0" zoomScale="85" zoomScaleNormal="85" workbookViewId="0">
      <selection activeCell="B8" sqref="B8"/>
    </sheetView>
  </sheetViews>
  <sheetFormatPr baseColWidth="10" defaultRowHeight="14.4" x14ac:dyDescent="0.3"/>
  <sheetData>
    <row r="3" spans="2:3" ht="18" x14ac:dyDescent="0.35">
      <c r="B3" s="20" t="s">
        <v>34</v>
      </c>
      <c r="C3" s="20"/>
    </row>
    <row r="4" spans="2:3" ht="15" thickBot="1" x14ac:dyDescent="0.35"/>
    <row r="5" spans="2:3" x14ac:dyDescent="0.3">
      <c r="B5" s="18" t="s">
        <v>33</v>
      </c>
      <c r="C5" s="19"/>
    </row>
    <row r="6" spans="2:3" x14ac:dyDescent="0.3">
      <c r="B6" s="14" t="s">
        <v>32</v>
      </c>
      <c r="C6" s="15"/>
    </row>
    <row r="7" spans="2:3" x14ac:dyDescent="0.3">
      <c r="B7" s="14" t="s">
        <v>57</v>
      </c>
      <c r="C7" s="15"/>
    </row>
    <row r="8" spans="2:3" x14ac:dyDescent="0.3">
      <c r="B8" s="14" t="s">
        <v>31</v>
      </c>
      <c r="C8" s="15"/>
    </row>
    <row r="9" spans="2:3" ht="15" thickBot="1" x14ac:dyDescent="0.35">
      <c r="B9" s="16" t="s">
        <v>30</v>
      </c>
      <c r="C9" s="17"/>
    </row>
    <row r="12" spans="2:3" x14ac:dyDescent="0.3">
      <c r="B12" s="32" t="s">
        <v>44</v>
      </c>
    </row>
    <row r="13" spans="2:3" x14ac:dyDescent="0.3">
      <c r="B13" t="s">
        <v>45</v>
      </c>
    </row>
    <row r="14" spans="2:3" ht="15.6" x14ac:dyDescent="0.35">
      <c r="B14" t="s">
        <v>47</v>
      </c>
    </row>
    <row r="15" spans="2:3" x14ac:dyDescent="0.3">
      <c r="B15" t="s">
        <v>46</v>
      </c>
    </row>
    <row r="16" spans="2:3" x14ac:dyDescent="0.3">
      <c r="B16" t="s">
        <v>48</v>
      </c>
    </row>
    <row r="17" spans="2:2" x14ac:dyDescent="0.3">
      <c r="B17" t="s">
        <v>50</v>
      </c>
    </row>
    <row r="18" spans="2:2" x14ac:dyDescent="0.3">
      <c r="B18" t="s">
        <v>51</v>
      </c>
    </row>
    <row r="19" spans="2:2" x14ac:dyDescent="0.3">
      <c r="B19" t="s">
        <v>49</v>
      </c>
    </row>
    <row r="21" spans="2:2" x14ac:dyDescent="0.3">
      <c r="B21" s="32" t="s">
        <v>56</v>
      </c>
    </row>
    <row r="22" spans="2:2" x14ac:dyDescent="0.3">
      <c r="B22" t="s">
        <v>53</v>
      </c>
    </row>
    <row r="23" spans="2:2" x14ac:dyDescent="0.3">
      <c r="B23" t="s">
        <v>52</v>
      </c>
    </row>
    <row r="25" spans="2:2" x14ac:dyDescent="0.3">
      <c r="B25" t="s">
        <v>54</v>
      </c>
    </row>
    <row r="26" spans="2:2" x14ac:dyDescent="0.3">
      <c r="B26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AFEA6-9C50-4858-A9A1-9DD66208A0BB}">
  <sheetPr codeName="Hoja1"/>
  <dimension ref="A1:H118"/>
  <sheetViews>
    <sheetView showGridLines="0" tabSelected="1" zoomScale="70" zoomScaleNormal="70" workbookViewId="0">
      <selection activeCell="C11" sqref="C11"/>
    </sheetView>
  </sheetViews>
  <sheetFormatPr baseColWidth="10" defaultColWidth="11.5546875" defaultRowHeight="14.4" x14ac:dyDescent="0.3"/>
  <cols>
    <col min="1" max="1" width="15.33203125" style="21" bestFit="1" customWidth="1"/>
    <col min="2" max="2" width="16.5546875" style="21" customWidth="1"/>
    <col min="3" max="3" width="14.5546875" style="21" customWidth="1"/>
  </cols>
  <sheetData>
    <row r="1" spans="1:8" ht="15" thickBot="1" x14ac:dyDescent="0.35">
      <c r="A1" s="30" t="s">
        <v>43</v>
      </c>
      <c r="B1" s="24"/>
      <c r="C1" s="25"/>
      <c r="E1" s="12" t="s">
        <v>25</v>
      </c>
    </row>
    <row r="2" spans="1:8" ht="16.2" thickBot="1" x14ac:dyDescent="0.35">
      <c r="B2" s="29" t="s">
        <v>7</v>
      </c>
      <c r="C2" s="31" t="s">
        <v>8</v>
      </c>
      <c r="E2" s="11">
        <v>0</v>
      </c>
      <c r="F2" s="11">
        <v>1</v>
      </c>
      <c r="G2" s="11">
        <v>2</v>
      </c>
      <c r="H2" s="11">
        <v>3</v>
      </c>
    </row>
    <row r="3" spans="1:8" ht="15" thickBot="1" x14ac:dyDescent="0.35">
      <c r="B3" s="26" t="s">
        <v>13</v>
      </c>
      <c r="C3" s="33" t="s">
        <v>15</v>
      </c>
    </row>
    <row r="4" spans="1:8" ht="16.2" thickTop="1" x14ac:dyDescent="0.35">
      <c r="B4" s="27" t="s">
        <v>35</v>
      </c>
      <c r="C4" s="34">
        <v>100</v>
      </c>
      <c r="E4" s="13" t="s">
        <v>26</v>
      </c>
      <c r="F4" s="4"/>
      <c r="G4" s="4"/>
      <c r="H4" s="5">
        <v>142.81932180383077</v>
      </c>
    </row>
    <row r="5" spans="1:8" ht="15.6" x14ac:dyDescent="0.35">
      <c r="B5" s="28" t="s">
        <v>36</v>
      </c>
      <c r="C5" s="35">
        <v>0.05</v>
      </c>
      <c r="E5" s="6"/>
      <c r="F5" s="38"/>
      <c r="G5" s="38">
        <v>126.82104018935306</v>
      </c>
      <c r="H5" s="7"/>
    </row>
    <row r="6" spans="1:8" ht="15.6" x14ac:dyDescent="0.35">
      <c r="B6" s="27" t="s">
        <v>37</v>
      </c>
      <c r="C6" s="39">
        <v>0.02</v>
      </c>
      <c r="E6" s="6"/>
      <c r="F6" s="38">
        <v>112.61484812819003</v>
      </c>
      <c r="G6" s="38"/>
      <c r="H6" s="7">
        <v>113.36812190506674</v>
      </c>
    </row>
    <row r="7" spans="1:8" x14ac:dyDescent="0.3">
      <c r="A7" s="21">
        <f>EXP((C5-(C7^2)/2)*1/2 + (SQRT(1/2)*C7)) - 2</f>
        <v>-0.83068120092722131</v>
      </c>
      <c r="B7" s="28" t="s">
        <v>17</v>
      </c>
      <c r="C7" s="36">
        <v>0.2</v>
      </c>
      <c r="E7" s="6">
        <v>100</v>
      </c>
      <c r="F7" s="38"/>
      <c r="G7" s="38">
        <v>100.66889383540193</v>
      </c>
      <c r="H7" s="7"/>
    </row>
    <row r="8" spans="1:8" ht="15.6" x14ac:dyDescent="0.35">
      <c r="A8" s="21">
        <f>EXP((C5-(C7^2)/2)*1/2 - (SQRT(1/2)*C7)) - 1/2</f>
        <v>0.38124345111925384</v>
      </c>
      <c r="B8" s="27" t="s">
        <v>38</v>
      </c>
      <c r="C8" s="34">
        <v>1</v>
      </c>
      <c r="E8" s="6"/>
      <c r="F8" s="38">
        <v>89.39220316739231</v>
      </c>
      <c r="G8" s="38"/>
      <c r="H8" s="7">
        <v>89.990142103708976</v>
      </c>
    </row>
    <row r="9" spans="1:8" ht="15.6" x14ac:dyDescent="0.35">
      <c r="B9" s="28" t="s">
        <v>39</v>
      </c>
      <c r="C9" s="37">
        <v>3</v>
      </c>
      <c r="E9" s="6"/>
      <c r="F9" s="38"/>
      <c r="G9" s="38">
        <v>79.909659871203445</v>
      </c>
      <c r="H9" s="7"/>
    </row>
    <row r="10" spans="1:8" ht="15" thickBot="1" x14ac:dyDescent="0.35">
      <c r="B10" s="27" t="s">
        <v>3</v>
      </c>
      <c r="C10" s="34" t="s">
        <v>9</v>
      </c>
      <c r="E10" s="8"/>
      <c r="F10" s="9"/>
      <c r="G10" s="9"/>
      <c r="H10" s="10">
        <v>71.433005502438348</v>
      </c>
    </row>
    <row r="11" spans="1:8" ht="15.6" thickTop="1" thickBot="1" x14ac:dyDescent="0.35">
      <c r="B11" s="28" t="s">
        <v>0</v>
      </c>
      <c r="C11" s="37">
        <v>103.045017</v>
      </c>
    </row>
    <row r="12" spans="1:8" ht="15.6" thickTop="1" thickBot="1" x14ac:dyDescent="0.35">
      <c r="B12" s="24"/>
      <c r="C12" s="25"/>
      <c r="E12" s="13" t="s">
        <v>27</v>
      </c>
      <c r="F12" s="4"/>
      <c r="G12" s="4"/>
      <c r="H12" s="5">
        <v>39.774304803830773</v>
      </c>
    </row>
    <row r="13" spans="1:8" ht="16.2" thickBot="1" x14ac:dyDescent="0.35">
      <c r="B13" s="29" t="s">
        <v>20</v>
      </c>
      <c r="C13" s="31" t="s">
        <v>8</v>
      </c>
      <c r="E13" s="6"/>
      <c r="F13" s="38"/>
      <c r="G13" s="38">
        <v>24.63654590302157</v>
      </c>
      <c r="H13" s="7"/>
    </row>
    <row r="14" spans="1:8" x14ac:dyDescent="0.3">
      <c r="B14" s="26" t="s">
        <v>18</v>
      </c>
      <c r="C14">
        <v>0.98347099999999998</v>
      </c>
      <c r="E14" s="6"/>
      <c r="F14" s="38">
        <v>14.612393782471788</v>
      </c>
      <c r="G14" s="38"/>
      <c r="H14" s="7">
        <v>10.323104905066742</v>
      </c>
    </row>
    <row r="15" spans="1:8" ht="16.2" x14ac:dyDescent="0.3">
      <c r="B15" s="27" t="s">
        <v>40</v>
      </c>
      <c r="C15">
        <v>1.0168060000000001</v>
      </c>
      <c r="E15" s="6">
        <v>8.4139715366257271</v>
      </c>
      <c r="F15" s="38"/>
      <c r="G15" s="38">
        <v>5.0768913565506288</v>
      </c>
      <c r="H15" s="7"/>
    </row>
    <row r="16" spans="1:8" ht="15.6" x14ac:dyDescent="0.35">
      <c r="B16" s="28" t="s">
        <v>41</v>
      </c>
      <c r="C16">
        <v>0.99335600000000002</v>
      </c>
      <c r="E16" s="6"/>
      <c r="F16" s="38">
        <v>2.496809446697362</v>
      </c>
      <c r="G16" s="38"/>
      <c r="H16" s="7">
        <v>0</v>
      </c>
    </row>
    <row r="17" spans="1:8" ht="16.8" x14ac:dyDescent="0.35">
      <c r="B17" s="27" t="s">
        <v>42</v>
      </c>
      <c r="C17">
        <v>1.0066889999999999</v>
      </c>
      <c r="E17" s="6"/>
      <c r="F17" s="38"/>
      <c r="G17" s="38">
        <v>0</v>
      </c>
      <c r="H17" s="7"/>
    </row>
    <row r="18" spans="1:8" ht="15" thickBot="1" x14ac:dyDescent="0.35">
      <c r="B18" s="28" t="s">
        <v>1</v>
      </c>
      <c r="C18">
        <v>1.1261479999999999</v>
      </c>
      <c r="E18" s="8"/>
      <c r="F18" s="9"/>
      <c r="G18" s="9"/>
      <c r="H18" s="10">
        <v>0</v>
      </c>
    </row>
    <row r="19" spans="1:8" ht="15.6" thickTop="1" thickBot="1" x14ac:dyDescent="0.35">
      <c r="A19" s="22"/>
      <c r="B19" s="27" t="s">
        <v>2</v>
      </c>
      <c r="C19">
        <v>0.89392199999999999</v>
      </c>
    </row>
    <row r="20" spans="1:8" ht="15" thickTop="1" x14ac:dyDescent="0.3">
      <c r="B20" s="28" t="s">
        <v>19</v>
      </c>
      <c r="C20">
        <v>0.50006399999999995</v>
      </c>
      <c r="E20" s="13" t="s">
        <v>28</v>
      </c>
      <c r="F20" s="4"/>
      <c r="G20" s="5">
        <v>0.99335550625503444</v>
      </c>
    </row>
    <row r="21" spans="1:8" x14ac:dyDescent="0.3">
      <c r="B21" s="27" t="s">
        <v>21</v>
      </c>
      <c r="C21">
        <v>0.33</v>
      </c>
      <c r="E21" s="6"/>
      <c r="F21" s="38">
        <v>0.7429482185215649</v>
      </c>
      <c r="G21" s="7"/>
    </row>
    <row r="22" spans="1:8" x14ac:dyDescent="0.3">
      <c r="B22" s="28" t="s">
        <v>24</v>
      </c>
      <c r="C22">
        <v>103.04545299999999</v>
      </c>
      <c r="E22" s="6">
        <v>0.51824770312577484</v>
      </c>
      <c r="F22" s="38"/>
      <c r="G22" s="7">
        <v>0.43863983056828687</v>
      </c>
    </row>
    <row r="23" spans="1:8" x14ac:dyDescent="0.3">
      <c r="C23" s="23"/>
      <c r="E23" s="6"/>
      <c r="F23" s="38">
        <v>0.24293564937827775</v>
      </c>
      <c r="G23" s="7"/>
    </row>
    <row r="24" spans="1:8" ht="15" thickBot="1" x14ac:dyDescent="0.35">
      <c r="C24" s="23"/>
      <c r="E24" s="8"/>
      <c r="F24" s="9"/>
      <c r="G24" s="10">
        <v>0</v>
      </c>
    </row>
    <row r="25" spans="1:8" ht="15.6" thickTop="1" thickBot="1" x14ac:dyDescent="0.35">
      <c r="C25" s="23"/>
    </row>
    <row r="26" spans="1:8" ht="15" thickTop="1" x14ac:dyDescent="0.3">
      <c r="C26" s="23"/>
      <c r="E26" s="13" t="s">
        <v>29</v>
      </c>
      <c r="F26" s="4"/>
      <c r="G26" s="5">
        <v>-99.481479578787059</v>
      </c>
    </row>
    <row r="27" spans="1:8" x14ac:dyDescent="0.3">
      <c r="C27" s="23"/>
      <c r="E27" s="6"/>
      <c r="F27" s="38">
        <v>-67.819076234345289</v>
      </c>
      <c r="G27" s="7"/>
    </row>
    <row r="28" spans="1:8" x14ac:dyDescent="0.3">
      <c r="C28" s="23"/>
      <c r="E28" s="6">
        <v>-42.645489893934133</v>
      </c>
      <c r="F28" s="38"/>
      <c r="G28" s="7">
        <v>-38.428412402303294</v>
      </c>
    </row>
    <row r="29" spans="1:8" x14ac:dyDescent="0.3">
      <c r="C29" s="23"/>
      <c r="E29" s="6"/>
      <c r="F29" s="38">
        <v>-18.899049904594104</v>
      </c>
      <c r="G29" s="7"/>
    </row>
    <row r="30" spans="1:8" ht="15" thickBot="1" x14ac:dyDescent="0.35">
      <c r="C30" s="23"/>
      <c r="E30" s="8"/>
      <c r="F30" s="9"/>
      <c r="G30" s="10">
        <v>0</v>
      </c>
    </row>
    <row r="31" spans="1:8" ht="15" thickTop="1" x14ac:dyDescent="0.3">
      <c r="C31" s="23"/>
    </row>
    <row r="32" spans="1:8" x14ac:dyDescent="0.3">
      <c r="C32" s="23"/>
    </row>
    <row r="33" spans="3:3" x14ac:dyDescent="0.3">
      <c r="C33" s="23"/>
    </row>
    <row r="34" spans="3:3" x14ac:dyDescent="0.3">
      <c r="C34" s="23"/>
    </row>
    <row r="35" spans="3:3" x14ac:dyDescent="0.3">
      <c r="C35" s="23"/>
    </row>
    <row r="36" spans="3:3" x14ac:dyDescent="0.3">
      <c r="C36" s="23"/>
    </row>
    <row r="37" spans="3:3" x14ac:dyDescent="0.3">
      <c r="C37" s="23"/>
    </row>
    <row r="38" spans="3:3" x14ac:dyDescent="0.3">
      <c r="C38" s="23"/>
    </row>
    <row r="39" spans="3:3" x14ac:dyDescent="0.3">
      <c r="C39" s="23"/>
    </row>
    <row r="40" spans="3:3" x14ac:dyDescent="0.3">
      <c r="C40" s="23"/>
    </row>
    <row r="41" spans="3:3" x14ac:dyDescent="0.3">
      <c r="C41" s="23"/>
    </row>
    <row r="42" spans="3:3" x14ac:dyDescent="0.3">
      <c r="C42" s="23"/>
    </row>
    <row r="43" spans="3:3" x14ac:dyDescent="0.3">
      <c r="C43" s="23"/>
    </row>
    <row r="44" spans="3:3" x14ac:dyDescent="0.3">
      <c r="C44" s="23"/>
    </row>
    <row r="45" spans="3:3" x14ac:dyDescent="0.3">
      <c r="C45" s="23"/>
    </row>
    <row r="46" spans="3:3" x14ac:dyDescent="0.3">
      <c r="C46" s="23"/>
    </row>
    <row r="47" spans="3:3" x14ac:dyDescent="0.3">
      <c r="C47" s="23"/>
    </row>
    <row r="48" spans="3:3" x14ac:dyDescent="0.3">
      <c r="C48" s="23"/>
    </row>
    <row r="49" spans="3:3" x14ac:dyDescent="0.3">
      <c r="C49" s="23"/>
    </row>
    <row r="50" spans="3:3" x14ac:dyDescent="0.3">
      <c r="C50" s="23"/>
    </row>
    <row r="51" spans="3:3" x14ac:dyDescent="0.3">
      <c r="C51" s="23"/>
    </row>
    <row r="52" spans="3:3" x14ac:dyDescent="0.3">
      <c r="C52" s="23"/>
    </row>
    <row r="53" spans="3:3" x14ac:dyDescent="0.3">
      <c r="C53" s="23"/>
    </row>
    <row r="54" spans="3:3" x14ac:dyDescent="0.3">
      <c r="C54" s="23"/>
    </row>
    <row r="55" spans="3:3" x14ac:dyDescent="0.3">
      <c r="C55" s="23"/>
    </row>
    <row r="56" spans="3:3" x14ac:dyDescent="0.3">
      <c r="C56" s="23"/>
    </row>
    <row r="57" spans="3:3" x14ac:dyDescent="0.3">
      <c r="C57" s="23"/>
    </row>
    <row r="58" spans="3:3" x14ac:dyDescent="0.3">
      <c r="C58" s="23"/>
    </row>
    <row r="59" spans="3:3" x14ac:dyDescent="0.3">
      <c r="C59" s="23"/>
    </row>
    <row r="60" spans="3:3" x14ac:dyDescent="0.3">
      <c r="C60" s="23"/>
    </row>
    <row r="61" spans="3:3" x14ac:dyDescent="0.3">
      <c r="C61" s="23"/>
    </row>
    <row r="62" spans="3:3" x14ac:dyDescent="0.3">
      <c r="C62" s="23"/>
    </row>
    <row r="63" spans="3:3" x14ac:dyDescent="0.3">
      <c r="C63" s="23"/>
    </row>
    <row r="64" spans="3:3" x14ac:dyDescent="0.3">
      <c r="C64" s="23"/>
    </row>
    <row r="65" spans="3:3" x14ac:dyDescent="0.3">
      <c r="C65" s="23"/>
    </row>
    <row r="66" spans="3:3" x14ac:dyDescent="0.3">
      <c r="C66" s="23"/>
    </row>
    <row r="67" spans="3:3" x14ac:dyDescent="0.3">
      <c r="C67" s="23"/>
    </row>
    <row r="68" spans="3:3" x14ac:dyDescent="0.3">
      <c r="C68" s="23"/>
    </row>
    <row r="69" spans="3:3" x14ac:dyDescent="0.3">
      <c r="C69" s="23"/>
    </row>
    <row r="70" spans="3:3" x14ac:dyDescent="0.3">
      <c r="C70" s="23"/>
    </row>
    <row r="71" spans="3:3" x14ac:dyDescent="0.3">
      <c r="C71" s="23"/>
    </row>
    <row r="72" spans="3:3" x14ac:dyDescent="0.3">
      <c r="C72" s="23"/>
    </row>
    <row r="73" spans="3:3" x14ac:dyDescent="0.3">
      <c r="C73" s="23"/>
    </row>
    <row r="74" spans="3:3" x14ac:dyDescent="0.3">
      <c r="C74" s="23"/>
    </row>
    <row r="75" spans="3:3" x14ac:dyDescent="0.3">
      <c r="C75" s="23"/>
    </row>
    <row r="76" spans="3:3" x14ac:dyDescent="0.3">
      <c r="C76" s="23"/>
    </row>
    <row r="77" spans="3:3" x14ac:dyDescent="0.3">
      <c r="C77" s="23"/>
    </row>
    <row r="78" spans="3:3" x14ac:dyDescent="0.3">
      <c r="C78" s="23"/>
    </row>
    <row r="79" spans="3:3" x14ac:dyDescent="0.3">
      <c r="C79" s="23"/>
    </row>
    <row r="80" spans="3:3" x14ac:dyDescent="0.3">
      <c r="C80" s="23"/>
    </row>
    <row r="81" spans="3:3" x14ac:dyDescent="0.3">
      <c r="C81" s="23"/>
    </row>
    <row r="82" spans="3:3" x14ac:dyDescent="0.3">
      <c r="C82" s="23"/>
    </row>
    <row r="83" spans="3:3" x14ac:dyDescent="0.3">
      <c r="C83" s="23"/>
    </row>
    <row r="84" spans="3:3" x14ac:dyDescent="0.3">
      <c r="C84" s="23"/>
    </row>
    <row r="85" spans="3:3" x14ac:dyDescent="0.3">
      <c r="C85" s="23"/>
    </row>
    <row r="86" spans="3:3" x14ac:dyDescent="0.3">
      <c r="C86" s="23"/>
    </row>
    <row r="87" spans="3:3" x14ac:dyDescent="0.3">
      <c r="C87" s="23"/>
    </row>
    <row r="88" spans="3:3" x14ac:dyDescent="0.3">
      <c r="C88" s="23"/>
    </row>
    <row r="89" spans="3:3" x14ac:dyDescent="0.3">
      <c r="C89" s="23"/>
    </row>
    <row r="90" spans="3:3" x14ac:dyDescent="0.3">
      <c r="C90" s="23"/>
    </row>
    <row r="91" spans="3:3" x14ac:dyDescent="0.3">
      <c r="C91" s="23"/>
    </row>
    <row r="92" spans="3:3" x14ac:dyDescent="0.3">
      <c r="C92" s="23"/>
    </row>
    <row r="93" spans="3:3" x14ac:dyDescent="0.3">
      <c r="C93" s="23"/>
    </row>
    <row r="94" spans="3:3" x14ac:dyDescent="0.3">
      <c r="C94" s="23"/>
    </row>
    <row r="95" spans="3:3" x14ac:dyDescent="0.3">
      <c r="C95" s="23"/>
    </row>
    <row r="96" spans="3:3" x14ac:dyDescent="0.3">
      <c r="C96" s="23"/>
    </row>
    <row r="97" spans="3:3" x14ac:dyDescent="0.3">
      <c r="C97" s="23"/>
    </row>
    <row r="98" spans="3:3" x14ac:dyDescent="0.3">
      <c r="C98" s="23"/>
    </row>
    <row r="99" spans="3:3" x14ac:dyDescent="0.3">
      <c r="C99" s="23"/>
    </row>
    <row r="100" spans="3:3" x14ac:dyDescent="0.3">
      <c r="C100" s="23"/>
    </row>
    <row r="101" spans="3:3" x14ac:dyDescent="0.3">
      <c r="C101" s="23"/>
    </row>
    <row r="102" spans="3:3" x14ac:dyDescent="0.3">
      <c r="C102" s="23"/>
    </row>
    <row r="103" spans="3:3" x14ac:dyDescent="0.3">
      <c r="C103" s="23"/>
    </row>
    <row r="104" spans="3:3" x14ac:dyDescent="0.3">
      <c r="C104" s="23"/>
    </row>
    <row r="105" spans="3:3" x14ac:dyDescent="0.3">
      <c r="C105" s="23"/>
    </row>
    <row r="106" spans="3:3" x14ac:dyDescent="0.3">
      <c r="C106" s="23"/>
    </row>
    <row r="107" spans="3:3" x14ac:dyDescent="0.3">
      <c r="C107" s="23"/>
    </row>
    <row r="108" spans="3:3" x14ac:dyDescent="0.3">
      <c r="C108" s="23"/>
    </row>
    <row r="109" spans="3:3" x14ac:dyDescent="0.3">
      <c r="C109" s="23"/>
    </row>
    <row r="110" spans="3:3" x14ac:dyDescent="0.3">
      <c r="C110" s="23"/>
    </row>
    <row r="111" spans="3:3" x14ac:dyDescent="0.3">
      <c r="C111" s="23"/>
    </row>
    <row r="112" spans="3:3" x14ac:dyDescent="0.3">
      <c r="C112" s="23"/>
    </row>
    <row r="113" spans="3:3" x14ac:dyDescent="0.3">
      <c r="C113" s="23"/>
    </row>
    <row r="114" spans="3:3" x14ac:dyDescent="0.3">
      <c r="C114" s="23"/>
    </row>
    <row r="115" spans="3:3" x14ac:dyDescent="0.3">
      <c r="C115" s="23"/>
    </row>
    <row r="116" spans="3:3" x14ac:dyDescent="0.3">
      <c r="C116" s="23"/>
    </row>
    <row r="117" spans="3:3" x14ac:dyDescent="0.3">
      <c r="C117" s="23"/>
    </row>
    <row r="118" spans="3:3" x14ac:dyDescent="0.3">
      <c r="C118" s="23"/>
    </row>
  </sheetData>
  <protectedRanges>
    <protectedRange sqref="A23:C1048576 D1:USO1048576" name="Rango1"/>
  </protectedRanges>
  <phoneticPr fontId="3" type="noConversion"/>
  <conditionalFormatting sqref="E4:H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:H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G2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:G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rbolBinario">
                <anchor moveWithCells="1" sizeWithCells="1">
                  <from>
                    <xdr:col>1</xdr:col>
                    <xdr:colOff>106680</xdr:colOff>
                    <xdr:row>22</xdr:row>
                    <xdr:rowOff>106680</xdr:rowOff>
                  </from>
                  <to>
                    <xdr:col>2</xdr:col>
                    <xdr:colOff>876300</xdr:colOff>
                    <xdr:row>24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3D68A80-C2C5-4BD7-AD11-4704586F4938}">
          <x14:formula1>
            <xm:f>Lista!$C$3:$C$4</xm:f>
          </x14:formula1>
          <xm:sqref>C3</xm:sqref>
        </x14:dataValidation>
        <x14:dataValidation type="list" allowBlank="1" showInputMessage="1" showErrorMessage="1" xr:uid="{377EEA5D-7E00-4CAB-AC59-31925FDAB102}">
          <x14:formula1>
            <xm:f>Lista!$A$3:$A$10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0F64C-CBCE-4A36-87EC-F5C491B84DE7}">
  <sheetPr codeName="Hoja2"/>
  <dimension ref="A2:C10"/>
  <sheetViews>
    <sheetView workbookViewId="0">
      <selection activeCell="F8" sqref="F8"/>
    </sheetView>
  </sheetViews>
  <sheetFormatPr baseColWidth="10" defaultColWidth="11.44140625" defaultRowHeight="14.4" x14ac:dyDescent="0.3"/>
  <cols>
    <col min="1" max="1" width="16.33203125" bestFit="1" customWidth="1"/>
    <col min="2" max="2" width="18.5546875" customWidth="1"/>
  </cols>
  <sheetData>
    <row r="2" spans="1:3" x14ac:dyDescent="0.3">
      <c r="A2" t="s">
        <v>4</v>
      </c>
      <c r="C2" s="1" t="s">
        <v>14</v>
      </c>
    </row>
    <row r="3" spans="1:3" x14ac:dyDescent="0.3">
      <c r="A3" t="s">
        <v>9</v>
      </c>
      <c r="C3" s="2" t="s">
        <v>15</v>
      </c>
    </row>
    <row r="4" spans="1:3" x14ac:dyDescent="0.3">
      <c r="A4" t="s">
        <v>10</v>
      </c>
      <c r="C4" s="3" t="s">
        <v>16</v>
      </c>
    </row>
    <row r="5" spans="1:3" x14ac:dyDescent="0.3">
      <c r="A5" t="s">
        <v>5</v>
      </c>
    </row>
    <row r="6" spans="1:3" x14ac:dyDescent="0.3">
      <c r="A6" t="s">
        <v>6</v>
      </c>
    </row>
    <row r="7" spans="1:3" x14ac:dyDescent="0.3">
      <c r="A7" t="s">
        <v>11</v>
      </c>
    </row>
    <row r="8" spans="1:3" x14ac:dyDescent="0.3">
      <c r="A8" t="s">
        <v>12</v>
      </c>
    </row>
    <row r="9" spans="1:3" x14ac:dyDescent="0.3">
      <c r="A9" t="s">
        <v>22</v>
      </c>
    </row>
    <row r="10" spans="1:3" x14ac:dyDescent="0.3">
      <c r="A10" t="s">
        <v>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8774A1-5907-4093-B922-7CC80BF15F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18</vt:i4>
      </vt:variant>
    </vt:vector>
  </HeadingPairs>
  <TitlesOfParts>
    <vt:vector size="21" baseType="lpstr">
      <vt:lpstr>Alumnos</vt:lpstr>
      <vt:lpstr>Calculadora</vt:lpstr>
      <vt:lpstr>Lista</vt:lpstr>
      <vt:lpstr>B</vt:lpstr>
      <vt:lpstr>BE</vt:lpstr>
      <vt:lpstr>BEinv</vt:lpstr>
      <vt:lpstr>Binv</vt:lpstr>
      <vt:lpstr>d</vt:lpstr>
      <vt:lpstr>delta</vt:lpstr>
      <vt:lpstr>der</vt:lpstr>
      <vt:lpstr>Dividendos</vt:lpstr>
      <vt:lpstr>forward</vt:lpstr>
      <vt:lpstr>in</vt:lpstr>
      <vt:lpstr>ir</vt:lpstr>
      <vt:lpstr>k</vt:lpstr>
      <vt:lpstr>n</vt:lpstr>
      <vt:lpstr>q</vt:lpstr>
      <vt:lpstr>s0</vt:lpstr>
      <vt:lpstr>sigma</vt:lpstr>
      <vt:lpstr>T</vt:lpstr>
      <vt:lpstr>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MEJIA NAJERA</dc:creator>
  <cp:lastModifiedBy>JOSUE MEJIA NAJERA</cp:lastModifiedBy>
  <dcterms:created xsi:type="dcterms:W3CDTF">2022-10-01T05:54:46Z</dcterms:created>
  <dcterms:modified xsi:type="dcterms:W3CDTF">2022-12-30T19:20:56Z</dcterms:modified>
</cp:coreProperties>
</file>